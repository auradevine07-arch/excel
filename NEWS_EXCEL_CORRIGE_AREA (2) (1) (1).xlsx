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9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  <numFmt numFmtId="172" formatCode="yyyy-mm-dd h:mm:ss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  <xf numFmtId="168" fontId="0" fillId="0" borderId="0" pivotButton="0" quotePrefix="0" xfId="0"/>
    <xf numFmtId="172" fontId="0" fillId="6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Y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118" t="n">
        <v>46356</v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N7" s="183" t="n">
        <v>46325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IFERROR(IF(_xlfn.XLOOKUP($C$6,'Client DB &amp; Bed Mgmt'!$D:$D,'Client DB &amp; Bed Mgmt'!$S:$S,"")=0,"",_xlfn.XLOOKUP($C$6,'Client DB &amp; Bed Mgmt'!$D:$D,'Client DB &amp; Bed Mgmt'!$S:$S,"")),"")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IFERROR(IF(_xlfn.XLOOKUP($C$6,'Client DB &amp; Bed Mgmt'!$D:$D,'Client DB &amp; Bed Mgmt'!$M:$M,"")=0,"",_xlfn.XLOOKUP($C$6,'Client DB &amp; Bed Mgmt'!$D:$D,'Client DB &amp; Bed Mgmt'!$M:$M,"")),"")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IFERROR(IF(_xlfn.XLOOKUP($C$6,'Client DB &amp; Bed Mgmt'!$D:$D,'Client DB &amp; Bed Mgmt'!$N:$N,"")=0,"",_xlfn.XLOOKUP($C$6,'Client DB &amp; Bed Mgmt'!$D:$D,'Client DB &amp; Bed Mgmt'!$N:$N,"")),"")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C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8" customWidth="1" style="83" min="23" max="23"/>
    <col width="18" customWidth="1" style="83" min="24" max="24"/>
    <col width="18" customWidth="1" style="83" min="25" max="25"/>
    <col width="13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End Date</t>
        </is>
      </c>
      <c r="B5" s="184" t="n">
        <v>46357</v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Mgmt'!$D$5:$D$428&lt;&gt;"")*--IFERROR('Client DB &amp; Bed Mgmt'!$M$5:$M$428&lt;=EOMONTH($B$4,0),FALSE)*--IFERROR(IF(ISNUMBER('Client DB &amp; Bed Mgmt'!$N$5:$N$428),'Client DB &amp; Bed Mgmt'!$N$5:$N$428,EOMONTH('Client DB &amp; Bed Mgmt'!$M$5:$M$428,0))&gt;=DATE(YEAR($B$4),MONTH($B$4),1),FALSE))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Bed Capacity / Dorm</t>
        </is>
      </c>
      <c r="B6" s="168">
        <f>IFERROR(AVERAGE(DormRegistry[Bed Capacity]),0)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Mgmt'!$D$5:$D$428&lt;&gt;"")*--IFERROR('Client DB &amp; Bed Mgmt'!$M$5:$M$428&lt;=EOMONTH($B$4,0),FALSE)*--IFERROR(IF(ISNUMBER('Client DB &amp; Bed Mgmt'!$N$5:$N$428),'Client DB &amp; Bed Mgmt'!$N$5:$N$428,EOMONTH('Client DB &amp; Bed Mgmt'!$M$5:$M$428,0))&gt;=DATE(YEAR($B$4),MONTH($B$4),1),FALSE))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Default Rent Setting</t>
        </is>
      </c>
      <c r="B7" s="169">
        <f>DefaultRentPerBed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Mgmt'!$D$5:$D$428&lt;&gt;"")*--IFERROR('Client DB &amp; Bed Mgmt'!$M$5:$M$428&lt;=EOMONTH($B$4,0),FALSE)*--IFERROR(IF(ISNUMBER('Client DB &amp; Bed Mgmt'!$N$5:$N$428),'Client DB &amp; Bed Mgmt'!$N$5:$N$428,EOMONTH('Client DB &amp; Bed Mgmt'!$M$5:$M$428,0))&gt;=DATE(YEAR($B$4),MONTH($B$4),1),FALSE))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Target Occupancy %</t>
        </is>
      </c>
      <c r="B8" s="169">
        <f>TargetOccupancy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Inflation %</t>
        </is>
      </c>
      <c r="B9" s="168">
        <f>InflationRate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102" t="inlineStr">
        <is>
          <t>Rent Revenue Total</t>
        </is>
      </c>
      <c r="H9" s="168">
        <f>SUM(FinancialModel[Rent Revenue])</f>
        <v/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Generator Rate per kWh</t>
        </is>
      </c>
      <c r="B10" s="168">
        <f>GeneratorRate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102" t="inlineStr">
        <is>
          <t>Room Elec Revenue Total</t>
        </is>
      </c>
      <c r="H10" s="168">
        <f>SUM(FinancialModel[Room Elec Revenue])</f>
        <v/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inlineStr">
        <is>
          <t>Government Rate per kWh</t>
        </is>
      </c>
      <c r="B11" s="88">
        <f>GovernmentRate</f>
        <v/>
      </c>
      <c r="C11" s="88" t="n"/>
      <c r="D11" s="88" t="n"/>
      <c r="E11" s="88" t="n"/>
      <c r="F11" s="88" t="n"/>
      <c r="G11" s="102" t="inlineStr">
        <is>
          <t>Area Elec Revenue Total</t>
        </is>
      </c>
      <c r="H11" s="168">
        <f>SUM(FinancialModel[Area Elec Revenue])</f>
        <v/>
      </c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124" t="inlineStr">
        <is>
          <t>Occupied Beds</t>
        </is>
      </c>
      <c r="W13" s="124" t="inlineStr">
        <is>
          <t>Rent Revenue</t>
        </is>
      </c>
      <c r="X13" s="124" t="inlineStr">
        <is>
          <t>Room Elec Revenue</t>
        </is>
      </c>
      <c r="Y13" s="124" t="inlineStr">
        <is>
          <t>Area Elec Revenue</t>
        </is>
      </c>
      <c r="Z13" s="82" t="n"/>
      <c r="AA13" s="82" t="n"/>
      <c r="AB13" s="82" t="n"/>
    </row>
    <row r="14" ht="14.25" customHeight="1" s="83">
      <c r="A14" s="125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Mgmt'!$M$5:$M$428,0))&gt;=DATE(YEAR(EDATE($B$4,0)),MONTH(EDATE($B$4,0)),1),FALSE))&gt;0),EDATE($B$4,0),"")</f>
        <v/>
      </c>
      <c r="B14" s="103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Mgmt'!$M$5:$M$428,0))&gt;=DATE(YEAR(EDATE($B$4,0)),MONTH(EDATE($B$4,0)),1),FALSE))&gt;0),"Dorm 1","")</f>
        <v/>
      </c>
      <c r="C14" s="17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Mgmt'!$M$5:$M$428,0))&gt;=DATE(YEAR(EDATE($B$4,0)),MONTH(EDATE($B$4,0)),1),FALSE))&gt;0),IFERROR(_xlfn.XLOOKUP(B14,DormRegistry[Dorm Name],DormRegistry[Ownership Type]),""),"")</f>
        <v/>
      </c>
      <c r="D14" s="17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Mgmt'!$M$5:$M$428,0))&gt;=DATE(YEAR(EDATE($B$4,0)),MONTH(EDATE($B$4,0)),1),FALSE))&gt;0),IFERROR(_xlfn.XLOOKUP(B14,DormRegistry[Dorm Name],DormRegistry[Bed Capacity]),0),"")</f>
        <v/>
      </c>
      <c r="E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Mgmt'!$M$5:$M$428,0))&gt;=DATE(YEAR(EDATE($B$4,0)),MONTH(EDATE($B$4,0)),1),FALSE))&gt;0),$B$7*(1+$B$9)^(YEAR(A14)-YEAR($B$4)),"")</f>
        <v/>
      </c>
      <c r="F14" s="105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Mgmt'!$M$5:$M$428,0))&gt;=DATE(YEAR(EDATE($B$4,0)),MONTH(EDATE($B$4,0)),1),FALSE))&gt;0),$B$8,"")</f>
        <v/>
      </c>
      <c r="G14" s="105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Mgmt'!$M$5:$M$428,0))&gt;=DATE(YEAR(EDATE($B$4,0)),MONTH(EDATE($B$4,0)),1),FALSE))&gt;0),$B$9,"")</f>
        <v/>
      </c>
      <c r="H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Mgmt'!$M$5:$M$428,0))&gt;=DATE(YEAR(EDATE($B$4,0)),MONTH(EDATE($B$4,0)),1),FALSE))&gt;0),D14*E14,"")</f>
        <v/>
      </c>
      <c r="I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Mgmt'!$M$5:$M$428,0))&gt;=DATE(YEAR(EDATE($B$4,0)),MONTH(EDATE($B$4,0)),1),FALSE))&gt;0),SUM(W14:Y14),"")</f>
        <v/>
      </c>
      <c r="J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Mgmt'!$M$5:$M$428,0))&gt;=DATE(YEAR(EDATE($B$4,0)),MONTH(EDATE($B$4,0)),1),FALSE))&gt;0),D14*F14*E14,"")</f>
        <v/>
      </c>
      <c r="K14" s="104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Mgmt'!$M$5:$M$428,0))&gt;=DATE(YEAR(EDATE($B$4,0)),MONTH(EDATE($B$4,0)),1),FALSE))&gt;0),75,"")</f>
        <v/>
      </c>
      <c r="L14" s="104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Mgmt'!$M$5:$M$428,0))&gt;=DATE(YEAR(EDATE($B$4,0)),MONTH(EDATE($B$4,0)),1),FALSE))&gt;0),50,"")</f>
        <v/>
      </c>
      <c r="M14" s="104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Mgmt'!$M$5:$M$428,0))&gt;=DATE(YEAR(EDATE($B$4,0)),MONTH(EDATE($B$4,0)),1),FALSE))&gt;0),150,"")</f>
        <v/>
      </c>
      <c r="N14" s="104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Mgmt'!$M$5:$M$428,0))&gt;=DATE(YEAR(EDATE($B$4,0)),MONTH(EDATE($B$4,0)),1),FALSE))&gt;0),125,"")</f>
        <v/>
      </c>
      <c r="O14" s="104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Mgmt'!$M$5:$M$428,0))&gt;=DATE(YEAR(EDATE($B$4,0)),MONTH(EDATE($B$4,0)),1),FALSE))&gt;0),60,"")</f>
        <v/>
      </c>
      <c r="P14" s="104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Mgmt'!$M$5:$M$428,0))&gt;=DATE(YEAR(EDATE($B$4,0)),MONTH(EDATE($B$4,0)),1),FALSE))&gt;0),80,"")</f>
        <v/>
      </c>
      <c r="Q14" s="104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Mgmt'!$M$5:$M$428,0))&gt;=DATE(YEAR(EDATE($B$4,0)),MONTH(EDATE($B$4,0)),1),FALSE))&gt;0),40,"")</f>
        <v/>
      </c>
      <c r="R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Mgmt'!$M$5:$M$428,0))&gt;=DATE(YEAR(EDATE($B$4,0)),MONTH(EDATE($B$4,0)),1),FALSE))&gt;0),IF(C14="Owned",0,2500),"")</f>
        <v/>
      </c>
      <c r="S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Mgmt'!$M$5:$M$428,0))&gt;=DATE(YEAR(EDATE($B$4,0)),MONTH(EDATE($B$4,0)),1),FALSE))&gt;0),SUM(K14:R14),"")</f>
        <v/>
      </c>
      <c r="T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Mgmt'!$M$5:$M$428,0))&gt;=DATE(YEAR(EDATE($B$4,0)),MONTH(EDATE($B$4,0)),1),FALSE))&gt;0),I14-S14,"")</f>
        <v/>
      </c>
      <c r="U14" s="105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Mgmt'!$M$5:$M$428,0))&gt;=DATE(YEAR(EDATE($B$4,0)),MONTH(EDATE($B$4,0)),1),FALSE))&gt;0),IFERROR(T14/I14,0),"")</f>
        <v/>
      </c>
      <c r="V14" s="82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W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Mgmt'!$I$5:$I$428*((IF(IF(ISNUMBER('Client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X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Mgmt'!$J$5:$J$428*((IF(IF(ISNUMBER('Client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Y14" s="130">
        <f>IF(AND(EDATE($B$4,0)&lt;=EOMONTH($B$5,0),SUMPRODUCT(('Client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1")*('Client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Mgmt'!$K$5:$K$428*((IF(IF(ISNUMBER('Client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Z14" s="82" t="n"/>
      <c r="AA14" s="82" t="n"/>
      <c r="AB14" s="82" t="n"/>
    </row>
    <row r="15" hidden="1" ht="14.25" customHeight="1" s="83">
      <c r="A15" s="125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Mgmt'!$M$5:$M$428,0))&gt;=DATE(YEAR(EDATE($B$4,0)),MONTH(EDATE($B$4,0)),1),FALSE))&gt;0),EDATE($B$4,0),"")</f>
        <v/>
      </c>
      <c r="B15" s="103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Mgmt'!$M$5:$M$428,0))&gt;=DATE(YEAR(EDATE($B$4,0)),MONTH(EDATE($B$4,0)),1),FALSE))&gt;0),"Dorm 2","")</f>
        <v/>
      </c>
      <c r="C15" s="17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Mgmt'!$M$5:$M$428,0))&gt;=DATE(YEAR(EDATE($B$4,0)),MONTH(EDATE($B$4,0)),1),FALSE))&gt;0),IFERROR(_xlfn.XLOOKUP(B15,DormRegistry[Dorm Name],DormRegistry[Ownership Type]),""),"")</f>
        <v/>
      </c>
      <c r="D15" s="17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Mgmt'!$M$5:$M$428,0))&gt;=DATE(YEAR(EDATE($B$4,0)),MONTH(EDATE($B$4,0)),1),FALSE))&gt;0),IFERROR(_xlfn.XLOOKUP(B15,DormRegistry[Dorm Name],DormRegistry[Bed Capacity]),0),"")</f>
        <v/>
      </c>
      <c r="E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Mgmt'!$M$5:$M$428,0))&gt;=DATE(YEAR(EDATE($B$4,0)),MONTH(EDATE($B$4,0)),1),FALSE))&gt;0),$B$7*(1+$B$9)^(YEAR(A15)-YEAR($B$4)),"")</f>
        <v/>
      </c>
      <c r="F15" s="105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Mgmt'!$M$5:$M$428,0))&gt;=DATE(YEAR(EDATE($B$4,0)),MONTH(EDATE($B$4,0)),1),FALSE))&gt;0),$B$8,"")</f>
        <v/>
      </c>
      <c r="G15" s="105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Mgmt'!$M$5:$M$428,0))&gt;=DATE(YEAR(EDATE($B$4,0)),MONTH(EDATE($B$4,0)),1),FALSE))&gt;0),$B$9,"")</f>
        <v/>
      </c>
      <c r="H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Mgmt'!$M$5:$M$428,0))&gt;=DATE(YEAR(EDATE($B$4,0)),MONTH(EDATE($B$4,0)),1),FALSE))&gt;0),D15*E15,"")</f>
        <v/>
      </c>
      <c r="I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Mgmt'!$M$5:$M$428,0))&gt;=DATE(YEAR(EDATE($B$4,0)),MONTH(EDATE($B$4,0)),1),FALSE))&gt;0),SUM(W15:Y15),"")</f>
        <v/>
      </c>
      <c r="J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Mgmt'!$M$5:$M$428,0))&gt;=DATE(YEAR(EDATE($B$4,0)),MONTH(EDATE($B$4,0)),1),FALSE))&gt;0),D15*F15*E15,"")</f>
        <v/>
      </c>
      <c r="K15" s="104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Mgmt'!$M$5:$M$428,0))&gt;=DATE(YEAR(EDATE($B$4,0)),MONTH(EDATE($B$4,0)),1),FALSE))&gt;0),75,"")</f>
        <v/>
      </c>
      <c r="L15" s="104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Mgmt'!$M$5:$M$428,0))&gt;=DATE(YEAR(EDATE($B$4,0)),MONTH(EDATE($B$4,0)),1),FALSE))&gt;0),50,"")</f>
        <v/>
      </c>
      <c r="M15" s="104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Mgmt'!$M$5:$M$428,0))&gt;=DATE(YEAR(EDATE($B$4,0)),MONTH(EDATE($B$4,0)),1),FALSE))&gt;0),150,"")</f>
        <v/>
      </c>
      <c r="N15" s="104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Mgmt'!$M$5:$M$428,0))&gt;=DATE(YEAR(EDATE($B$4,0)),MONTH(EDATE($B$4,0)),1),FALSE))&gt;0),125,"")</f>
        <v/>
      </c>
      <c r="O15" s="104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Mgmt'!$M$5:$M$428,0))&gt;=DATE(YEAR(EDATE($B$4,0)),MONTH(EDATE($B$4,0)),1),FALSE))&gt;0),60,"")</f>
        <v/>
      </c>
      <c r="P15" s="104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Mgmt'!$M$5:$M$428,0))&gt;=DATE(YEAR(EDATE($B$4,0)),MONTH(EDATE($B$4,0)),1),FALSE))&gt;0),80,"")</f>
        <v/>
      </c>
      <c r="Q15" s="104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Mgmt'!$M$5:$M$428,0))&gt;=DATE(YEAR(EDATE($B$4,0)),MONTH(EDATE($B$4,0)),1),FALSE))&gt;0),40,"")</f>
        <v/>
      </c>
      <c r="R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Mgmt'!$M$5:$M$428,0))&gt;=DATE(YEAR(EDATE($B$4,0)),MONTH(EDATE($B$4,0)),1),FALSE))&gt;0),IF(C15="Owned",0,2500),"")</f>
        <v/>
      </c>
      <c r="S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Mgmt'!$M$5:$M$428,0))&gt;=DATE(YEAR(EDATE($B$4,0)),MONTH(EDATE($B$4,0)),1),FALSE))&gt;0),SUM(K15:R15),"")</f>
        <v/>
      </c>
      <c r="T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Mgmt'!$M$5:$M$428,0))&gt;=DATE(YEAR(EDATE($B$4,0)),MONTH(EDATE($B$4,0)),1),FALSE))&gt;0),I15-S15,"")</f>
        <v/>
      </c>
      <c r="U15" s="105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Mgmt'!$M$5:$M$428,0))&gt;=DATE(YEAR(EDATE($B$4,0)),MONTH(EDATE($B$4,0)),1),FALSE))&gt;0),IFERROR(T15/I15,0),"")</f>
        <v/>
      </c>
      <c r="V15" s="82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W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Mgmt'!$I$5:$I$428*((IF(IF(ISNUMBER('Client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X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Mgmt'!$J$5:$J$428*((IF(IF(ISNUMBER('Client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Y15" s="130">
        <f>IF(AND(EDATE($B$4,0)&lt;=EOMONTH($B$5,0),SUMPRODUCT(('Client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2")*('Client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Mgmt'!$K$5:$K$428*((IF(IF(ISNUMBER('Client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Z15" s="82" t="n"/>
      <c r="AA15" s="82" t="n"/>
      <c r="AB15" s="82" t="n"/>
    </row>
    <row r="16" hidden="1" ht="14.25" customHeight="1" s="83">
      <c r="A16" s="125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Mgmt'!$M$5:$M$428,0))&gt;=DATE(YEAR(EDATE($B$4,0)),MONTH(EDATE($B$4,0)),1),FALSE))&gt;0),EDATE($B$4,0),"")</f>
        <v/>
      </c>
      <c r="B16" s="103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Mgmt'!$M$5:$M$428,0))&gt;=DATE(YEAR(EDATE($B$4,0)),MONTH(EDATE($B$4,0)),1),FALSE))&gt;0),"Dorm 3","")</f>
        <v/>
      </c>
      <c r="C16" s="17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Mgmt'!$M$5:$M$428,0))&gt;=DATE(YEAR(EDATE($B$4,0)),MONTH(EDATE($B$4,0)),1),FALSE))&gt;0),IFERROR(_xlfn.XLOOKUP(B16,DormRegistry[Dorm Name],DormRegistry[Ownership Type]),""),"")</f>
        <v/>
      </c>
      <c r="D16" s="17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Mgmt'!$M$5:$M$428,0))&gt;=DATE(YEAR(EDATE($B$4,0)),MONTH(EDATE($B$4,0)),1),FALSE))&gt;0),IFERROR(_xlfn.XLOOKUP(B16,DormRegistry[Dorm Name],DormRegistry[Bed Capacity]),0),"")</f>
        <v/>
      </c>
      <c r="E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Mgmt'!$M$5:$M$428,0))&gt;=DATE(YEAR(EDATE($B$4,0)),MONTH(EDATE($B$4,0)),1),FALSE))&gt;0),$B$7*(1+$B$9)^(YEAR(A16)-YEAR($B$4)),"")</f>
        <v/>
      </c>
      <c r="F16" s="105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Mgmt'!$M$5:$M$428,0))&gt;=DATE(YEAR(EDATE($B$4,0)),MONTH(EDATE($B$4,0)),1),FALSE))&gt;0),$B$8,"")</f>
        <v/>
      </c>
      <c r="G16" s="105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Mgmt'!$M$5:$M$428,0))&gt;=DATE(YEAR(EDATE($B$4,0)),MONTH(EDATE($B$4,0)),1),FALSE))&gt;0),$B$9,"")</f>
        <v/>
      </c>
      <c r="H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Mgmt'!$M$5:$M$428,0))&gt;=DATE(YEAR(EDATE($B$4,0)),MONTH(EDATE($B$4,0)),1),FALSE))&gt;0),D16*E16,"")</f>
        <v/>
      </c>
      <c r="I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Mgmt'!$M$5:$M$428,0))&gt;=DATE(YEAR(EDATE($B$4,0)),MONTH(EDATE($B$4,0)),1),FALSE))&gt;0),SUM(W16:Y16),"")</f>
        <v/>
      </c>
      <c r="J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Mgmt'!$M$5:$M$428,0))&gt;=DATE(YEAR(EDATE($B$4,0)),MONTH(EDATE($B$4,0)),1),FALSE))&gt;0),D16*F16*E16,"")</f>
        <v/>
      </c>
      <c r="K16" s="104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Mgmt'!$M$5:$M$428,0))&gt;=DATE(YEAR(EDATE($B$4,0)),MONTH(EDATE($B$4,0)),1),FALSE))&gt;0),75,"")</f>
        <v/>
      </c>
      <c r="L16" s="104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Mgmt'!$M$5:$M$428,0))&gt;=DATE(YEAR(EDATE($B$4,0)),MONTH(EDATE($B$4,0)),1),FALSE))&gt;0),50,"")</f>
        <v/>
      </c>
      <c r="M16" s="104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Mgmt'!$M$5:$M$428,0))&gt;=DATE(YEAR(EDATE($B$4,0)),MONTH(EDATE($B$4,0)),1),FALSE))&gt;0),150,"")</f>
        <v/>
      </c>
      <c r="N16" s="104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Mgmt'!$M$5:$M$428,0))&gt;=DATE(YEAR(EDATE($B$4,0)),MONTH(EDATE($B$4,0)),1),FALSE))&gt;0),125,"")</f>
        <v/>
      </c>
      <c r="O16" s="104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Mgmt'!$M$5:$M$428,0))&gt;=DATE(YEAR(EDATE($B$4,0)),MONTH(EDATE($B$4,0)),1),FALSE))&gt;0),60,"")</f>
        <v/>
      </c>
      <c r="P16" s="104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Mgmt'!$M$5:$M$428,0))&gt;=DATE(YEAR(EDATE($B$4,0)),MONTH(EDATE($B$4,0)),1),FALSE))&gt;0),80,"")</f>
        <v/>
      </c>
      <c r="Q16" s="104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Mgmt'!$M$5:$M$428,0))&gt;=DATE(YEAR(EDATE($B$4,0)),MONTH(EDATE($B$4,0)),1),FALSE))&gt;0),40,"")</f>
        <v/>
      </c>
      <c r="R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Mgmt'!$M$5:$M$428,0))&gt;=DATE(YEAR(EDATE($B$4,0)),MONTH(EDATE($B$4,0)),1),FALSE))&gt;0),IF(C16="Owned",0,2500),"")</f>
        <v/>
      </c>
      <c r="S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Mgmt'!$M$5:$M$428,0))&gt;=DATE(YEAR(EDATE($B$4,0)),MONTH(EDATE($B$4,0)),1),FALSE))&gt;0),SUM(K16:R16),"")</f>
        <v/>
      </c>
      <c r="T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Mgmt'!$M$5:$M$428,0))&gt;=DATE(YEAR(EDATE($B$4,0)),MONTH(EDATE($B$4,0)),1),FALSE))&gt;0),I16-S16,"")</f>
        <v/>
      </c>
      <c r="U16" s="105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Mgmt'!$M$5:$M$428,0))&gt;=DATE(YEAR(EDATE($B$4,0)),MONTH(EDATE($B$4,0)),1),FALSE))&gt;0),IFERROR(T16/I16,0),"")</f>
        <v/>
      </c>
      <c r="V16" s="82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W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Mgmt'!$I$5:$I$428*((IF(IF(ISNUMBER('Client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X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Mgmt'!$J$5:$J$428*((IF(IF(ISNUMBER('Client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Y16" s="130">
        <f>IF(AND(EDATE($B$4,0)&lt;=EOMONTH($B$5,0),SUMPRODUCT(('Client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Mgmt'!$M$5:$M$428,0))&gt;=DATE(YEAR(EDATE($B$4,0)),MONTH(EDATE($B$4,0)),1),FALSE))&gt;0),IFERROR(SUMPRODUCT(('Client DB &amp; Bed Mgmt'!$A$5:$A$428="Dorm 3")*('Client DB &amp; Bed Mgmt'!$D$5:$D$428&lt;&gt;"")*--IFERROR('Client DB &amp; Bed Mgmt'!$M$5:$M$428&lt;=EOMONTH(EDATE($B$4,0),0),FALSE)*--IFERROR(IF(ISNUMBER('Client DB &amp; Bed Mgmt'!$N$5:$N$428),'Client DB &amp; Bed Mgmt'!$N$5:$N$428,EOMONTH('Client DB &amp; Bed Mgmt'!$M$5:$M$428,0))&gt;=DATE(YEAR(EDATE($B$4,0)),MONTH(EDATE($B$4,0)),1),FALSE)*'Client DB &amp; Bed Mgmt'!$K$5:$K$428*((IF(IF(ISNUMBER('Client DB &amp; Bed Mgmt'!$N$5:$N$428),'Client DB &amp; Bed Mgmt'!$N$5:$N$428,EOMONTH('Client DB &amp; Bed Mgmt'!$M$5:$M$428,0))&lt;EOMONTH(EDATE($B$4,0),0),IF(ISNUMBER('Client DB &amp; Bed Mgmt'!$N$5:$N$428),'Client DB &amp; Bed Mgmt'!$N$5:$N$428,EOMONTH('Client DB &amp; Bed Mgmt'!$M$5:$M$428,0)),EOMONTH(EDATE($B$4,0),0)))-(IF('Client DB &amp; Bed Mgmt'!$M$5:$M$428&gt;DATE(YEAR(EDATE($B$4,0)),MONTH(EDATE($B$4,0)),1),'Client DB &amp; Bed Mgmt'!$M$5:$M$428,DATE(YEAR(EDATE($B$4,0)),MONTH(EDATE($B$4,0)),1)))+1)/DAY(EOMONTH(EDATE($B$4,0),0))),0),"")</f>
        <v/>
      </c>
      <c r="Z16" s="82" t="n"/>
      <c r="AA16" s="82" t="n"/>
      <c r="AB16" s="82" t="n"/>
    </row>
    <row r="17" ht="14.25" customHeight="1" s="83">
      <c r="A17" s="125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Mgmt'!$M$5:$M$428,0))&gt;=DATE(YEAR(EDATE($B$4,1)),MONTH(EDATE($B$4,1)),1),FALSE))&gt;0),EDATE($B$4,1),"")</f>
        <v/>
      </c>
      <c r="B17" s="103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Mgmt'!$M$5:$M$428,0))&gt;=DATE(YEAR(EDATE($B$4,1)),MONTH(EDATE($B$4,1)),1),FALSE))&gt;0),"Dorm 1","")</f>
        <v/>
      </c>
      <c r="C17" s="17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Mgmt'!$M$5:$M$428,0))&gt;=DATE(YEAR(EDATE($B$4,1)),MONTH(EDATE($B$4,1)),1),FALSE))&gt;0),IFERROR(_xlfn.XLOOKUP(B17,DormRegistry[Dorm Name],DormRegistry[Ownership Type]),""),"")</f>
        <v/>
      </c>
      <c r="D17" s="17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Mgmt'!$M$5:$M$428,0))&gt;=DATE(YEAR(EDATE($B$4,1)),MONTH(EDATE($B$4,1)),1),FALSE))&gt;0),IFERROR(_xlfn.XLOOKUP(B17,DormRegistry[Dorm Name],DormRegistry[Bed Capacity]),0),"")</f>
        <v/>
      </c>
      <c r="E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Mgmt'!$M$5:$M$428,0))&gt;=DATE(YEAR(EDATE($B$4,1)),MONTH(EDATE($B$4,1)),1),FALSE))&gt;0),$B$7*(1+$B$9)^(YEAR(A17)-YEAR($B$4)),"")</f>
        <v/>
      </c>
      <c r="F17" s="105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Mgmt'!$M$5:$M$428,0))&gt;=DATE(YEAR(EDATE($B$4,1)),MONTH(EDATE($B$4,1)),1),FALSE))&gt;0),$B$8,"")</f>
        <v/>
      </c>
      <c r="G17" s="105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Mgmt'!$M$5:$M$428,0))&gt;=DATE(YEAR(EDATE($B$4,1)),MONTH(EDATE($B$4,1)),1),FALSE))&gt;0),$B$9,"")</f>
        <v/>
      </c>
      <c r="H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Mgmt'!$M$5:$M$428,0))&gt;=DATE(YEAR(EDATE($B$4,1)),MONTH(EDATE($B$4,1)),1),FALSE))&gt;0),D17*E17,"")</f>
        <v/>
      </c>
      <c r="I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Mgmt'!$M$5:$M$428,0))&gt;=DATE(YEAR(EDATE($B$4,1)),MONTH(EDATE($B$4,1)),1),FALSE))&gt;0),SUM(W17:Y17),"")</f>
        <v/>
      </c>
      <c r="J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Mgmt'!$M$5:$M$428,0))&gt;=DATE(YEAR(EDATE($B$4,1)),MONTH(EDATE($B$4,1)),1),FALSE))&gt;0),D17*F17*E17,"")</f>
        <v/>
      </c>
      <c r="K17" s="104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Mgmt'!$M$5:$M$428,0))&gt;=DATE(YEAR(EDATE($B$4,1)),MONTH(EDATE($B$4,1)),1),FALSE))&gt;0),75,"")</f>
        <v/>
      </c>
      <c r="L17" s="104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Mgmt'!$M$5:$M$428,0))&gt;=DATE(YEAR(EDATE($B$4,1)),MONTH(EDATE($B$4,1)),1),FALSE))&gt;0),50,"")</f>
        <v/>
      </c>
      <c r="M17" s="104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Mgmt'!$M$5:$M$428,0))&gt;=DATE(YEAR(EDATE($B$4,1)),MONTH(EDATE($B$4,1)),1),FALSE))&gt;0),150,"")</f>
        <v/>
      </c>
      <c r="N17" s="104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Mgmt'!$M$5:$M$428,0))&gt;=DATE(YEAR(EDATE($B$4,1)),MONTH(EDATE($B$4,1)),1),FALSE))&gt;0),125,"")</f>
        <v/>
      </c>
      <c r="O17" s="104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Mgmt'!$M$5:$M$428,0))&gt;=DATE(YEAR(EDATE($B$4,1)),MONTH(EDATE($B$4,1)),1),FALSE))&gt;0),60,"")</f>
        <v/>
      </c>
      <c r="P17" s="104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Mgmt'!$M$5:$M$428,0))&gt;=DATE(YEAR(EDATE($B$4,1)),MONTH(EDATE($B$4,1)),1),FALSE))&gt;0),80,"")</f>
        <v/>
      </c>
      <c r="Q17" s="104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Mgmt'!$M$5:$M$428,0))&gt;=DATE(YEAR(EDATE($B$4,1)),MONTH(EDATE($B$4,1)),1),FALSE))&gt;0),40,"")</f>
        <v/>
      </c>
      <c r="R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Mgmt'!$M$5:$M$428,0))&gt;=DATE(YEAR(EDATE($B$4,1)),MONTH(EDATE($B$4,1)),1),FALSE))&gt;0),IF(C17="Owned",0,2500),"")</f>
        <v/>
      </c>
      <c r="S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Mgmt'!$M$5:$M$428,0))&gt;=DATE(YEAR(EDATE($B$4,1)),MONTH(EDATE($B$4,1)),1),FALSE))&gt;0),SUM(K17:R17),"")</f>
        <v/>
      </c>
      <c r="T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Mgmt'!$M$5:$M$428,0))&gt;=DATE(YEAR(EDATE($B$4,1)),MONTH(EDATE($B$4,1)),1),FALSE))&gt;0),I17-S17,"")</f>
        <v/>
      </c>
      <c r="U17" s="105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Mgmt'!$M$5:$M$428,0))&gt;=DATE(YEAR(EDATE($B$4,1)),MONTH(EDATE($B$4,1)),1),FALSE))&gt;0),IFERROR(T17/I17,0),"")</f>
        <v/>
      </c>
      <c r="V17" s="82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W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Mgmt'!$I$5:$I$428*((IF(IF(ISNUMBER('Client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X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Mgmt'!$J$5:$J$428*((IF(IF(ISNUMBER('Client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Y17" s="130">
        <f>IF(AND(EDATE($B$4,1)&lt;=EOMONTH($B$5,0),SUMPRODUCT(('Client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1")*('Client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Mgmt'!$K$5:$K$428*((IF(IF(ISNUMBER('Client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Z17" s="82" t="n"/>
      <c r="AA17" s="82" t="n"/>
      <c r="AB17" s="82" t="n"/>
    </row>
    <row r="18" hidden="1" ht="14.25" customHeight="1" s="83">
      <c r="A18" s="125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Mgmt'!$M$5:$M$428,0))&gt;=DATE(YEAR(EDATE($B$4,1)),MONTH(EDATE($B$4,1)),1),FALSE))&gt;0),EDATE($B$4,1),"")</f>
        <v/>
      </c>
      <c r="B18" s="103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Mgmt'!$M$5:$M$428,0))&gt;=DATE(YEAR(EDATE($B$4,1)),MONTH(EDATE($B$4,1)),1),FALSE))&gt;0),"Dorm 2","")</f>
        <v/>
      </c>
      <c r="C18" s="17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Mgmt'!$M$5:$M$428,0))&gt;=DATE(YEAR(EDATE($B$4,1)),MONTH(EDATE($B$4,1)),1),FALSE))&gt;0),IFERROR(_xlfn.XLOOKUP(B18,DormRegistry[Dorm Name],DormRegistry[Ownership Type]),""),"")</f>
        <v/>
      </c>
      <c r="D18" s="17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Mgmt'!$M$5:$M$428,0))&gt;=DATE(YEAR(EDATE($B$4,1)),MONTH(EDATE($B$4,1)),1),FALSE))&gt;0),IFERROR(_xlfn.XLOOKUP(B18,DormRegistry[Dorm Name],DormRegistry[Bed Capacity]),0),"")</f>
        <v/>
      </c>
      <c r="E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Mgmt'!$M$5:$M$428,0))&gt;=DATE(YEAR(EDATE($B$4,1)),MONTH(EDATE($B$4,1)),1),FALSE))&gt;0),$B$7*(1+$B$9)^(YEAR(A18)-YEAR($B$4)),"")</f>
        <v/>
      </c>
      <c r="F18" s="105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Mgmt'!$M$5:$M$428,0))&gt;=DATE(YEAR(EDATE($B$4,1)),MONTH(EDATE($B$4,1)),1),FALSE))&gt;0),$B$8,"")</f>
        <v/>
      </c>
      <c r="G18" s="105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Mgmt'!$M$5:$M$428,0))&gt;=DATE(YEAR(EDATE($B$4,1)),MONTH(EDATE($B$4,1)),1),FALSE))&gt;0),$B$9,"")</f>
        <v/>
      </c>
      <c r="H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Mgmt'!$M$5:$M$428,0))&gt;=DATE(YEAR(EDATE($B$4,1)),MONTH(EDATE($B$4,1)),1),FALSE))&gt;0),D18*E18,"")</f>
        <v/>
      </c>
      <c r="I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Mgmt'!$M$5:$M$428,0))&gt;=DATE(YEAR(EDATE($B$4,1)),MONTH(EDATE($B$4,1)),1),FALSE))&gt;0),SUM(W18:Y18),"")</f>
        <v/>
      </c>
      <c r="J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Mgmt'!$M$5:$M$428,0))&gt;=DATE(YEAR(EDATE($B$4,1)),MONTH(EDATE($B$4,1)),1),FALSE))&gt;0),D18*F18*E18,"")</f>
        <v/>
      </c>
      <c r="K18" s="104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Mgmt'!$M$5:$M$428,0))&gt;=DATE(YEAR(EDATE($B$4,1)),MONTH(EDATE($B$4,1)),1),FALSE))&gt;0),75,"")</f>
        <v/>
      </c>
      <c r="L18" s="104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Mgmt'!$M$5:$M$428,0))&gt;=DATE(YEAR(EDATE($B$4,1)),MONTH(EDATE($B$4,1)),1),FALSE))&gt;0),50,"")</f>
        <v/>
      </c>
      <c r="M18" s="104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Mgmt'!$M$5:$M$428,0))&gt;=DATE(YEAR(EDATE($B$4,1)),MONTH(EDATE($B$4,1)),1),FALSE))&gt;0),150,"")</f>
        <v/>
      </c>
      <c r="N18" s="104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Mgmt'!$M$5:$M$428,0))&gt;=DATE(YEAR(EDATE($B$4,1)),MONTH(EDATE($B$4,1)),1),FALSE))&gt;0),125,"")</f>
        <v/>
      </c>
      <c r="O18" s="104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Mgmt'!$M$5:$M$428,0))&gt;=DATE(YEAR(EDATE($B$4,1)),MONTH(EDATE($B$4,1)),1),FALSE))&gt;0),60,"")</f>
        <v/>
      </c>
      <c r="P18" s="104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Mgmt'!$M$5:$M$428,0))&gt;=DATE(YEAR(EDATE($B$4,1)),MONTH(EDATE($B$4,1)),1),FALSE))&gt;0),80,"")</f>
        <v/>
      </c>
      <c r="Q18" s="104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Mgmt'!$M$5:$M$428,0))&gt;=DATE(YEAR(EDATE($B$4,1)),MONTH(EDATE($B$4,1)),1),FALSE))&gt;0),40,"")</f>
        <v/>
      </c>
      <c r="R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Mgmt'!$M$5:$M$428,0))&gt;=DATE(YEAR(EDATE($B$4,1)),MONTH(EDATE($B$4,1)),1),FALSE))&gt;0),IF(C18="Owned",0,2500),"")</f>
        <v/>
      </c>
      <c r="S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Mgmt'!$M$5:$M$428,0))&gt;=DATE(YEAR(EDATE($B$4,1)),MONTH(EDATE($B$4,1)),1),FALSE))&gt;0),SUM(K18:R18),"")</f>
        <v/>
      </c>
      <c r="T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Mgmt'!$M$5:$M$428,0))&gt;=DATE(YEAR(EDATE($B$4,1)),MONTH(EDATE($B$4,1)),1),FALSE))&gt;0),I18-S18,"")</f>
        <v/>
      </c>
      <c r="U18" s="105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Mgmt'!$M$5:$M$428,0))&gt;=DATE(YEAR(EDATE($B$4,1)),MONTH(EDATE($B$4,1)),1),FALSE))&gt;0),IFERROR(T18/I18,0),"")</f>
        <v/>
      </c>
      <c r="V18" s="82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W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Mgmt'!$I$5:$I$428*((IF(IF(ISNUMBER('Client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X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Mgmt'!$J$5:$J$428*((IF(IF(ISNUMBER('Client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Y18" s="130">
        <f>IF(AND(EDATE($B$4,1)&lt;=EOMONTH($B$5,0),SUMPRODUCT(('Client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2")*('Client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Mgmt'!$K$5:$K$428*((IF(IF(ISNUMBER('Client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Z18" s="82" t="n"/>
      <c r="AA18" s="82" t="n"/>
      <c r="AB18" s="82" t="n"/>
    </row>
    <row r="19" hidden="1" ht="14.25" customHeight="1" s="83">
      <c r="A19" s="125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Mgmt'!$M$5:$M$428,0))&gt;=DATE(YEAR(EDATE($B$4,1)),MONTH(EDATE($B$4,1)),1),FALSE))&gt;0),EDATE($B$4,1),"")</f>
        <v/>
      </c>
      <c r="B19" s="103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Mgmt'!$M$5:$M$428,0))&gt;=DATE(YEAR(EDATE($B$4,1)),MONTH(EDATE($B$4,1)),1),FALSE))&gt;0),"Dorm 3","")</f>
        <v/>
      </c>
      <c r="C19" s="17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Mgmt'!$M$5:$M$428,0))&gt;=DATE(YEAR(EDATE($B$4,1)),MONTH(EDATE($B$4,1)),1),FALSE))&gt;0),IFERROR(_xlfn.XLOOKUP(B19,DormRegistry[Dorm Name],DormRegistry[Ownership Type]),""),"")</f>
        <v/>
      </c>
      <c r="D19" s="17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Mgmt'!$M$5:$M$428,0))&gt;=DATE(YEAR(EDATE($B$4,1)),MONTH(EDATE($B$4,1)),1),FALSE))&gt;0),IFERROR(_xlfn.XLOOKUP(B19,DormRegistry[Dorm Name],DormRegistry[Bed Capacity]),0),"")</f>
        <v/>
      </c>
      <c r="E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Mgmt'!$M$5:$M$428,0))&gt;=DATE(YEAR(EDATE($B$4,1)),MONTH(EDATE($B$4,1)),1),FALSE))&gt;0),$B$7*(1+$B$9)^(YEAR(A19)-YEAR($B$4)),"")</f>
        <v/>
      </c>
      <c r="F19" s="105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Mgmt'!$M$5:$M$428,0))&gt;=DATE(YEAR(EDATE($B$4,1)),MONTH(EDATE($B$4,1)),1),FALSE))&gt;0),$B$8,"")</f>
        <v/>
      </c>
      <c r="G19" s="105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Mgmt'!$M$5:$M$428,0))&gt;=DATE(YEAR(EDATE($B$4,1)),MONTH(EDATE($B$4,1)),1),FALSE))&gt;0),$B$9,"")</f>
        <v/>
      </c>
      <c r="H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Mgmt'!$M$5:$M$428,0))&gt;=DATE(YEAR(EDATE($B$4,1)),MONTH(EDATE($B$4,1)),1),FALSE))&gt;0),D19*E19,"")</f>
        <v/>
      </c>
      <c r="I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Mgmt'!$M$5:$M$428,0))&gt;=DATE(YEAR(EDATE($B$4,1)),MONTH(EDATE($B$4,1)),1),FALSE))&gt;0),SUM(W19:Y19),"")</f>
        <v/>
      </c>
      <c r="J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Mgmt'!$M$5:$M$428,0))&gt;=DATE(YEAR(EDATE($B$4,1)),MONTH(EDATE($B$4,1)),1),FALSE))&gt;0),D19*F19*E19,"")</f>
        <v/>
      </c>
      <c r="K19" s="104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Mgmt'!$M$5:$M$428,0))&gt;=DATE(YEAR(EDATE($B$4,1)),MONTH(EDATE($B$4,1)),1),FALSE))&gt;0),75,"")</f>
        <v/>
      </c>
      <c r="L19" s="104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Mgmt'!$M$5:$M$428,0))&gt;=DATE(YEAR(EDATE($B$4,1)),MONTH(EDATE($B$4,1)),1),FALSE))&gt;0),50,"")</f>
        <v/>
      </c>
      <c r="M19" s="104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Mgmt'!$M$5:$M$428,0))&gt;=DATE(YEAR(EDATE($B$4,1)),MONTH(EDATE($B$4,1)),1),FALSE))&gt;0),150,"")</f>
        <v/>
      </c>
      <c r="N19" s="104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Mgmt'!$M$5:$M$428,0))&gt;=DATE(YEAR(EDATE($B$4,1)),MONTH(EDATE($B$4,1)),1),FALSE))&gt;0),125,"")</f>
        <v/>
      </c>
      <c r="O19" s="104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Mgmt'!$M$5:$M$428,0))&gt;=DATE(YEAR(EDATE($B$4,1)),MONTH(EDATE($B$4,1)),1),FALSE))&gt;0),60,"")</f>
        <v/>
      </c>
      <c r="P19" s="104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Mgmt'!$M$5:$M$428,0))&gt;=DATE(YEAR(EDATE($B$4,1)),MONTH(EDATE($B$4,1)),1),FALSE))&gt;0),80,"")</f>
        <v/>
      </c>
      <c r="Q19" s="104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Mgmt'!$M$5:$M$428,0))&gt;=DATE(YEAR(EDATE($B$4,1)),MONTH(EDATE($B$4,1)),1),FALSE))&gt;0),40,"")</f>
        <v/>
      </c>
      <c r="R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Mgmt'!$M$5:$M$428,0))&gt;=DATE(YEAR(EDATE($B$4,1)),MONTH(EDATE($B$4,1)),1),FALSE))&gt;0),IF(C19="Owned",0,2500),"")</f>
        <v/>
      </c>
      <c r="S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Mgmt'!$M$5:$M$428,0))&gt;=DATE(YEAR(EDATE($B$4,1)),MONTH(EDATE($B$4,1)),1),FALSE))&gt;0),SUM(K19:R19),"")</f>
        <v/>
      </c>
      <c r="T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Mgmt'!$M$5:$M$428,0))&gt;=DATE(YEAR(EDATE($B$4,1)),MONTH(EDATE($B$4,1)),1),FALSE))&gt;0),I19-S19,"")</f>
        <v/>
      </c>
      <c r="U19" s="105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Mgmt'!$M$5:$M$428,0))&gt;=DATE(YEAR(EDATE($B$4,1)),MONTH(EDATE($B$4,1)),1),FALSE))&gt;0),IFERROR(T19/I19,0),"")</f>
        <v/>
      </c>
      <c r="V19" s="82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W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Mgmt'!$I$5:$I$428*((IF(IF(ISNUMBER('Client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X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Mgmt'!$J$5:$J$428*((IF(IF(ISNUMBER('Client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Y19" s="130">
        <f>IF(AND(EDATE($B$4,1)&lt;=EOMONTH($B$5,0),SUMPRODUCT(('Client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Mgmt'!$M$5:$M$428,0))&gt;=DATE(YEAR(EDATE($B$4,1)),MONTH(EDATE($B$4,1)),1),FALSE))&gt;0),IFERROR(SUMPRODUCT(('Client DB &amp; Bed Mgmt'!$A$5:$A$428="Dorm 3")*('Client DB &amp; Bed Mgmt'!$D$5:$D$428&lt;&gt;"")*--IFERROR('Client DB &amp; Bed Mgmt'!$M$5:$M$428&lt;=EOMONTH(EDATE($B$4,1),0),FALSE)*--IFERROR(IF(ISNUMBER('Client DB &amp; Bed Mgmt'!$N$5:$N$428),'Client DB &amp; Bed Mgmt'!$N$5:$N$428,EOMONTH('Client DB &amp; Bed Mgmt'!$M$5:$M$428,0))&gt;=DATE(YEAR(EDATE($B$4,1)),MONTH(EDATE($B$4,1)),1),FALSE)*'Client DB &amp; Bed Mgmt'!$K$5:$K$428*((IF(IF(ISNUMBER('Client DB &amp; Bed Mgmt'!$N$5:$N$428),'Client DB &amp; Bed Mgmt'!$N$5:$N$428,EOMONTH('Client DB &amp; Bed Mgmt'!$M$5:$M$428,0))&lt;EOMONTH(EDATE($B$4,1),0),IF(ISNUMBER('Client DB &amp; Bed Mgmt'!$N$5:$N$428),'Client DB &amp; Bed Mgmt'!$N$5:$N$428,EOMONTH('Client DB &amp; Bed Mgmt'!$M$5:$M$428,0)),EOMONTH(EDATE($B$4,1),0)))-(IF('Client DB &amp; Bed Mgmt'!$M$5:$M$428&gt;DATE(YEAR(EDATE($B$4,1)),MONTH(EDATE($B$4,1)),1),'Client DB &amp; Bed Mgmt'!$M$5:$M$428,DATE(YEAR(EDATE($B$4,1)),MONTH(EDATE($B$4,1)),1)))+1)/DAY(EOMONTH(EDATE($B$4,1),0))),0),"")</f>
        <v/>
      </c>
      <c r="Z19" s="82" t="n"/>
      <c r="AA19" s="82" t="n"/>
      <c r="AB19" s="82" t="n"/>
    </row>
    <row r="20" ht="14.25" customHeight="1" s="83">
      <c r="A20" s="125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Mgmt'!$M$5:$M$428,0))&gt;=DATE(YEAR(EDATE($B$4,2)),MONTH(EDATE($B$4,2)),1),FALSE))&gt;0),EDATE($B$4,2),"")</f>
        <v/>
      </c>
      <c r="B20" s="103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Mgmt'!$M$5:$M$428,0))&gt;=DATE(YEAR(EDATE($B$4,2)),MONTH(EDATE($B$4,2)),1),FALSE))&gt;0),"Dorm 1","")</f>
        <v/>
      </c>
      <c r="C20" s="17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Mgmt'!$M$5:$M$428,0))&gt;=DATE(YEAR(EDATE($B$4,2)),MONTH(EDATE($B$4,2)),1),FALSE))&gt;0),IFERROR(_xlfn.XLOOKUP(B20,DormRegistry[Dorm Name],DormRegistry[Ownership Type]),""),"")</f>
        <v/>
      </c>
      <c r="D20" s="17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Mgmt'!$M$5:$M$428,0))&gt;=DATE(YEAR(EDATE($B$4,2)),MONTH(EDATE($B$4,2)),1),FALSE))&gt;0),IFERROR(_xlfn.XLOOKUP(B20,DormRegistry[Dorm Name],DormRegistry[Bed Capacity]),0),"")</f>
        <v/>
      </c>
      <c r="E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Mgmt'!$M$5:$M$428,0))&gt;=DATE(YEAR(EDATE($B$4,2)),MONTH(EDATE($B$4,2)),1),FALSE))&gt;0),$B$7*(1+$B$9)^(YEAR(A20)-YEAR($B$4)),"")</f>
        <v/>
      </c>
      <c r="F20" s="105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Mgmt'!$M$5:$M$428,0))&gt;=DATE(YEAR(EDATE($B$4,2)),MONTH(EDATE($B$4,2)),1),FALSE))&gt;0),$B$8,"")</f>
        <v/>
      </c>
      <c r="G20" s="105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Mgmt'!$M$5:$M$428,0))&gt;=DATE(YEAR(EDATE($B$4,2)),MONTH(EDATE($B$4,2)),1),FALSE))&gt;0),$B$9,"")</f>
        <v/>
      </c>
      <c r="H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Mgmt'!$M$5:$M$428,0))&gt;=DATE(YEAR(EDATE($B$4,2)),MONTH(EDATE($B$4,2)),1),FALSE))&gt;0),D20*E20,"")</f>
        <v/>
      </c>
      <c r="I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Mgmt'!$M$5:$M$428,0))&gt;=DATE(YEAR(EDATE($B$4,2)),MONTH(EDATE($B$4,2)),1),FALSE))&gt;0),SUM(W20:Y20),"")</f>
        <v/>
      </c>
      <c r="J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Mgmt'!$M$5:$M$428,0))&gt;=DATE(YEAR(EDATE($B$4,2)),MONTH(EDATE($B$4,2)),1),FALSE))&gt;0),D20*F20*E20,"")</f>
        <v/>
      </c>
      <c r="K20" s="104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Mgmt'!$M$5:$M$428,0))&gt;=DATE(YEAR(EDATE($B$4,2)),MONTH(EDATE($B$4,2)),1),FALSE))&gt;0),75,"")</f>
        <v/>
      </c>
      <c r="L20" s="104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Mgmt'!$M$5:$M$428,0))&gt;=DATE(YEAR(EDATE($B$4,2)),MONTH(EDATE($B$4,2)),1),FALSE))&gt;0),50,"")</f>
        <v/>
      </c>
      <c r="M20" s="104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Mgmt'!$M$5:$M$428,0))&gt;=DATE(YEAR(EDATE($B$4,2)),MONTH(EDATE($B$4,2)),1),FALSE))&gt;0),150,"")</f>
        <v/>
      </c>
      <c r="N20" s="104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Mgmt'!$M$5:$M$428,0))&gt;=DATE(YEAR(EDATE($B$4,2)),MONTH(EDATE($B$4,2)),1),FALSE))&gt;0),125,"")</f>
        <v/>
      </c>
      <c r="O20" s="104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Mgmt'!$M$5:$M$428,0))&gt;=DATE(YEAR(EDATE($B$4,2)),MONTH(EDATE($B$4,2)),1),FALSE))&gt;0),60,"")</f>
        <v/>
      </c>
      <c r="P20" s="104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Mgmt'!$M$5:$M$428,0))&gt;=DATE(YEAR(EDATE($B$4,2)),MONTH(EDATE($B$4,2)),1),FALSE))&gt;0),80,"")</f>
        <v/>
      </c>
      <c r="Q20" s="104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Mgmt'!$M$5:$M$428,0))&gt;=DATE(YEAR(EDATE($B$4,2)),MONTH(EDATE($B$4,2)),1),FALSE))&gt;0),40,"")</f>
        <v/>
      </c>
      <c r="R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Mgmt'!$M$5:$M$428,0))&gt;=DATE(YEAR(EDATE($B$4,2)),MONTH(EDATE($B$4,2)),1),FALSE))&gt;0),IF(C20="Owned",0,2500),"")</f>
        <v/>
      </c>
      <c r="S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Mgmt'!$M$5:$M$428,0))&gt;=DATE(YEAR(EDATE($B$4,2)),MONTH(EDATE($B$4,2)),1),FALSE))&gt;0),SUM(K20:R20),"")</f>
        <v/>
      </c>
      <c r="T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Mgmt'!$M$5:$M$428,0))&gt;=DATE(YEAR(EDATE($B$4,2)),MONTH(EDATE($B$4,2)),1),FALSE))&gt;0),I20-S20,"")</f>
        <v/>
      </c>
      <c r="U20" s="105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Mgmt'!$M$5:$M$428,0))&gt;=DATE(YEAR(EDATE($B$4,2)),MONTH(EDATE($B$4,2)),1),FALSE))&gt;0),IFERROR(T20/I20,0),"")</f>
        <v/>
      </c>
      <c r="V20" s="82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W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Mgmt'!$I$5:$I$428*((IF(IF(ISNUMBER('Client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X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Mgmt'!$J$5:$J$428*((IF(IF(ISNUMBER('Client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Y20" s="130">
        <f>IF(AND(EDATE($B$4,2)&lt;=EOMONTH($B$5,0),SUMPRODUCT(('Client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1")*('Client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Mgmt'!$K$5:$K$428*((IF(IF(ISNUMBER('Client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Z20" s="82" t="n"/>
      <c r="AA20" s="82" t="n"/>
      <c r="AB20" s="82" t="n"/>
    </row>
    <row r="21" hidden="1" ht="14.25" customHeight="1" s="83">
      <c r="A21" s="125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Mgmt'!$M$5:$M$428,0))&gt;=DATE(YEAR(EDATE($B$4,2)),MONTH(EDATE($B$4,2)),1),FALSE))&gt;0),EDATE($B$4,2),"")</f>
        <v/>
      </c>
      <c r="B21" s="103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Mgmt'!$M$5:$M$428,0))&gt;=DATE(YEAR(EDATE($B$4,2)),MONTH(EDATE($B$4,2)),1),FALSE))&gt;0),"Dorm 2","")</f>
        <v/>
      </c>
      <c r="C21" s="17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Mgmt'!$M$5:$M$428,0))&gt;=DATE(YEAR(EDATE($B$4,2)),MONTH(EDATE($B$4,2)),1),FALSE))&gt;0),IFERROR(_xlfn.XLOOKUP(B21,DormRegistry[Dorm Name],DormRegistry[Ownership Type]),""),"")</f>
        <v/>
      </c>
      <c r="D21" s="17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Mgmt'!$M$5:$M$428,0))&gt;=DATE(YEAR(EDATE($B$4,2)),MONTH(EDATE($B$4,2)),1),FALSE))&gt;0),IFERROR(_xlfn.XLOOKUP(B21,DormRegistry[Dorm Name],DormRegistry[Bed Capacity]),0),"")</f>
        <v/>
      </c>
      <c r="E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Mgmt'!$M$5:$M$428,0))&gt;=DATE(YEAR(EDATE($B$4,2)),MONTH(EDATE($B$4,2)),1),FALSE))&gt;0),$B$7*(1+$B$9)^(YEAR(A21)-YEAR($B$4)),"")</f>
        <v/>
      </c>
      <c r="F21" s="105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Mgmt'!$M$5:$M$428,0))&gt;=DATE(YEAR(EDATE($B$4,2)),MONTH(EDATE($B$4,2)),1),FALSE))&gt;0),$B$8,"")</f>
        <v/>
      </c>
      <c r="G21" s="105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Mgmt'!$M$5:$M$428,0))&gt;=DATE(YEAR(EDATE($B$4,2)),MONTH(EDATE($B$4,2)),1),FALSE))&gt;0),$B$9,"")</f>
        <v/>
      </c>
      <c r="H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Mgmt'!$M$5:$M$428,0))&gt;=DATE(YEAR(EDATE($B$4,2)),MONTH(EDATE($B$4,2)),1),FALSE))&gt;0),D21*E21,"")</f>
        <v/>
      </c>
      <c r="I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Mgmt'!$M$5:$M$428,0))&gt;=DATE(YEAR(EDATE($B$4,2)),MONTH(EDATE($B$4,2)),1),FALSE))&gt;0),SUM(W21:Y21),"")</f>
        <v/>
      </c>
      <c r="J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Mgmt'!$M$5:$M$428,0))&gt;=DATE(YEAR(EDATE($B$4,2)),MONTH(EDATE($B$4,2)),1),FALSE))&gt;0),D21*F21*E21,"")</f>
        <v/>
      </c>
      <c r="K21" s="104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Mgmt'!$M$5:$M$428,0))&gt;=DATE(YEAR(EDATE($B$4,2)),MONTH(EDATE($B$4,2)),1),FALSE))&gt;0),75,"")</f>
        <v/>
      </c>
      <c r="L21" s="104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Mgmt'!$M$5:$M$428,0))&gt;=DATE(YEAR(EDATE($B$4,2)),MONTH(EDATE($B$4,2)),1),FALSE))&gt;0),50,"")</f>
        <v/>
      </c>
      <c r="M21" s="104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Mgmt'!$M$5:$M$428,0))&gt;=DATE(YEAR(EDATE($B$4,2)),MONTH(EDATE($B$4,2)),1),FALSE))&gt;0),150,"")</f>
        <v/>
      </c>
      <c r="N21" s="104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Mgmt'!$M$5:$M$428,0))&gt;=DATE(YEAR(EDATE($B$4,2)),MONTH(EDATE($B$4,2)),1),FALSE))&gt;0),125,"")</f>
        <v/>
      </c>
      <c r="O21" s="104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Mgmt'!$M$5:$M$428,0))&gt;=DATE(YEAR(EDATE($B$4,2)),MONTH(EDATE($B$4,2)),1),FALSE))&gt;0),60,"")</f>
        <v/>
      </c>
      <c r="P21" s="104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Mgmt'!$M$5:$M$428,0))&gt;=DATE(YEAR(EDATE($B$4,2)),MONTH(EDATE($B$4,2)),1),FALSE))&gt;0),80,"")</f>
        <v/>
      </c>
      <c r="Q21" s="104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Mgmt'!$M$5:$M$428,0))&gt;=DATE(YEAR(EDATE($B$4,2)),MONTH(EDATE($B$4,2)),1),FALSE))&gt;0),40,"")</f>
        <v/>
      </c>
      <c r="R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Mgmt'!$M$5:$M$428,0))&gt;=DATE(YEAR(EDATE($B$4,2)),MONTH(EDATE($B$4,2)),1),FALSE))&gt;0),IF(C21="Owned",0,2500),"")</f>
        <v/>
      </c>
      <c r="S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Mgmt'!$M$5:$M$428,0))&gt;=DATE(YEAR(EDATE($B$4,2)),MONTH(EDATE($B$4,2)),1),FALSE))&gt;0),SUM(K21:R21),"")</f>
        <v/>
      </c>
      <c r="T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Mgmt'!$M$5:$M$428,0))&gt;=DATE(YEAR(EDATE($B$4,2)),MONTH(EDATE($B$4,2)),1),FALSE))&gt;0),I21-S21,"")</f>
        <v/>
      </c>
      <c r="U21" s="105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Mgmt'!$M$5:$M$428,0))&gt;=DATE(YEAR(EDATE($B$4,2)),MONTH(EDATE($B$4,2)),1),FALSE))&gt;0),IFERROR(T21/I21,0),"")</f>
        <v/>
      </c>
      <c r="V21" s="82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W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Mgmt'!$I$5:$I$428*((IF(IF(ISNUMBER('Client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X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Mgmt'!$J$5:$J$428*((IF(IF(ISNUMBER('Client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Y21" s="130">
        <f>IF(AND(EDATE($B$4,2)&lt;=EOMONTH($B$5,0),SUMPRODUCT(('Client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2")*('Client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Mgmt'!$K$5:$K$428*((IF(IF(ISNUMBER('Client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Z21" s="82" t="n"/>
      <c r="AA21" s="82" t="n"/>
      <c r="AB21" s="82" t="n"/>
    </row>
    <row r="22" hidden="1" ht="14.25" customHeight="1" s="83">
      <c r="A22" s="125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Mgmt'!$M$5:$M$428,0))&gt;=DATE(YEAR(EDATE($B$4,2)),MONTH(EDATE($B$4,2)),1),FALSE))&gt;0),EDATE($B$4,2),"")</f>
        <v/>
      </c>
      <c r="B22" s="103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Mgmt'!$M$5:$M$428,0))&gt;=DATE(YEAR(EDATE($B$4,2)),MONTH(EDATE($B$4,2)),1),FALSE))&gt;0),"Dorm 3","")</f>
        <v/>
      </c>
      <c r="C22" s="17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Mgmt'!$M$5:$M$428,0))&gt;=DATE(YEAR(EDATE($B$4,2)),MONTH(EDATE($B$4,2)),1),FALSE))&gt;0),IFERROR(_xlfn.XLOOKUP(B22,DormRegistry[Dorm Name],DormRegistry[Ownership Type]),""),"")</f>
        <v/>
      </c>
      <c r="D22" s="17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Mgmt'!$M$5:$M$428,0))&gt;=DATE(YEAR(EDATE($B$4,2)),MONTH(EDATE($B$4,2)),1),FALSE))&gt;0),IFERROR(_xlfn.XLOOKUP(B22,DormRegistry[Dorm Name],DormRegistry[Bed Capacity]),0),"")</f>
        <v/>
      </c>
      <c r="E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Mgmt'!$M$5:$M$428,0))&gt;=DATE(YEAR(EDATE($B$4,2)),MONTH(EDATE($B$4,2)),1),FALSE))&gt;0),$B$7*(1+$B$9)^(YEAR(A22)-YEAR($B$4)),"")</f>
        <v/>
      </c>
      <c r="F22" s="105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Mgmt'!$M$5:$M$428,0))&gt;=DATE(YEAR(EDATE($B$4,2)),MONTH(EDATE($B$4,2)),1),FALSE))&gt;0),$B$8,"")</f>
        <v/>
      </c>
      <c r="G22" s="105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Mgmt'!$M$5:$M$428,0))&gt;=DATE(YEAR(EDATE($B$4,2)),MONTH(EDATE($B$4,2)),1),FALSE))&gt;0),$B$9,"")</f>
        <v/>
      </c>
      <c r="H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Mgmt'!$M$5:$M$428,0))&gt;=DATE(YEAR(EDATE($B$4,2)),MONTH(EDATE($B$4,2)),1),FALSE))&gt;0),D22*E22,"")</f>
        <v/>
      </c>
      <c r="I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Mgmt'!$M$5:$M$428,0))&gt;=DATE(YEAR(EDATE($B$4,2)),MONTH(EDATE($B$4,2)),1),FALSE))&gt;0),SUM(W22:Y22),"")</f>
        <v/>
      </c>
      <c r="J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Mgmt'!$M$5:$M$428,0))&gt;=DATE(YEAR(EDATE($B$4,2)),MONTH(EDATE($B$4,2)),1),FALSE))&gt;0),D22*F22*E22,"")</f>
        <v/>
      </c>
      <c r="K22" s="104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Mgmt'!$M$5:$M$428,0))&gt;=DATE(YEAR(EDATE($B$4,2)),MONTH(EDATE($B$4,2)),1),FALSE))&gt;0),75,"")</f>
        <v/>
      </c>
      <c r="L22" s="104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Mgmt'!$M$5:$M$428,0))&gt;=DATE(YEAR(EDATE($B$4,2)),MONTH(EDATE($B$4,2)),1),FALSE))&gt;0),50,"")</f>
        <v/>
      </c>
      <c r="M22" s="104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Mgmt'!$M$5:$M$428,0))&gt;=DATE(YEAR(EDATE($B$4,2)),MONTH(EDATE($B$4,2)),1),FALSE))&gt;0),150,"")</f>
        <v/>
      </c>
      <c r="N22" s="104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Mgmt'!$M$5:$M$428,0))&gt;=DATE(YEAR(EDATE($B$4,2)),MONTH(EDATE($B$4,2)),1),FALSE))&gt;0),125,"")</f>
        <v/>
      </c>
      <c r="O22" s="104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Mgmt'!$M$5:$M$428,0))&gt;=DATE(YEAR(EDATE($B$4,2)),MONTH(EDATE($B$4,2)),1),FALSE))&gt;0),60,"")</f>
        <v/>
      </c>
      <c r="P22" s="104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Mgmt'!$M$5:$M$428,0))&gt;=DATE(YEAR(EDATE($B$4,2)),MONTH(EDATE($B$4,2)),1),FALSE))&gt;0),80,"")</f>
        <v/>
      </c>
      <c r="Q22" s="104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Mgmt'!$M$5:$M$428,0))&gt;=DATE(YEAR(EDATE($B$4,2)),MONTH(EDATE($B$4,2)),1),FALSE))&gt;0),40,"")</f>
        <v/>
      </c>
      <c r="R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Mgmt'!$M$5:$M$428,0))&gt;=DATE(YEAR(EDATE($B$4,2)),MONTH(EDATE($B$4,2)),1),FALSE))&gt;0),IF(C22="Owned",0,2500),"")</f>
        <v/>
      </c>
      <c r="S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Mgmt'!$M$5:$M$428,0))&gt;=DATE(YEAR(EDATE($B$4,2)),MONTH(EDATE($B$4,2)),1),FALSE))&gt;0),SUM(K22:R22),"")</f>
        <v/>
      </c>
      <c r="T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Mgmt'!$M$5:$M$428,0))&gt;=DATE(YEAR(EDATE($B$4,2)),MONTH(EDATE($B$4,2)),1),FALSE))&gt;0),I22-S22,"")</f>
        <v/>
      </c>
      <c r="U22" s="105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Mgmt'!$M$5:$M$428,0))&gt;=DATE(YEAR(EDATE($B$4,2)),MONTH(EDATE($B$4,2)),1),FALSE))&gt;0),IFERROR(T22/I22,0),"")</f>
        <v/>
      </c>
      <c r="V22" s="82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W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Mgmt'!$I$5:$I$428*((IF(IF(ISNUMBER('Client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X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Mgmt'!$J$5:$J$428*((IF(IF(ISNUMBER('Client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Y22" s="130">
        <f>IF(AND(EDATE($B$4,2)&lt;=EOMONTH($B$5,0),SUMPRODUCT(('Client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Mgmt'!$M$5:$M$428,0))&gt;=DATE(YEAR(EDATE($B$4,2)),MONTH(EDATE($B$4,2)),1),FALSE))&gt;0),IFERROR(SUMPRODUCT(('Client DB &amp; Bed Mgmt'!$A$5:$A$428="Dorm 3")*('Client DB &amp; Bed Mgmt'!$D$5:$D$428&lt;&gt;"")*--IFERROR('Client DB &amp; Bed Mgmt'!$M$5:$M$428&lt;=EOMONTH(EDATE($B$4,2),0),FALSE)*--IFERROR(IF(ISNUMBER('Client DB &amp; Bed Mgmt'!$N$5:$N$428),'Client DB &amp; Bed Mgmt'!$N$5:$N$428,EOMONTH('Client DB &amp; Bed Mgmt'!$M$5:$M$428,0))&gt;=DATE(YEAR(EDATE($B$4,2)),MONTH(EDATE($B$4,2)),1),FALSE)*'Client DB &amp; Bed Mgmt'!$K$5:$K$428*((IF(IF(ISNUMBER('Client DB &amp; Bed Mgmt'!$N$5:$N$428),'Client DB &amp; Bed Mgmt'!$N$5:$N$428,EOMONTH('Client DB &amp; Bed Mgmt'!$M$5:$M$428,0))&lt;EOMONTH(EDATE($B$4,2),0),IF(ISNUMBER('Client DB &amp; Bed Mgmt'!$N$5:$N$428),'Client DB &amp; Bed Mgmt'!$N$5:$N$428,EOMONTH('Client DB &amp; Bed Mgmt'!$M$5:$M$428,0)),EOMONTH(EDATE($B$4,2),0)))-(IF('Client DB &amp; Bed Mgmt'!$M$5:$M$428&gt;DATE(YEAR(EDATE($B$4,2)),MONTH(EDATE($B$4,2)),1),'Client DB &amp; Bed Mgmt'!$M$5:$M$428,DATE(YEAR(EDATE($B$4,2)),MONTH(EDATE($B$4,2)),1)))+1)/DAY(EOMONTH(EDATE($B$4,2),0))),0),"")</f>
        <v/>
      </c>
      <c r="Z22" s="82" t="n"/>
      <c r="AA22" s="82" t="n"/>
      <c r="AB22" s="82" t="n"/>
    </row>
    <row r="23" ht="14.25" customHeight="1" s="83">
      <c r="A23" s="125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Mgmt'!$M$5:$M$428,0))&gt;=DATE(YEAR(EDATE($B$4,3)),MONTH(EDATE($B$4,3)),1),FALSE))&gt;0),EDATE($B$4,3),"")</f>
        <v/>
      </c>
      <c r="B23" s="103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Mgmt'!$M$5:$M$428,0))&gt;=DATE(YEAR(EDATE($B$4,3)),MONTH(EDATE($B$4,3)),1),FALSE))&gt;0),"Dorm 1","")</f>
        <v/>
      </c>
      <c r="C23" s="17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Mgmt'!$M$5:$M$428,0))&gt;=DATE(YEAR(EDATE($B$4,3)),MONTH(EDATE($B$4,3)),1),FALSE))&gt;0),IFERROR(_xlfn.XLOOKUP(B23,DormRegistry[Dorm Name],DormRegistry[Ownership Type]),""),"")</f>
        <v/>
      </c>
      <c r="D23" s="17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Mgmt'!$M$5:$M$428,0))&gt;=DATE(YEAR(EDATE($B$4,3)),MONTH(EDATE($B$4,3)),1),FALSE))&gt;0),IFERROR(_xlfn.XLOOKUP(B23,DormRegistry[Dorm Name],DormRegistry[Bed Capacity]),0),"")</f>
        <v/>
      </c>
      <c r="E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Mgmt'!$M$5:$M$428,0))&gt;=DATE(YEAR(EDATE($B$4,3)),MONTH(EDATE($B$4,3)),1),FALSE))&gt;0),$B$7*(1+$B$9)^(YEAR(A23)-YEAR($B$4)),"")</f>
        <v/>
      </c>
      <c r="F23" s="105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Mgmt'!$M$5:$M$428,0))&gt;=DATE(YEAR(EDATE($B$4,3)),MONTH(EDATE($B$4,3)),1),FALSE))&gt;0),$B$8,"")</f>
        <v/>
      </c>
      <c r="G23" s="105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Mgmt'!$M$5:$M$428,0))&gt;=DATE(YEAR(EDATE($B$4,3)),MONTH(EDATE($B$4,3)),1),FALSE))&gt;0),$B$9,"")</f>
        <v/>
      </c>
      <c r="H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Mgmt'!$M$5:$M$428,0))&gt;=DATE(YEAR(EDATE($B$4,3)),MONTH(EDATE($B$4,3)),1),FALSE))&gt;0),D23*E23,"")</f>
        <v/>
      </c>
      <c r="I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Mgmt'!$M$5:$M$428,0))&gt;=DATE(YEAR(EDATE($B$4,3)),MONTH(EDATE($B$4,3)),1),FALSE))&gt;0),SUM(W23:Y23),"")</f>
        <v/>
      </c>
      <c r="J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Mgmt'!$M$5:$M$428,0))&gt;=DATE(YEAR(EDATE($B$4,3)),MONTH(EDATE($B$4,3)),1),FALSE))&gt;0),D23*F23*E23,"")</f>
        <v/>
      </c>
      <c r="K23" s="104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Mgmt'!$M$5:$M$428,0))&gt;=DATE(YEAR(EDATE($B$4,3)),MONTH(EDATE($B$4,3)),1),FALSE))&gt;0),75,"")</f>
        <v/>
      </c>
      <c r="L23" s="104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Mgmt'!$M$5:$M$428,0))&gt;=DATE(YEAR(EDATE($B$4,3)),MONTH(EDATE($B$4,3)),1),FALSE))&gt;0),50,"")</f>
        <v/>
      </c>
      <c r="M23" s="104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Mgmt'!$M$5:$M$428,0))&gt;=DATE(YEAR(EDATE($B$4,3)),MONTH(EDATE($B$4,3)),1),FALSE))&gt;0),150,"")</f>
        <v/>
      </c>
      <c r="N23" s="104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Mgmt'!$M$5:$M$428,0))&gt;=DATE(YEAR(EDATE($B$4,3)),MONTH(EDATE($B$4,3)),1),FALSE))&gt;0),125,"")</f>
        <v/>
      </c>
      <c r="O23" s="104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Mgmt'!$M$5:$M$428,0))&gt;=DATE(YEAR(EDATE($B$4,3)),MONTH(EDATE($B$4,3)),1),FALSE))&gt;0),60,"")</f>
        <v/>
      </c>
      <c r="P23" s="104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Mgmt'!$M$5:$M$428,0))&gt;=DATE(YEAR(EDATE($B$4,3)),MONTH(EDATE($B$4,3)),1),FALSE))&gt;0),80,"")</f>
        <v/>
      </c>
      <c r="Q23" s="104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Mgmt'!$M$5:$M$428,0))&gt;=DATE(YEAR(EDATE($B$4,3)),MONTH(EDATE($B$4,3)),1),FALSE))&gt;0),40,"")</f>
        <v/>
      </c>
      <c r="R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Mgmt'!$M$5:$M$428,0))&gt;=DATE(YEAR(EDATE($B$4,3)),MONTH(EDATE($B$4,3)),1),FALSE))&gt;0),IF(C23="Owned",0,2500),"")</f>
        <v/>
      </c>
      <c r="S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Mgmt'!$M$5:$M$428,0))&gt;=DATE(YEAR(EDATE($B$4,3)),MONTH(EDATE($B$4,3)),1),FALSE))&gt;0),SUM(K23:R23),"")</f>
        <v/>
      </c>
      <c r="T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Mgmt'!$M$5:$M$428,0))&gt;=DATE(YEAR(EDATE($B$4,3)),MONTH(EDATE($B$4,3)),1),FALSE))&gt;0),I23-S23,"")</f>
        <v/>
      </c>
      <c r="U23" s="105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Mgmt'!$M$5:$M$428,0))&gt;=DATE(YEAR(EDATE($B$4,3)),MONTH(EDATE($B$4,3)),1),FALSE))&gt;0),IFERROR(T23/I23,0),"")</f>
        <v/>
      </c>
      <c r="V23" s="82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W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Mgmt'!$I$5:$I$428*((IF(IF(ISNUMBER('Client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X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Mgmt'!$J$5:$J$428*((IF(IF(ISNUMBER('Client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Y23" s="130">
        <f>IF(AND(EDATE($B$4,3)&lt;=EOMONTH($B$5,0),SUMPRODUCT(('Client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1")*('Client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Mgmt'!$K$5:$K$428*((IF(IF(ISNUMBER('Client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Z23" s="82" t="n"/>
      <c r="AA23" s="82" t="n"/>
      <c r="AB23" s="82" t="n"/>
    </row>
    <row r="24" hidden="1" ht="14.25" customHeight="1" s="83">
      <c r="A24" s="125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Mgmt'!$M$5:$M$428,0))&gt;=DATE(YEAR(EDATE($B$4,3)),MONTH(EDATE($B$4,3)),1),FALSE))&gt;0),EDATE($B$4,3),"")</f>
        <v/>
      </c>
      <c r="B24" s="103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Mgmt'!$M$5:$M$428,0))&gt;=DATE(YEAR(EDATE($B$4,3)),MONTH(EDATE($B$4,3)),1),FALSE))&gt;0),"Dorm 2","")</f>
        <v/>
      </c>
      <c r="C24" s="17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Mgmt'!$M$5:$M$428,0))&gt;=DATE(YEAR(EDATE($B$4,3)),MONTH(EDATE($B$4,3)),1),FALSE))&gt;0),IFERROR(_xlfn.XLOOKUP(B24,DormRegistry[Dorm Name],DormRegistry[Ownership Type]),""),"")</f>
        <v/>
      </c>
      <c r="D24" s="17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Mgmt'!$M$5:$M$428,0))&gt;=DATE(YEAR(EDATE($B$4,3)),MONTH(EDATE($B$4,3)),1),FALSE))&gt;0),IFERROR(_xlfn.XLOOKUP(B24,DormRegistry[Dorm Name],DormRegistry[Bed Capacity]),0),"")</f>
        <v/>
      </c>
      <c r="E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Mgmt'!$M$5:$M$428,0))&gt;=DATE(YEAR(EDATE($B$4,3)),MONTH(EDATE($B$4,3)),1),FALSE))&gt;0),$B$7*(1+$B$9)^(YEAR(A24)-YEAR($B$4)),"")</f>
        <v/>
      </c>
      <c r="F24" s="105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Mgmt'!$M$5:$M$428,0))&gt;=DATE(YEAR(EDATE($B$4,3)),MONTH(EDATE($B$4,3)),1),FALSE))&gt;0),$B$8,"")</f>
        <v/>
      </c>
      <c r="G24" s="105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Mgmt'!$M$5:$M$428,0))&gt;=DATE(YEAR(EDATE($B$4,3)),MONTH(EDATE($B$4,3)),1),FALSE))&gt;0),$B$9,"")</f>
        <v/>
      </c>
      <c r="H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Mgmt'!$M$5:$M$428,0))&gt;=DATE(YEAR(EDATE($B$4,3)),MONTH(EDATE($B$4,3)),1),FALSE))&gt;0),D24*E24,"")</f>
        <v/>
      </c>
      <c r="I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Mgmt'!$M$5:$M$428,0))&gt;=DATE(YEAR(EDATE($B$4,3)),MONTH(EDATE($B$4,3)),1),FALSE))&gt;0),SUM(W24:Y24),"")</f>
        <v/>
      </c>
      <c r="J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Mgmt'!$M$5:$M$428,0))&gt;=DATE(YEAR(EDATE($B$4,3)),MONTH(EDATE($B$4,3)),1),FALSE))&gt;0),D24*F24*E24,"")</f>
        <v/>
      </c>
      <c r="K24" s="104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Mgmt'!$M$5:$M$428,0))&gt;=DATE(YEAR(EDATE($B$4,3)),MONTH(EDATE($B$4,3)),1),FALSE))&gt;0),75,"")</f>
        <v/>
      </c>
      <c r="L24" s="104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Mgmt'!$M$5:$M$428,0))&gt;=DATE(YEAR(EDATE($B$4,3)),MONTH(EDATE($B$4,3)),1),FALSE))&gt;0),50,"")</f>
        <v/>
      </c>
      <c r="M24" s="104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Mgmt'!$M$5:$M$428,0))&gt;=DATE(YEAR(EDATE($B$4,3)),MONTH(EDATE($B$4,3)),1),FALSE))&gt;0),150,"")</f>
        <v/>
      </c>
      <c r="N24" s="104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Mgmt'!$M$5:$M$428,0))&gt;=DATE(YEAR(EDATE($B$4,3)),MONTH(EDATE($B$4,3)),1),FALSE))&gt;0),125,"")</f>
        <v/>
      </c>
      <c r="O24" s="104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Mgmt'!$M$5:$M$428,0))&gt;=DATE(YEAR(EDATE($B$4,3)),MONTH(EDATE($B$4,3)),1),FALSE))&gt;0),60,"")</f>
        <v/>
      </c>
      <c r="P24" s="104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Mgmt'!$M$5:$M$428,0))&gt;=DATE(YEAR(EDATE($B$4,3)),MONTH(EDATE($B$4,3)),1),FALSE))&gt;0),80,"")</f>
        <v/>
      </c>
      <c r="Q24" s="104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Mgmt'!$M$5:$M$428,0))&gt;=DATE(YEAR(EDATE($B$4,3)),MONTH(EDATE($B$4,3)),1),FALSE))&gt;0),40,"")</f>
        <v/>
      </c>
      <c r="R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Mgmt'!$M$5:$M$428,0))&gt;=DATE(YEAR(EDATE($B$4,3)),MONTH(EDATE($B$4,3)),1),FALSE))&gt;0),IF(C24="Owned",0,2500),"")</f>
        <v/>
      </c>
      <c r="S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Mgmt'!$M$5:$M$428,0))&gt;=DATE(YEAR(EDATE($B$4,3)),MONTH(EDATE($B$4,3)),1),FALSE))&gt;0),SUM(K24:R24),"")</f>
        <v/>
      </c>
      <c r="T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Mgmt'!$M$5:$M$428,0))&gt;=DATE(YEAR(EDATE($B$4,3)),MONTH(EDATE($B$4,3)),1),FALSE))&gt;0),I24-S24,"")</f>
        <v/>
      </c>
      <c r="U24" s="105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Mgmt'!$M$5:$M$428,0))&gt;=DATE(YEAR(EDATE($B$4,3)),MONTH(EDATE($B$4,3)),1),FALSE))&gt;0),IFERROR(T24/I24,0),"")</f>
        <v/>
      </c>
      <c r="V24" s="82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W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Mgmt'!$I$5:$I$428*((IF(IF(ISNUMBER('Client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X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Mgmt'!$J$5:$J$428*((IF(IF(ISNUMBER('Client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Y24" s="130">
        <f>IF(AND(EDATE($B$4,3)&lt;=EOMONTH($B$5,0),SUMPRODUCT(('Client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2")*('Client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Mgmt'!$K$5:$K$428*((IF(IF(ISNUMBER('Client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Z24" s="82" t="n"/>
      <c r="AA24" s="82" t="n"/>
      <c r="AB24" s="82" t="n"/>
    </row>
    <row r="25" hidden="1" ht="14.25" customHeight="1" s="83">
      <c r="A25" s="125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Mgmt'!$M$5:$M$428,0))&gt;=DATE(YEAR(EDATE($B$4,3)),MONTH(EDATE($B$4,3)),1),FALSE))&gt;0),EDATE($B$4,3),"")</f>
        <v/>
      </c>
      <c r="B25" s="103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Mgmt'!$M$5:$M$428,0))&gt;=DATE(YEAR(EDATE($B$4,3)),MONTH(EDATE($B$4,3)),1),FALSE))&gt;0),"Dorm 3","")</f>
        <v/>
      </c>
      <c r="C25" s="17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Mgmt'!$M$5:$M$428,0))&gt;=DATE(YEAR(EDATE($B$4,3)),MONTH(EDATE($B$4,3)),1),FALSE))&gt;0),IFERROR(_xlfn.XLOOKUP(B25,DormRegistry[Dorm Name],DormRegistry[Ownership Type]),""),"")</f>
        <v/>
      </c>
      <c r="D25" s="17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Mgmt'!$M$5:$M$428,0))&gt;=DATE(YEAR(EDATE($B$4,3)),MONTH(EDATE($B$4,3)),1),FALSE))&gt;0),IFERROR(_xlfn.XLOOKUP(B25,DormRegistry[Dorm Name],DormRegistry[Bed Capacity]),0),"")</f>
        <v/>
      </c>
      <c r="E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Mgmt'!$M$5:$M$428,0))&gt;=DATE(YEAR(EDATE($B$4,3)),MONTH(EDATE($B$4,3)),1),FALSE))&gt;0),$B$7*(1+$B$9)^(YEAR(A25)-YEAR($B$4)),"")</f>
        <v/>
      </c>
      <c r="F25" s="105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Mgmt'!$M$5:$M$428,0))&gt;=DATE(YEAR(EDATE($B$4,3)),MONTH(EDATE($B$4,3)),1),FALSE))&gt;0),$B$8,"")</f>
        <v/>
      </c>
      <c r="G25" s="105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Mgmt'!$M$5:$M$428,0))&gt;=DATE(YEAR(EDATE($B$4,3)),MONTH(EDATE($B$4,3)),1),FALSE))&gt;0),$B$9,"")</f>
        <v/>
      </c>
      <c r="H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Mgmt'!$M$5:$M$428,0))&gt;=DATE(YEAR(EDATE($B$4,3)),MONTH(EDATE($B$4,3)),1),FALSE))&gt;0),D25*E25,"")</f>
        <v/>
      </c>
      <c r="I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Mgmt'!$M$5:$M$428,0))&gt;=DATE(YEAR(EDATE($B$4,3)),MONTH(EDATE($B$4,3)),1),FALSE))&gt;0),SUM(W25:Y25),"")</f>
        <v/>
      </c>
      <c r="J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Mgmt'!$M$5:$M$428,0))&gt;=DATE(YEAR(EDATE($B$4,3)),MONTH(EDATE($B$4,3)),1),FALSE))&gt;0),D25*F25*E25,"")</f>
        <v/>
      </c>
      <c r="K25" s="104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Mgmt'!$M$5:$M$428,0))&gt;=DATE(YEAR(EDATE($B$4,3)),MONTH(EDATE($B$4,3)),1),FALSE))&gt;0),75,"")</f>
        <v/>
      </c>
      <c r="L25" s="104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Mgmt'!$M$5:$M$428,0))&gt;=DATE(YEAR(EDATE($B$4,3)),MONTH(EDATE($B$4,3)),1),FALSE))&gt;0),50,"")</f>
        <v/>
      </c>
      <c r="M25" s="104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Mgmt'!$M$5:$M$428,0))&gt;=DATE(YEAR(EDATE($B$4,3)),MONTH(EDATE($B$4,3)),1),FALSE))&gt;0),150,"")</f>
        <v/>
      </c>
      <c r="N25" s="104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Mgmt'!$M$5:$M$428,0))&gt;=DATE(YEAR(EDATE($B$4,3)),MONTH(EDATE($B$4,3)),1),FALSE))&gt;0),125,"")</f>
        <v/>
      </c>
      <c r="O25" s="104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Mgmt'!$M$5:$M$428,0))&gt;=DATE(YEAR(EDATE($B$4,3)),MONTH(EDATE($B$4,3)),1),FALSE))&gt;0),60,"")</f>
        <v/>
      </c>
      <c r="P25" s="104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Mgmt'!$M$5:$M$428,0))&gt;=DATE(YEAR(EDATE($B$4,3)),MONTH(EDATE($B$4,3)),1),FALSE))&gt;0),80,"")</f>
        <v/>
      </c>
      <c r="Q25" s="104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Mgmt'!$M$5:$M$428,0))&gt;=DATE(YEAR(EDATE($B$4,3)),MONTH(EDATE($B$4,3)),1),FALSE))&gt;0),40,"")</f>
        <v/>
      </c>
      <c r="R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Mgmt'!$M$5:$M$428,0))&gt;=DATE(YEAR(EDATE($B$4,3)),MONTH(EDATE($B$4,3)),1),FALSE))&gt;0),IF(C25="Owned",0,2500),"")</f>
        <v/>
      </c>
      <c r="S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Mgmt'!$M$5:$M$428,0))&gt;=DATE(YEAR(EDATE($B$4,3)),MONTH(EDATE($B$4,3)),1),FALSE))&gt;0),SUM(K25:R25),"")</f>
        <v/>
      </c>
      <c r="T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Mgmt'!$M$5:$M$428,0))&gt;=DATE(YEAR(EDATE($B$4,3)),MONTH(EDATE($B$4,3)),1),FALSE))&gt;0),I25-S25,"")</f>
        <v/>
      </c>
      <c r="U25" s="105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Mgmt'!$M$5:$M$428,0))&gt;=DATE(YEAR(EDATE($B$4,3)),MONTH(EDATE($B$4,3)),1),FALSE))&gt;0),IFERROR(T25/I25,0),"")</f>
        <v/>
      </c>
      <c r="V25" s="82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W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Mgmt'!$I$5:$I$428*((IF(IF(ISNUMBER('Client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X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Mgmt'!$J$5:$J$428*((IF(IF(ISNUMBER('Client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Y25" s="130">
        <f>IF(AND(EDATE($B$4,3)&lt;=EOMONTH($B$5,0),SUMPRODUCT(('Client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Mgmt'!$M$5:$M$428,0))&gt;=DATE(YEAR(EDATE($B$4,3)),MONTH(EDATE($B$4,3)),1),FALSE))&gt;0),IFERROR(SUMPRODUCT(('Client DB &amp; Bed Mgmt'!$A$5:$A$428="Dorm 3")*('Client DB &amp; Bed Mgmt'!$D$5:$D$428&lt;&gt;"")*--IFERROR('Client DB &amp; Bed Mgmt'!$M$5:$M$428&lt;=EOMONTH(EDATE($B$4,3),0),FALSE)*--IFERROR(IF(ISNUMBER('Client DB &amp; Bed Mgmt'!$N$5:$N$428),'Client DB &amp; Bed Mgmt'!$N$5:$N$428,EOMONTH('Client DB &amp; Bed Mgmt'!$M$5:$M$428,0))&gt;=DATE(YEAR(EDATE($B$4,3)),MONTH(EDATE($B$4,3)),1),FALSE)*'Client DB &amp; Bed Mgmt'!$K$5:$K$428*((IF(IF(ISNUMBER('Client DB &amp; Bed Mgmt'!$N$5:$N$428),'Client DB &amp; Bed Mgmt'!$N$5:$N$428,EOMONTH('Client DB &amp; Bed Mgmt'!$M$5:$M$428,0))&lt;EOMONTH(EDATE($B$4,3),0),IF(ISNUMBER('Client DB &amp; Bed Mgmt'!$N$5:$N$428),'Client DB &amp; Bed Mgmt'!$N$5:$N$428,EOMONTH('Client DB &amp; Bed Mgmt'!$M$5:$M$428,0)),EOMONTH(EDATE($B$4,3),0)))-(IF('Client DB &amp; Bed Mgmt'!$M$5:$M$428&gt;DATE(YEAR(EDATE($B$4,3)),MONTH(EDATE($B$4,3)),1),'Client DB &amp; Bed Mgmt'!$M$5:$M$428,DATE(YEAR(EDATE($B$4,3)),MONTH(EDATE($B$4,3)),1)))+1)/DAY(EOMONTH(EDATE($B$4,3),0))),0),"")</f>
        <v/>
      </c>
      <c r="Z25" s="82" t="n"/>
      <c r="AA25" s="82" t="n"/>
      <c r="AB25" s="82" t="n"/>
    </row>
    <row r="26" ht="14.25" customHeight="1" s="83">
      <c r="A26" s="125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Mgmt'!$M$5:$M$428,0))&gt;=DATE(YEAR(EDATE($B$4,4)),MONTH(EDATE($B$4,4)),1),FALSE))&gt;0),EDATE($B$4,4),"")</f>
        <v/>
      </c>
      <c r="B26" s="103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Mgmt'!$M$5:$M$428,0))&gt;=DATE(YEAR(EDATE($B$4,4)),MONTH(EDATE($B$4,4)),1),FALSE))&gt;0),"Dorm 1","")</f>
        <v/>
      </c>
      <c r="C26" s="17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Mgmt'!$M$5:$M$428,0))&gt;=DATE(YEAR(EDATE($B$4,4)),MONTH(EDATE($B$4,4)),1),FALSE))&gt;0),IFERROR(_xlfn.XLOOKUP(B26,DormRegistry[Dorm Name],DormRegistry[Ownership Type]),""),"")</f>
        <v/>
      </c>
      <c r="D26" s="17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Mgmt'!$M$5:$M$428,0))&gt;=DATE(YEAR(EDATE($B$4,4)),MONTH(EDATE($B$4,4)),1),FALSE))&gt;0),IFERROR(_xlfn.XLOOKUP(B26,DormRegistry[Dorm Name],DormRegistry[Bed Capacity]),0),"")</f>
        <v/>
      </c>
      <c r="E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Mgmt'!$M$5:$M$428,0))&gt;=DATE(YEAR(EDATE($B$4,4)),MONTH(EDATE($B$4,4)),1),FALSE))&gt;0),$B$7*(1+$B$9)^(YEAR(A26)-YEAR($B$4)),"")</f>
        <v/>
      </c>
      <c r="F26" s="105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Mgmt'!$M$5:$M$428,0))&gt;=DATE(YEAR(EDATE($B$4,4)),MONTH(EDATE($B$4,4)),1),FALSE))&gt;0),$B$8,"")</f>
        <v/>
      </c>
      <c r="G26" s="105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Mgmt'!$M$5:$M$428,0))&gt;=DATE(YEAR(EDATE($B$4,4)),MONTH(EDATE($B$4,4)),1),FALSE))&gt;0),$B$9,"")</f>
        <v/>
      </c>
      <c r="H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Mgmt'!$M$5:$M$428,0))&gt;=DATE(YEAR(EDATE($B$4,4)),MONTH(EDATE($B$4,4)),1),FALSE))&gt;0),D26*E26,"")</f>
        <v/>
      </c>
      <c r="I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Mgmt'!$M$5:$M$428,0))&gt;=DATE(YEAR(EDATE($B$4,4)),MONTH(EDATE($B$4,4)),1),FALSE))&gt;0),SUM(W26:Y26),"")</f>
        <v/>
      </c>
      <c r="J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Mgmt'!$M$5:$M$428,0))&gt;=DATE(YEAR(EDATE($B$4,4)),MONTH(EDATE($B$4,4)),1),FALSE))&gt;0),D26*F26*E26,"")</f>
        <v/>
      </c>
      <c r="K26" s="104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Mgmt'!$M$5:$M$428,0))&gt;=DATE(YEAR(EDATE($B$4,4)),MONTH(EDATE($B$4,4)),1),FALSE))&gt;0),75,"")</f>
        <v/>
      </c>
      <c r="L26" s="104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Mgmt'!$M$5:$M$428,0))&gt;=DATE(YEAR(EDATE($B$4,4)),MONTH(EDATE($B$4,4)),1),FALSE))&gt;0),50,"")</f>
        <v/>
      </c>
      <c r="M26" s="104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Mgmt'!$M$5:$M$428,0))&gt;=DATE(YEAR(EDATE($B$4,4)),MONTH(EDATE($B$4,4)),1),FALSE))&gt;0),150,"")</f>
        <v/>
      </c>
      <c r="N26" s="104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Mgmt'!$M$5:$M$428,0))&gt;=DATE(YEAR(EDATE($B$4,4)),MONTH(EDATE($B$4,4)),1),FALSE))&gt;0),125,"")</f>
        <v/>
      </c>
      <c r="O26" s="104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Mgmt'!$M$5:$M$428,0))&gt;=DATE(YEAR(EDATE($B$4,4)),MONTH(EDATE($B$4,4)),1),FALSE))&gt;0),60,"")</f>
        <v/>
      </c>
      <c r="P26" s="104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Mgmt'!$M$5:$M$428,0))&gt;=DATE(YEAR(EDATE($B$4,4)),MONTH(EDATE($B$4,4)),1),FALSE))&gt;0),80,"")</f>
        <v/>
      </c>
      <c r="Q26" s="104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Mgmt'!$M$5:$M$428,0))&gt;=DATE(YEAR(EDATE($B$4,4)),MONTH(EDATE($B$4,4)),1),FALSE))&gt;0),40,"")</f>
        <v/>
      </c>
      <c r="R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Mgmt'!$M$5:$M$428,0))&gt;=DATE(YEAR(EDATE($B$4,4)),MONTH(EDATE($B$4,4)),1),FALSE))&gt;0),IF(C26="Owned",0,2500),"")</f>
        <v/>
      </c>
      <c r="S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Mgmt'!$M$5:$M$428,0))&gt;=DATE(YEAR(EDATE($B$4,4)),MONTH(EDATE($B$4,4)),1),FALSE))&gt;0),SUM(K26:R26),"")</f>
        <v/>
      </c>
      <c r="T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Mgmt'!$M$5:$M$428,0))&gt;=DATE(YEAR(EDATE($B$4,4)),MONTH(EDATE($B$4,4)),1),FALSE))&gt;0),I26-S26,"")</f>
        <v/>
      </c>
      <c r="U26" s="105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Mgmt'!$M$5:$M$428,0))&gt;=DATE(YEAR(EDATE($B$4,4)),MONTH(EDATE($B$4,4)),1),FALSE))&gt;0),IFERROR(T26/I26,0),"")</f>
        <v/>
      </c>
      <c r="V26" s="82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W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Mgmt'!$I$5:$I$428*((IF(IF(ISNUMBER('Client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X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Mgmt'!$J$5:$J$428*((IF(IF(ISNUMBER('Client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Y26" s="130">
        <f>IF(AND(EDATE($B$4,4)&lt;=EOMONTH($B$5,0),SUMPRODUCT(('Client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1")*('Client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Mgmt'!$K$5:$K$428*((IF(IF(ISNUMBER('Client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Z26" s="82" t="n"/>
      <c r="AA26" s="82" t="n"/>
      <c r="AB26" s="82" t="n"/>
    </row>
    <row r="27" hidden="1" ht="14.25" customHeight="1" s="83">
      <c r="A27" s="125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Mgmt'!$M$5:$M$428,0))&gt;=DATE(YEAR(EDATE($B$4,4)),MONTH(EDATE($B$4,4)),1),FALSE))&gt;0),EDATE($B$4,4),"")</f>
        <v/>
      </c>
      <c r="B27" s="103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Mgmt'!$M$5:$M$428,0))&gt;=DATE(YEAR(EDATE($B$4,4)),MONTH(EDATE($B$4,4)),1),FALSE))&gt;0),"Dorm 2","")</f>
        <v/>
      </c>
      <c r="C27" s="17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Mgmt'!$M$5:$M$428,0))&gt;=DATE(YEAR(EDATE($B$4,4)),MONTH(EDATE($B$4,4)),1),FALSE))&gt;0),IFERROR(_xlfn.XLOOKUP(B27,DormRegistry[Dorm Name],DormRegistry[Ownership Type]),""),"")</f>
        <v/>
      </c>
      <c r="D27" s="17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Mgmt'!$M$5:$M$428,0))&gt;=DATE(YEAR(EDATE($B$4,4)),MONTH(EDATE($B$4,4)),1),FALSE))&gt;0),IFERROR(_xlfn.XLOOKUP(B27,DormRegistry[Dorm Name],DormRegistry[Bed Capacity]),0),"")</f>
        <v/>
      </c>
      <c r="E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Mgmt'!$M$5:$M$428,0))&gt;=DATE(YEAR(EDATE($B$4,4)),MONTH(EDATE($B$4,4)),1),FALSE))&gt;0),$B$7*(1+$B$9)^(YEAR(A27)-YEAR($B$4)),"")</f>
        <v/>
      </c>
      <c r="F27" s="105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Mgmt'!$M$5:$M$428,0))&gt;=DATE(YEAR(EDATE($B$4,4)),MONTH(EDATE($B$4,4)),1),FALSE))&gt;0),$B$8,"")</f>
        <v/>
      </c>
      <c r="G27" s="105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Mgmt'!$M$5:$M$428,0))&gt;=DATE(YEAR(EDATE($B$4,4)),MONTH(EDATE($B$4,4)),1),FALSE))&gt;0),$B$9,"")</f>
        <v/>
      </c>
      <c r="H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Mgmt'!$M$5:$M$428,0))&gt;=DATE(YEAR(EDATE($B$4,4)),MONTH(EDATE($B$4,4)),1),FALSE))&gt;0),D27*E27,"")</f>
        <v/>
      </c>
      <c r="I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Mgmt'!$M$5:$M$428,0))&gt;=DATE(YEAR(EDATE($B$4,4)),MONTH(EDATE($B$4,4)),1),FALSE))&gt;0),SUM(W27:Y27),"")</f>
        <v/>
      </c>
      <c r="J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Mgmt'!$M$5:$M$428,0))&gt;=DATE(YEAR(EDATE($B$4,4)),MONTH(EDATE($B$4,4)),1),FALSE))&gt;0),D27*F27*E27,"")</f>
        <v/>
      </c>
      <c r="K27" s="104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Mgmt'!$M$5:$M$428,0))&gt;=DATE(YEAR(EDATE($B$4,4)),MONTH(EDATE($B$4,4)),1),FALSE))&gt;0),75,"")</f>
        <v/>
      </c>
      <c r="L27" s="104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Mgmt'!$M$5:$M$428,0))&gt;=DATE(YEAR(EDATE($B$4,4)),MONTH(EDATE($B$4,4)),1),FALSE))&gt;0),50,"")</f>
        <v/>
      </c>
      <c r="M27" s="104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Mgmt'!$M$5:$M$428,0))&gt;=DATE(YEAR(EDATE($B$4,4)),MONTH(EDATE($B$4,4)),1),FALSE))&gt;0),150,"")</f>
        <v/>
      </c>
      <c r="N27" s="104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Mgmt'!$M$5:$M$428,0))&gt;=DATE(YEAR(EDATE($B$4,4)),MONTH(EDATE($B$4,4)),1),FALSE))&gt;0),125,"")</f>
        <v/>
      </c>
      <c r="O27" s="104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Mgmt'!$M$5:$M$428,0))&gt;=DATE(YEAR(EDATE($B$4,4)),MONTH(EDATE($B$4,4)),1),FALSE))&gt;0),60,"")</f>
        <v/>
      </c>
      <c r="P27" s="104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Mgmt'!$M$5:$M$428,0))&gt;=DATE(YEAR(EDATE($B$4,4)),MONTH(EDATE($B$4,4)),1),FALSE))&gt;0),80,"")</f>
        <v/>
      </c>
      <c r="Q27" s="104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Mgmt'!$M$5:$M$428,0))&gt;=DATE(YEAR(EDATE($B$4,4)),MONTH(EDATE($B$4,4)),1),FALSE))&gt;0),40,"")</f>
        <v/>
      </c>
      <c r="R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Mgmt'!$M$5:$M$428,0))&gt;=DATE(YEAR(EDATE($B$4,4)),MONTH(EDATE($B$4,4)),1),FALSE))&gt;0),IF(C27="Owned",0,2500),"")</f>
        <v/>
      </c>
      <c r="S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Mgmt'!$M$5:$M$428,0))&gt;=DATE(YEAR(EDATE($B$4,4)),MONTH(EDATE($B$4,4)),1),FALSE))&gt;0),SUM(K27:R27),"")</f>
        <v/>
      </c>
      <c r="T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Mgmt'!$M$5:$M$428,0))&gt;=DATE(YEAR(EDATE($B$4,4)),MONTH(EDATE($B$4,4)),1),FALSE))&gt;0),I27-S27,"")</f>
        <v/>
      </c>
      <c r="U27" s="105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Mgmt'!$M$5:$M$428,0))&gt;=DATE(YEAR(EDATE($B$4,4)),MONTH(EDATE($B$4,4)),1),FALSE))&gt;0),IFERROR(T27/I27,0),"")</f>
        <v/>
      </c>
      <c r="V27" s="82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W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Mgmt'!$I$5:$I$428*((IF(IF(ISNUMBER('Client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X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Mgmt'!$J$5:$J$428*((IF(IF(ISNUMBER('Client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Y27" s="130">
        <f>IF(AND(EDATE($B$4,4)&lt;=EOMONTH($B$5,0),SUMPRODUCT(('Client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2")*('Client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Mgmt'!$K$5:$K$428*((IF(IF(ISNUMBER('Client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Z27" s="82" t="n"/>
      <c r="AA27" s="82" t="n"/>
      <c r="AB27" s="82" t="n"/>
    </row>
    <row r="28" hidden="1" ht="14.25" customHeight="1" s="83">
      <c r="A28" s="125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Mgmt'!$M$5:$M$428,0))&gt;=DATE(YEAR(EDATE($B$4,4)),MONTH(EDATE($B$4,4)),1),FALSE))&gt;0),EDATE($B$4,4),"")</f>
        <v/>
      </c>
      <c r="B28" s="103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Mgmt'!$M$5:$M$428,0))&gt;=DATE(YEAR(EDATE($B$4,4)),MONTH(EDATE($B$4,4)),1),FALSE))&gt;0),"Dorm 3","")</f>
        <v/>
      </c>
      <c r="C28" s="17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Mgmt'!$M$5:$M$428,0))&gt;=DATE(YEAR(EDATE($B$4,4)),MONTH(EDATE($B$4,4)),1),FALSE))&gt;0),IFERROR(_xlfn.XLOOKUP(B28,DormRegistry[Dorm Name],DormRegistry[Ownership Type]),""),"")</f>
        <v/>
      </c>
      <c r="D28" s="17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Mgmt'!$M$5:$M$428,0))&gt;=DATE(YEAR(EDATE($B$4,4)),MONTH(EDATE($B$4,4)),1),FALSE))&gt;0),IFERROR(_xlfn.XLOOKUP(B28,DormRegistry[Dorm Name],DormRegistry[Bed Capacity]),0),"")</f>
        <v/>
      </c>
      <c r="E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Mgmt'!$M$5:$M$428,0))&gt;=DATE(YEAR(EDATE($B$4,4)),MONTH(EDATE($B$4,4)),1),FALSE))&gt;0),$B$7*(1+$B$9)^(YEAR(A28)-YEAR($B$4)),"")</f>
        <v/>
      </c>
      <c r="F28" s="105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Mgmt'!$M$5:$M$428,0))&gt;=DATE(YEAR(EDATE($B$4,4)),MONTH(EDATE($B$4,4)),1),FALSE))&gt;0),$B$8,"")</f>
        <v/>
      </c>
      <c r="G28" s="105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Mgmt'!$M$5:$M$428,0))&gt;=DATE(YEAR(EDATE($B$4,4)),MONTH(EDATE($B$4,4)),1),FALSE))&gt;0),$B$9,"")</f>
        <v/>
      </c>
      <c r="H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Mgmt'!$M$5:$M$428,0))&gt;=DATE(YEAR(EDATE($B$4,4)),MONTH(EDATE($B$4,4)),1),FALSE))&gt;0),D28*E28,"")</f>
        <v/>
      </c>
      <c r="I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Mgmt'!$M$5:$M$428,0))&gt;=DATE(YEAR(EDATE($B$4,4)),MONTH(EDATE($B$4,4)),1),FALSE))&gt;0),SUM(W28:Y28),"")</f>
        <v/>
      </c>
      <c r="J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Mgmt'!$M$5:$M$428,0))&gt;=DATE(YEAR(EDATE($B$4,4)),MONTH(EDATE($B$4,4)),1),FALSE))&gt;0),D28*F28*E28,"")</f>
        <v/>
      </c>
      <c r="K28" s="104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Mgmt'!$M$5:$M$428,0))&gt;=DATE(YEAR(EDATE($B$4,4)),MONTH(EDATE($B$4,4)),1),FALSE))&gt;0),75,"")</f>
        <v/>
      </c>
      <c r="L28" s="104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Mgmt'!$M$5:$M$428,0))&gt;=DATE(YEAR(EDATE($B$4,4)),MONTH(EDATE($B$4,4)),1),FALSE))&gt;0),50,"")</f>
        <v/>
      </c>
      <c r="M28" s="104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Mgmt'!$M$5:$M$428,0))&gt;=DATE(YEAR(EDATE($B$4,4)),MONTH(EDATE($B$4,4)),1),FALSE))&gt;0),150,"")</f>
        <v/>
      </c>
      <c r="N28" s="104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Mgmt'!$M$5:$M$428,0))&gt;=DATE(YEAR(EDATE($B$4,4)),MONTH(EDATE($B$4,4)),1),FALSE))&gt;0),125,"")</f>
        <v/>
      </c>
      <c r="O28" s="104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Mgmt'!$M$5:$M$428,0))&gt;=DATE(YEAR(EDATE($B$4,4)),MONTH(EDATE($B$4,4)),1),FALSE))&gt;0),60,"")</f>
        <v/>
      </c>
      <c r="P28" s="104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Mgmt'!$M$5:$M$428,0))&gt;=DATE(YEAR(EDATE($B$4,4)),MONTH(EDATE($B$4,4)),1),FALSE))&gt;0),80,"")</f>
        <v/>
      </c>
      <c r="Q28" s="104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Mgmt'!$M$5:$M$428,0))&gt;=DATE(YEAR(EDATE($B$4,4)),MONTH(EDATE($B$4,4)),1),FALSE))&gt;0),40,"")</f>
        <v/>
      </c>
      <c r="R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Mgmt'!$M$5:$M$428,0))&gt;=DATE(YEAR(EDATE($B$4,4)),MONTH(EDATE($B$4,4)),1),FALSE))&gt;0),IF(C28="Owned",0,2500),"")</f>
        <v/>
      </c>
      <c r="S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Mgmt'!$M$5:$M$428,0))&gt;=DATE(YEAR(EDATE($B$4,4)),MONTH(EDATE($B$4,4)),1),FALSE))&gt;0),SUM(K28:R28),"")</f>
        <v/>
      </c>
      <c r="T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Mgmt'!$M$5:$M$428,0))&gt;=DATE(YEAR(EDATE($B$4,4)),MONTH(EDATE($B$4,4)),1),FALSE))&gt;0),I28-S28,"")</f>
        <v/>
      </c>
      <c r="U28" s="105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Mgmt'!$M$5:$M$428,0))&gt;=DATE(YEAR(EDATE($B$4,4)),MONTH(EDATE($B$4,4)),1),FALSE))&gt;0),IFERROR(T28/I28,0),"")</f>
        <v/>
      </c>
      <c r="V28" s="82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W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Mgmt'!$I$5:$I$428*((IF(IF(ISNUMBER('Client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X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Mgmt'!$J$5:$J$428*((IF(IF(ISNUMBER('Client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Y28" s="130">
        <f>IF(AND(EDATE($B$4,4)&lt;=EOMONTH($B$5,0),SUMPRODUCT(('Client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Mgmt'!$M$5:$M$428,0))&gt;=DATE(YEAR(EDATE($B$4,4)),MONTH(EDATE($B$4,4)),1),FALSE))&gt;0),IFERROR(SUMPRODUCT(('Client DB &amp; Bed Mgmt'!$A$5:$A$428="Dorm 3")*('Client DB &amp; Bed Mgmt'!$D$5:$D$428&lt;&gt;"")*--IFERROR('Client DB &amp; Bed Mgmt'!$M$5:$M$428&lt;=EOMONTH(EDATE($B$4,4),0),FALSE)*--IFERROR(IF(ISNUMBER('Client DB &amp; Bed Mgmt'!$N$5:$N$428),'Client DB &amp; Bed Mgmt'!$N$5:$N$428,EOMONTH('Client DB &amp; Bed Mgmt'!$M$5:$M$428,0))&gt;=DATE(YEAR(EDATE($B$4,4)),MONTH(EDATE($B$4,4)),1),FALSE)*'Client DB &amp; Bed Mgmt'!$K$5:$K$428*((IF(IF(ISNUMBER('Client DB &amp; Bed Mgmt'!$N$5:$N$428),'Client DB &amp; Bed Mgmt'!$N$5:$N$428,EOMONTH('Client DB &amp; Bed Mgmt'!$M$5:$M$428,0))&lt;EOMONTH(EDATE($B$4,4),0),IF(ISNUMBER('Client DB &amp; Bed Mgmt'!$N$5:$N$428),'Client DB &amp; Bed Mgmt'!$N$5:$N$428,EOMONTH('Client DB &amp; Bed Mgmt'!$M$5:$M$428,0)),EOMONTH(EDATE($B$4,4),0)))-(IF('Client DB &amp; Bed Mgmt'!$M$5:$M$428&gt;DATE(YEAR(EDATE($B$4,4)),MONTH(EDATE($B$4,4)),1),'Client DB &amp; Bed Mgmt'!$M$5:$M$428,DATE(YEAR(EDATE($B$4,4)),MONTH(EDATE($B$4,4)),1)))+1)/DAY(EOMONTH(EDATE($B$4,4),0))),0),"")</f>
        <v/>
      </c>
      <c r="Z28" s="82" t="n"/>
      <c r="AA28" s="82" t="n"/>
      <c r="AB28" s="82" t="n"/>
    </row>
    <row r="29" ht="14.25" customHeight="1" s="83">
      <c r="A29" s="125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Mgmt'!$M$5:$M$428,0))&gt;=DATE(YEAR(EDATE($B$4,5)),MONTH(EDATE($B$4,5)),1),FALSE))&gt;0),EDATE($B$4,5),"")</f>
        <v/>
      </c>
      <c r="B29" s="103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Mgmt'!$M$5:$M$428,0))&gt;=DATE(YEAR(EDATE($B$4,5)),MONTH(EDATE($B$4,5)),1),FALSE))&gt;0),"Dorm 1","")</f>
        <v/>
      </c>
      <c r="C29" s="17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Mgmt'!$M$5:$M$428,0))&gt;=DATE(YEAR(EDATE($B$4,5)),MONTH(EDATE($B$4,5)),1),FALSE))&gt;0),IFERROR(_xlfn.XLOOKUP(B29,DormRegistry[Dorm Name],DormRegistry[Ownership Type]),""),"")</f>
        <v/>
      </c>
      <c r="D29" s="17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Mgmt'!$M$5:$M$428,0))&gt;=DATE(YEAR(EDATE($B$4,5)),MONTH(EDATE($B$4,5)),1),FALSE))&gt;0),IFERROR(_xlfn.XLOOKUP(B29,DormRegistry[Dorm Name],DormRegistry[Bed Capacity]),0),"")</f>
        <v/>
      </c>
      <c r="E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Mgmt'!$M$5:$M$428,0))&gt;=DATE(YEAR(EDATE($B$4,5)),MONTH(EDATE($B$4,5)),1),FALSE))&gt;0),$B$7*(1+$B$9)^(YEAR(A29)-YEAR($B$4)),"")</f>
        <v/>
      </c>
      <c r="F29" s="105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Mgmt'!$M$5:$M$428,0))&gt;=DATE(YEAR(EDATE($B$4,5)),MONTH(EDATE($B$4,5)),1),FALSE))&gt;0),$B$8,"")</f>
        <v/>
      </c>
      <c r="G29" s="105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Mgmt'!$M$5:$M$428,0))&gt;=DATE(YEAR(EDATE($B$4,5)),MONTH(EDATE($B$4,5)),1),FALSE))&gt;0),$B$9,"")</f>
        <v/>
      </c>
      <c r="H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Mgmt'!$M$5:$M$428,0))&gt;=DATE(YEAR(EDATE($B$4,5)),MONTH(EDATE($B$4,5)),1),FALSE))&gt;0),D29*E29,"")</f>
        <v/>
      </c>
      <c r="I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Mgmt'!$M$5:$M$428,0))&gt;=DATE(YEAR(EDATE($B$4,5)),MONTH(EDATE($B$4,5)),1),FALSE))&gt;0),SUM(W29:Y29),"")</f>
        <v/>
      </c>
      <c r="J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Mgmt'!$M$5:$M$428,0))&gt;=DATE(YEAR(EDATE($B$4,5)),MONTH(EDATE($B$4,5)),1),FALSE))&gt;0),D29*F29*E29,"")</f>
        <v/>
      </c>
      <c r="K29" s="104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Mgmt'!$M$5:$M$428,0))&gt;=DATE(YEAR(EDATE($B$4,5)),MONTH(EDATE($B$4,5)),1),FALSE))&gt;0),75,"")</f>
        <v/>
      </c>
      <c r="L29" s="104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Mgmt'!$M$5:$M$428,0))&gt;=DATE(YEAR(EDATE($B$4,5)),MONTH(EDATE($B$4,5)),1),FALSE))&gt;0),50,"")</f>
        <v/>
      </c>
      <c r="M29" s="104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Mgmt'!$M$5:$M$428,0))&gt;=DATE(YEAR(EDATE($B$4,5)),MONTH(EDATE($B$4,5)),1),FALSE))&gt;0),150,"")</f>
        <v/>
      </c>
      <c r="N29" s="104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Mgmt'!$M$5:$M$428,0))&gt;=DATE(YEAR(EDATE($B$4,5)),MONTH(EDATE($B$4,5)),1),FALSE))&gt;0),125,"")</f>
        <v/>
      </c>
      <c r="O29" s="104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Mgmt'!$M$5:$M$428,0))&gt;=DATE(YEAR(EDATE($B$4,5)),MONTH(EDATE($B$4,5)),1),FALSE))&gt;0),60,"")</f>
        <v/>
      </c>
      <c r="P29" s="104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Mgmt'!$M$5:$M$428,0))&gt;=DATE(YEAR(EDATE($B$4,5)),MONTH(EDATE($B$4,5)),1),FALSE))&gt;0),80,"")</f>
        <v/>
      </c>
      <c r="Q29" s="104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Mgmt'!$M$5:$M$428,0))&gt;=DATE(YEAR(EDATE($B$4,5)),MONTH(EDATE($B$4,5)),1),FALSE))&gt;0),40,"")</f>
        <v/>
      </c>
      <c r="R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Mgmt'!$M$5:$M$428,0))&gt;=DATE(YEAR(EDATE($B$4,5)),MONTH(EDATE($B$4,5)),1),FALSE))&gt;0),IF(C29="Owned",0,2500),"")</f>
        <v/>
      </c>
      <c r="S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Mgmt'!$M$5:$M$428,0))&gt;=DATE(YEAR(EDATE($B$4,5)),MONTH(EDATE($B$4,5)),1),FALSE))&gt;0),SUM(K29:R29),"")</f>
        <v/>
      </c>
      <c r="T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Mgmt'!$M$5:$M$428,0))&gt;=DATE(YEAR(EDATE($B$4,5)),MONTH(EDATE($B$4,5)),1),FALSE))&gt;0),I29-S29,"")</f>
        <v/>
      </c>
      <c r="U29" s="105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Mgmt'!$M$5:$M$428,0))&gt;=DATE(YEAR(EDATE($B$4,5)),MONTH(EDATE($B$4,5)),1),FALSE))&gt;0),IFERROR(T29/I29,0),"")</f>
        <v/>
      </c>
      <c r="V29" s="82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W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Mgmt'!$I$5:$I$428*((IF(IF(ISNUMBER('Client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X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Mgmt'!$J$5:$J$428*((IF(IF(ISNUMBER('Client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Y29" s="130">
        <f>IF(AND(EDATE($B$4,5)&lt;=EOMONTH($B$5,0),SUMPRODUCT(('Client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1")*('Client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Mgmt'!$K$5:$K$428*((IF(IF(ISNUMBER('Client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Z29" s="82" t="n"/>
      <c r="AA29" s="82" t="n"/>
      <c r="AB29" s="82" t="n"/>
    </row>
    <row r="30" hidden="1" ht="14.25" customHeight="1" s="83">
      <c r="A30" s="125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Mgmt'!$M$5:$M$428,0))&gt;=DATE(YEAR(EDATE($B$4,5)),MONTH(EDATE($B$4,5)),1),FALSE))&gt;0),EDATE($B$4,5),"")</f>
        <v/>
      </c>
      <c r="B30" s="103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Mgmt'!$M$5:$M$428,0))&gt;=DATE(YEAR(EDATE($B$4,5)),MONTH(EDATE($B$4,5)),1),FALSE))&gt;0),"Dorm 2","")</f>
        <v/>
      </c>
      <c r="C30" s="17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Mgmt'!$M$5:$M$428,0))&gt;=DATE(YEAR(EDATE($B$4,5)),MONTH(EDATE($B$4,5)),1),FALSE))&gt;0),IFERROR(_xlfn.XLOOKUP(B30,DormRegistry[Dorm Name],DormRegistry[Ownership Type]),""),"")</f>
        <v/>
      </c>
      <c r="D30" s="17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Mgmt'!$M$5:$M$428,0))&gt;=DATE(YEAR(EDATE($B$4,5)),MONTH(EDATE($B$4,5)),1),FALSE))&gt;0),IFERROR(_xlfn.XLOOKUP(B30,DormRegistry[Dorm Name],DormRegistry[Bed Capacity]),0),"")</f>
        <v/>
      </c>
      <c r="E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Mgmt'!$M$5:$M$428,0))&gt;=DATE(YEAR(EDATE($B$4,5)),MONTH(EDATE($B$4,5)),1),FALSE))&gt;0),$B$7*(1+$B$9)^(YEAR(A30)-YEAR($B$4)),"")</f>
        <v/>
      </c>
      <c r="F30" s="105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Mgmt'!$M$5:$M$428,0))&gt;=DATE(YEAR(EDATE($B$4,5)),MONTH(EDATE($B$4,5)),1),FALSE))&gt;0),$B$8,"")</f>
        <v/>
      </c>
      <c r="G30" s="105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Mgmt'!$M$5:$M$428,0))&gt;=DATE(YEAR(EDATE($B$4,5)),MONTH(EDATE($B$4,5)),1),FALSE))&gt;0),$B$9,"")</f>
        <v/>
      </c>
      <c r="H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Mgmt'!$M$5:$M$428,0))&gt;=DATE(YEAR(EDATE($B$4,5)),MONTH(EDATE($B$4,5)),1),FALSE))&gt;0),D30*E30,"")</f>
        <v/>
      </c>
      <c r="I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Mgmt'!$M$5:$M$428,0))&gt;=DATE(YEAR(EDATE($B$4,5)),MONTH(EDATE($B$4,5)),1),FALSE))&gt;0),SUM(W30:Y30),"")</f>
        <v/>
      </c>
      <c r="J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Mgmt'!$M$5:$M$428,0))&gt;=DATE(YEAR(EDATE($B$4,5)),MONTH(EDATE($B$4,5)),1),FALSE))&gt;0),D30*F30*E30,"")</f>
        <v/>
      </c>
      <c r="K30" s="104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Mgmt'!$M$5:$M$428,0))&gt;=DATE(YEAR(EDATE($B$4,5)),MONTH(EDATE($B$4,5)),1),FALSE))&gt;0),75,"")</f>
        <v/>
      </c>
      <c r="L30" s="104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Mgmt'!$M$5:$M$428,0))&gt;=DATE(YEAR(EDATE($B$4,5)),MONTH(EDATE($B$4,5)),1),FALSE))&gt;0),50,"")</f>
        <v/>
      </c>
      <c r="M30" s="104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Mgmt'!$M$5:$M$428,0))&gt;=DATE(YEAR(EDATE($B$4,5)),MONTH(EDATE($B$4,5)),1),FALSE))&gt;0),150,"")</f>
        <v/>
      </c>
      <c r="N30" s="104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Mgmt'!$M$5:$M$428,0))&gt;=DATE(YEAR(EDATE($B$4,5)),MONTH(EDATE($B$4,5)),1),FALSE))&gt;0),125,"")</f>
        <v/>
      </c>
      <c r="O30" s="104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Mgmt'!$M$5:$M$428,0))&gt;=DATE(YEAR(EDATE($B$4,5)),MONTH(EDATE($B$4,5)),1),FALSE))&gt;0),60,"")</f>
        <v/>
      </c>
      <c r="P30" s="104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Mgmt'!$M$5:$M$428,0))&gt;=DATE(YEAR(EDATE($B$4,5)),MONTH(EDATE($B$4,5)),1),FALSE))&gt;0),80,"")</f>
        <v/>
      </c>
      <c r="Q30" s="104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Mgmt'!$M$5:$M$428,0))&gt;=DATE(YEAR(EDATE($B$4,5)),MONTH(EDATE($B$4,5)),1),FALSE))&gt;0),40,"")</f>
        <v/>
      </c>
      <c r="R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Mgmt'!$M$5:$M$428,0))&gt;=DATE(YEAR(EDATE($B$4,5)),MONTH(EDATE($B$4,5)),1),FALSE))&gt;0),IF(C30="Owned",0,2500),"")</f>
        <v/>
      </c>
      <c r="S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Mgmt'!$M$5:$M$428,0))&gt;=DATE(YEAR(EDATE($B$4,5)),MONTH(EDATE($B$4,5)),1),FALSE))&gt;0),SUM(K30:R30),"")</f>
        <v/>
      </c>
      <c r="T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Mgmt'!$M$5:$M$428,0))&gt;=DATE(YEAR(EDATE($B$4,5)),MONTH(EDATE($B$4,5)),1),FALSE))&gt;0),I30-S30,"")</f>
        <v/>
      </c>
      <c r="U30" s="105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Mgmt'!$M$5:$M$428,0))&gt;=DATE(YEAR(EDATE($B$4,5)),MONTH(EDATE($B$4,5)),1),FALSE))&gt;0),IFERROR(T30/I30,0),"")</f>
        <v/>
      </c>
      <c r="V30" s="82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W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Mgmt'!$I$5:$I$428*((IF(IF(ISNUMBER('Client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X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Mgmt'!$J$5:$J$428*((IF(IF(ISNUMBER('Client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Y30" s="130">
        <f>IF(AND(EDATE($B$4,5)&lt;=EOMONTH($B$5,0),SUMPRODUCT(('Client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2")*('Client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Mgmt'!$K$5:$K$428*((IF(IF(ISNUMBER('Client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Z30" s="82" t="n"/>
      <c r="AA30" s="82" t="n"/>
      <c r="AB30" s="82" t="n"/>
    </row>
    <row r="31" hidden="1" ht="14.25" customHeight="1" s="83">
      <c r="A31" s="125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Mgmt'!$M$5:$M$428,0))&gt;=DATE(YEAR(EDATE($B$4,5)),MONTH(EDATE($B$4,5)),1),FALSE))&gt;0),EDATE($B$4,5),"")</f>
        <v/>
      </c>
      <c r="B31" s="103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Mgmt'!$M$5:$M$428,0))&gt;=DATE(YEAR(EDATE($B$4,5)),MONTH(EDATE($B$4,5)),1),FALSE))&gt;0),"Dorm 3","")</f>
        <v/>
      </c>
      <c r="C31" s="17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Mgmt'!$M$5:$M$428,0))&gt;=DATE(YEAR(EDATE($B$4,5)),MONTH(EDATE($B$4,5)),1),FALSE))&gt;0),IFERROR(_xlfn.XLOOKUP(B31,DormRegistry[Dorm Name],DormRegistry[Ownership Type]),""),"")</f>
        <v/>
      </c>
      <c r="D31" s="17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Mgmt'!$M$5:$M$428,0))&gt;=DATE(YEAR(EDATE($B$4,5)),MONTH(EDATE($B$4,5)),1),FALSE))&gt;0),IFERROR(_xlfn.XLOOKUP(B31,DormRegistry[Dorm Name],DormRegistry[Bed Capacity]),0),"")</f>
        <v/>
      </c>
      <c r="E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Mgmt'!$M$5:$M$428,0))&gt;=DATE(YEAR(EDATE($B$4,5)),MONTH(EDATE($B$4,5)),1),FALSE))&gt;0),$B$7*(1+$B$9)^(YEAR(A31)-YEAR($B$4)),"")</f>
        <v/>
      </c>
      <c r="F31" s="105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Mgmt'!$M$5:$M$428,0))&gt;=DATE(YEAR(EDATE($B$4,5)),MONTH(EDATE($B$4,5)),1),FALSE))&gt;0),$B$8,"")</f>
        <v/>
      </c>
      <c r="G31" s="105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Mgmt'!$M$5:$M$428,0))&gt;=DATE(YEAR(EDATE($B$4,5)),MONTH(EDATE($B$4,5)),1),FALSE))&gt;0),$B$9,"")</f>
        <v/>
      </c>
      <c r="H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Mgmt'!$M$5:$M$428,0))&gt;=DATE(YEAR(EDATE($B$4,5)),MONTH(EDATE($B$4,5)),1),FALSE))&gt;0),D31*E31,"")</f>
        <v/>
      </c>
      <c r="I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Mgmt'!$M$5:$M$428,0))&gt;=DATE(YEAR(EDATE($B$4,5)),MONTH(EDATE($B$4,5)),1),FALSE))&gt;0),SUM(W31:Y31),"")</f>
        <v/>
      </c>
      <c r="J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Mgmt'!$M$5:$M$428,0))&gt;=DATE(YEAR(EDATE($B$4,5)),MONTH(EDATE($B$4,5)),1),FALSE))&gt;0),D31*F31*E31,"")</f>
        <v/>
      </c>
      <c r="K31" s="104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Mgmt'!$M$5:$M$428,0))&gt;=DATE(YEAR(EDATE($B$4,5)),MONTH(EDATE($B$4,5)),1),FALSE))&gt;0),75,"")</f>
        <v/>
      </c>
      <c r="L31" s="104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Mgmt'!$M$5:$M$428,0))&gt;=DATE(YEAR(EDATE($B$4,5)),MONTH(EDATE($B$4,5)),1),FALSE))&gt;0),50,"")</f>
        <v/>
      </c>
      <c r="M31" s="104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Mgmt'!$M$5:$M$428,0))&gt;=DATE(YEAR(EDATE($B$4,5)),MONTH(EDATE($B$4,5)),1),FALSE))&gt;0),150,"")</f>
        <v/>
      </c>
      <c r="N31" s="104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Mgmt'!$M$5:$M$428,0))&gt;=DATE(YEAR(EDATE($B$4,5)),MONTH(EDATE($B$4,5)),1),FALSE))&gt;0),125,"")</f>
        <v/>
      </c>
      <c r="O31" s="104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Mgmt'!$M$5:$M$428,0))&gt;=DATE(YEAR(EDATE($B$4,5)),MONTH(EDATE($B$4,5)),1),FALSE))&gt;0),60,"")</f>
        <v/>
      </c>
      <c r="P31" s="104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Mgmt'!$M$5:$M$428,0))&gt;=DATE(YEAR(EDATE($B$4,5)),MONTH(EDATE($B$4,5)),1),FALSE))&gt;0),80,"")</f>
        <v/>
      </c>
      <c r="Q31" s="104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Mgmt'!$M$5:$M$428,0))&gt;=DATE(YEAR(EDATE($B$4,5)),MONTH(EDATE($B$4,5)),1),FALSE))&gt;0),40,"")</f>
        <v/>
      </c>
      <c r="R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Mgmt'!$M$5:$M$428,0))&gt;=DATE(YEAR(EDATE($B$4,5)),MONTH(EDATE($B$4,5)),1),FALSE))&gt;0),IF(C31="Owned",0,2500),"")</f>
        <v/>
      </c>
      <c r="S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Mgmt'!$M$5:$M$428,0))&gt;=DATE(YEAR(EDATE($B$4,5)),MONTH(EDATE($B$4,5)),1),FALSE))&gt;0),SUM(K31:R31),"")</f>
        <v/>
      </c>
      <c r="T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Mgmt'!$M$5:$M$428,0))&gt;=DATE(YEAR(EDATE($B$4,5)),MONTH(EDATE($B$4,5)),1),FALSE))&gt;0),I31-S31,"")</f>
        <v/>
      </c>
      <c r="U31" s="105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Mgmt'!$M$5:$M$428,0))&gt;=DATE(YEAR(EDATE($B$4,5)),MONTH(EDATE($B$4,5)),1),FALSE))&gt;0),IFERROR(T31/I31,0),"")</f>
        <v/>
      </c>
      <c r="V31" s="82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W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Mgmt'!$I$5:$I$428*((IF(IF(ISNUMBER('Client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X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Mgmt'!$J$5:$J$428*((IF(IF(ISNUMBER('Client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Y31" s="130">
        <f>IF(AND(EDATE($B$4,5)&lt;=EOMONTH($B$5,0),SUMPRODUCT(('Client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Mgmt'!$M$5:$M$428,0))&gt;=DATE(YEAR(EDATE($B$4,5)),MONTH(EDATE($B$4,5)),1),FALSE))&gt;0),IFERROR(SUMPRODUCT(('Client DB &amp; Bed Mgmt'!$A$5:$A$428="Dorm 3")*('Client DB &amp; Bed Mgmt'!$D$5:$D$428&lt;&gt;"")*--IFERROR('Client DB &amp; Bed Mgmt'!$M$5:$M$428&lt;=EOMONTH(EDATE($B$4,5),0),FALSE)*--IFERROR(IF(ISNUMBER('Client DB &amp; Bed Mgmt'!$N$5:$N$428),'Client DB &amp; Bed Mgmt'!$N$5:$N$428,EOMONTH('Client DB &amp; Bed Mgmt'!$M$5:$M$428,0))&gt;=DATE(YEAR(EDATE($B$4,5)),MONTH(EDATE($B$4,5)),1),FALSE)*'Client DB &amp; Bed Mgmt'!$K$5:$K$428*((IF(IF(ISNUMBER('Client DB &amp; Bed Mgmt'!$N$5:$N$428),'Client DB &amp; Bed Mgmt'!$N$5:$N$428,EOMONTH('Client DB &amp; Bed Mgmt'!$M$5:$M$428,0))&lt;EOMONTH(EDATE($B$4,5),0),IF(ISNUMBER('Client DB &amp; Bed Mgmt'!$N$5:$N$428),'Client DB &amp; Bed Mgmt'!$N$5:$N$428,EOMONTH('Client DB &amp; Bed Mgmt'!$M$5:$M$428,0)),EOMONTH(EDATE($B$4,5),0)))-(IF('Client DB &amp; Bed Mgmt'!$M$5:$M$428&gt;DATE(YEAR(EDATE($B$4,5)),MONTH(EDATE($B$4,5)),1),'Client DB &amp; Bed Mgmt'!$M$5:$M$428,DATE(YEAR(EDATE($B$4,5)),MONTH(EDATE($B$4,5)),1)))+1)/DAY(EOMONTH(EDATE($B$4,5),0))),0),"")</f>
        <v/>
      </c>
      <c r="Z31" s="82" t="n"/>
      <c r="AA31" s="82" t="n"/>
      <c r="AB31" s="82" t="n"/>
    </row>
    <row r="32" ht="14.25" customHeight="1" s="83">
      <c r="A32" s="125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Mgmt'!$M$5:$M$428,0))&gt;=DATE(YEAR(EDATE($B$4,6)),MONTH(EDATE($B$4,6)),1),FALSE))&gt;0),EDATE($B$4,6),"")</f>
        <v/>
      </c>
      <c r="B32" s="103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Mgmt'!$M$5:$M$428,0))&gt;=DATE(YEAR(EDATE($B$4,6)),MONTH(EDATE($B$4,6)),1),FALSE))&gt;0),"Dorm 1","")</f>
        <v/>
      </c>
      <c r="C32" s="17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Mgmt'!$M$5:$M$428,0))&gt;=DATE(YEAR(EDATE($B$4,6)),MONTH(EDATE($B$4,6)),1),FALSE))&gt;0),IFERROR(_xlfn.XLOOKUP(B32,DormRegistry[Dorm Name],DormRegistry[Ownership Type]),""),"")</f>
        <v/>
      </c>
      <c r="D32" s="17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Mgmt'!$M$5:$M$428,0))&gt;=DATE(YEAR(EDATE($B$4,6)),MONTH(EDATE($B$4,6)),1),FALSE))&gt;0),IFERROR(_xlfn.XLOOKUP(B32,DormRegistry[Dorm Name],DormRegistry[Bed Capacity]),0),"")</f>
        <v/>
      </c>
      <c r="E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Mgmt'!$M$5:$M$428,0))&gt;=DATE(YEAR(EDATE($B$4,6)),MONTH(EDATE($B$4,6)),1),FALSE))&gt;0),$B$7*(1+$B$9)^(YEAR(A32)-YEAR($B$4)),"")</f>
        <v/>
      </c>
      <c r="F32" s="105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Mgmt'!$M$5:$M$428,0))&gt;=DATE(YEAR(EDATE($B$4,6)),MONTH(EDATE($B$4,6)),1),FALSE))&gt;0),$B$8,"")</f>
        <v/>
      </c>
      <c r="G32" s="105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Mgmt'!$M$5:$M$428,0))&gt;=DATE(YEAR(EDATE($B$4,6)),MONTH(EDATE($B$4,6)),1),FALSE))&gt;0),$B$9,"")</f>
        <v/>
      </c>
      <c r="H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Mgmt'!$M$5:$M$428,0))&gt;=DATE(YEAR(EDATE($B$4,6)),MONTH(EDATE($B$4,6)),1),FALSE))&gt;0),D32*E32,"")</f>
        <v/>
      </c>
      <c r="I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Mgmt'!$M$5:$M$428,0))&gt;=DATE(YEAR(EDATE($B$4,6)),MONTH(EDATE($B$4,6)),1),FALSE))&gt;0),SUM(W32:Y32),"")</f>
        <v/>
      </c>
      <c r="J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Mgmt'!$M$5:$M$428,0))&gt;=DATE(YEAR(EDATE($B$4,6)),MONTH(EDATE($B$4,6)),1),FALSE))&gt;0),D32*F32*E32,"")</f>
        <v/>
      </c>
      <c r="K32" s="104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Mgmt'!$M$5:$M$428,0))&gt;=DATE(YEAR(EDATE($B$4,6)),MONTH(EDATE($B$4,6)),1),FALSE))&gt;0),75,"")</f>
        <v/>
      </c>
      <c r="L32" s="104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Mgmt'!$M$5:$M$428,0))&gt;=DATE(YEAR(EDATE($B$4,6)),MONTH(EDATE($B$4,6)),1),FALSE))&gt;0),50,"")</f>
        <v/>
      </c>
      <c r="M32" s="104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Mgmt'!$M$5:$M$428,0))&gt;=DATE(YEAR(EDATE($B$4,6)),MONTH(EDATE($B$4,6)),1),FALSE))&gt;0),150,"")</f>
        <v/>
      </c>
      <c r="N32" s="104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Mgmt'!$M$5:$M$428,0))&gt;=DATE(YEAR(EDATE($B$4,6)),MONTH(EDATE($B$4,6)),1),FALSE))&gt;0),125,"")</f>
        <v/>
      </c>
      <c r="O32" s="104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Mgmt'!$M$5:$M$428,0))&gt;=DATE(YEAR(EDATE($B$4,6)),MONTH(EDATE($B$4,6)),1),FALSE))&gt;0),60,"")</f>
        <v/>
      </c>
      <c r="P32" s="104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Mgmt'!$M$5:$M$428,0))&gt;=DATE(YEAR(EDATE($B$4,6)),MONTH(EDATE($B$4,6)),1),FALSE))&gt;0),80,"")</f>
        <v/>
      </c>
      <c r="Q32" s="104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Mgmt'!$M$5:$M$428,0))&gt;=DATE(YEAR(EDATE($B$4,6)),MONTH(EDATE($B$4,6)),1),FALSE))&gt;0),40,"")</f>
        <v/>
      </c>
      <c r="R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Mgmt'!$M$5:$M$428,0))&gt;=DATE(YEAR(EDATE($B$4,6)),MONTH(EDATE($B$4,6)),1),FALSE))&gt;0),IF(C32="Owned",0,2500),"")</f>
        <v/>
      </c>
      <c r="S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Mgmt'!$M$5:$M$428,0))&gt;=DATE(YEAR(EDATE($B$4,6)),MONTH(EDATE($B$4,6)),1),FALSE))&gt;0),SUM(K32:R32),"")</f>
        <v/>
      </c>
      <c r="T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Mgmt'!$M$5:$M$428,0))&gt;=DATE(YEAR(EDATE($B$4,6)),MONTH(EDATE($B$4,6)),1),FALSE))&gt;0),I32-S32,"")</f>
        <v/>
      </c>
      <c r="U32" s="105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Mgmt'!$M$5:$M$428,0))&gt;=DATE(YEAR(EDATE($B$4,6)),MONTH(EDATE($B$4,6)),1),FALSE))&gt;0),IFERROR(T32/I32,0),"")</f>
        <v/>
      </c>
      <c r="V32" s="82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W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Mgmt'!$I$5:$I$428*((IF(IF(ISNUMBER('Client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X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Mgmt'!$J$5:$J$428*((IF(IF(ISNUMBER('Client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Y32" s="130">
        <f>IF(AND(EDATE($B$4,6)&lt;=EOMONTH($B$5,0),SUMPRODUCT(('Client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1")*('Client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Mgmt'!$K$5:$K$428*((IF(IF(ISNUMBER('Client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Z32" s="82" t="n"/>
      <c r="AA32" s="82" t="n"/>
      <c r="AB32" s="82" t="n"/>
    </row>
    <row r="33" hidden="1" ht="14.25" customHeight="1" s="83">
      <c r="A33" s="125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Mgmt'!$M$5:$M$428,0))&gt;=DATE(YEAR(EDATE($B$4,6)),MONTH(EDATE($B$4,6)),1),FALSE))&gt;0),EDATE($B$4,6),"")</f>
        <v/>
      </c>
      <c r="B33" s="103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Mgmt'!$M$5:$M$428,0))&gt;=DATE(YEAR(EDATE($B$4,6)),MONTH(EDATE($B$4,6)),1),FALSE))&gt;0),"Dorm 2","")</f>
        <v/>
      </c>
      <c r="C33" s="17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Mgmt'!$M$5:$M$428,0))&gt;=DATE(YEAR(EDATE($B$4,6)),MONTH(EDATE($B$4,6)),1),FALSE))&gt;0),IFERROR(_xlfn.XLOOKUP(B33,DormRegistry[Dorm Name],DormRegistry[Ownership Type]),""),"")</f>
        <v/>
      </c>
      <c r="D33" s="17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Mgmt'!$M$5:$M$428,0))&gt;=DATE(YEAR(EDATE($B$4,6)),MONTH(EDATE($B$4,6)),1),FALSE))&gt;0),IFERROR(_xlfn.XLOOKUP(B33,DormRegistry[Dorm Name],DormRegistry[Bed Capacity]),0),"")</f>
        <v/>
      </c>
      <c r="E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Mgmt'!$M$5:$M$428,0))&gt;=DATE(YEAR(EDATE($B$4,6)),MONTH(EDATE($B$4,6)),1),FALSE))&gt;0),$B$7*(1+$B$9)^(YEAR(A33)-YEAR($B$4)),"")</f>
        <v/>
      </c>
      <c r="F33" s="105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Mgmt'!$M$5:$M$428,0))&gt;=DATE(YEAR(EDATE($B$4,6)),MONTH(EDATE($B$4,6)),1),FALSE))&gt;0),$B$8,"")</f>
        <v/>
      </c>
      <c r="G33" s="105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Mgmt'!$M$5:$M$428,0))&gt;=DATE(YEAR(EDATE($B$4,6)),MONTH(EDATE($B$4,6)),1),FALSE))&gt;0),$B$9,"")</f>
        <v/>
      </c>
      <c r="H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Mgmt'!$M$5:$M$428,0))&gt;=DATE(YEAR(EDATE($B$4,6)),MONTH(EDATE($B$4,6)),1),FALSE))&gt;0),D33*E33,"")</f>
        <v/>
      </c>
      <c r="I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Mgmt'!$M$5:$M$428,0))&gt;=DATE(YEAR(EDATE($B$4,6)),MONTH(EDATE($B$4,6)),1),FALSE))&gt;0),SUM(W33:Y33),"")</f>
        <v/>
      </c>
      <c r="J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Mgmt'!$M$5:$M$428,0))&gt;=DATE(YEAR(EDATE($B$4,6)),MONTH(EDATE($B$4,6)),1),FALSE))&gt;0),D33*F33*E33,"")</f>
        <v/>
      </c>
      <c r="K33" s="104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Mgmt'!$M$5:$M$428,0))&gt;=DATE(YEAR(EDATE($B$4,6)),MONTH(EDATE($B$4,6)),1),FALSE))&gt;0),75,"")</f>
        <v/>
      </c>
      <c r="L33" s="104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Mgmt'!$M$5:$M$428,0))&gt;=DATE(YEAR(EDATE($B$4,6)),MONTH(EDATE($B$4,6)),1),FALSE))&gt;0),50,"")</f>
        <v/>
      </c>
      <c r="M33" s="104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Mgmt'!$M$5:$M$428,0))&gt;=DATE(YEAR(EDATE($B$4,6)),MONTH(EDATE($B$4,6)),1),FALSE))&gt;0),150,"")</f>
        <v/>
      </c>
      <c r="N33" s="104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Mgmt'!$M$5:$M$428,0))&gt;=DATE(YEAR(EDATE($B$4,6)),MONTH(EDATE($B$4,6)),1),FALSE))&gt;0),125,"")</f>
        <v/>
      </c>
      <c r="O33" s="104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Mgmt'!$M$5:$M$428,0))&gt;=DATE(YEAR(EDATE($B$4,6)),MONTH(EDATE($B$4,6)),1),FALSE))&gt;0),60,"")</f>
        <v/>
      </c>
      <c r="P33" s="104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Mgmt'!$M$5:$M$428,0))&gt;=DATE(YEAR(EDATE($B$4,6)),MONTH(EDATE($B$4,6)),1),FALSE))&gt;0),80,"")</f>
        <v/>
      </c>
      <c r="Q33" s="104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Mgmt'!$M$5:$M$428,0))&gt;=DATE(YEAR(EDATE($B$4,6)),MONTH(EDATE($B$4,6)),1),FALSE))&gt;0),40,"")</f>
        <v/>
      </c>
      <c r="R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Mgmt'!$M$5:$M$428,0))&gt;=DATE(YEAR(EDATE($B$4,6)),MONTH(EDATE($B$4,6)),1),FALSE))&gt;0),IF(C33="Owned",0,2500),"")</f>
        <v/>
      </c>
      <c r="S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Mgmt'!$M$5:$M$428,0))&gt;=DATE(YEAR(EDATE($B$4,6)),MONTH(EDATE($B$4,6)),1),FALSE))&gt;0),SUM(K33:R33),"")</f>
        <v/>
      </c>
      <c r="T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Mgmt'!$M$5:$M$428,0))&gt;=DATE(YEAR(EDATE($B$4,6)),MONTH(EDATE($B$4,6)),1),FALSE))&gt;0),I33-S33,"")</f>
        <v/>
      </c>
      <c r="U33" s="105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Mgmt'!$M$5:$M$428,0))&gt;=DATE(YEAR(EDATE($B$4,6)),MONTH(EDATE($B$4,6)),1),FALSE))&gt;0),IFERROR(T33/I33,0),"")</f>
        <v/>
      </c>
      <c r="V33" s="82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W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Mgmt'!$I$5:$I$428*((IF(IF(ISNUMBER('Client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X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Mgmt'!$J$5:$J$428*((IF(IF(ISNUMBER('Client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Y33" s="130">
        <f>IF(AND(EDATE($B$4,6)&lt;=EOMONTH($B$5,0),SUMPRODUCT(('Client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2")*('Client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Mgmt'!$K$5:$K$428*((IF(IF(ISNUMBER('Client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Z33" s="82" t="n"/>
      <c r="AA33" s="82" t="n"/>
      <c r="AB33" s="82" t="n"/>
    </row>
    <row r="34" hidden="1" ht="14.25" customHeight="1" s="83">
      <c r="A34" s="125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Mgmt'!$M$5:$M$428,0))&gt;=DATE(YEAR(EDATE($B$4,6)),MONTH(EDATE($B$4,6)),1),FALSE))&gt;0),EDATE($B$4,6),"")</f>
        <v/>
      </c>
      <c r="B34" s="103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Mgmt'!$M$5:$M$428,0))&gt;=DATE(YEAR(EDATE($B$4,6)),MONTH(EDATE($B$4,6)),1),FALSE))&gt;0),"Dorm 3","")</f>
        <v/>
      </c>
      <c r="C34" s="17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Mgmt'!$M$5:$M$428,0))&gt;=DATE(YEAR(EDATE($B$4,6)),MONTH(EDATE($B$4,6)),1),FALSE))&gt;0),IFERROR(_xlfn.XLOOKUP(B34,DormRegistry[Dorm Name],DormRegistry[Ownership Type]),""),"")</f>
        <v/>
      </c>
      <c r="D34" s="17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Mgmt'!$M$5:$M$428,0))&gt;=DATE(YEAR(EDATE($B$4,6)),MONTH(EDATE($B$4,6)),1),FALSE))&gt;0),IFERROR(_xlfn.XLOOKUP(B34,DormRegistry[Dorm Name],DormRegistry[Bed Capacity]),0),"")</f>
        <v/>
      </c>
      <c r="E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Mgmt'!$M$5:$M$428,0))&gt;=DATE(YEAR(EDATE($B$4,6)),MONTH(EDATE($B$4,6)),1),FALSE))&gt;0),$B$7*(1+$B$9)^(YEAR(A34)-YEAR($B$4)),"")</f>
        <v/>
      </c>
      <c r="F34" s="105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Mgmt'!$M$5:$M$428,0))&gt;=DATE(YEAR(EDATE($B$4,6)),MONTH(EDATE($B$4,6)),1),FALSE))&gt;0),$B$8,"")</f>
        <v/>
      </c>
      <c r="G34" s="105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Mgmt'!$M$5:$M$428,0))&gt;=DATE(YEAR(EDATE($B$4,6)),MONTH(EDATE($B$4,6)),1),FALSE))&gt;0),$B$9,"")</f>
        <v/>
      </c>
      <c r="H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Mgmt'!$M$5:$M$428,0))&gt;=DATE(YEAR(EDATE($B$4,6)),MONTH(EDATE($B$4,6)),1),FALSE))&gt;0),D34*E34,"")</f>
        <v/>
      </c>
      <c r="I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Mgmt'!$M$5:$M$428,0))&gt;=DATE(YEAR(EDATE($B$4,6)),MONTH(EDATE($B$4,6)),1),FALSE))&gt;0),SUM(W34:Y34),"")</f>
        <v/>
      </c>
      <c r="J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Mgmt'!$M$5:$M$428,0))&gt;=DATE(YEAR(EDATE($B$4,6)),MONTH(EDATE($B$4,6)),1),FALSE))&gt;0),D34*F34*E34,"")</f>
        <v/>
      </c>
      <c r="K34" s="104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Mgmt'!$M$5:$M$428,0))&gt;=DATE(YEAR(EDATE($B$4,6)),MONTH(EDATE($B$4,6)),1),FALSE))&gt;0),75,"")</f>
        <v/>
      </c>
      <c r="L34" s="104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Mgmt'!$M$5:$M$428,0))&gt;=DATE(YEAR(EDATE($B$4,6)),MONTH(EDATE($B$4,6)),1),FALSE))&gt;0),50,"")</f>
        <v/>
      </c>
      <c r="M34" s="104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Mgmt'!$M$5:$M$428,0))&gt;=DATE(YEAR(EDATE($B$4,6)),MONTH(EDATE($B$4,6)),1),FALSE))&gt;0),150,"")</f>
        <v/>
      </c>
      <c r="N34" s="104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Mgmt'!$M$5:$M$428,0))&gt;=DATE(YEAR(EDATE($B$4,6)),MONTH(EDATE($B$4,6)),1),FALSE))&gt;0),125,"")</f>
        <v/>
      </c>
      <c r="O34" s="104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Mgmt'!$M$5:$M$428,0))&gt;=DATE(YEAR(EDATE($B$4,6)),MONTH(EDATE($B$4,6)),1),FALSE))&gt;0),60,"")</f>
        <v/>
      </c>
      <c r="P34" s="104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Mgmt'!$M$5:$M$428,0))&gt;=DATE(YEAR(EDATE($B$4,6)),MONTH(EDATE($B$4,6)),1),FALSE))&gt;0),80,"")</f>
        <v/>
      </c>
      <c r="Q34" s="104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Mgmt'!$M$5:$M$428,0))&gt;=DATE(YEAR(EDATE($B$4,6)),MONTH(EDATE($B$4,6)),1),FALSE))&gt;0),40,"")</f>
        <v/>
      </c>
      <c r="R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Mgmt'!$M$5:$M$428,0))&gt;=DATE(YEAR(EDATE($B$4,6)),MONTH(EDATE($B$4,6)),1),FALSE))&gt;0),IF(C34="Owned",0,2500),"")</f>
        <v/>
      </c>
      <c r="S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Mgmt'!$M$5:$M$428,0))&gt;=DATE(YEAR(EDATE($B$4,6)),MONTH(EDATE($B$4,6)),1),FALSE))&gt;0),SUM(K34:R34),"")</f>
        <v/>
      </c>
      <c r="T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Mgmt'!$M$5:$M$428,0))&gt;=DATE(YEAR(EDATE($B$4,6)),MONTH(EDATE($B$4,6)),1),FALSE))&gt;0),I34-S34,"")</f>
        <v/>
      </c>
      <c r="U34" s="105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Mgmt'!$M$5:$M$428,0))&gt;=DATE(YEAR(EDATE($B$4,6)),MONTH(EDATE($B$4,6)),1),FALSE))&gt;0),IFERROR(T34/I34,0),"")</f>
        <v/>
      </c>
      <c r="V34" s="82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W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Mgmt'!$I$5:$I$428*((IF(IF(ISNUMBER('Client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X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Mgmt'!$J$5:$J$428*((IF(IF(ISNUMBER('Client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Y34" s="130">
        <f>IF(AND(EDATE($B$4,6)&lt;=EOMONTH($B$5,0),SUMPRODUCT(('Client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Mgmt'!$M$5:$M$428,0))&gt;=DATE(YEAR(EDATE($B$4,6)),MONTH(EDATE($B$4,6)),1),FALSE))&gt;0),IFERROR(SUMPRODUCT(('Client DB &amp; Bed Mgmt'!$A$5:$A$428="Dorm 3")*('Client DB &amp; Bed Mgmt'!$D$5:$D$428&lt;&gt;"")*--IFERROR('Client DB &amp; Bed Mgmt'!$M$5:$M$428&lt;=EOMONTH(EDATE($B$4,6),0),FALSE)*--IFERROR(IF(ISNUMBER('Client DB &amp; Bed Mgmt'!$N$5:$N$428),'Client DB &amp; Bed Mgmt'!$N$5:$N$428,EOMONTH('Client DB &amp; Bed Mgmt'!$M$5:$M$428,0))&gt;=DATE(YEAR(EDATE($B$4,6)),MONTH(EDATE($B$4,6)),1),FALSE)*'Client DB &amp; Bed Mgmt'!$K$5:$K$428*((IF(IF(ISNUMBER('Client DB &amp; Bed Mgmt'!$N$5:$N$428),'Client DB &amp; Bed Mgmt'!$N$5:$N$428,EOMONTH('Client DB &amp; Bed Mgmt'!$M$5:$M$428,0))&lt;EOMONTH(EDATE($B$4,6),0),IF(ISNUMBER('Client DB &amp; Bed Mgmt'!$N$5:$N$428),'Client DB &amp; Bed Mgmt'!$N$5:$N$428,EOMONTH('Client DB &amp; Bed Mgmt'!$M$5:$M$428,0)),EOMONTH(EDATE($B$4,6),0)))-(IF('Client DB &amp; Bed Mgmt'!$M$5:$M$428&gt;DATE(YEAR(EDATE($B$4,6)),MONTH(EDATE($B$4,6)),1),'Client DB &amp; Bed Mgmt'!$M$5:$M$428,DATE(YEAR(EDATE($B$4,6)),MONTH(EDATE($B$4,6)),1)))+1)/DAY(EOMONTH(EDATE($B$4,6),0))),0),"")</f>
        <v/>
      </c>
      <c r="Z34" s="82" t="n"/>
      <c r="AA34" s="82" t="n"/>
      <c r="AB34" s="82" t="n"/>
    </row>
    <row r="35" ht="14.25" customHeight="1" s="83">
      <c r="A35" s="125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Mgmt'!$M$5:$M$428,0))&gt;=DATE(YEAR(EDATE($B$4,7)),MONTH(EDATE($B$4,7)),1),FALSE))&gt;0),EDATE($B$4,7),"")</f>
        <v/>
      </c>
      <c r="B35" s="103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Mgmt'!$M$5:$M$428,0))&gt;=DATE(YEAR(EDATE($B$4,7)),MONTH(EDATE($B$4,7)),1),FALSE))&gt;0),"Dorm 1","")</f>
        <v/>
      </c>
      <c r="C35" s="17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Mgmt'!$M$5:$M$428,0))&gt;=DATE(YEAR(EDATE($B$4,7)),MONTH(EDATE($B$4,7)),1),FALSE))&gt;0),IFERROR(_xlfn.XLOOKUP(B35,DormRegistry[Dorm Name],DormRegistry[Ownership Type]),""),"")</f>
        <v/>
      </c>
      <c r="D35" s="17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Mgmt'!$M$5:$M$428,0))&gt;=DATE(YEAR(EDATE($B$4,7)),MONTH(EDATE($B$4,7)),1),FALSE))&gt;0),IFERROR(_xlfn.XLOOKUP(B35,DormRegistry[Dorm Name],DormRegistry[Bed Capacity]),0),"")</f>
        <v/>
      </c>
      <c r="E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Mgmt'!$M$5:$M$428,0))&gt;=DATE(YEAR(EDATE($B$4,7)),MONTH(EDATE($B$4,7)),1),FALSE))&gt;0),$B$7*(1+$B$9)^(YEAR(A35)-YEAR($B$4)),"")</f>
        <v/>
      </c>
      <c r="F35" s="105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Mgmt'!$M$5:$M$428,0))&gt;=DATE(YEAR(EDATE($B$4,7)),MONTH(EDATE($B$4,7)),1),FALSE))&gt;0),$B$8,"")</f>
        <v/>
      </c>
      <c r="G35" s="105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Mgmt'!$M$5:$M$428,0))&gt;=DATE(YEAR(EDATE($B$4,7)),MONTH(EDATE($B$4,7)),1),FALSE))&gt;0),$B$9,"")</f>
        <v/>
      </c>
      <c r="H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Mgmt'!$M$5:$M$428,0))&gt;=DATE(YEAR(EDATE($B$4,7)),MONTH(EDATE($B$4,7)),1),FALSE))&gt;0),D35*E35,"")</f>
        <v/>
      </c>
      <c r="I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Mgmt'!$M$5:$M$428,0))&gt;=DATE(YEAR(EDATE($B$4,7)),MONTH(EDATE($B$4,7)),1),FALSE))&gt;0),SUM(W35:Y35),"")</f>
        <v/>
      </c>
      <c r="J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Mgmt'!$M$5:$M$428,0))&gt;=DATE(YEAR(EDATE($B$4,7)),MONTH(EDATE($B$4,7)),1),FALSE))&gt;0),D35*F35*E35,"")</f>
        <v/>
      </c>
      <c r="K35" s="104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Mgmt'!$M$5:$M$428,0))&gt;=DATE(YEAR(EDATE($B$4,7)),MONTH(EDATE($B$4,7)),1),FALSE))&gt;0),75,"")</f>
        <v/>
      </c>
      <c r="L35" s="104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Mgmt'!$M$5:$M$428,0))&gt;=DATE(YEAR(EDATE($B$4,7)),MONTH(EDATE($B$4,7)),1),FALSE))&gt;0),50,"")</f>
        <v/>
      </c>
      <c r="M35" s="104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Mgmt'!$M$5:$M$428,0))&gt;=DATE(YEAR(EDATE($B$4,7)),MONTH(EDATE($B$4,7)),1),FALSE))&gt;0),150,"")</f>
        <v/>
      </c>
      <c r="N35" s="104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Mgmt'!$M$5:$M$428,0))&gt;=DATE(YEAR(EDATE($B$4,7)),MONTH(EDATE($B$4,7)),1),FALSE))&gt;0),125,"")</f>
        <v/>
      </c>
      <c r="O35" s="104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Mgmt'!$M$5:$M$428,0))&gt;=DATE(YEAR(EDATE($B$4,7)),MONTH(EDATE($B$4,7)),1),FALSE))&gt;0),60,"")</f>
        <v/>
      </c>
      <c r="P35" s="104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Mgmt'!$M$5:$M$428,0))&gt;=DATE(YEAR(EDATE($B$4,7)),MONTH(EDATE($B$4,7)),1),FALSE))&gt;0),80,"")</f>
        <v/>
      </c>
      <c r="Q35" s="104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Mgmt'!$M$5:$M$428,0))&gt;=DATE(YEAR(EDATE($B$4,7)),MONTH(EDATE($B$4,7)),1),FALSE))&gt;0),40,"")</f>
        <v/>
      </c>
      <c r="R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Mgmt'!$M$5:$M$428,0))&gt;=DATE(YEAR(EDATE($B$4,7)),MONTH(EDATE($B$4,7)),1),FALSE))&gt;0),IF(C35="Owned",0,2500),"")</f>
        <v/>
      </c>
      <c r="S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Mgmt'!$M$5:$M$428,0))&gt;=DATE(YEAR(EDATE($B$4,7)),MONTH(EDATE($B$4,7)),1),FALSE))&gt;0),SUM(K35:R35),"")</f>
        <v/>
      </c>
      <c r="T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Mgmt'!$M$5:$M$428,0))&gt;=DATE(YEAR(EDATE($B$4,7)),MONTH(EDATE($B$4,7)),1),FALSE))&gt;0),I35-S35,"")</f>
        <v/>
      </c>
      <c r="U35" s="105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Mgmt'!$M$5:$M$428,0))&gt;=DATE(YEAR(EDATE($B$4,7)),MONTH(EDATE($B$4,7)),1),FALSE))&gt;0),IFERROR(T35/I35,0),"")</f>
        <v/>
      </c>
      <c r="V35" s="82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W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Mgmt'!$I$5:$I$428*((IF(IF(ISNUMBER('Client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X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Mgmt'!$J$5:$J$428*((IF(IF(ISNUMBER('Client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Y35" s="130">
        <f>IF(AND(EDATE($B$4,7)&lt;=EOMONTH($B$5,0),SUMPRODUCT(('Client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1")*('Client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Mgmt'!$K$5:$K$428*((IF(IF(ISNUMBER('Client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Z35" s="82" t="n"/>
      <c r="AA35" s="82" t="n"/>
      <c r="AB35" s="82" t="n"/>
    </row>
    <row r="36" hidden="1" ht="14.25" customHeight="1" s="83">
      <c r="A36" s="125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Mgmt'!$M$5:$M$428,0))&gt;=DATE(YEAR(EDATE($B$4,7)),MONTH(EDATE($B$4,7)),1),FALSE))&gt;0),EDATE($B$4,7),"")</f>
        <v/>
      </c>
      <c r="B36" s="103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Mgmt'!$M$5:$M$428,0))&gt;=DATE(YEAR(EDATE($B$4,7)),MONTH(EDATE($B$4,7)),1),FALSE))&gt;0),"Dorm 2","")</f>
        <v/>
      </c>
      <c r="C36" s="17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Mgmt'!$M$5:$M$428,0))&gt;=DATE(YEAR(EDATE($B$4,7)),MONTH(EDATE($B$4,7)),1),FALSE))&gt;0),IFERROR(_xlfn.XLOOKUP(B36,DormRegistry[Dorm Name],DormRegistry[Ownership Type]),""),"")</f>
        <v/>
      </c>
      <c r="D36" s="17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Mgmt'!$M$5:$M$428,0))&gt;=DATE(YEAR(EDATE($B$4,7)),MONTH(EDATE($B$4,7)),1),FALSE))&gt;0),IFERROR(_xlfn.XLOOKUP(B36,DormRegistry[Dorm Name],DormRegistry[Bed Capacity]),0),"")</f>
        <v/>
      </c>
      <c r="E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Mgmt'!$M$5:$M$428,0))&gt;=DATE(YEAR(EDATE($B$4,7)),MONTH(EDATE($B$4,7)),1),FALSE))&gt;0),$B$7*(1+$B$9)^(YEAR(A36)-YEAR($B$4)),"")</f>
        <v/>
      </c>
      <c r="F36" s="105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Mgmt'!$M$5:$M$428,0))&gt;=DATE(YEAR(EDATE($B$4,7)),MONTH(EDATE($B$4,7)),1),FALSE))&gt;0),$B$8,"")</f>
        <v/>
      </c>
      <c r="G36" s="105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Mgmt'!$M$5:$M$428,0))&gt;=DATE(YEAR(EDATE($B$4,7)),MONTH(EDATE($B$4,7)),1),FALSE))&gt;0),$B$9,"")</f>
        <v/>
      </c>
      <c r="H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Mgmt'!$M$5:$M$428,0))&gt;=DATE(YEAR(EDATE($B$4,7)),MONTH(EDATE($B$4,7)),1),FALSE))&gt;0),D36*E36,"")</f>
        <v/>
      </c>
      <c r="I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Mgmt'!$M$5:$M$428,0))&gt;=DATE(YEAR(EDATE($B$4,7)),MONTH(EDATE($B$4,7)),1),FALSE))&gt;0),SUM(W36:Y36),"")</f>
        <v/>
      </c>
      <c r="J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Mgmt'!$M$5:$M$428,0))&gt;=DATE(YEAR(EDATE($B$4,7)),MONTH(EDATE($B$4,7)),1),FALSE))&gt;0),D36*F36*E36,"")</f>
        <v/>
      </c>
      <c r="K36" s="104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Mgmt'!$M$5:$M$428,0))&gt;=DATE(YEAR(EDATE($B$4,7)),MONTH(EDATE($B$4,7)),1),FALSE))&gt;0),75,"")</f>
        <v/>
      </c>
      <c r="L36" s="104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Mgmt'!$M$5:$M$428,0))&gt;=DATE(YEAR(EDATE($B$4,7)),MONTH(EDATE($B$4,7)),1),FALSE))&gt;0),50,"")</f>
        <v/>
      </c>
      <c r="M36" s="104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Mgmt'!$M$5:$M$428,0))&gt;=DATE(YEAR(EDATE($B$4,7)),MONTH(EDATE($B$4,7)),1),FALSE))&gt;0),150,"")</f>
        <v/>
      </c>
      <c r="N36" s="104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Mgmt'!$M$5:$M$428,0))&gt;=DATE(YEAR(EDATE($B$4,7)),MONTH(EDATE($B$4,7)),1),FALSE))&gt;0),125,"")</f>
        <v/>
      </c>
      <c r="O36" s="104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Mgmt'!$M$5:$M$428,0))&gt;=DATE(YEAR(EDATE($B$4,7)),MONTH(EDATE($B$4,7)),1),FALSE))&gt;0),60,"")</f>
        <v/>
      </c>
      <c r="P36" s="104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Mgmt'!$M$5:$M$428,0))&gt;=DATE(YEAR(EDATE($B$4,7)),MONTH(EDATE($B$4,7)),1),FALSE))&gt;0),80,"")</f>
        <v/>
      </c>
      <c r="Q36" s="104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Mgmt'!$M$5:$M$428,0))&gt;=DATE(YEAR(EDATE($B$4,7)),MONTH(EDATE($B$4,7)),1),FALSE))&gt;0),40,"")</f>
        <v/>
      </c>
      <c r="R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Mgmt'!$M$5:$M$428,0))&gt;=DATE(YEAR(EDATE($B$4,7)),MONTH(EDATE($B$4,7)),1),FALSE))&gt;0),IF(C36="Owned",0,2500),"")</f>
        <v/>
      </c>
      <c r="S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Mgmt'!$M$5:$M$428,0))&gt;=DATE(YEAR(EDATE($B$4,7)),MONTH(EDATE($B$4,7)),1),FALSE))&gt;0),SUM(K36:R36),"")</f>
        <v/>
      </c>
      <c r="T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Mgmt'!$M$5:$M$428,0))&gt;=DATE(YEAR(EDATE($B$4,7)),MONTH(EDATE($B$4,7)),1),FALSE))&gt;0),I36-S36,"")</f>
        <v/>
      </c>
      <c r="U36" s="105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Mgmt'!$M$5:$M$428,0))&gt;=DATE(YEAR(EDATE($B$4,7)),MONTH(EDATE($B$4,7)),1),FALSE))&gt;0),IFERROR(T36/I36,0),"")</f>
        <v/>
      </c>
      <c r="V36" s="82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W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Mgmt'!$I$5:$I$428*((IF(IF(ISNUMBER('Client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X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Mgmt'!$J$5:$J$428*((IF(IF(ISNUMBER('Client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Y36" s="130">
        <f>IF(AND(EDATE($B$4,7)&lt;=EOMONTH($B$5,0),SUMPRODUCT(('Client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2")*('Client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Mgmt'!$K$5:$K$428*((IF(IF(ISNUMBER('Client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Z36" s="82" t="n"/>
      <c r="AA36" s="82" t="n"/>
      <c r="AB36" s="82" t="n"/>
    </row>
    <row r="37" hidden="1" ht="14.25" customHeight="1" s="83">
      <c r="A37" s="125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Mgmt'!$M$5:$M$428,0))&gt;=DATE(YEAR(EDATE($B$4,7)),MONTH(EDATE($B$4,7)),1),FALSE))&gt;0),EDATE($B$4,7),"")</f>
        <v/>
      </c>
      <c r="B37" s="103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Mgmt'!$M$5:$M$428,0))&gt;=DATE(YEAR(EDATE($B$4,7)),MONTH(EDATE($B$4,7)),1),FALSE))&gt;0),"Dorm 3","")</f>
        <v/>
      </c>
      <c r="C37" s="17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Mgmt'!$M$5:$M$428,0))&gt;=DATE(YEAR(EDATE($B$4,7)),MONTH(EDATE($B$4,7)),1),FALSE))&gt;0),IFERROR(_xlfn.XLOOKUP(B37,DormRegistry[Dorm Name],DormRegistry[Ownership Type]),""),"")</f>
        <v/>
      </c>
      <c r="D37" s="17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Mgmt'!$M$5:$M$428,0))&gt;=DATE(YEAR(EDATE($B$4,7)),MONTH(EDATE($B$4,7)),1),FALSE))&gt;0),IFERROR(_xlfn.XLOOKUP(B37,DormRegistry[Dorm Name],DormRegistry[Bed Capacity]),0),"")</f>
        <v/>
      </c>
      <c r="E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Mgmt'!$M$5:$M$428,0))&gt;=DATE(YEAR(EDATE($B$4,7)),MONTH(EDATE($B$4,7)),1),FALSE))&gt;0),$B$7*(1+$B$9)^(YEAR(A37)-YEAR($B$4)),"")</f>
        <v/>
      </c>
      <c r="F37" s="105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Mgmt'!$M$5:$M$428,0))&gt;=DATE(YEAR(EDATE($B$4,7)),MONTH(EDATE($B$4,7)),1),FALSE))&gt;0),$B$8,"")</f>
        <v/>
      </c>
      <c r="G37" s="105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Mgmt'!$M$5:$M$428,0))&gt;=DATE(YEAR(EDATE($B$4,7)),MONTH(EDATE($B$4,7)),1),FALSE))&gt;0),$B$9,"")</f>
        <v/>
      </c>
      <c r="H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Mgmt'!$M$5:$M$428,0))&gt;=DATE(YEAR(EDATE($B$4,7)),MONTH(EDATE($B$4,7)),1),FALSE))&gt;0),D37*E37,"")</f>
        <v/>
      </c>
      <c r="I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Mgmt'!$M$5:$M$428,0))&gt;=DATE(YEAR(EDATE($B$4,7)),MONTH(EDATE($B$4,7)),1),FALSE))&gt;0),SUM(W37:Y37),"")</f>
        <v/>
      </c>
      <c r="J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Mgmt'!$M$5:$M$428,0))&gt;=DATE(YEAR(EDATE($B$4,7)),MONTH(EDATE($B$4,7)),1),FALSE))&gt;0),D37*F37*E37,"")</f>
        <v/>
      </c>
      <c r="K37" s="104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Mgmt'!$M$5:$M$428,0))&gt;=DATE(YEAR(EDATE($B$4,7)),MONTH(EDATE($B$4,7)),1),FALSE))&gt;0),75,"")</f>
        <v/>
      </c>
      <c r="L37" s="104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Mgmt'!$M$5:$M$428,0))&gt;=DATE(YEAR(EDATE($B$4,7)),MONTH(EDATE($B$4,7)),1),FALSE))&gt;0),50,"")</f>
        <v/>
      </c>
      <c r="M37" s="104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Mgmt'!$M$5:$M$428,0))&gt;=DATE(YEAR(EDATE($B$4,7)),MONTH(EDATE($B$4,7)),1),FALSE))&gt;0),150,"")</f>
        <v/>
      </c>
      <c r="N37" s="104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Mgmt'!$M$5:$M$428,0))&gt;=DATE(YEAR(EDATE($B$4,7)),MONTH(EDATE($B$4,7)),1),FALSE))&gt;0),125,"")</f>
        <v/>
      </c>
      <c r="O37" s="104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Mgmt'!$M$5:$M$428,0))&gt;=DATE(YEAR(EDATE($B$4,7)),MONTH(EDATE($B$4,7)),1),FALSE))&gt;0),60,"")</f>
        <v/>
      </c>
      <c r="P37" s="104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Mgmt'!$M$5:$M$428,0))&gt;=DATE(YEAR(EDATE($B$4,7)),MONTH(EDATE($B$4,7)),1),FALSE))&gt;0),80,"")</f>
        <v/>
      </c>
      <c r="Q37" s="104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Mgmt'!$M$5:$M$428,0))&gt;=DATE(YEAR(EDATE($B$4,7)),MONTH(EDATE($B$4,7)),1),FALSE))&gt;0),40,"")</f>
        <v/>
      </c>
      <c r="R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Mgmt'!$M$5:$M$428,0))&gt;=DATE(YEAR(EDATE($B$4,7)),MONTH(EDATE($B$4,7)),1),FALSE))&gt;0),IF(C37="Owned",0,2500),"")</f>
        <v/>
      </c>
      <c r="S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Mgmt'!$M$5:$M$428,0))&gt;=DATE(YEAR(EDATE($B$4,7)),MONTH(EDATE($B$4,7)),1),FALSE))&gt;0),SUM(K37:R37),"")</f>
        <v/>
      </c>
      <c r="T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Mgmt'!$M$5:$M$428,0))&gt;=DATE(YEAR(EDATE($B$4,7)),MONTH(EDATE($B$4,7)),1),FALSE))&gt;0),I37-S37,"")</f>
        <v/>
      </c>
      <c r="U37" s="105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Mgmt'!$M$5:$M$428,0))&gt;=DATE(YEAR(EDATE($B$4,7)),MONTH(EDATE($B$4,7)),1),FALSE))&gt;0),IFERROR(T37/I37,0),"")</f>
        <v/>
      </c>
      <c r="V37" s="82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W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Mgmt'!$I$5:$I$428*((IF(IF(ISNUMBER('Client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X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Mgmt'!$J$5:$J$428*((IF(IF(ISNUMBER('Client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Y37" s="130">
        <f>IF(AND(EDATE($B$4,7)&lt;=EOMONTH($B$5,0),SUMPRODUCT(('Client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Mgmt'!$M$5:$M$428,0))&gt;=DATE(YEAR(EDATE($B$4,7)),MONTH(EDATE($B$4,7)),1),FALSE))&gt;0),IFERROR(SUMPRODUCT(('Client DB &amp; Bed Mgmt'!$A$5:$A$428="Dorm 3")*('Client DB &amp; Bed Mgmt'!$D$5:$D$428&lt;&gt;"")*--IFERROR('Client DB &amp; Bed Mgmt'!$M$5:$M$428&lt;=EOMONTH(EDATE($B$4,7),0),FALSE)*--IFERROR(IF(ISNUMBER('Client DB &amp; Bed Mgmt'!$N$5:$N$428),'Client DB &amp; Bed Mgmt'!$N$5:$N$428,EOMONTH('Client DB &amp; Bed Mgmt'!$M$5:$M$428,0))&gt;=DATE(YEAR(EDATE($B$4,7)),MONTH(EDATE($B$4,7)),1),FALSE)*'Client DB &amp; Bed Mgmt'!$K$5:$K$428*((IF(IF(ISNUMBER('Client DB &amp; Bed Mgmt'!$N$5:$N$428),'Client DB &amp; Bed Mgmt'!$N$5:$N$428,EOMONTH('Client DB &amp; Bed Mgmt'!$M$5:$M$428,0))&lt;EOMONTH(EDATE($B$4,7),0),IF(ISNUMBER('Client DB &amp; Bed Mgmt'!$N$5:$N$428),'Client DB &amp; Bed Mgmt'!$N$5:$N$428,EOMONTH('Client DB &amp; Bed Mgmt'!$M$5:$M$428,0)),EOMONTH(EDATE($B$4,7),0)))-(IF('Client DB &amp; Bed Mgmt'!$M$5:$M$428&gt;DATE(YEAR(EDATE($B$4,7)),MONTH(EDATE($B$4,7)),1),'Client DB &amp; Bed Mgmt'!$M$5:$M$428,DATE(YEAR(EDATE($B$4,7)),MONTH(EDATE($B$4,7)),1)))+1)/DAY(EOMONTH(EDATE($B$4,7),0))),0),"")</f>
        <v/>
      </c>
      <c r="Z37" s="82" t="n"/>
      <c r="AA37" s="82" t="n"/>
      <c r="AB37" s="82" t="n"/>
    </row>
    <row r="38" ht="14.25" customHeight="1" s="83">
      <c r="A38" s="125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Mgmt'!$M$5:$M$428,0))&gt;=DATE(YEAR(EDATE($B$4,8)),MONTH(EDATE($B$4,8)),1),FALSE))&gt;0),EDATE($B$4,8),"")</f>
        <v/>
      </c>
      <c r="B38" s="103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Mgmt'!$M$5:$M$428,0))&gt;=DATE(YEAR(EDATE($B$4,8)),MONTH(EDATE($B$4,8)),1),FALSE))&gt;0),"Dorm 1","")</f>
        <v/>
      </c>
      <c r="C38" s="17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Mgmt'!$M$5:$M$428,0))&gt;=DATE(YEAR(EDATE($B$4,8)),MONTH(EDATE($B$4,8)),1),FALSE))&gt;0),IFERROR(_xlfn.XLOOKUP(B38,DormRegistry[Dorm Name],DormRegistry[Ownership Type]),""),"")</f>
        <v/>
      </c>
      <c r="D38" s="17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Mgmt'!$M$5:$M$428,0))&gt;=DATE(YEAR(EDATE($B$4,8)),MONTH(EDATE($B$4,8)),1),FALSE))&gt;0),IFERROR(_xlfn.XLOOKUP(B38,DormRegistry[Dorm Name],DormRegistry[Bed Capacity]),0),"")</f>
        <v/>
      </c>
      <c r="E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Mgmt'!$M$5:$M$428,0))&gt;=DATE(YEAR(EDATE($B$4,8)),MONTH(EDATE($B$4,8)),1),FALSE))&gt;0),$B$7*(1+$B$9)^(YEAR(A38)-YEAR($B$4)),"")</f>
        <v/>
      </c>
      <c r="F38" s="105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Mgmt'!$M$5:$M$428,0))&gt;=DATE(YEAR(EDATE($B$4,8)),MONTH(EDATE($B$4,8)),1),FALSE))&gt;0),$B$8,"")</f>
        <v/>
      </c>
      <c r="G38" s="105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Mgmt'!$M$5:$M$428,0))&gt;=DATE(YEAR(EDATE($B$4,8)),MONTH(EDATE($B$4,8)),1),FALSE))&gt;0),$B$9,"")</f>
        <v/>
      </c>
      <c r="H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Mgmt'!$M$5:$M$428,0))&gt;=DATE(YEAR(EDATE($B$4,8)),MONTH(EDATE($B$4,8)),1),FALSE))&gt;0),D38*E38,"")</f>
        <v/>
      </c>
      <c r="I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Mgmt'!$M$5:$M$428,0))&gt;=DATE(YEAR(EDATE($B$4,8)),MONTH(EDATE($B$4,8)),1),FALSE))&gt;0),SUM(W38:Y38),"")</f>
        <v/>
      </c>
      <c r="J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Mgmt'!$M$5:$M$428,0))&gt;=DATE(YEAR(EDATE($B$4,8)),MONTH(EDATE($B$4,8)),1),FALSE))&gt;0),D38*F38*E38,"")</f>
        <v/>
      </c>
      <c r="K38" s="104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Mgmt'!$M$5:$M$428,0))&gt;=DATE(YEAR(EDATE($B$4,8)),MONTH(EDATE($B$4,8)),1),FALSE))&gt;0),75,"")</f>
        <v/>
      </c>
      <c r="L38" s="104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Mgmt'!$M$5:$M$428,0))&gt;=DATE(YEAR(EDATE($B$4,8)),MONTH(EDATE($B$4,8)),1),FALSE))&gt;0),50,"")</f>
        <v/>
      </c>
      <c r="M38" s="104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Mgmt'!$M$5:$M$428,0))&gt;=DATE(YEAR(EDATE($B$4,8)),MONTH(EDATE($B$4,8)),1),FALSE))&gt;0),150,"")</f>
        <v/>
      </c>
      <c r="N38" s="104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Mgmt'!$M$5:$M$428,0))&gt;=DATE(YEAR(EDATE($B$4,8)),MONTH(EDATE($B$4,8)),1),FALSE))&gt;0),125,"")</f>
        <v/>
      </c>
      <c r="O38" s="104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Mgmt'!$M$5:$M$428,0))&gt;=DATE(YEAR(EDATE($B$4,8)),MONTH(EDATE($B$4,8)),1),FALSE))&gt;0),60,"")</f>
        <v/>
      </c>
      <c r="P38" s="104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Mgmt'!$M$5:$M$428,0))&gt;=DATE(YEAR(EDATE($B$4,8)),MONTH(EDATE($B$4,8)),1),FALSE))&gt;0),80,"")</f>
        <v/>
      </c>
      <c r="Q38" s="104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Mgmt'!$M$5:$M$428,0))&gt;=DATE(YEAR(EDATE($B$4,8)),MONTH(EDATE($B$4,8)),1),FALSE))&gt;0),40,"")</f>
        <v/>
      </c>
      <c r="R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Mgmt'!$M$5:$M$428,0))&gt;=DATE(YEAR(EDATE($B$4,8)),MONTH(EDATE($B$4,8)),1),FALSE))&gt;0),IF(C38="Owned",0,2500),"")</f>
        <v/>
      </c>
      <c r="S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Mgmt'!$M$5:$M$428,0))&gt;=DATE(YEAR(EDATE($B$4,8)),MONTH(EDATE($B$4,8)),1),FALSE))&gt;0),SUM(K38:R38),"")</f>
        <v/>
      </c>
      <c r="T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Mgmt'!$M$5:$M$428,0))&gt;=DATE(YEAR(EDATE($B$4,8)),MONTH(EDATE($B$4,8)),1),FALSE))&gt;0),I38-S38,"")</f>
        <v/>
      </c>
      <c r="U38" s="105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Mgmt'!$M$5:$M$428,0))&gt;=DATE(YEAR(EDATE($B$4,8)),MONTH(EDATE($B$4,8)),1),FALSE))&gt;0),IFERROR(T38/I38,0),"")</f>
        <v/>
      </c>
      <c r="V38" s="82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W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Mgmt'!$I$5:$I$428*((IF(IF(ISNUMBER('Client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X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Mgmt'!$J$5:$J$428*((IF(IF(ISNUMBER('Client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Y38" s="130">
        <f>IF(AND(EDATE($B$4,8)&lt;=EOMONTH($B$5,0),SUMPRODUCT(('Client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1")*('Client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Mgmt'!$K$5:$K$428*((IF(IF(ISNUMBER('Client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Z38" s="82" t="n"/>
      <c r="AA38" s="82" t="n"/>
      <c r="AB38" s="82" t="n"/>
    </row>
    <row r="39" hidden="1" ht="14.25" customHeight="1" s="83">
      <c r="A39" s="125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Mgmt'!$M$5:$M$428,0))&gt;=DATE(YEAR(EDATE($B$4,8)),MONTH(EDATE($B$4,8)),1),FALSE))&gt;0),EDATE($B$4,8),"")</f>
        <v/>
      </c>
      <c r="B39" s="103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Mgmt'!$M$5:$M$428,0))&gt;=DATE(YEAR(EDATE($B$4,8)),MONTH(EDATE($B$4,8)),1),FALSE))&gt;0),"Dorm 2","")</f>
        <v/>
      </c>
      <c r="C39" s="17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Mgmt'!$M$5:$M$428,0))&gt;=DATE(YEAR(EDATE($B$4,8)),MONTH(EDATE($B$4,8)),1),FALSE))&gt;0),IFERROR(_xlfn.XLOOKUP(B39,DormRegistry[Dorm Name],DormRegistry[Ownership Type]),""),"")</f>
        <v/>
      </c>
      <c r="D39" s="17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Mgmt'!$M$5:$M$428,0))&gt;=DATE(YEAR(EDATE($B$4,8)),MONTH(EDATE($B$4,8)),1),FALSE))&gt;0),IFERROR(_xlfn.XLOOKUP(B39,DormRegistry[Dorm Name],DormRegistry[Bed Capacity]),0),"")</f>
        <v/>
      </c>
      <c r="E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Mgmt'!$M$5:$M$428,0))&gt;=DATE(YEAR(EDATE($B$4,8)),MONTH(EDATE($B$4,8)),1),FALSE))&gt;0),$B$7*(1+$B$9)^(YEAR(A39)-YEAR($B$4)),"")</f>
        <v/>
      </c>
      <c r="F39" s="105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Mgmt'!$M$5:$M$428,0))&gt;=DATE(YEAR(EDATE($B$4,8)),MONTH(EDATE($B$4,8)),1),FALSE))&gt;0),$B$8,"")</f>
        <v/>
      </c>
      <c r="G39" s="105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Mgmt'!$M$5:$M$428,0))&gt;=DATE(YEAR(EDATE($B$4,8)),MONTH(EDATE($B$4,8)),1),FALSE))&gt;0),$B$9,"")</f>
        <v/>
      </c>
      <c r="H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Mgmt'!$M$5:$M$428,0))&gt;=DATE(YEAR(EDATE($B$4,8)),MONTH(EDATE($B$4,8)),1),FALSE))&gt;0),D39*E39,"")</f>
        <v/>
      </c>
      <c r="I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Mgmt'!$M$5:$M$428,0))&gt;=DATE(YEAR(EDATE($B$4,8)),MONTH(EDATE($B$4,8)),1),FALSE))&gt;0),SUM(W39:Y39),"")</f>
        <v/>
      </c>
      <c r="J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Mgmt'!$M$5:$M$428,0))&gt;=DATE(YEAR(EDATE($B$4,8)),MONTH(EDATE($B$4,8)),1),FALSE))&gt;0),D39*F39*E39,"")</f>
        <v/>
      </c>
      <c r="K39" s="104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Mgmt'!$M$5:$M$428,0))&gt;=DATE(YEAR(EDATE($B$4,8)),MONTH(EDATE($B$4,8)),1),FALSE))&gt;0),75,"")</f>
        <v/>
      </c>
      <c r="L39" s="104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Mgmt'!$M$5:$M$428,0))&gt;=DATE(YEAR(EDATE($B$4,8)),MONTH(EDATE($B$4,8)),1),FALSE))&gt;0),50,"")</f>
        <v/>
      </c>
      <c r="M39" s="104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Mgmt'!$M$5:$M$428,0))&gt;=DATE(YEAR(EDATE($B$4,8)),MONTH(EDATE($B$4,8)),1),FALSE))&gt;0),150,"")</f>
        <v/>
      </c>
      <c r="N39" s="104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Mgmt'!$M$5:$M$428,0))&gt;=DATE(YEAR(EDATE($B$4,8)),MONTH(EDATE($B$4,8)),1),FALSE))&gt;0),125,"")</f>
        <v/>
      </c>
      <c r="O39" s="104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Mgmt'!$M$5:$M$428,0))&gt;=DATE(YEAR(EDATE($B$4,8)),MONTH(EDATE($B$4,8)),1),FALSE))&gt;0),60,"")</f>
        <v/>
      </c>
      <c r="P39" s="104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Mgmt'!$M$5:$M$428,0))&gt;=DATE(YEAR(EDATE($B$4,8)),MONTH(EDATE($B$4,8)),1),FALSE))&gt;0),80,"")</f>
        <v/>
      </c>
      <c r="Q39" s="104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Mgmt'!$M$5:$M$428,0))&gt;=DATE(YEAR(EDATE($B$4,8)),MONTH(EDATE($B$4,8)),1),FALSE))&gt;0),40,"")</f>
        <v/>
      </c>
      <c r="R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Mgmt'!$M$5:$M$428,0))&gt;=DATE(YEAR(EDATE($B$4,8)),MONTH(EDATE($B$4,8)),1),FALSE))&gt;0),IF(C39="Owned",0,2500),"")</f>
        <v/>
      </c>
      <c r="S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Mgmt'!$M$5:$M$428,0))&gt;=DATE(YEAR(EDATE($B$4,8)),MONTH(EDATE($B$4,8)),1),FALSE))&gt;0),SUM(K39:R39),"")</f>
        <v/>
      </c>
      <c r="T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Mgmt'!$M$5:$M$428,0))&gt;=DATE(YEAR(EDATE($B$4,8)),MONTH(EDATE($B$4,8)),1),FALSE))&gt;0),I39-S39,"")</f>
        <v/>
      </c>
      <c r="U39" s="105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Mgmt'!$M$5:$M$428,0))&gt;=DATE(YEAR(EDATE($B$4,8)),MONTH(EDATE($B$4,8)),1),FALSE))&gt;0),IFERROR(T39/I39,0),"")</f>
        <v/>
      </c>
      <c r="V39" s="82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W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Mgmt'!$I$5:$I$428*((IF(IF(ISNUMBER('Client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X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Mgmt'!$J$5:$J$428*((IF(IF(ISNUMBER('Client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Y39" s="130">
        <f>IF(AND(EDATE($B$4,8)&lt;=EOMONTH($B$5,0),SUMPRODUCT(('Client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2")*('Client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Mgmt'!$K$5:$K$428*((IF(IF(ISNUMBER('Client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Z39" s="82" t="n"/>
      <c r="AA39" s="82" t="n"/>
      <c r="AB39" s="82" t="n"/>
    </row>
    <row r="40" hidden="1" ht="14.25" customHeight="1" s="83">
      <c r="A40" s="125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Mgmt'!$M$5:$M$428,0))&gt;=DATE(YEAR(EDATE($B$4,8)),MONTH(EDATE($B$4,8)),1),FALSE))&gt;0),EDATE($B$4,8),"")</f>
        <v/>
      </c>
      <c r="B40" s="103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Mgmt'!$M$5:$M$428,0))&gt;=DATE(YEAR(EDATE($B$4,8)),MONTH(EDATE($B$4,8)),1),FALSE))&gt;0),"Dorm 3","")</f>
        <v/>
      </c>
      <c r="C40" s="17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Mgmt'!$M$5:$M$428,0))&gt;=DATE(YEAR(EDATE($B$4,8)),MONTH(EDATE($B$4,8)),1),FALSE))&gt;0),IFERROR(_xlfn.XLOOKUP(B40,DormRegistry[Dorm Name],DormRegistry[Ownership Type]),""),"")</f>
        <v/>
      </c>
      <c r="D40" s="17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Mgmt'!$M$5:$M$428,0))&gt;=DATE(YEAR(EDATE($B$4,8)),MONTH(EDATE($B$4,8)),1),FALSE))&gt;0),IFERROR(_xlfn.XLOOKUP(B40,DormRegistry[Dorm Name],DormRegistry[Bed Capacity]),0),"")</f>
        <v/>
      </c>
      <c r="E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Mgmt'!$M$5:$M$428,0))&gt;=DATE(YEAR(EDATE($B$4,8)),MONTH(EDATE($B$4,8)),1),FALSE))&gt;0),$B$7*(1+$B$9)^(YEAR(A40)-YEAR($B$4)),"")</f>
        <v/>
      </c>
      <c r="F40" s="105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Mgmt'!$M$5:$M$428,0))&gt;=DATE(YEAR(EDATE($B$4,8)),MONTH(EDATE($B$4,8)),1),FALSE))&gt;0),$B$8,"")</f>
        <v/>
      </c>
      <c r="G40" s="105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Mgmt'!$M$5:$M$428,0))&gt;=DATE(YEAR(EDATE($B$4,8)),MONTH(EDATE($B$4,8)),1),FALSE))&gt;0),$B$9,"")</f>
        <v/>
      </c>
      <c r="H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Mgmt'!$M$5:$M$428,0))&gt;=DATE(YEAR(EDATE($B$4,8)),MONTH(EDATE($B$4,8)),1),FALSE))&gt;0),D40*E40,"")</f>
        <v/>
      </c>
      <c r="I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Mgmt'!$M$5:$M$428,0))&gt;=DATE(YEAR(EDATE($B$4,8)),MONTH(EDATE($B$4,8)),1),FALSE))&gt;0),SUM(W40:Y40),"")</f>
        <v/>
      </c>
      <c r="J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Mgmt'!$M$5:$M$428,0))&gt;=DATE(YEAR(EDATE($B$4,8)),MONTH(EDATE($B$4,8)),1),FALSE))&gt;0),D40*F40*E40,"")</f>
        <v/>
      </c>
      <c r="K40" s="104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Mgmt'!$M$5:$M$428,0))&gt;=DATE(YEAR(EDATE($B$4,8)),MONTH(EDATE($B$4,8)),1),FALSE))&gt;0),75,"")</f>
        <v/>
      </c>
      <c r="L40" s="104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Mgmt'!$M$5:$M$428,0))&gt;=DATE(YEAR(EDATE($B$4,8)),MONTH(EDATE($B$4,8)),1),FALSE))&gt;0),50,"")</f>
        <v/>
      </c>
      <c r="M40" s="104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Mgmt'!$M$5:$M$428,0))&gt;=DATE(YEAR(EDATE($B$4,8)),MONTH(EDATE($B$4,8)),1),FALSE))&gt;0),150,"")</f>
        <v/>
      </c>
      <c r="N40" s="104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Mgmt'!$M$5:$M$428,0))&gt;=DATE(YEAR(EDATE($B$4,8)),MONTH(EDATE($B$4,8)),1),FALSE))&gt;0),125,"")</f>
        <v/>
      </c>
      <c r="O40" s="104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Mgmt'!$M$5:$M$428,0))&gt;=DATE(YEAR(EDATE($B$4,8)),MONTH(EDATE($B$4,8)),1),FALSE))&gt;0),60,"")</f>
        <v/>
      </c>
      <c r="P40" s="104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Mgmt'!$M$5:$M$428,0))&gt;=DATE(YEAR(EDATE($B$4,8)),MONTH(EDATE($B$4,8)),1),FALSE))&gt;0),80,"")</f>
        <v/>
      </c>
      <c r="Q40" s="104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Mgmt'!$M$5:$M$428,0))&gt;=DATE(YEAR(EDATE($B$4,8)),MONTH(EDATE($B$4,8)),1),FALSE))&gt;0),40,"")</f>
        <v/>
      </c>
      <c r="R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Mgmt'!$M$5:$M$428,0))&gt;=DATE(YEAR(EDATE($B$4,8)),MONTH(EDATE($B$4,8)),1),FALSE))&gt;0),IF(C40="Owned",0,2500),"")</f>
        <v/>
      </c>
      <c r="S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Mgmt'!$M$5:$M$428,0))&gt;=DATE(YEAR(EDATE($B$4,8)),MONTH(EDATE($B$4,8)),1),FALSE))&gt;0),SUM(K40:R40),"")</f>
        <v/>
      </c>
      <c r="T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Mgmt'!$M$5:$M$428,0))&gt;=DATE(YEAR(EDATE($B$4,8)),MONTH(EDATE($B$4,8)),1),FALSE))&gt;0),I40-S40,"")</f>
        <v/>
      </c>
      <c r="U40" s="105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Mgmt'!$M$5:$M$428,0))&gt;=DATE(YEAR(EDATE($B$4,8)),MONTH(EDATE($B$4,8)),1),FALSE))&gt;0),IFERROR(T40/I40,0),"")</f>
        <v/>
      </c>
      <c r="V40" s="82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W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Mgmt'!$I$5:$I$428*((IF(IF(ISNUMBER('Client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X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Mgmt'!$J$5:$J$428*((IF(IF(ISNUMBER('Client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Y40" s="130">
        <f>IF(AND(EDATE($B$4,8)&lt;=EOMONTH($B$5,0),SUMPRODUCT(('Client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Mgmt'!$M$5:$M$428,0))&gt;=DATE(YEAR(EDATE($B$4,8)),MONTH(EDATE($B$4,8)),1),FALSE))&gt;0),IFERROR(SUMPRODUCT(('Client DB &amp; Bed Mgmt'!$A$5:$A$428="Dorm 3")*('Client DB &amp; Bed Mgmt'!$D$5:$D$428&lt;&gt;"")*--IFERROR('Client DB &amp; Bed Mgmt'!$M$5:$M$428&lt;=EOMONTH(EDATE($B$4,8),0),FALSE)*--IFERROR(IF(ISNUMBER('Client DB &amp; Bed Mgmt'!$N$5:$N$428),'Client DB &amp; Bed Mgmt'!$N$5:$N$428,EOMONTH('Client DB &amp; Bed Mgmt'!$M$5:$M$428,0))&gt;=DATE(YEAR(EDATE($B$4,8)),MONTH(EDATE($B$4,8)),1),FALSE)*'Client DB &amp; Bed Mgmt'!$K$5:$K$428*((IF(IF(ISNUMBER('Client DB &amp; Bed Mgmt'!$N$5:$N$428),'Client DB &amp; Bed Mgmt'!$N$5:$N$428,EOMONTH('Client DB &amp; Bed Mgmt'!$M$5:$M$428,0))&lt;EOMONTH(EDATE($B$4,8),0),IF(ISNUMBER('Client DB &amp; Bed Mgmt'!$N$5:$N$428),'Client DB &amp; Bed Mgmt'!$N$5:$N$428,EOMONTH('Client DB &amp; Bed Mgmt'!$M$5:$M$428,0)),EOMONTH(EDATE($B$4,8),0)))-(IF('Client DB &amp; Bed Mgmt'!$M$5:$M$428&gt;DATE(YEAR(EDATE($B$4,8)),MONTH(EDATE($B$4,8)),1),'Client DB &amp; Bed Mgmt'!$M$5:$M$428,DATE(YEAR(EDATE($B$4,8)),MONTH(EDATE($B$4,8)),1)))+1)/DAY(EOMONTH(EDATE($B$4,8),0))),0),"")</f>
        <v/>
      </c>
      <c r="Z40" s="82" t="n"/>
      <c r="AA40" s="82" t="n"/>
      <c r="AB40" s="82" t="n"/>
    </row>
    <row r="41" ht="14.25" customHeight="1" s="83">
      <c r="A41" s="125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Mgmt'!$M$5:$M$428,0))&gt;=DATE(YEAR(EDATE($B$4,9)),MONTH(EDATE($B$4,9)),1),FALSE))&gt;0),EDATE($B$4,9),"")</f>
        <v/>
      </c>
      <c r="B41" s="103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Mgmt'!$M$5:$M$428,0))&gt;=DATE(YEAR(EDATE($B$4,9)),MONTH(EDATE($B$4,9)),1),FALSE))&gt;0),"Dorm 1","")</f>
        <v/>
      </c>
      <c r="C41" s="17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Mgmt'!$M$5:$M$428,0))&gt;=DATE(YEAR(EDATE($B$4,9)),MONTH(EDATE($B$4,9)),1),FALSE))&gt;0),IFERROR(_xlfn.XLOOKUP(B41,DormRegistry[Dorm Name],DormRegistry[Ownership Type]),""),"")</f>
        <v/>
      </c>
      <c r="D41" s="17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Mgmt'!$M$5:$M$428,0))&gt;=DATE(YEAR(EDATE($B$4,9)),MONTH(EDATE($B$4,9)),1),FALSE))&gt;0),IFERROR(_xlfn.XLOOKUP(B41,DormRegistry[Dorm Name],DormRegistry[Bed Capacity]),0),"")</f>
        <v/>
      </c>
      <c r="E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Mgmt'!$M$5:$M$428,0))&gt;=DATE(YEAR(EDATE($B$4,9)),MONTH(EDATE($B$4,9)),1),FALSE))&gt;0),$B$7*(1+$B$9)^(YEAR(A41)-YEAR($B$4)),"")</f>
        <v/>
      </c>
      <c r="F41" s="105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Mgmt'!$M$5:$M$428,0))&gt;=DATE(YEAR(EDATE($B$4,9)),MONTH(EDATE($B$4,9)),1),FALSE))&gt;0),$B$8,"")</f>
        <v/>
      </c>
      <c r="G41" s="105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Mgmt'!$M$5:$M$428,0))&gt;=DATE(YEAR(EDATE($B$4,9)),MONTH(EDATE($B$4,9)),1),FALSE))&gt;0),$B$9,"")</f>
        <v/>
      </c>
      <c r="H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Mgmt'!$M$5:$M$428,0))&gt;=DATE(YEAR(EDATE($B$4,9)),MONTH(EDATE($B$4,9)),1),FALSE))&gt;0),D41*E41,"")</f>
        <v/>
      </c>
      <c r="I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Mgmt'!$M$5:$M$428,0))&gt;=DATE(YEAR(EDATE($B$4,9)),MONTH(EDATE($B$4,9)),1),FALSE))&gt;0),SUM(W41:Y41),"")</f>
        <v/>
      </c>
      <c r="J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Mgmt'!$M$5:$M$428,0))&gt;=DATE(YEAR(EDATE($B$4,9)),MONTH(EDATE($B$4,9)),1),FALSE))&gt;0),D41*F41*E41,"")</f>
        <v/>
      </c>
      <c r="K41" s="104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Mgmt'!$M$5:$M$428,0))&gt;=DATE(YEAR(EDATE($B$4,9)),MONTH(EDATE($B$4,9)),1),FALSE))&gt;0),75,"")</f>
        <v/>
      </c>
      <c r="L41" s="104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Mgmt'!$M$5:$M$428,0))&gt;=DATE(YEAR(EDATE($B$4,9)),MONTH(EDATE($B$4,9)),1),FALSE))&gt;0),50,"")</f>
        <v/>
      </c>
      <c r="M41" s="104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Mgmt'!$M$5:$M$428,0))&gt;=DATE(YEAR(EDATE($B$4,9)),MONTH(EDATE($B$4,9)),1),FALSE))&gt;0),150,"")</f>
        <v/>
      </c>
      <c r="N41" s="104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Mgmt'!$M$5:$M$428,0))&gt;=DATE(YEAR(EDATE($B$4,9)),MONTH(EDATE($B$4,9)),1),FALSE))&gt;0),125,"")</f>
        <v/>
      </c>
      <c r="O41" s="104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Mgmt'!$M$5:$M$428,0))&gt;=DATE(YEAR(EDATE($B$4,9)),MONTH(EDATE($B$4,9)),1),FALSE))&gt;0),60,"")</f>
        <v/>
      </c>
      <c r="P41" s="104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Mgmt'!$M$5:$M$428,0))&gt;=DATE(YEAR(EDATE($B$4,9)),MONTH(EDATE($B$4,9)),1),FALSE))&gt;0),80,"")</f>
        <v/>
      </c>
      <c r="Q41" s="104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Mgmt'!$M$5:$M$428,0))&gt;=DATE(YEAR(EDATE($B$4,9)),MONTH(EDATE($B$4,9)),1),FALSE))&gt;0),40,"")</f>
        <v/>
      </c>
      <c r="R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Mgmt'!$M$5:$M$428,0))&gt;=DATE(YEAR(EDATE($B$4,9)),MONTH(EDATE($B$4,9)),1),FALSE))&gt;0),IF(C41="Owned",0,2500),"")</f>
        <v/>
      </c>
      <c r="S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Mgmt'!$M$5:$M$428,0))&gt;=DATE(YEAR(EDATE($B$4,9)),MONTH(EDATE($B$4,9)),1),FALSE))&gt;0),SUM(K41:R41),"")</f>
        <v/>
      </c>
      <c r="T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Mgmt'!$M$5:$M$428,0))&gt;=DATE(YEAR(EDATE($B$4,9)),MONTH(EDATE($B$4,9)),1),FALSE))&gt;0),I41-S41,"")</f>
        <v/>
      </c>
      <c r="U41" s="105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Mgmt'!$M$5:$M$428,0))&gt;=DATE(YEAR(EDATE($B$4,9)),MONTH(EDATE($B$4,9)),1),FALSE))&gt;0),IFERROR(T41/I41,0),"")</f>
        <v/>
      </c>
      <c r="V41" s="82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W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Mgmt'!$I$5:$I$428*((IF(IF(ISNUMBER('Client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X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Mgmt'!$J$5:$J$428*((IF(IF(ISNUMBER('Client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Y41" s="130">
        <f>IF(AND(EDATE($B$4,9)&lt;=EOMONTH($B$5,0),SUMPRODUCT(('Client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1")*('Client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Mgmt'!$K$5:$K$428*((IF(IF(ISNUMBER('Client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Z41" s="82" t="n"/>
      <c r="AA41" s="82" t="n"/>
      <c r="AB41" s="82" t="n"/>
    </row>
    <row r="42" hidden="1" ht="14.25" customHeight="1" s="83">
      <c r="A42" s="125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Mgmt'!$M$5:$M$428,0))&gt;=DATE(YEAR(EDATE($B$4,9)),MONTH(EDATE($B$4,9)),1),FALSE))&gt;0),EDATE($B$4,9),"")</f>
        <v/>
      </c>
      <c r="B42" s="103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Mgmt'!$M$5:$M$428,0))&gt;=DATE(YEAR(EDATE($B$4,9)),MONTH(EDATE($B$4,9)),1),FALSE))&gt;0),"Dorm 2","")</f>
        <v/>
      </c>
      <c r="C42" s="17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Mgmt'!$M$5:$M$428,0))&gt;=DATE(YEAR(EDATE($B$4,9)),MONTH(EDATE($B$4,9)),1),FALSE))&gt;0),IFERROR(_xlfn.XLOOKUP(B42,DormRegistry[Dorm Name],DormRegistry[Ownership Type]),""),"")</f>
        <v/>
      </c>
      <c r="D42" s="17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Mgmt'!$M$5:$M$428,0))&gt;=DATE(YEAR(EDATE($B$4,9)),MONTH(EDATE($B$4,9)),1),FALSE))&gt;0),IFERROR(_xlfn.XLOOKUP(B42,DormRegistry[Dorm Name],DormRegistry[Bed Capacity]),0),"")</f>
        <v/>
      </c>
      <c r="E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Mgmt'!$M$5:$M$428,0))&gt;=DATE(YEAR(EDATE($B$4,9)),MONTH(EDATE($B$4,9)),1),FALSE))&gt;0),$B$7*(1+$B$9)^(YEAR(A42)-YEAR($B$4)),"")</f>
        <v/>
      </c>
      <c r="F42" s="105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Mgmt'!$M$5:$M$428,0))&gt;=DATE(YEAR(EDATE($B$4,9)),MONTH(EDATE($B$4,9)),1),FALSE))&gt;0),$B$8,"")</f>
        <v/>
      </c>
      <c r="G42" s="105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Mgmt'!$M$5:$M$428,0))&gt;=DATE(YEAR(EDATE($B$4,9)),MONTH(EDATE($B$4,9)),1),FALSE))&gt;0),$B$9,"")</f>
        <v/>
      </c>
      <c r="H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Mgmt'!$M$5:$M$428,0))&gt;=DATE(YEAR(EDATE($B$4,9)),MONTH(EDATE($B$4,9)),1),FALSE))&gt;0),D42*E42,"")</f>
        <v/>
      </c>
      <c r="I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Mgmt'!$M$5:$M$428,0))&gt;=DATE(YEAR(EDATE($B$4,9)),MONTH(EDATE($B$4,9)),1),FALSE))&gt;0),SUM(W42:Y42),"")</f>
        <v/>
      </c>
      <c r="J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Mgmt'!$M$5:$M$428,0))&gt;=DATE(YEAR(EDATE($B$4,9)),MONTH(EDATE($B$4,9)),1),FALSE))&gt;0),D42*F42*E42,"")</f>
        <v/>
      </c>
      <c r="K42" s="104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Mgmt'!$M$5:$M$428,0))&gt;=DATE(YEAR(EDATE($B$4,9)),MONTH(EDATE($B$4,9)),1),FALSE))&gt;0),75,"")</f>
        <v/>
      </c>
      <c r="L42" s="104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Mgmt'!$M$5:$M$428,0))&gt;=DATE(YEAR(EDATE($B$4,9)),MONTH(EDATE($B$4,9)),1),FALSE))&gt;0),50,"")</f>
        <v/>
      </c>
      <c r="M42" s="104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Mgmt'!$M$5:$M$428,0))&gt;=DATE(YEAR(EDATE($B$4,9)),MONTH(EDATE($B$4,9)),1),FALSE))&gt;0),150,"")</f>
        <v/>
      </c>
      <c r="N42" s="104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Mgmt'!$M$5:$M$428,0))&gt;=DATE(YEAR(EDATE($B$4,9)),MONTH(EDATE($B$4,9)),1),FALSE))&gt;0),125,"")</f>
        <v/>
      </c>
      <c r="O42" s="104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Mgmt'!$M$5:$M$428,0))&gt;=DATE(YEAR(EDATE($B$4,9)),MONTH(EDATE($B$4,9)),1),FALSE))&gt;0),60,"")</f>
        <v/>
      </c>
      <c r="P42" s="104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Mgmt'!$M$5:$M$428,0))&gt;=DATE(YEAR(EDATE($B$4,9)),MONTH(EDATE($B$4,9)),1),FALSE))&gt;0),80,"")</f>
        <v/>
      </c>
      <c r="Q42" s="104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Mgmt'!$M$5:$M$428,0))&gt;=DATE(YEAR(EDATE($B$4,9)),MONTH(EDATE($B$4,9)),1),FALSE))&gt;0),40,"")</f>
        <v/>
      </c>
      <c r="R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Mgmt'!$M$5:$M$428,0))&gt;=DATE(YEAR(EDATE($B$4,9)),MONTH(EDATE($B$4,9)),1),FALSE))&gt;0),IF(C42="Owned",0,2500),"")</f>
        <v/>
      </c>
      <c r="S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Mgmt'!$M$5:$M$428,0))&gt;=DATE(YEAR(EDATE($B$4,9)),MONTH(EDATE($B$4,9)),1),FALSE))&gt;0),SUM(K42:R42),"")</f>
        <v/>
      </c>
      <c r="T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Mgmt'!$M$5:$M$428,0))&gt;=DATE(YEAR(EDATE($B$4,9)),MONTH(EDATE($B$4,9)),1),FALSE))&gt;0),I42-S42,"")</f>
        <v/>
      </c>
      <c r="U42" s="105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Mgmt'!$M$5:$M$428,0))&gt;=DATE(YEAR(EDATE($B$4,9)),MONTH(EDATE($B$4,9)),1),FALSE))&gt;0),IFERROR(T42/I42,0),"")</f>
        <v/>
      </c>
      <c r="V42" s="82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W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Mgmt'!$I$5:$I$428*((IF(IF(ISNUMBER('Client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X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Mgmt'!$J$5:$J$428*((IF(IF(ISNUMBER('Client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Y42" s="130">
        <f>IF(AND(EDATE($B$4,9)&lt;=EOMONTH($B$5,0),SUMPRODUCT(('Client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2")*('Client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Mgmt'!$K$5:$K$428*((IF(IF(ISNUMBER('Client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Z42" s="82" t="n"/>
      <c r="AA42" s="82" t="n"/>
      <c r="AB42" s="82" t="n"/>
    </row>
    <row r="43" hidden="1" ht="14.25" customHeight="1" s="83">
      <c r="A43" s="125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Mgmt'!$M$5:$M$428,0))&gt;=DATE(YEAR(EDATE($B$4,9)),MONTH(EDATE($B$4,9)),1),FALSE))&gt;0),EDATE($B$4,9),"")</f>
        <v/>
      </c>
      <c r="B43" s="103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Mgmt'!$M$5:$M$428,0))&gt;=DATE(YEAR(EDATE($B$4,9)),MONTH(EDATE($B$4,9)),1),FALSE))&gt;0),"Dorm 3","")</f>
        <v/>
      </c>
      <c r="C43" s="17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Mgmt'!$M$5:$M$428,0))&gt;=DATE(YEAR(EDATE($B$4,9)),MONTH(EDATE($B$4,9)),1),FALSE))&gt;0),IFERROR(_xlfn.XLOOKUP(B43,DormRegistry[Dorm Name],DormRegistry[Ownership Type]),""),"")</f>
        <v/>
      </c>
      <c r="D43" s="17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Mgmt'!$M$5:$M$428,0))&gt;=DATE(YEAR(EDATE($B$4,9)),MONTH(EDATE($B$4,9)),1),FALSE))&gt;0),IFERROR(_xlfn.XLOOKUP(B43,DormRegistry[Dorm Name],DormRegistry[Bed Capacity]),0),"")</f>
        <v/>
      </c>
      <c r="E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Mgmt'!$M$5:$M$428,0))&gt;=DATE(YEAR(EDATE($B$4,9)),MONTH(EDATE($B$4,9)),1),FALSE))&gt;0),$B$7*(1+$B$9)^(YEAR(A43)-YEAR($B$4)),"")</f>
        <v/>
      </c>
      <c r="F43" s="105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Mgmt'!$M$5:$M$428,0))&gt;=DATE(YEAR(EDATE($B$4,9)),MONTH(EDATE($B$4,9)),1),FALSE))&gt;0),$B$8,"")</f>
        <v/>
      </c>
      <c r="G43" s="105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Mgmt'!$M$5:$M$428,0))&gt;=DATE(YEAR(EDATE($B$4,9)),MONTH(EDATE($B$4,9)),1),FALSE))&gt;0),$B$9,"")</f>
        <v/>
      </c>
      <c r="H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Mgmt'!$M$5:$M$428,0))&gt;=DATE(YEAR(EDATE($B$4,9)),MONTH(EDATE($B$4,9)),1),FALSE))&gt;0),D43*E43,"")</f>
        <v/>
      </c>
      <c r="I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Mgmt'!$M$5:$M$428,0))&gt;=DATE(YEAR(EDATE($B$4,9)),MONTH(EDATE($B$4,9)),1),FALSE))&gt;0),SUM(W43:Y43),"")</f>
        <v/>
      </c>
      <c r="J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Mgmt'!$M$5:$M$428,0))&gt;=DATE(YEAR(EDATE($B$4,9)),MONTH(EDATE($B$4,9)),1),FALSE))&gt;0),D43*F43*E43,"")</f>
        <v/>
      </c>
      <c r="K43" s="104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Mgmt'!$M$5:$M$428,0))&gt;=DATE(YEAR(EDATE($B$4,9)),MONTH(EDATE($B$4,9)),1),FALSE))&gt;0),75,"")</f>
        <v/>
      </c>
      <c r="L43" s="104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Mgmt'!$M$5:$M$428,0))&gt;=DATE(YEAR(EDATE($B$4,9)),MONTH(EDATE($B$4,9)),1),FALSE))&gt;0),50,"")</f>
        <v/>
      </c>
      <c r="M43" s="104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Mgmt'!$M$5:$M$428,0))&gt;=DATE(YEAR(EDATE($B$4,9)),MONTH(EDATE($B$4,9)),1),FALSE))&gt;0),150,"")</f>
        <v/>
      </c>
      <c r="N43" s="104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Mgmt'!$M$5:$M$428,0))&gt;=DATE(YEAR(EDATE($B$4,9)),MONTH(EDATE($B$4,9)),1),FALSE))&gt;0),125,"")</f>
        <v/>
      </c>
      <c r="O43" s="104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Mgmt'!$M$5:$M$428,0))&gt;=DATE(YEAR(EDATE($B$4,9)),MONTH(EDATE($B$4,9)),1),FALSE))&gt;0),60,"")</f>
        <v/>
      </c>
      <c r="P43" s="104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Mgmt'!$M$5:$M$428,0))&gt;=DATE(YEAR(EDATE($B$4,9)),MONTH(EDATE($B$4,9)),1),FALSE))&gt;0),80,"")</f>
        <v/>
      </c>
      <c r="Q43" s="104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Mgmt'!$M$5:$M$428,0))&gt;=DATE(YEAR(EDATE($B$4,9)),MONTH(EDATE($B$4,9)),1),FALSE))&gt;0),40,"")</f>
        <v/>
      </c>
      <c r="R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Mgmt'!$M$5:$M$428,0))&gt;=DATE(YEAR(EDATE($B$4,9)),MONTH(EDATE($B$4,9)),1),FALSE))&gt;0),IF(C43="Owned",0,2500),"")</f>
        <v/>
      </c>
      <c r="S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Mgmt'!$M$5:$M$428,0))&gt;=DATE(YEAR(EDATE($B$4,9)),MONTH(EDATE($B$4,9)),1),FALSE))&gt;0),SUM(K43:R43),"")</f>
        <v/>
      </c>
      <c r="T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Mgmt'!$M$5:$M$428,0))&gt;=DATE(YEAR(EDATE($B$4,9)),MONTH(EDATE($B$4,9)),1),FALSE))&gt;0),I43-S43,"")</f>
        <v/>
      </c>
      <c r="U43" s="105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Mgmt'!$M$5:$M$428,0))&gt;=DATE(YEAR(EDATE($B$4,9)),MONTH(EDATE($B$4,9)),1),FALSE))&gt;0),IFERROR(T43/I43,0),"")</f>
        <v/>
      </c>
      <c r="V43" s="82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W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Mgmt'!$I$5:$I$428*((IF(IF(ISNUMBER('Client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X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Mgmt'!$J$5:$J$428*((IF(IF(ISNUMBER('Client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Y43" s="130">
        <f>IF(AND(EDATE($B$4,9)&lt;=EOMONTH($B$5,0),SUMPRODUCT(('Client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Mgmt'!$M$5:$M$428,0))&gt;=DATE(YEAR(EDATE($B$4,9)),MONTH(EDATE($B$4,9)),1),FALSE))&gt;0),IFERROR(SUMPRODUCT(('Client DB &amp; Bed Mgmt'!$A$5:$A$428="Dorm 3")*('Client DB &amp; Bed Mgmt'!$D$5:$D$428&lt;&gt;"")*--IFERROR('Client DB &amp; Bed Mgmt'!$M$5:$M$428&lt;=EOMONTH(EDATE($B$4,9),0),FALSE)*--IFERROR(IF(ISNUMBER('Client DB &amp; Bed Mgmt'!$N$5:$N$428),'Client DB &amp; Bed Mgmt'!$N$5:$N$428,EOMONTH('Client DB &amp; Bed Mgmt'!$M$5:$M$428,0))&gt;=DATE(YEAR(EDATE($B$4,9)),MONTH(EDATE($B$4,9)),1),FALSE)*'Client DB &amp; Bed Mgmt'!$K$5:$K$428*((IF(IF(ISNUMBER('Client DB &amp; Bed Mgmt'!$N$5:$N$428),'Client DB &amp; Bed Mgmt'!$N$5:$N$428,EOMONTH('Client DB &amp; Bed Mgmt'!$M$5:$M$428,0))&lt;EOMONTH(EDATE($B$4,9),0),IF(ISNUMBER('Client DB &amp; Bed Mgmt'!$N$5:$N$428),'Client DB &amp; Bed Mgmt'!$N$5:$N$428,EOMONTH('Client DB &amp; Bed Mgmt'!$M$5:$M$428,0)),EOMONTH(EDATE($B$4,9),0)))-(IF('Client DB &amp; Bed Mgmt'!$M$5:$M$428&gt;DATE(YEAR(EDATE($B$4,9)),MONTH(EDATE($B$4,9)),1),'Client DB &amp; Bed Mgmt'!$M$5:$M$428,DATE(YEAR(EDATE($B$4,9)),MONTH(EDATE($B$4,9)),1)))+1)/DAY(EOMONTH(EDATE($B$4,9),0))),0),"")</f>
        <v/>
      </c>
      <c r="Z43" s="82" t="n"/>
      <c r="AA43" s="82" t="n"/>
      <c r="AB43" s="82" t="n"/>
    </row>
    <row r="44" ht="14.25" customHeight="1" s="83">
      <c r="A44" s="125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Mgmt'!$M$5:$M$428,0))&gt;=DATE(YEAR(EDATE($B$4,10)),MONTH(EDATE($B$4,10)),1),FALSE))&gt;0),EDATE($B$4,10),"")</f>
        <v/>
      </c>
      <c r="B44" s="103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Mgmt'!$M$5:$M$428,0))&gt;=DATE(YEAR(EDATE($B$4,10)),MONTH(EDATE($B$4,10)),1),FALSE))&gt;0),"Dorm 1","")</f>
        <v/>
      </c>
      <c r="C44" s="17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Mgmt'!$M$5:$M$428,0))&gt;=DATE(YEAR(EDATE($B$4,10)),MONTH(EDATE($B$4,10)),1),FALSE))&gt;0),IFERROR(_xlfn.XLOOKUP(B44,DormRegistry[Dorm Name],DormRegistry[Ownership Type]),""),"")</f>
        <v/>
      </c>
      <c r="D44" s="17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Mgmt'!$M$5:$M$428,0))&gt;=DATE(YEAR(EDATE($B$4,10)),MONTH(EDATE($B$4,10)),1),FALSE))&gt;0),IFERROR(_xlfn.XLOOKUP(B44,DormRegistry[Dorm Name],DormRegistry[Bed Capacity]),0),"")</f>
        <v/>
      </c>
      <c r="E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Mgmt'!$M$5:$M$428,0))&gt;=DATE(YEAR(EDATE($B$4,10)),MONTH(EDATE($B$4,10)),1),FALSE))&gt;0),$B$7*(1+$B$9)^(YEAR(A44)-YEAR($B$4)),"")</f>
        <v/>
      </c>
      <c r="F44" s="105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Mgmt'!$M$5:$M$428,0))&gt;=DATE(YEAR(EDATE($B$4,10)),MONTH(EDATE($B$4,10)),1),FALSE))&gt;0),$B$8,"")</f>
        <v/>
      </c>
      <c r="G44" s="105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Mgmt'!$M$5:$M$428,0))&gt;=DATE(YEAR(EDATE($B$4,10)),MONTH(EDATE($B$4,10)),1),FALSE))&gt;0),$B$9,"")</f>
        <v/>
      </c>
      <c r="H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Mgmt'!$M$5:$M$428,0))&gt;=DATE(YEAR(EDATE($B$4,10)),MONTH(EDATE($B$4,10)),1),FALSE))&gt;0),D44*E44,"")</f>
        <v/>
      </c>
      <c r="I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Mgmt'!$M$5:$M$428,0))&gt;=DATE(YEAR(EDATE($B$4,10)),MONTH(EDATE($B$4,10)),1),FALSE))&gt;0),SUM(W44:Y44),"")</f>
        <v/>
      </c>
      <c r="J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Mgmt'!$M$5:$M$428,0))&gt;=DATE(YEAR(EDATE($B$4,10)),MONTH(EDATE($B$4,10)),1),FALSE))&gt;0),D44*F44*E44,"")</f>
        <v/>
      </c>
      <c r="K44" s="104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Mgmt'!$M$5:$M$428,0))&gt;=DATE(YEAR(EDATE($B$4,10)),MONTH(EDATE($B$4,10)),1),FALSE))&gt;0),75,"")</f>
        <v/>
      </c>
      <c r="L44" s="104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Mgmt'!$M$5:$M$428,0))&gt;=DATE(YEAR(EDATE($B$4,10)),MONTH(EDATE($B$4,10)),1),FALSE))&gt;0),50,"")</f>
        <v/>
      </c>
      <c r="M44" s="104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Mgmt'!$M$5:$M$428,0))&gt;=DATE(YEAR(EDATE($B$4,10)),MONTH(EDATE($B$4,10)),1),FALSE))&gt;0),150,"")</f>
        <v/>
      </c>
      <c r="N44" s="104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Mgmt'!$M$5:$M$428,0))&gt;=DATE(YEAR(EDATE($B$4,10)),MONTH(EDATE($B$4,10)),1),FALSE))&gt;0),125,"")</f>
        <v/>
      </c>
      <c r="O44" s="104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Mgmt'!$M$5:$M$428,0))&gt;=DATE(YEAR(EDATE($B$4,10)),MONTH(EDATE($B$4,10)),1),FALSE))&gt;0),60,"")</f>
        <v/>
      </c>
      <c r="P44" s="104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Mgmt'!$M$5:$M$428,0))&gt;=DATE(YEAR(EDATE($B$4,10)),MONTH(EDATE($B$4,10)),1),FALSE))&gt;0),80,"")</f>
        <v/>
      </c>
      <c r="Q44" s="104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Mgmt'!$M$5:$M$428,0))&gt;=DATE(YEAR(EDATE($B$4,10)),MONTH(EDATE($B$4,10)),1),FALSE))&gt;0),40,"")</f>
        <v/>
      </c>
      <c r="R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Mgmt'!$M$5:$M$428,0))&gt;=DATE(YEAR(EDATE($B$4,10)),MONTH(EDATE($B$4,10)),1),FALSE))&gt;0),IF(C44="Owned",0,2500),"")</f>
        <v/>
      </c>
      <c r="S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Mgmt'!$M$5:$M$428,0))&gt;=DATE(YEAR(EDATE($B$4,10)),MONTH(EDATE($B$4,10)),1),FALSE))&gt;0),SUM(K44:R44),"")</f>
        <v/>
      </c>
      <c r="T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Mgmt'!$M$5:$M$428,0))&gt;=DATE(YEAR(EDATE($B$4,10)),MONTH(EDATE($B$4,10)),1),FALSE))&gt;0),I44-S44,"")</f>
        <v/>
      </c>
      <c r="U44" s="105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Mgmt'!$M$5:$M$428,0))&gt;=DATE(YEAR(EDATE($B$4,10)),MONTH(EDATE($B$4,10)),1),FALSE))&gt;0),IFERROR(T44/I44,0),"")</f>
        <v/>
      </c>
      <c r="V44" s="82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W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Mgmt'!$I$5:$I$428*((IF(IF(ISNUMBER('Client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X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Mgmt'!$J$5:$J$428*((IF(IF(ISNUMBER('Client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Y44" s="130">
        <f>IF(AND(EDATE($B$4,10)&lt;=EOMONTH($B$5,0),SUMPRODUCT(('Client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1")*('Client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Mgmt'!$K$5:$K$428*((IF(IF(ISNUMBER('Client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Z44" s="82" t="n"/>
      <c r="AA44" s="82" t="n"/>
      <c r="AB44" s="82" t="n"/>
    </row>
    <row r="45" hidden="1" ht="14.25" customHeight="1" s="83">
      <c r="A45" s="125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Mgmt'!$M$5:$M$428,0))&gt;=DATE(YEAR(EDATE($B$4,10)),MONTH(EDATE($B$4,10)),1),FALSE))&gt;0),EDATE($B$4,10),"")</f>
        <v/>
      </c>
      <c r="B45" s="103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Mgmt'!$M$5:$M$428,0))&gt;=DATE(YEAR(EDATE($B$4,10)),MONTH(EDATE($B$4,10)),1),FALSE))&gt;0),"Dorm 2","")</f>
        <v/>
      </c>
      <c r="C45" s="17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Mgmt'!$M$5:$M$428,0))&gt;=DATE(YEAR(EDATE($B$4,10)),MONTH(EDATE($B$4,10)),1),FALSE))&gt;0),IFERROR(_xlfn.XLOOKUP(B45,DormRegistry[Dorm Name],DormRegistry[Ownership Type]),""),"")</f>
        <v/>
      </c>
      <c r="D45" s="17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Mgmt'!$M$5:$M$428,0))&gt;=DATE(YEAR(EDATE($B$4,10)),MONTH(EDATE($B$4,10)),1),FALSE))&gt;0),IFERROR(_xlfn.XLOOKUP(B45,DormRegistry[Dorm Name],DormRegistry[Bed Capacity]),0),"")</f>
        <v/>
      </c>
      <c r="E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Mgmt'!$M$5:$M$428,0))&gt;=DATE(YEAR(EDATE($B$4,10)),MONTH(EDATE($B$4,10)),1),FALSE))&gt;0),$B$7*(1+$B$9)^(YEAR(A45)-YEAR($B$4)),"")</f>
        <v/>
      </c>
      <c r="F45" s="105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Mgmt'!$M$5:$M$428,0))&gt;=DATE(YEAR(EDATE($B$4,10)),MONTH(EDATE($B$4,10)),1),FALSE))&gt;0),$B$8,"")</f>
        <v/>
      </c>
      <c r="G45" s="105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Mgmt'!$M$5:$M$428,0))&gt;=DATE(YEAR(EDATE($B$4,10)),MONTH(EDATE($B$4,10)),1),FALSE))&gt;0),$B$9,"")</f>
        <v/>
      </c>
      <c r="H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Mgmt'!$M$5:$M$428,0))&gt;=DATE(YEAR(EDATE($B$4,10)),MONTH(EDATE($B$4,10)),1),FALSE))&gt;0),D45*E45,"")</f>
        <v/>
      </c>
      <c r="I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Mgmt'!$M$5:$M$428,0))&gt;=DATE(YEAR(EDATE($B$4,10)),MONTH(EDATE($B$4,10)),1),FALSE))&gt;0),SUM(W45:Y45),"")</f>
        <v/>
      </c>
      <c r="J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Mgmt'!$M$5:$M$428,0))&gt;=DATE(YEAR(EDATE($B$4,10)),MONTH(EDATE($B$4,10)),1),FALSE))&gt;0),D45*F45*E45,"")</f>
        <v/>
      </c>
      <c r="K45" s="104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Mgmt'!$M$5:$M$428,0))&gt;=DATE(YEAR(EDATE($B$4,10)),MONTH(EDATE($B$4,10)),1),FALSE))&gt;0),75,"")</f>
        <v/>
      </c>
      <c r="L45" s="104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Mgmt'!$M$5:$M$428,0))&gt;=DATE(YEAR(EDATE($B$4,10)),MONTH(EDATE($B$4,10)),1),FALSE))&gt;0),50,"")</f>
        <v/>
      </c>
      <c r="M45" s="104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Mgmt'!$M$5:$M$428,0))&gt;=DATE(YEAR(EDATE($B$4,10)),MONTH(EDATE($B$4,10)),1),FALSE))&gt;0),150,"")</f>
        <v/>
      </c>
      <c r="N45" s="104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Mgmt'!$M$5:$M$428,0))&gt;=DATE(YEAR(EDATE($B$4,10)),MONTH(EDATE($B$4,10)),1),FALSE))&gt;0),125,"")</f>
        <v/>
      </c>
      <c r="O45" s="104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Mgmt'!$M$5:$M$428,0))&gt;=DATE(YEAR(EDATE($B$4,10)),MONTH(EDATE($B$4,10)),1),FALSE))&gt;0),60,"")</f>
        <v/>
      </c>
      <c r="P45" s="104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Mgmt'!$M$5:$M$428,0))&gt;=DATE(YEAR(EDATE($B$4,10)),MONTH(EDATE($B$4,10)),1),FALSE))&gt;0),80,"")</f>
        <v/>
      </c>
      <c r="Q45" s="104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Mgmt'!$M$5:$M$428,0))&gt;=DATE(YEAR(EDATE($B$4,10)),MONTH(EDATE($B$4,10)),1),FALSE))&gt;0),40,"")</f>
        <v/>
      </c>
      <c r="R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Mgmt'!$M$5:$M$428,0))&gt;=DATE(YEAR(EDATE($B$4,10)),MONTH(EDATE($B$4,10)),1),FALSE))&gt;0),IF(C45="Owned",0,2500),"")</f>
        <v/>
      </c>
      <c r="S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Mgmt'!$M$5:$M$428,0))&gt;=DATE(YEAR(EDATE($B$4,10)),MONTH(EDATE($B$4,10)),1),FALSE))&gt;0),SUM(K45:R45),"")</f>
        <v/>
      </c>
      <c r="T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Mgmt'!$M$5:$M$428,0))&gt;=DATE(YEAR(EDATE($B$4,10)),MONTH(EDATE($B$4,10)),1),FALSE))&gt;0),I45-S45,"")</f>
        <v/>
      </c>
      <c r="U45" s="105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Mgmt'!$M$5:$M$428,0))&gt;=DATE(YEAR(EDATE($B$4,10)),MONTH(EDATE($B$4,10)),1),FALSE))&gt;0),IFERROR(T45/I45,0),"")</f>
        <v/>
      </c>
      <c r="V45" s="82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W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Mgmt'!$I$5:$I$428*((IF(IF(ISNUMBER('Client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X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Mgmt'!$J$5:$J$428*((IF(IF(ISNUMBER('Client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Y45" s="130">
        <f>IF(AND(EDATE($B$4,10)&lt;=EOMONTH($B$5,0),SUMPRODUCT(('Client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2")*('Client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Mgmt'!$K$5:$K$428*((IF(IF(ISNUMBER('Client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Z45" s="82" t="n"/>
      <c r="AA45" s="82" t="n"/>
      <c r="AB45" s="82" t="n"/>
    </row>
    <row r="46" hidden="1" ht="14.25" customHeight="1" s="83">
      <c r="A46" s="125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Mgmt'!$M$5:$M$428,0))&gt;=DATE(YEAR(EDATE($B$4,10)),MONTH(EDATE($B$4,10)),1),FALSE))&gt;0),EDATE($B$4,10),"")</f>
        <v/>
      </c>
      <c r="B46" s="103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Mgmt'!$M$5:$M$428,0))&gt;=DATE(YEAR(EDATE($B$4,10)),MONTH(EDATE($B$4,10)),1),FALSE))&gt;0),"Dorm 3","")</f>
        <v/>
      </c>
      <c r="C46" s="17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Mgmt'!$M$5:$M$428,0))&gt;=DATE(YEAR(EDATE($B$4,10)),MONTH(EDATE($B$4,10)),1),FALSE))&gt;0),IFERROR(_xlfn.XLOOKUP(B46,DormRegistry[Dorm Name],DormRegistry[Ownership Type]),""),"")</f>
        <v/>
      </c>
      <c r="D46" s="17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Mgmt'!$M$5:$M$428,0))&gt;=DATE(YEAR(EDATE($B$4,10)),MONTH(EDATE($B$4,10)),1),FALSE))&gt;0),IFERROR(_xlfn.XLOOKUP(B46,DormRegistry[Dorm Name],DormRegistry[Bed Capacity]),0),"")</f>
        <v/>
      </c>
      <c r="E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Mgmt'!$M$5:$M$428,0))&gt;=DATE(YEAR(EDATE($B$4,10)),MONTH(EDATE($B$4,10)),1),FALSE))&gt;0),$B$7*(1+$B$9)^(YEAR(A46)-YEAR($B$4)),"")</f>
        <v/>
      </c>
      <c r="F46" s="105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Mgmt'!$M$5:$M$428,0))&gt;=DATE(YEAR(EDATE($B$4,10)),MONTH(EDATE($B$4,10)),1),FALSE))&gt;0),$B$8,"")</f>
        <v/>
      </c>
      <c r="G46" s="105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Mgmt'!$M$5:$M$428,0))&gt;=DATE(YEAR(EDATE($B$4,10)),MONTH(EDATE($B$4,10)),1),FALSE))&gt;0),$B$9,"")</f>
        <v/>
      </c>
      <c r="H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Mgmt'!$M$5:$M$428,0))&gt;=DATE(YEAR(EDATE($B$4,10)),MONTH(EDATE($B$4,10)),1),FALSE))&gt;0),D46*E46,"")</f>
        <v/>
      </c>
      <c r="I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Mgmt'!$M$5:$M$428,0))&gt;=DATE(YEAR(EDATE($B$4,10)),MONTH(EDATE($B$4,10)),1),FALSE))&gt;0),SUM(W46:Y46),"")</f>
        <v/>
      </c>
      <c r="J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Mgmt'!$M$5:$M$428,0))&gt;=DATE(YEAR(EDATE($B$4,10)),MONTH(EDATE($B$4,10)),1),FALSE))&gt;0),D46*F46*E46,"")</f>
        <v/>
      </c>
      <c r="K46" s="104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Mgmt'!$M$5:$M$428,0))&gt;=DATE(YEAR(EDATE($B$4,10)),MONTH(EDATE($B$4,10)),1),FALSE))&gt;0),75,"")</f>
        <v/>
      </c>
      <c r="L46" s="104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Mgmt'!$M$5:$M$428,0))&gt;=DATE(YEAR(EDATE($B$4,10)),MONTH(EDATE($B$4,10)),1),FALSE))&gt;0),50,"")</f>
        <v/>
      </c>
      <c r="M46" s="104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Mgmt'!$M$5:$M$428,0))&gt;=DATE(YEAR(EDATE($B$4,10)),MONTH(EDATE($B$4,10)),1),FALSE))&gt;0),150,"")</f>
        <v/>
      </c>
      <c r="N46" s="104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Mgmt'!$M$5:$M$428,0))&gt;=DATE(YEAR(EDATE($B$4,10)),MONTH(EDATE($B$4,10)),1),FALSE))&gt;0),125,"")</f>
        <v/>
      </c>
      <c r="O46" s="104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Mgmt'!$M$5:$M$428,0))&gt;=DATE(YEAR(EDATE($B$4,10)),MONTH(EDATE($B$4,10)),1),FALSE))&gt;0),60,"")</f>
        <v/>
      </c>
      <c r="P46" s="104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Mgmt'!$M$5:$M$428,0))&gt;=DATE(YEAR(EDATE($B$4,10)),MONTH(EDATE($B$4,10)),1),FALSE))&gt;0),80,"")</f>
        <v/>
      </c>
      <c r="Q46" s="104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Mgmt'!$M$5:$M$428,0))&gt;=DATE(YEAR(EDATE($B$4,10)),MONTH(EDATE($B$4,10)),1),FALSE))&gt;0),40,"")</f>
        <v/>
      </c>
      <c r="R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Mgmt'!$M$5:$M$428,0))&gt;=DATE(YEAR(EDATE($B$4,10)),MONTH(EDATE($B$4,10)),1),FALSE))&gt;0),IF(C46="Owned",0,2500),"")</f>
        <v/>
      </c>
      <c r="S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Mgmt'!$M$5:$M$428,0))&gt;=DATE(YEAR(EDATE($B$4,10)),MONTH(EDATE($B$4,10)),1),FALSE))&gt;0),SUM(K46:R46),"")</f>
        <v/>
      </c>
      <c r="T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Mgmt'!$M$5:$M$428,0))&gt;=DATE(YEAR(EDATE($B$4,10)),MONTH(EDATE($B$4,10)),1),FALSE))&gt;0),I46-S46,"")</f>
        <v/>
      </c>
      <c r="U46" s="105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Mgmt'!$M$5:$M$428,0))&gt;=DATE(YEAR(EDATE($B$4,10)),MONTH(EDATE($B$4,10)),1),FALSE))&gt;0),IFERROR(T46/I46,0),"")</f>
        <v/>
      </c>
      <c r="V46" s="82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W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Mgmt'!$I$5:$I$428*((IF(IF(ISNUMBER('Client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X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Mgmt'!$J$5:$J$428*((IF(IF(ISNUMBER('Client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Y46" s="130">
        <f>IF(AND(EDATE($B$4,10)&lt;=EOMONTH($B$5,0),SUMPRODUCT(('Client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Mgmt'!$M$5:$M$428,0))&gt;=DATE(YEAR(EDATE($B$4,10)),MONTH(EDATE($B$4,10)),1),FALSE))&gt;0),IFERROR(SUMPRODUCT(('Client DB &amp; Bed Mgmt'!$A$5:$A$428="Dorm 3")*('Client DB &amp; Bed Mgmt'!$D$5:$D$428&lt;&gt;"")*--IFERROR('Client DB &amp; Bed Mgmt'!$M$5:$M$428&lt;=EOMONTH(EDATE($B$4,10),0),FALSE)*--IFERROR(IF(ISNUMBER('Client DB &amp; Bed Mgmt'!$N$5:$N$428),'Client DB &amp; Bed Mgmt'!$N$5:$N$428,EOMONTH('Client DB &amp; Bed Mgmt'!$M$5:$M$428,0))&gt;=DATE(YEAR(EDATE($B$4,10)),MONTH(EDATE($B$4,10)),1),FALSE)*'Client DB &amp; Bed Mgmt'!$K$5:$K$428*((IF(IF(ISNUMBER('Client DB &amp; Bed Mgmt'!$N$5:$N$428),'Client DB &amp; Bed Mgmt'!$N$5:$N$428,EOMONTH('Client DB &amp; Bed Mgmt'!$M$5:$M$428,0))&lt;EOMONTH(EDATE($B$4,10),0),IF(ISNUMBER('Client DB &amp; Bed Mgmt'!$N$5:$N$428),'Client DB &amp; Bed Mgmt'!$N$5:$N$428,EOMONTH('Client DB &amp; Bed Mgmt'!$M$5:$M$428,0)),EOMONTH(EDATE($B$4,10),0)))-(IF('Client DB &amp; Bed Mgmt'!$M$5:$M$428&gt;DATE(YEAR(EDATE($B$4,10)),MONTH(EDATE($B$4,10)),1),'Client DB &amp; Bed Mgmt'!$M$5:$M$428,DATE(YEAR(EDATE($B$4,10)),MONTH(EDATE($B$4,10)),1)))+1)/DAY(EOMONTH(EDATE($B$4,10),0))),0),"")</f>
        <v/>
      </c>
      <c r="Z46" s="82" t="n"/>
      <c r="AA46" s="82" t="n"/>
      <c r="AB46" s="82" t="n"/>
    </row>
    <row r="47" ht="14.25" customHeight="1" s="83">
      <c r="A47" s="125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Mgmt'!$M$5:$M$428,0))&gt;=DATE(YEAR(EDATE($B$4,11)),MONTH(EDATE($B$4,11)),1),FALSE))&gt;0),EDATE($B$4,11),"")</f>
        <v/>
      </c>
      <c r="B47" s="103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Mgmt'!$M$5:$M$428,0))&gt;=DATE(YEAR(EDATE($B$4,11)),MONTH(EDATE($B$4,11)),1),FALSE))&gt;0),"Dorm 1","")</f>
        <v/>
      </c>
      <c r="C47" s="17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Mgmt'!$M$5:$M$428,0))&gt;=DATE(YEAR(EDATE($B$4,11)),MONTH(EDATE($B$4,11)),1),FALSE))&gt;0),IFERROR(_xlfn.XLOOKUP(B47,DormRegistry[Dorm Name],DormRegistry[Ownership Type]),""),"")</f>
        <v/>
      </c>
      <c r="D47" s="17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Mgmt'!$M$5:$M$428,0))&gt;=DATE(YEAR(EDATE($B$4,11)),MONTH(EDATE($B$4,11)),1),FALSE))&gt;0),IFERROR(_xlfn.XLOOKUP(B47,DormRegistry[Dorm Name],DormRegistry[Bed Capacity]),0),"")</f>
        <v/>
      </c>
      <c r="E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Mgmt'!$M$5:$M$428,0))&gt;=DATE(YEAR(EDATE($B$4,11)),MONTH(EDATE($B$4,11)),1),FALSE))&gt;0),$B$7*(1+$B$9)^(YEAR(A47)-YEAR($B$4)),"")</f>
        <v/>
      </c>
      <c r="F47" s="105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Mgmt'!$M$5:$M$428,0))&gt;=DATE(YEAR(EDATE($B$4,11)),MONTH(EDATE($B$4,11)),1),FALSE))&gt;0),$B$8,"")</f>
        <v/>
      </c>
      <c r="G47" s="105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Mgmt'!$M$5:$M$428,0))&gt;=DATE(YEAR(EDATE($B$4,11)),MONTH(EDATE($B$4,11)),1),FALSE))&gt;0),$B$9,"")</f>
        <v/>
      </c>
      <c r="H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Mgmt'!$M$5:$M$428,0))&gt;=DATE(YEAR(EDATE($B$4,11)),MONTH(EDATE($B$4,11)),1),FALSE))&gt;0),D47*E47,"")</f>
        <v/>
      </c>
      <c r="I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Mgmt'!$M$5:$M$428,0))&gt;=DATE(YEAR(EDATE($B$4,11)),MONTH(EDATE($B$4,11)),1),FALSE))&gt;0),SUM(W47:Y47),"")</f>
        <v/>
      </c>
      <c r="J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Mgmt'!$M$5:$M$428,0))&gt;=DATE(YEAR(EDATE($B$4,11)),MONTH(EDATE($B$4,11)),1),FALSE))&gt;0),D47*F47*E47,"")</f>
        <v/>
      </c>
      <c r="K47" s="104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Mgmt'!$M$5:$M$428,0))&gt;=DATE(YEAR(EDATE($B$4,11)),MONTH(EDATE($B$4,11)),1),FALSE))&gt;0),75,"")</f>
        <v/>
      </c>
      <c r="L47" s="104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Mgmt'!$M$5:$M$428,0))&gt;=DATE(YEAR(EDATE($B$4,11)),MONTH(EDATE($B$4,11)),1),FALSE))&gt;0),50,"")</f>
        <v/>
      </c>
      <c r="M47" s="104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Mgmt'!$M$5:$M$428,0))&gt;=DATE(YEAR(EDATE($B$4,11)),MONTH(EDATE($B$4,11)),1),FALSE))&gt;0),150,"")</f>
        <v/>
      </c>
      <c r="N47" s="104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Mgmt'!$M$5:$M$428,0))&gt;=DATE(YEAR(EDATE($B$4,11)),MONTH(EDATE($B$4,11)),1),FALSE))&gt;0),125,"")</f>
        <v/>
      </c>
      <c r="O47" s="104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Mgmt'!$M$5:$M$428,0))&gt;=DATE(YEAR(EDATE($B$4,11)),MONTH(EDATE($B$4,11)),1),FALSE))&gt;0),60,"")</f>
        <v/>
      </c>
      <c r="P47" s="104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Mgmt'!$M$5:$M$428,0))&gt;=DATE(YEAR(EDATE($B$4,11)),MONTH(EDATE($B$4,11)),1),FALSE))&gt;0),80,"")</f>
        <v/>
      </c>
      <c r="Q47" s="104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Mgmt'!$M$5:$M$428,0))&gt;=DATE(YEAR(EDATE($B$4,11)),MONTH(EDATE($B$4,11)),1),FALSE))&gt;0),40,"")</f>
        <v/>
      </c>
      <c r="R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Mgmt'!$M$5:$M$428,0))&gt;=DATE(YEAR(EDATE($B$4,11)),MONTH(EDATE($B$4,11)),1),FALSE))&gt;0),IF(C47="Owned",0,2500),"")</f>
        <v/>
      </c>
      <c r="S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Mgmt'!$M$5:$M$428,0))&gt;=DATE(YEAR(EDATE($B$4,11)),MONTH(EDATE($B$4,11)),1),FALSE))&gt;0),SUM(K47:R47),"")</f>
        <v/>
      </c>
      <c r="T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Mgmt'!$M$5:$M$428,0))&gt;=DATE(YEAR(EDATE($B$4,11)),MONTH(EDATE($B$4,11)),1),FALSE))&gt;0),I47-S47,"")</f>
        <v/>
      </c>
      <c r="U47" s="105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Mgmt'!$M$5:$M$428,0))&gt;=DATE(YEAR(EDATE($B$4,11)),MONTH(EDATE($B$4,11)),1),FALSE))&gt;0),IFERROR(T47/I47,0),"")</f>
        <v/>
      </c>
      <c r="V47" s="82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W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Mgmt'!$I$5:$I$428*((IF(IF(ISNUMBER('Client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X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Mgmt'!$J$5:$J$428*((IF(IF(ISNUMBER('Client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Y47" s="130">
        <f>IF(AND(EDATE($B$4,11)&lt;=EOMONTH($B$5,0),SUMPRODUCT(('Client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1")*('Client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Mgmt'!$K$5:$K$428*((IF(IF(ISNUMBER('Client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Z47" s="82" t="n"/>
      <c r="AA47" s="82" t="n"/>
      <c r="AB47" s="82" t="n"/>
    </row>
    <row r="48" hidden="1" ht="14.25" customHeight="1" s="83">
      <c r="A48" s="125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Mgmt'!$M$5:$M$428,0))&gt;=DATE(YEAR(EDATE($B$4,11)),MONTH(EDATE($B$4,11)),1),FALSE))&gt;0),EDATE($B$4,11),"")</f>
        <v/>
      </c>
      <c r="B48" s="103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Mgmt'!$M$5:$M$428,0))&gt;=DATE(YEAR(EDATE($B$4,11)),MONTH(EDATE($B$4,11)),1),FALSE))&gt;0),"Dorm 2","")</f>
        <v/>
      </c>
      <c r="C48" s="17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Mgmt'!$M$5:$M$428,0))&gt;=DATE(YEAR(EDATE($B$4,11)),MONTH(EDATE($B$4,11)),1),FALSE))&gt;0),IFERROR(_xlfn.XLOOKUP(B48,DormRegistry[Dorm Name],DormRegistry[Ownership Type]),""),"")</f>
        <v/>
      </c>
      <c r="D48" s="17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Mgmt'!$M$5:$M$428,0))&gt;=DATE(YEAR(EDATE($B$4,11)),MONTH(EDATE($B$4,11)),1),FALSE))&gt;0),IFERROR(_xlfn.XLOOKUP(B48,DormRegistry[Dorm Name],DormRegistry[Bed Capacity]),0),"")</f>
        <v/>
      </c>
      <c r="E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Mgmt'!$M$5:$M$428,0))&gt;=DATE(YEAR(EDATE($B$4,11)),MONTH(EDATE($B$4,11)),1),FALSE))&gt;0),$B$7*(1+$B$9)^(YEAR(A48)-YEAR($B$4)),"")</f>
        <v/>
      </c>
      <c r="F48" s="105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Mgmt'!$M$5:$M$428,0))&gt;=DATE(YEAR(EDATE($B$4,11)),MONTH(EDATE($B$4,11)),1),FALSE))&gt;0),$B$8,"")</f>
        <v/>
      </c>
      <c r="G48" s="105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Mgmt'!$M$5:$M$428,0))&gt;=DATE(YEAR(EDATE($B$4,11)),MONTH(EDATE($B$4,11)),1),FALSE))&gt;0),$B$9,"")</f>
        <v/>
      </c>
      <c r="H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Mgmt'!$M$5:$M$428,0))&gt;=DATE(YEAR(EDATE($B$4,11)),MONTH(EDATE($B$4,11)),1),FALSE))&gt;0),D48*E48,"")</f>
        <v/>
      </c>
      <c r="I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Mgmt'!$M$5:$M$428,0))&gt;=DATE(YEAR(EDATE($B$4,11)),MONTH(EDATE($B$4,11)),1),FALSE))&gt;0),SUM(W48:Y48),"")</f>
        <v/>
      </c>
      <c r="J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Mgmt'!$M$5:$M$428,0))&gt;=DATE(YEAR(EDATE($B$4,11)),MONTH(EDATE($B$4,11)),1),FALSE))&gt;0),D48*F48*E48,"")</f>
        <v/>
      </c>
      <c r="K48" s="104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Mgmt'!$M$5:$M$428,0))&gt;=DATE(YEAR(EDATE($B$4,11)),MONTH(EDATE($B$4,11)),1),FALSE))&gt;0),75,"")</f>
        <v/>
      </c>
      <c r="L48" s="104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Mgmt'!$M$5:$M$428,0))&gt;=DATE(YEAR(EDATE($B$4,11)),MONTH(EDATE($B$4,11)),1),FALSE))&gt;0),50,"")</f>
        <v/>
      </c>
      <c r="M48" s="104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Mgmt'!$M$5:$M$428,0))&gt;=DATE(YEAR(EDATE($B$4,11)),MONTH(EDATE($B$4,11)),1),FALSE))&gt;0),150,"")</f>
        <v/>
      </c>
      <c r="N48" s="104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Mgmt'!$M$5:$M$428,0))&gt;=DATE(YEAR(EDATE($B$4,11)),MONTH(EDATE($B$4,11)),1),FALSE))&gt;0),125,"")</f>
        <v/>
      </c>
      <c r="O48" s="104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Mgmt'!$M$5:$M$428,0))&gt;=DATE(YEAR(EDATE($B$4,11)),MONTH(EDATE($B$4,11)),1),FALSE))&gt;0),60,"")</f>
        <v/>
      </c>
      <c r="P48" s="104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Mgmt'!$M$5:$M$428,0))&gt;=DATE(YEAR(EDATE($B$4,11)),MONTH(EDATE($B$4,11)),1),FALSE))&gt;0),80,"")</f>
        <v/>
      </c>
      <c r="Q48" s="104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Mgmt'!$M$5:$M$428,0))&gt;=DATE(YEAR(EDATE($B$4,11)),MONTH(EDATE($B$4,11)),1),FALSE))&gt;0),40,"")</f>
        <v/>
      </c>
      <c r="R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Mgmt'!$M$5:$M$428,0))&gt;=DATE(YEAR(EDATE($B$4,11)),MONTH(EDATE($B$4,11)),1),FALSE))&gt;0),IF(C48="Owned",0,2500),"")</f>
        <v/>
      </c>
      <c r="S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Mgmt'!$M$5:$M$428,0))&gt;=DATE(YEAR(EDATE($B$4,11)),MONTH(EDATE($B$4,11)),1),FALSE))&gt;0),SUM(K48:R48),"")</f>
        <v/>
      </c>
      <c r="T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Mgmt'!$M$5:$M$428,0))&gt;=DATE(YEAR(EDATE($B$4,11)),MONTH(EDATE($B$4,11)),1),FALSE))&gt;0),I48-S48,"")</f>
        <v/>
      </c>
      <c r="U48" s="105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Mgmt'!$M$5:$M$428,0))&gt;=DATE(YEAR(EDATE($B$4,11)),MONTH(EDATE($B$4,11)),1),FALSE))&gt;0),IFERROR(T48/I48,0),"")</f>
        <v/>
      </c>
      <c r="V48" s="82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W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Mgmt'!$I$5:$I$428*((IF(IF(ISNUMBER('Client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X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Mgmt'!$J$5:$J$428*((IF(IF(ISNUMBER('Client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Y48" s="130">
        <f>IF(AND(EDATE($B$4,11)&lt;=EOMONTH($B$5,0),SUMPRODUCT(('Client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2")*('Client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Mgmt'!$K$5:$K$428*((IF(IF(ISNUMBER('Client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Z48" s="82" t="n"/>
      <c r="AA48" s="82" t="n"/>
      <c r="AB48" s="82" t="n"/>
    </row>
    <row r="49" hidden="1" ht="14.25" customHeight="1" s="83">
      <c r="A49" s="125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Mgmt'!$M$5:$M$428,0))&gt;=DATE(YEAR(EDATE($B$4,11)),MONTH(EDATE($B$4,11)),1),FALSE))&gt;0),EDATE($B$4,11),"")</f>
        <v/>
      </c>
      <c r="B49" s="103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Mgmt'!$M$5:$M$428,0))&gt;=DATE(YEAR(EDATE($B$4,11)),MONTH(EDATE($B$4,11)),1),FALSE))&gt;0),"Dorm 3","")</f>
        <v/>
      </c>
      <c r="C49" s="17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Mgmt'!$M$5:$M$428,0))&gt;=DATE(YEAR(EDATE($B$4,11)),MONTH(EDATE($B$4,11)),1),FALSE))&gt;0),IFERROR(_xlfn.XLOOKUP(B49,DormRegistry[Dorm Name],DormRegistry[Ownership Type]),""),"")</f>
        <v/>
      </c>
      <c r="D49" s="17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Mgmt'!$M$5:$M$428,0))&gt;=DATE(YEAR(EDATE($B$4,11)),MONTH(EDATE($B$4,11)),1),FALSE))&gt;0),IFERROR(_xlfn.XLOOKUP(B49,DormRegistry[Dorm Name],DormRegistry[Bed Capacity]),0),"")</f>
        <v/>
      </c>
      <c r="E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Mgmt'!$M$5:$M$428,0))&gt;=DATE(YEAR(EDATE($B$4,11)),MONTH(EDATE($B$4,11)),1),FALSE))&gt;0),$B$7*(1+$B$9)^(YEAR(A49)-YEAR($B$4)),"")</f>
        <v/>
      </c>
      <c r="F49" s="105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Mgmt'!$M$5:$M$428,0))&gt;=DATE(YEAR(EDATE($B$4,11)),MONTH(EDATE($B$4,11)),1),FALSE))&gt;0),$B$8,"")</f>
        <v/>
      </c>
      <c r="G49" s="105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Mgmt'!$M$5:$M$428,0))&gt;=DATE(YEAR(EDATE($B$4,11)),MONTH(EDATE($B$4,11)),1),FALSE))&gt;0),$B$9,"")</f>
        <v/>
      </c>
      <c r="H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Mgmt'!$M$5:$M$428,0))&gt;=DATE(YEAR(EDATE($B$4,11)),MONTH(EDATE($B$4,11)),1),FALSE))&gt;0),D49*E49,"")</f>
        <v/>
      </c>
      <c r="I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Mgmt'!$M$5:$M$428,0))&gt;=DATE(YEAR(EDATE($B$4,11)),MONTH(EDATE($B$4,11)),1),FALSE))&gt;0),SUM(W49:Y49),"")</f>
        <v/>
      </c>
      <c r="J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Mgmt'!$M$5:$M$428,0))&gt;=DATE(YEAR(EDATE($B$4,11)),MONTH(EDATE($B$4,11)),1),FALSE))&gt;0),D49*F49*E49,"")</f>
        <v/>
      </c>
      <c r="K49" s="104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Mgmt'!$M$5:$M$428,0))&gt;=DATE(YEAR(EDATE($B$4,11)),MONTH(EDATE($B$4,11)),1),FALSE))&gt;0),75,"")</f>
        <v/>
      </c>
      <c r="L49" s="104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Mgmt'!$M$5:$M$428,0))&gt;=DATE(YEAR(EDATE($B$4,11)),MONTH(EDATE($B$4,11)),1),FALSE))&gt;0),50,"")</f>
        <v/>
      </c>
      <c r="M49" s="104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Mgmt'!$M$5:$M$428,0))&gt;=DATE(YEAR(EDATE($B$4,11)),MONTH(EDATE($B$4,11)),1),FALSE))&gt;0),150,"")</f>
        <v/>
      </c>
      <c r="N49" s="104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Mgmt'!$M$5:$M$428,0))&gt;=DATE(YEAR(EDATE($B$4,11)),MONTH(EDATE($B$4,11)),1),FALSE))&gt;0),125,"")</f>
        <v/>
      </c>
      <c r="O49" s="104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Mgmt'!$M$5:$M$428,0))&gt;=DATE(YEAR(EDATE($B$4,11)),MONTH(EDATE($B$4,11)),1),FALSE))&gt;0),60,"")</f>
        <v/>
      </c>
      <c r="P49" s="104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Mgmt'!$M$5:$M$428,0))&gt;=DATE(YEAR(EDATE($B$4,11)),MONTH(EDATE($B$4,11)),1),FALSE))&gt;0),80,"")</f>
        <v/>
      </c>
      <c r="Q49" s="104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Mgmt'!$M$5:$M$428,0))&gt;=DATE(YEAR(EDATE($B$4,11)),MONTH(EDATE($B$4,11)),1),FALSE))&gt;0),40,"")</f>
        <v/>
      </c>
      <c r="R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Mgmt'!$M$5:$M$428,0))&gt;=DATE(YEAR(EDATE($B$4,11)),MONTH(EDATE($B$4,11)),1),FALSE))&gt;0),IF(C49="Owned",0,2500),"")</f>
        <v/>
      </c>
      <c r="S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Mgmt'!$M$5:$M$428,0))&gt;=DATE(YEAR(EDATE($B$4,11)),MONTH(EDATE($B$4,11)),1),FALSE))&gt;0),SUM(K49:R49),"")</f>
        <v/>
      </c>
      <c r="T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Mgmt'!$M$5:$M$428,0))&gt;=DATE(YEAR(EDATE($B$4,11)),MONTH(EDATE($B$4,11)),1),FALSE))&gt;0),I49-S49,"")</f>
        <v/>
      </c>
      <c r="U49" s="105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Mgmt'!$M$5:$M$428,0))&gt;=DATE(YEAR(EDATE($B$4,11)),MONTH(EDATE($B$4,11)),1),FALSE))&gt;0),IFERROR(T49/I49,0),"")</f>
        <v/>
      </c>
      <c r="V49" s="82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W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Mgmt'!$I$5:$I$428*((IF(IF(ISNUMBER('Client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X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Mgmt'!$J$5:$J$428*((IF(IF(ISNUMBER('Client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Y49" s="130">
        <f>IF(AND(EDATE($B$4,11)&lt;=EOMONTH($B$5,0),SUMPRODUCT(('Client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Mgmt'!$M$5:$M$428,0))&gt;=DATE(YEAR(EDATE($B$4,11)),MONTH(EDATE($B$4,11)),1),FALSE))&gt;0),IFERROR(SUMPRODUCT(('Client DB &amp; Bed Mgmt'!$A$5:$A$428="Dorm 3")*('Client DB &amp; Bed Mgmt'!$D$5:$D$428&lt;&gt;"")*--IFERROR('Client DB &amp; Bed Mgmt'!$M$5:$M$428&lt;=EOMONTH(EDATE($B$4,11),0),FALSE)*--IFERROR(IF(ISNUMBER('Client DB &amp; Bed Mgmt'!$N$5:$N$428),'Client DB &amp; Bed Mgmt'!$N$5:$N$428,EOMONTH('Client DB &amp; Bed Mgmt'!$M$5:$M$428,0))&gt;=DATE(YEAR(EDATE($B$4,11)),MONTH(EDATE($B$4,11)),1),FALSE)*'Client DB &amp; Bed Mgmt'!$K$5:$K$428*((IF(IF(ISNUMBER('Client DB &amp; Bed Mgmt'!$N$5:$N$428),'Client DB &amp; Bed Mgmt'!$N$5:$N$428,EOMONTH('Client DB &amp; Bed Mgmt'!$M$5:$M$428,0))&lt;EOMONTH(EDATE($B$4,11),0),IF(ISNUMBER('Client DB &amp; Bed Mgmt'!$N$5:$N$428),'Client DB &amp; Bed Mgmt'!$N$5:$N$428,EOMONTH('Client DB &amp; Bed Mgmt'!$M$5:$M$428,0)),EOMONTH(EDATE($B$4,11),0)))-(IF('Client DB &amp; Bed Mgmt'!$M$5:$M$428&gt;DATE(YEAR(EDATE($B$4,11)),MONTH(EDATE($B$4,11)),1),'Client DB &amp; Bed Mgmt'!$M$5:$M$428,DATE(YEAR(EDATE($B$4,11)),MONTH(EDATE($B$4,11)),1)))+1)/DAY(EOMONTH(EDATE($B$4,11),0))),0),"")</f>
        <v/>
      </c>
      <c r="Z49" s="82" t="n"/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2026-06-27T15:13:24Z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