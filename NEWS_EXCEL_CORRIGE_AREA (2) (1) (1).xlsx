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Room Elec Prorata Total</t>
        </is>
      </c>
      <c r="V5" s="124" t="inlineStr">
        <is>
          <t>Area Elec Prorata Total</t>
        </is>
      </c>
    </row>
    <row r="6" ht="14.25" customHeight="1" s="83">
      <c r="A6" s="103" t="inlineStr">
        <is>
          <t>Dorm 1</t>
        </is>
      </c>
      <c r="B6" s="125">
        <f>DATE(YEAR(StartDate),MONTH(StartDate),1)</f>
        <v/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Mgmt'!$B:$B,C6,'Client DB &amp; Bed Mgmt'!$E:$E,"Occupied"),0)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Mgmt'!$M:$M,"&lt;="&amp;EOMONTH($B6,0),'Client DB &amp; Bed Mgmt'!$N:$N,"&gt;="&amp;DATE(YEAR($B6),MONTH($B6),1))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29">
        <f>IFERROR(J6*SUMPRODUCT(('Client DB &amp; Bed Mgmt'!$A$5:$A$428=A6)*('Client DB &amp; Bed Mgmt'!$B$5:$B$428=C6)*('Client DB &amp; Bed Mgmt'!$D$5:$D$428&lt;&gt;"")*--(('Client DB &amp; Bed Mgmt'!$M$5:$M$428="")+NOT(ISNUMBER('Client DB &amp; Bed Mgmt'!$M$5:$M$428))+IFERROR('Client DB &amp; Bed Mgmt'!$M$5:$M$428&lt;=EOMONTH(B6,0),FALSE)&gt;0)*--(('Client DB &amp; Bed Mgmt'!$N$5:$N$428="")+NOT(ISNUMBER('Client DB &amp; Bed Mgmt'!$N$5:$N$428))+IFERROR('Client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  <c r="V6" s="130">
        <f>IFERROR(T6*SUMPRODUCT(('Client DB &amp; Bed Mgmt'!$A$5:$A$428=K6)*('Client DB &amp; Bed Mgmt'!$B$5:$B$428=L6)*('Client DB &amp; Bed Mgmt'!$D$5:$D$428&lt;&gt;"")*--(('Client DB &amp; Bed Mgmt'!$M$5:$M$428="")+NOT(ISNUMBER('Client DB &amp; Bed Mgmt'!$M$5:$M$428))+IFERROR('Client DB &amp; Bed Mgmt'!$M$5:$M$428&lt;=EOMONTH(B6,0),FALSE)&gt;0)*--(('Client DB &amp; Bed Mgmt'!$N$5:$N$428="")+NOT(ISNUMBER('Client DB &amp; Bed Mgmt'!$N$5:$N$428))+IFERROR('Client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</row>
    <row r="7" ht="14.25" customHeight="1" s="83">
      <c r="A7" s="103" t="inlineStr">
        <is>
          <t>Dorm 1</t>
        </is>
      </c>
      <c r="B7" s="125">
        <f>DATE(YEAR(StartDate),MONTH(StartDate),1)</f>
        <v/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Mgmt'!$B:$B,C7,'Client DB &amp; Bed Mgmt'!$E:$E,"Occupied"),0)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Mgmt'!$M:$M,"&lt;="&amp;EOMONTH($B7,0),'Client DB &amp; Bed Mgmt'!$N:$N,"&gt;="&amp;DATE(YEAR($B7),MONTH($B7),1))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29">
        <f>IFERROR(J7*SUMPRODUCT(('Client DB &amp; Bed Mgmt'!$A$5:$A$428=A7)*('Client DB &amp; Bed Mgmt'!$B$5:$B$428=C7)*('Client DB &amp; Bed Mgmt'!$D$5:$D$428&lt;&gt;"")*--(('Client DB &amp; Bed Mgmt'!$M$5:$M$428="")+NOT(ISNUMBER('Client DB &amp; Bed Mgmt'!$M$5:$M$428))+IFERROR('Client DB &amp; Bed Mgmt'!$M$5:$M$428&lt;=EOMONTH(B7,0),FALSE)&gt;0)*--(('Client DB &amp; Bed Mgmt'!$N$5:$N$428="")+NOT(ISNUMBER('Client DB &amp; Bed Mgmt'!$N$5:$N$428))+IFERROR('Client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  <c r="V7" s="130">
        <f>IFERROR(T7*SUMPRODUCT(('Client DB &amp; Bed Mgmt'!$A$5:$A$428=K7)*('Client DB &amp; Bed Mgmt'!$B$5:$B$428=L7)*('Client DB &amp; Bed Mgmt'!$D$5:$D$428&lt;&gt;"")*--(('Client DB &amp; Bed Mgmt'!$M$5:$M$428="")+NOT(ISNUMBER('Client DB &amp; Bed Mgmt'!$M$5:$M$428))+IFERROR('Client DB &amp; Bed Mgmt'!$M$5:$M$428&lt;=EOMONTH(B7,0),FALSE)&gt;0)*--(('Client DB &amp; Bed Mgmt'!$N$5:$N$428="")+NOT(ISNUMBER('Client DB &amp; Bed Mgmt'!$N$5:$N$428))+IFERROR('Client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</row>
    <row r="8" ht="14.25" customHeight="1" s="83">
      <c r="A8" s="103" t="inlineStr">
        <is>
          <t>Dorm 1</t>
        </is>
      </c>
      <c r="B8" s="125">
        <f>DATE(YEAR(StartDate),MONTH(StartDate),1)</f>
        <v/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Mgmt'!$B:$B,C8,'Client DB &amp; Bed Mgmt'!$E:$E,"Occupied"),0)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Mgmt'!$M:$M,"&lt;="&amp;EOMONTH($B8,0),'Client DB &amp; Bed Mgmt'!$N:$N,"&gt;="&amp;DATE(YEAR($B8),MONTH($B8),1))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29">
        <f>IFERROR(J8*SUMPRODUCT(('Client DB &amp; Bed Mgmt'!$A$5:$A$428=A8)*('Client DB &amp; Bed Mgmt'!$B$5:$B$428=C8)*('Client DB &amp; Bed Mgmt'!$D$5:$D$428&lt;&gt;"")*--(('Client DB &amp; Bed Mgmt'!$M$5:$M$428="")+NOT(ISNUMBER('Client DB &amp; Bed Mgmt'!$M$5:$M$428))+IFERROR('Client DB &amp; Bed Mgmt'!$M$5:$M$428&lt;=EOMONTH(B8,0),FALSE)&gt;0)*--(('Client DB &amp; Bed Mgmt'!$N$5:$N$428="")+NOT(ISNUMBER('Client DB &amp; Bed Mgmt'!$N$5:$N$428))+IFERROR('Client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  <c r="V8" s="130">
        <f>IFERROR(T8*SUMPRODUCT(('Client DB &amp; Bed Mgmt'!$A$5:$A$428=K8)*('Client DB &amp; Bed Mgmt'!$B$5:$B$428=L8)*('Client DB &amp; Bed Mgmt'!$D$5:$D$428&lt;&gt;"")*--(('Client DB &amp; Bed Mgmt'!$M$5:$M$428="")+NOT(ISNUMBER('Client DB &amp; Bed Mgmt'!$M$5:$M$428))+IFERROR('Client DB &amp; Bed Mgmt'!$M$5:$M$428&lt;=EOMONTH(B8,0),FALSE)&gt;0)*--(('Client DB &amp; Bed Mgmt'!$N$5:$N$428="")+NOT(ISNUMBER('Client DB &amp; Bed Mgmt'!$N$5:$N$428))+IFERROR('Client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</row>
    <row r="9" ht="14.25" customHeight="1" s="83">
      <c r="A9" s="103" t="inlineStr">
        <is>
          <t>Dorm 1</t>
        </is>
      </c>
      <c r="B9" s="125">
        <f>DATE(YEAR(StartDate),MONTH(StartDate),1)</f>
        <v/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Mgmt'!$B:$B,C9,'Client DB &amp; Bed Mgmt'!$E:$E,"Occupied"),0)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Mgmt'!$M:$M,"&lt;="&amp;EOMONTH($B9,0),'Client DB &amp; Bed Mgmt'!$N:$N,"&gt;="&amp;DATE(YEAR($B9),MONTH($B9),1))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29">
        <f>IFERROR(J9*SUMPRODUCT(('Client DB &amp; Bed Mgmt'!$A$5:$A$428=A9)*('Client DB &amp; Bed Mgmt'!$B$5:$B$428=C9)*('Client DB &amp; Bed Mgmt'!$D$5:$D$428&lt;&gt;"")*--(('Client DB &amp; Bed Mgmt'!$M$5:$M$428="")+NOT(ISNUMBER('Client DB &amp; Bed Mgmt'!$M$5:$M$428))+IFERROR('Client DB &amp; Bed Mgmt'!$M$5:$M$428&lt;=EOMONTH(B9,0),FALSE)&gt;0)*--(('Client DB &amp; Bed Mgmt'!$N$5:$N$428="")+NOT(ISNUMBER('Client DB &amp; Bed Mgmt'!$N$5:$N$428))+IFERROR('Client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  <c r="V9" s="130">
        <f>IFERROR(T9*SUMPRODUCT(('Client DB &amp; Bed Mgmt'!$A$5:$A$428=K9)*('Client DB &amp; Bed Mgmt'!$B$5:$B$428=L9)*('Client DB &amp; Bed Mgmt'!$D$5:$D$428&lt;&gt;"")*--(('Client DB &amp; Bed Mgmt'!$M$5:$M$428="")+NOT(ISNUMBER('Client DB &amp; Bed Mgmt'!$M$5:$M$428))+IFERROR('Client DB &amp; Bed Mgmt'!$M$5:$M$428&lt;=EOMONTH(B9,0),FALSE)&gt;0)*--(('Client DB &amp; Bed Mgmt'!$N$5:$N$428="")+NOT(ISNUMBER('Client DB &amp; Bed Mgmt'!$N$5:$N$428))+IFERROR('Client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</row>
    <row r="10" ht="14.25" customHeight="1" s="83">
      <c r="A10" s="103" t="inlineStr">
        <is>
          <t>Dorm 1</t>
        </is>
      </c>
      <c r="B10" s="125">
        <f>DATE(YEAR(StartDate),MONTH(StartDate),1)</f>
        <v/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Mgmt'!$B:$B,C10,'Client DB &amp; Bed Mgmt'!$E:$E,"Occupied"),0)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Mgmt'!$M:$M,"&lt;="&amp;EOMONTH($B10,0),'Client DB &amp; Bed Mgmt'!$N:$N,"&gt;="&amp;DATE(YEAR($B10),MONTH($B10),1))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29">
        <f>IFERROR(J10*SUMPRODUCT(('Client DB &amp; Bed Mgmt'!$A$5:$A$428=A10)*('Client DB &amp; Bed Mgmt'!$B$5:$B$428=C10)*('Client DB &amp; Bed Mgmt'!$D$5:$D$428&lt;&gt;"")*--(('Client DB &amp; Bed Mgmt'!$M$5:$M$428="")+NOT(ISNUMBER('Client DB &amp; Bed Mgmt'!$M$5:$M$428))+IFERROR('Client DB &amp; Bed Mgmt'!$M$5:$M$428&lt;=EOMONTH(B10,0),FALSE)&gt;0)*--(('Client DB &amp; Bed Mgmt'!$N$5:$N$428="")+NOT(ISNUMBER('Client DB &amp; Bed Mgmt'!$N$5:$N$428))+IFERROR('Client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  <c r="V10" s="130">
        <f>IFERROR(T10*SUMPRODUCT(('Client DB &amp; Bed Mgmt'!$A$5:$A$428=K10)*('Client DB &amp; Bed Mgmt'!$B$5:$B$428=L10)*('Client DB &amp; Bed Mgmt'!$D$5:$D$428&lt;&gt;"")*--(('Client DB &amp; Bed Mgmt'!$M$5:$M$428="")+NOT(ISNUMBER('Client DB &amp; Bed Mgmt'!$M$5:$M$428))+IFERROR('Client DB &amp; Bed Mgmt'!$M$5:$M$428&lt;=EOMONTH(B10,0),FALSE)&gt;0)*--(('Client DB &amp; Bed Mgmt'!$N$5:$N$428="")+NOT(ISNUMBER('Client DB &amp; Bed Mgmt'!$N$5:$N$428))+IFERROR('Client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</row>
    <row r="11" ht="14.25" customHeight="1" s="83">
      <c r="A11" s="103" t="inlineStr">
        <is>
          <t>Dorm 1</t>
        </is>
      </c>
      <c r="B11" s="125">
        <f>DATE(YEAR(StartDate),MONTH(StartDate),1)</f>
        <v/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Mgmt'!$B:$B,C11,'Client DB &amp; Bed Mgmt'!$E:$E,"Occupied"),0)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Mgmt'!$M:$M,"&lt;="&amp;EOMONTH($B11,0),'Client DB &amp; Bed Mgmt'!$N:$N,"&gt;="&amp;DATE(YEAR($B11),MONTH($B11),1))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29">
        <f>IFERROR(J11*SUMPRODUCT(('Client DB &amp; Bed Mgmt'!$A$5:$A$428=A11)*('Client DB &amp; Bed Mgmt'!$B$5:$B$428=C11)*('Client DB &amp; Bed Mgmt'!$D$5:$D$428&lt;&gt;"")*--(('Client DB &amp; Bed Mgmt'!$M$5:$M$428="")+NOT(ISNUMBER('Client DB &amp; Bed Mgmt'!$M$5:$M$428))+IFERROR('Client DB &amp; Bed Mgmt'!$M$5:$M$428&lt;=EOMONTH(B11,0),FALSE)&gt;0)*--(('Client DB &amp; Bed Mgmt'!$N$5:$N$428="")+NOT(ISNUMBER('Client DB &amp; Bed Mgmt'!$N$5:$N$428))+IFERROR('Client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  <c r="V11" s="130">
        <f>IFERROR(T11*SUMPRODUCT(('Client DB &amp; Bed Mgmt'!$A$5:$A$428=K11)*('Client DB &amp; Bed Mgmt'!$B$5:$B$428=L11)*('Client DB &amp; Bed Mgmt'!$D$5:$D$428&lt;&gt;"")*--(('Client DB &amp; Bed Mgmt'!$M$5:$M$428="")+NOT(ISNUMBER('Client DB &amp; Bed Mgmt'!$M$5:$M$428))+IFERROR('Client DB &amp; Bed Mgmt'!$M$5:$M$428&lt;=EOMONTH(B11,0),FALSE)&gt;0)*--(('Client DB &amp; Bed Mgmt'!$N$5:$N$428="")+NOT(ISNUMBER('Client DB &amp; Bed Mgmt'!$N$5:$N$428))+IFERROR('Client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</row>
    <row r="12" ht="14.25" customHeight="1" s="83">
      <c r="A12" s="103" t="inlineStr">
        <is>
          <t>Dorm 1</t>
        </is>
      </c>
      <c r="B12" s="125">
        <f>DATE(YEAR(StartDate),MONTH(StartDate),1)</f>
        <v/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Mgmt'!$B:$B,C12,'Client DB &amp; Bed Mgmt'!$E:$E,"Occupied"),0)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Mgmt'!$M:$M,"&lt;="&amp;EOMONTH($B12,0),'Client DB &amp; Bed Mgmt'!$N:$N,"&gt;="&amp;DATE(YEAR($B12),MONTH($B12),1))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29">
        <f>IFERROR(J12*SUMPRODUCT(('Client DB &amp; Bed Mgmt'!$A$5:$A$428=A12)*('Client DB &amp; Bed Mgmt'!$B$5:$B$428=C12)*('Client DB &amp; Bed Mgmt'!$D$5:$D$428&lt;&gt;"")*--(('Client DB &amp; Bed Mgmt'!$M$5:$M$428="")+NOT(ISNUMBER('Client DB &amp; Bed Mgmt'!$M$5:$M$428))+IFERROR('Client DB &amp; Bed Mgmt'!$M$5:$M$428&lt;=EOMONTH(B12,0),FALSE)&gt;0)*--(('Client DB &amp; Bed Mgmt'!$N$5:$N$428="")+NOT(ISNUMBER('Client DB &amp; Bed Mgmt'!$N$5:$N$428))+IFERROR('Client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  <c r="V12" s="130">
        <f>IFERROR(T12*SUMPRODUCT(('Client DB &amp; Bed Mgmt'!$A$5:$A$428=K12)*('Client DB &amp; Bed Mgmt'!$B$5:$B$428=L12)*('Client DB &amp; Bed Mgmt'!$D$5:$D$428&lt;&gt;"")*--(('Client DB &amp; Bed Mgmt'!$M$5:$M$428="")+NOT(ISNUMBER('Client DB &amp; Bed Mgmt'!$M$5:$M$428))+IFERROR('Client DB &amp; Bed Mgmt'!$M$5:$M$428&lt;=EOMONTH(B12,0),FALSE)&gt;0)*--(('Client DB &amp; Bed Mgmt'!$N$5:$N$428="")+NOT(ISNUMBER('Client DB &amp; Bed Mgmt'!$N$5:$N$428))+IFERROR('Client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</row>
    <row r="13" ht="14.25" customHeight="1" s="83">
      <c r="A13" s="103" t="inlineStr">
        <is>
          <t>Dorm 1</t>
        </is>
      </c>
      <c r="B13" s="125">
        <f>DATE(YEAR(StartDate),MONTH(StartDate),1)</f>
        <v/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Mgmt'!$B:$B,C13,'Client DB &amp; Bed Mgmt'!$E:$E,"Occupied"),0)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Mgmt'!$M:$M,"&lt;="&amp;EOMONTH($B13,0),'Client DB &amp; Bed Mgmt'!$N:$N,"&gt;="&amp;DATE(YEAR($B13),MONTH($B13),1))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29">
        <f>IFERROR(J13*SUMPRODUCT(('Client DB &amp; Bed Mgmt'!$A$5:$A$428=A13)*('Client DB &amp; Bed Mgmt'!$B$5:$B$428=C13)*('Client DB &amp; Bed Mgmt'!$D$5:$D$428&lt;&gt;"")*--(('Client DB &amp; Bed Mgmt'!$M$5:$M$428="")+NOT(ISNUMBER('Client DB &amp; Bed Mgmt'!$M$5:$M$428))+IFERROR('Client DB &amp; Bed Mgmt'!$M$5:$M$428&lt;=EOMONTH(B13,0),FALSE)&gt;0)*--(('Client DB &amp; Bed Mgmt'!$N$5:$N$428="")+NOT(ISNUMBER('Client DB &amp; Bed Mgmt'!$N$5:$N$428))+IFERROR('Client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  <c r="V13" s="130">
        <f>IFERROR(T13*SUMPRODUCT(('Client DB &amp; Bed Mgmt'!$A$5:$A$428=K13)*('Client DB &amp; Bed Mgmt'!$B$5:$B$428=L13)*('Client DB &amp; Bed Mgmt'!$D$5:$D$428&lt;&gt;"")*--(('Client DB &amp; Bed Mgmt'!$M$5:$M$428="")+NOT(ISNUMBER('Client DB &amp; Bed Mgmt'!$M$5:$M$428))+IFERROR('Client DB &amp; Bed Mgmt'!$M$5:$M$428&lt;=EOMONTH(B13,0),FALSE)&gt;0)*--(('Client DB &amp; Bed Mgmt'!$N$5:$N$428="")+NOT(ISNUMBER('Client DB &amp; Bed Mgmt'!$N$5:$N$428))+IFERROR('Client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</row>
    <row r="14" ht="14.25" customHeight="1" s="83">
      <c r="A14" s="103" t="inlineStr">
        <is>
          <t>Dorm 1</t>
        </is>
      </c>
      <c r="B14" s="125">
        <f>DATE(YEAR(StartDate),MONTH(StartDate),1)</f>
        <v/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Mgmt'!$B:$B,C14,'Client DB &amp; Bed Mgmt'!$E:$E,"Occupied"),0)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Mgmt'!$M:$M,"&lt;="&amp;EOMONTH($B14,0),'Client DB &amp; Bed Mgmt'!$N:$N,"&gt;="&amp;DATE(YEAR($B14),MONTH($B14),1))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29">
        <f>IFERROR(J14*SUMPRODUCT(('Client DB &amp; Bed Mgmt'!$A$5:$A$428=A14)*('Client DB &amp; Bed Mgmt'!$B$5:$B$428=C14)*('Client DB &amp; Bed Mgmt'!$D$5:$D$428&lt;&gt;"")*--(('Client DB &amp; Bed Mgmt'!$M$5:$M$428="")+NOT(ISNUMBER('Client DB &amp; Bed Mgmt'!$M$5:$M$428))+IFERROR('Client DB &amp; Bed Mgmt'!$M$5:$M$428&lt;=EOMONTH(B14,0),FALSE)&gt;0)*--(('Client DB &amp; Bed Mgmt'!$N$5:$N$428="")+NOT(ISNUMBER('Client DB &amp; Bed Mgmt'!$N$5:$N$428))+IFERROR('Client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  <c r="V14" s="130">
        <f>IFERROR(T14*SUMPRODUCT(('Client DB &amp; Bed Mgmt'!$A$5:$A$428=K14)*('Client DB &amp; Bed Mgmt'!$B$5:$B$428=L14)*('Client DB &amp; Bed Mgmt'!$D$5:$D$428&lt;&gt;"")*--(('Client DB &amp; Bed Mgmt'!$M$5:$M$428="")+NOT(ISNUMBER('Client DB &amp; Bed Mgmt'!$M$5:$M$428))+IFERROR('Client DB &amp; Bed Mgmt'!$M$5:$M$428&lt;=EOMONTH(B14,0),FALSE)&gt;0)*--(('Client DB &amp; Bed Mgmt'!$N$5:$N$428="")+NOT(ISNUMBER('Client DB &amp; Bed Mgmt'!$N$5:$N$428))+IFERROR('Client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</row>
    <row r="15" ht="14.25" customHeight="1" s="83">
      <c r="A15" s="103" t="inlineStr">
        <is>
          <t>Dorm 1</t>
        </is>
      </c>
      <c r="B15" s="125">
        <f>DATE(YEAR(StartDate),MONTH(StartDate),1)</f>
        <v/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Mgmt'!$B:$B,C15,'Client DB &amp; Bed Mgmt'!$E:$E,"Occupied"),0)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Mgmt'!$M:$M,"&lt;="&amp;EOMONTH($B15,0),'Client DB &amp; Bed Mgmt'!$N:$N,"&gt;="&amp;DATE(YEAR($B15),MONTH($B15),1))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29">
        <f>IFERROR(J15*SUMPRODUCT(('Client DB &amp; Bed Mgmt'!$A$5:$A$428=A15)*('Client DB &amp; Bed Mgmt'!$B$5:$B$428=C15)*('Client DB &amp; Bed Mgmt'!$D$5:$D$428&lt;&gt;"")*--(('Client DB &amp; Bed Mgmt'!$M$5:$M$428="")+NOT(ISNUMBER('Client DB &amp; Bed Mgmt'!$M$5:$M$428))+IFERROR('Client DB &amp; Bed Mgmt'!$M$5:$M$428&lt;=EOMONTH(B15,0),FALSE)&gt;0)*--(('Client DB &amp; Bed Mgmt'!$N$5:$N$428="")+NOT(ISNUMBER('Client DB &amp; Bed Mgmt'!$N$5:$N$428))+IFERROR('Client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  <c r="V15" s="130">
        <f>IFERROR(T15*SUMPRODUCT(('Client DB &amp; Bed Mgmt'!$A$5:$A$428=K15)*('Client DB &amp; Bed Mgmt'!$B$5:$B$428=L15)*('Client DB &amp; Bed Mgmt'!$D$5:$D$428&lt;&gt;"")*--(('Client DB &amp; Bed Mgmt'!$M$5:$M$428="")+NOT(ISNUMBER('Client DB &amp; Bed Mgmt'!$M$5:$M$428))+IFERROR('Client DB &amp; Bed Mgmt'!$M$5:$M$428&lt;=EOMONTH(B15,0),FALSE)&gt;0)*--(('Client DB &amp; Bed Mgmt'!$N$5:$N$428="")+NOT(ISNUMBER('Client DB &amp; Bed Mgmt'!$N$5:$N$428))+IFERROR('Client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</row>
    <row r="16" ht="14.25" customHeight="1" s="83">
      <c r="A16" s="103" t="inlineStr">
        <is>
          <t>Dorm 1</t>
        </is>
      </c>
      <c r="B16" s="125">
        <f>DATE(YEAR(StartDate),MONTH(StartDate),1)</f>
        <v/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Mgmt'!$B:$B,C16,'Client DB &amp; Bed Mgmt'!$E:$E,"Occupied"),0)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Mgmt'!$M:$M,"&lt;="&amp;EOMONTH($B16,0),'Client DB &amp; Bed Mgmt'!$N:$N,"&gt;="&amp;DATE(YEAR($B16),MONTH($B16),1))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29">
        <f>IFERROR(J16*SUMPRODUCT(('Client DB &amp; Bed Mgmt'!$A$5:$A$428=A16)*('Client DB &amp; Bed Mgmt'!$B$5:$B$428=C16)*('Client DB &amp; Bed Mgmt'!$D$5:$D$428&lt;&gt;"")*--(('Client DB &amp; Bed Mgmt'!$M$5:$M$428="")+NOT(ISNUMBER('Client DB &amp; Bed Mgmt'!$M$5:$M$428))+IFERROR('Client DB &amp; Bed Mgmt'!$M$5:$M$428&lt;=EOMONTH(B16,0),FALSE)&gt;0)*--(('Client DB &amp; Bed Mgmt'!$N$5:$N$428="")+NOT(ISNUMBER('Client DB &amp; Bed Mgmt'!$N$5:$N$428))+IFERROR('Client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  <c r="V16" s="130">
        <f>IFERROR(T16*SUMPRODUCT(('Client DB &amp; Bed Mgmt'!$A$5:$A$428=K16)*('Client DB &amp; Bed Mgmt'!$B$5:$B$428=L16)*('Client DB &amp; Bed Mgmt'!$D$5:$D$428&lt;&gt;"")*--(('Client DB &amp; Bed Mgmt'!$M$5:$M$428="")+NOT(ISNUMBER('Client DB &amp; Bed Mgmt'!$M$5:$M$428))+IFERROR('Client DB &amp; Bed Mgmt'!$M$5:$M$428&lt;=EOMONTH(B16,0),FALSE)&gt;0)*--(('Client DB &amp; Bed Mgmt'!$N$5:$N$428="")+NOT(ISNUMBER('Client DB &amp; Bed Mgmt'!$N$5:$N$428))+IFERROR('Client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</row>
    <row r="17" ht="14.25" customHeight="1" s="83">
      <c r="A17" s="103" t="inlineStr">
        <is>
          <t>Dorm 1</t>
        </is>
      </c>
      <c r="B17" s="125">
        <f>DATE(YEAR(StartDate),MONTH(StartDate),1)</f>
        <v/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Mgmt'!$B:$B,C17,'Client DB &amp; Bed Mgmt'!$E:$E,"Occupied"),0)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Mgmt'!$M:$M,"&lt;="&amp;EOMONTH($B17,0),'Client DB &amp; Bed Mgmt'!$N:$N,"&gt;="&amp;DATE(YEAR($B17),MONTH($B17),1))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29">
        <f>IFERROR(J17*SUMPRODUCT(('Client DB &amp; Bed Mgmt'!$A$5:$A$428=A17)*('Client DB &amp; Bed Mgmt'!$B$5:$B$428=C17)*('Client DB &amp; Bed Mgmt'!$D$5:$D$428&lt;&gt;"")*--(('Client DB &amp; Bed Mgmt'!$M$5:$M$428="")+NOT(ISNUMBER('Client DB &amp; Bed Mgmt'!$M$5:$M$428))+IFERROR('Client DB &amp; Bed Mgmt'!$M$5:$M$428&lt;=EOMONTH(B17,0),FALSE)&gt;0)*--(('Client DB &amp; Bed Mgmt'!$N$5:$N$428="")+NOT(ISNUMBER('Client DB &amp; Bed Mgmt'!$N$5:$N$428))+IFERROR('Client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  <c r="V17" s="130">
        <f>IFERROR(T17*SUMPRODUCT(('Client DB &amp; Bed Mgmt'!$A$5:$A$428=K17)*('Client DB &amp; Bed Mgmt'!$B$5:$B$428=L17)*('Client DB &amp; Bed Mgmt'!$D$5:$D$428&lt;&gt;"")*--(('Client DB &amp; Bed Mgmt'!$M$5:$M$428="")+NOT(ISNUMBER('Client DB &amp; Bed Mgmt'!$M$5:$M$428))+IFERROR('Client DB &amp; Bed Mgmt'!$M$5:$M$428&lt;=EOMONTH(B17,0),FALSE)&gt;0)*--(('Client DB &amp; Bed Mgmt'!$N$5:$N$428="")+NOT(ISNUMBER('Client DB &amp; Bed Mgmt'!$N$5:$N$428))+IFERROR('Client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</row>
    <row r="18" ht="14.25" customHeight="1" s="83">
      <c r="A18" s="103" t="inlineStr">
        <is>
          <t>Dorm 1</t>
        </is>
      </c>
      <c r="B18" s="125">
        <f>DATE(YEAR(StartDate),MONTH(StartDate),1)</f>
        <v/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Mgmt'!$B:$B,C18,'Client DB &amp; Bed Mgmt'!$E:$E,"Occupied"),0)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Mgmt'!$M:$M,"&lt;="&amp;EOMONTH($B18,0),'Client DB &amp; Bed Mgmt'!$N:$N,"&gt;="&amp;DATE(YEAR($B18),MONTH($B18),1))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29">
        <f>IFERROR(J18*SUMPRODUCT(('Client DB &amp; Bed Mgmt'!$A$5:$A$428=A18)*('Client DB &amp; Bed Mgmt'!$B$5:$B$428=C18)*('Client DB &amp; Bed Mgmt'!$D$5:$D$428&lt;&gt;"")*--(('Client DB &amp; Bed Mgmt'!$M$5:$M$428="")+NOT(ISNUMBER('Client DB &amp; Bed Mgmt'!$M$5:$M$428))+IFERROR('Client DB &amp; Bed Mgmt'!$M$5:$M$428&lt;=EOMONTH(B18,0),FALSE)&gt;0)*--(('Client DB &amp; Bed Mgmt'!$N$5:$N$428="")+NOT(ISNUMBER('Client DB &amp; Bed Mgmt'!$N$5:$N$428))+IFERROR('Client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  <c r="V18" s="130">
        <f>IFERROR(T18*SUMPRODUCT(('Client DB &amp; Bed Mgmt'!$A$5:$A$428=K18)*('Client DB &amp; Bed Mgmt'!$B$5:$B$428=L18)*('Client DB &amp; Bed Mgmt'!$D$5:$D$428&lt;&gt;"")*--(('Client DB &amp; Bed Mgmt'!$M$5:$M$428="")+NOT(ISNUMBER('Client DB &amp; Bed Mgmt'!$M$5:$M$428))+IFERROR('Client DB &amp; Bed Mgmt'!$M$5:$M$428&lt;=EOMONTH(B18,0),FALSE)&gt;0)*--(('Client DB &amp; Bed Mgmt'!$N$5:$N$428="")+NOT(ISNUMBER('Client DB &amp; Bed Mgmt'!$N$5:$N$428))+IFERROR('Client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</row>
    <row r="19" ht="14.25" customHeight="1" s="83">
      <c r="A19" s="103" t="inlineStr">
        <is>
          <t>Dorm 1</t>
        </is>
      </c>
      <c r="B19" s="125">
        <f>DATE(YEAR(StartDate),MONTH(StartDate),1)</f>
        <v/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Mgmt'!$B:$B,C19,'Client DB &amp; Bed Mgmt'!$E:$E,"Occupied"),0)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Mgmt'!$M:$M,"&lt;="&amp;EOMONTH($B19,0),'Client DB &amp; Bed Mgmt'!$N:$N,"&gt;="&amp;DATE(YEAR($B19),MONTH($B19),1))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29">
        <f>IFERROR(J19*SUMPRODUCT(('Client DB &amp; Bed Mgmt'!$A$5:$A$428=A19)*('Client DB &amp; Bed Mgmt'!$B$5:$B$428=C19)*('Client DB &amp; Bed Mgmt'!$D$5:$D$428&lt;&gt;"")*--(('Client DB &amp; Bed Mgmt'!$M$5:$M$428="")+NOT(ISNUMBER('Client DB &amp; Bed Mgmt'!$M$5:$M$428))+IFERROR('Client DB &amp; Bed Mgmt'!$M$5:$M$428&lt;=EOMONTH(B19,0),FALSE)&gt;0)*--(('Client DB &amp; Bed Mgmt'!$N$5:$N$428="")+NOT(ISNUMBER('Client DB &amp; Bed Mgmt'!$N$5:$N$428))+IFERROR('Client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  <c r="V19" s="130">
        <f>IFERROR(T19*SUMPRODUCT(('Client DB &amp; Bed Mgmt'!$A$5:$A$428=K19)*('Client DB &amp; Bed Mgmt'!$B$5:$B$428=L19)*('Client DB &amp; Bed Mgmt'!$D$5:$D$428&lt;&gt;"")*--(('Client DB &amp; Bed Mgmt'!$M$5:$M$428="")+NOT(ISNUMBER('Client DB &amp; Bed Mgmt'!$M$5:$M$428))+IFERROR('Client DB &amp; Bed Mgmt'!$M$5:$M$428&lt;=EOMONTH(B19,0),FALSE)&gt;0)*--(('Client DB &amp; Bed Mgmt'!$N$5:$N$428="")+NOT(ISNUMBER('Client DB &amp; Bed Mgmt'!$N$5:$N$428))+IFERROR('Client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</row>
    <row r="20" ht="14.25" customHeight="1" s="83">
      <c r="A20" s="103" t="inlineStr">
        <is>
          <t>Dorm 1</t>
        </is>
      </c>
      <c r="B20" s="125">
        <f>DATE(YEAR(StartDate),MONTH(StartDate),1)</f>
        <v/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Mgmt'!$B:$B,C20,'Client DB &amp; Bed Mgmt'!$E:$E,"Occupied"),0)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Mgmt'!$M:$M,"&lt;="&amp;EOMONTH($B20,0),'Client DB &amp; Bed Mgmt'!$N:$N,"&gt;="&amp;DATE(YEAR($B20),MONTH($B20),1))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29">
        <f>IFERROR(J20*SUMPRODUCT(('Client DB &amp; Bed Mgmt'!$A$5:$A$428=A20)*('Client DB &amp; Bed Mgmt'!$B$5:$B$428=C20)*('Client DB &amp; Bed Mgmt'!$D$5:$D$428&lt;&gt;"")*--(('Client DB &amp; Bed Mgmt'!$M$5:$M$428="")+NOT(ISNUMBER('Client DB &amp; Bed Mgmt'!$M$5:$M$428))+IFERROR('Client DB &amp; Bed Mgmt'!$M$5:$M$428&lt;=EOMONTH(B20,0),FALSE)&gt;0)*--(('Client DB &amp; Bed Mgmt'!$N$5:$N$428="")+NOT(ISNUMBER('Client DB &amp; Bed Mgmt'!$N$5:$N$428))+IFERROR('Client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  <c r="V20" s="130">
        <f>IFERROR(T20*SUMPRODUCT(('Client DB &amp; Bed Mgmt'!$A$5:$A$428=K20)*('Client DB &amp; Bed Mgmt'!$B$5:$B$428=L20)*('Client DB &amp; Bed Mgmt'!$D$5:$D$428&lt;&gt;"")*--(('Client DB &amp; Bed Mgmt'!$M$5:$M$428="")+NOT(ISNUMBER('Client DB &amp; Bed Mgmt'!$M$5:$M$428))+IFERROR('Client DB &amp; Bed Mgmt'!$M$5:$M$428&lt;=EOMONTH(B20,0),FALSE)&gt;0)*--(('Client DB &amp; Bed Mgmt'!$N$5:$N$428="")+NOT(ISNUMBER('Client DB &amp; Bed Mgmt'!$N$5:$N$428))+IFERROR('Client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</row>
    <row r="21" ht="14.25" customHeight="1" s="83">
      <c r="A21" s="103" t="inlineStr">
        <is>
          <t>Dorm 1</t>
        </is>
      </c>
      <c r="B21" s="125">
        <f>DATE(YEAR(StartDate),MONTH(StartDate),1)</f>
        <v/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Mgmt'!$B:$B,C21,'Client DB &amp; Bed Mgmt'!$E:$E,"Occupied"),0)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Mgmt'!$M:$M,"&lt;="&amp;EOMONTH($B21,0),'Client DB &amp; Bed Mgmt'!$N:$N,"&gt;="&amp;DATE(YEAR($B21),MONTH($B21),1))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29">
        <f>IFERROR(J21*SUMPRODUCT(('Client DB &amp; Bed Mgmt'!$A$5:$A$428=A21)*('Client DB &amp; Bed Mgmt'!$B$5:$B$428=C21)*('Client DB &amp; Bed Mgmt'!$D$5:$D$428&lt;&gt;"")*--(('Client DB &amp; Bed Mgmt'!$M$5:$M$428="")+NOT(ISNUMBER('Client DB &amp; Bed Mgmt'!$M$5:$M$428))+IFERROR('Client DB &amp; Bed Mgmt'!$M$5:$M$428&lt;=EOMONTH(B21,0),FALSE)&gt;0)*--(('Client DB &amp; Bed Mgmt'!$N$5:$N$428="")+NOT(ISNUMBER('Client DB &amp; Bed Mgmt'!$N$5:$N$428))+IFERROR('Client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  <c r="V21" s="130">
        <f>IFERROR(T21*SUMPRODUCT(('Client DB &amp; Bed Mgmt'!$A$5:$A$428=K21)*('Client DB &amp; Bed Mgmt'!$B$5:$B$428=L21)*('Client DB &amp; Bed Mgmt'!$D$5:$D$428&lt;&gt;"")*--(('Client DB &amp; Bed Mgmt'!$M$5:$M$428="")+NOT(ISNUMBER('Client DB &amp; Bed Mgmt'!$M$5:$M$428))+IFERROR('Client DB &amp; Bed Mgmt'!$M$5:$M$428&lt;=EOMONTH(B21,0),FALSE)&gt;0)*--(('Client DB &amp; Bed Mgmt'!$N$5:$N$428="")+NOT(ISNUMBER('Client DB &amp; Bed Mgmt'!$N$5:$N$428))+IFERROR('Client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</row>
    <row r="22" ht="14.25" customHeight="1" s="83">
      <c r="A22" s="103" t="inlineStr">
        <is>
          <t>Dorm 1</t>
        </is>
      </c>
      <c r="B22" s="125">
        <f>DATE(YEAR(StartDate),MONTH(StartDate),1)</f>
        <v/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Mgmt'!$B:$B,C22,'Client DB &amp; Bed Mgmt'!$E:$E,"Occupied"),0)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Mgmt'!$M:$M,"&lt;="&amp;EOMONTH($B22,0),'Client DB &amp; Bed Mgmt'!$N:$N,"&gt;="&amp;DATE(YEAR($B22),MONTH($B22),1))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29">
        <f>IFERROR(J22*SUMPRODUCT(('Client DB &amp; Bed Mgmt'!$A$5:$A$428=A22)*('Client DB &amp; Bed Mgmt'!$B$5:$B$428=C22)*('Client DB &amp; Bed Mgmt'!$D$5:$D$428&lt;&gt;"")*--(('Client DB &amp; Bed Mgmt'!$M$5:$M$428="")+NOT(ISNUMBER('Client DB &amp; Bed Mgmt'!$M$5:$M$428))+IFERROR('Client DB &amp; Bed Mgmt'!$M$5:$M$428&lt;=EOMONTH(B22,0),FALSE)&gt;0)*--(('Client DB &amp; Bed Mgmt'!$N$5:$N$428="")+NOT(ISNUMBER('Client DB &amp; Bed Mgmt'!$N$5:$N$428))+IFERROR('Client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  <c r="V22" s="130">
        <f>IFERROR(T22*SUMPRODUCT(('Client DB &amp; Bed Mgmt'!$A$5:$A$428=K22)*('Client DB &amp; Bed Mgmt'!$B$5:$B$428=L22)*('Client DB &amp; Bed Mgmt'!$D$5:$D$428&lt;&gt;"")*--(('Client DB &amp; Bed Mgmt'!$M$5:$M$428="")+NOT(ISNUMBER('Client DB &amp; Bed Mgmt'!$M$5:$M$428))+IFERROR('Client DB &amp; Bed Mgmt'!$M$5:$M$428&lt;=EOMONTH(B22,0),FALSE)&gt;0)*--(('Client DB &amp; Bed Mgmt'!$N$5:$N$428="")+NOT(ISNUMBER('Client DB &amp; Bed Mgmt'!$N$5:$N$428))+IFERROR('Client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</row>
    <row r="23" ht="14.25" customHeight="1" s="83">
      <c r="A23" s="103" t="inlineStr">
        <is>
          <t>Dorm 1</t>
        </is>
      </c>
      <c r="B23" s="125">
        <f>DATE(YEAR(StartDate),MONTH(StartDate),1)</f>
        <v/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Mgmt'!$B:$B,C23,'Client DB &amp; Bed Mgmt'!$E:$E,"Occupied"),0)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Mgmt'!$M:$M,"&lt;="&amp;EOMONTH($B23,0),'Client DB &amp; Bed Mgmt'!$N:$N,"&gt;="&amp;DATE(YEAR($B23),MONTH($B23),1))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29">
        <f>IFERROR(J23*SUMPRODUCT(('Client DB &amp; Bed Mgmt'!$A$5:$A$428=A23)*('Client DB &amp; Bed Mgmt'!$B$5:$B$428=C23)*('Client DB &amp; Bed Mgmt'!$D$5:$D$428&lt;&gt;"")*--(('Client DB &amp; Bed Mgmt'!$M$5:$M$428="")+NOT(ISNUMBER('Client DB &amp; Bed Mgmt'!$M$5:$M$428))+IFERROR('Client DB &amp; Bed Mgmt'!$M$5:$M$428&lt;=EOMONTH(B23,0),FALSE)&gt;0)*--(('Client DB &amp; Bed Mgmt'!$N$5:$N$428="")+NOT(ISNUMBER('Client DB &amp; Bed Mgmt'!$N$5:$N$428))+IFERROR('Client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  <c r="V23" s="130">
        <f>IFERROR(T23*SUMPRODUCT(('Client DB &amp; Bed Mgmt'!$A$5:$A$428=K23)*('Client DB &amp; Bed Mgmt'!$B$5:$B$428=L23)*('Client DB &amp; Bed Mgmt'!$D$5:$D$428&lt;&gt;"")*--(('Client DB &amp; Bed Mgmt'!$M$5:$M$428="")+NOT(ISNUMBER('Client DB &amp; Bed Mgmt'!$M$5:$M$428))+IFERROR('Client DB &amp; Bed Mgmt'!$M$5:$M$428&lt;=EOMONTH(B23,0),FALSE)&gt;0)*--(('Client DB &amp; Bed Mgmt'!$N$5:$N$428="")+NOT(ISNUMBER('Client DB &amp; Bed Mgmt'!$N$5:$N$428))+IFERROR('Client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</row>
    <row r="24" ht="14.25" customHeight="1" s="83">
      <c r="A24" s="103" t="inlineStr">
        <is>
          <t>Dorm 1</t>
        </is>
      </c>
      <c r="B24" s="125">
        <f>DATE(YEAR(StartDate),MONTH(StartDate),1)</f>
        <v/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Mgmt'!$B:$B,C24,'Client DB &amp; Bed Mgmt'!$E:$E,"Occupied"),0)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Mgmt'!$M:$M,"&lt;="&amp;EOMONTH($B24,0),'Client DB &amp; Bed Mgmt'!$N:$N,"&gt;="&amp;DATE(YEAR($B24),MONTH($B24),1))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29">
        <f>IFERROR(J24*SUMPRODUCT(('Client DB &amp; Bed Mgmt'!$A$5:$A$428=A24)*('Client DB &amp; Bed Mgmt'!$B$5:$B$428=C24)*('Client DB &amp; Bed Mgmt'!$D$5:$D$428&lt;&gt;"")*--(('Client DB &amp; Bed Mgmt'!$M$5:$M$428="")+NOT(ISNUMBER('Client DB &amp; Bed Mgmt'!$M$5:$M$428))+IFERROR('Client DB &amp; Bed Mgmt'!$M$5:$M$428&lt;=EOMONTH(B24,0),FALSE)&gt;0)*--(('Client DB &amp; Bed Mgmt'!$N$5:$N$428="")+NOT(ISNUMBER('Client DB &amp; Bed Mgmt'!$N$5:$N$428))+IFERROR('Client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  <c r="V24" s="130">
        <f>IFERROR(T24*SUMPRODUCT(('Client DB &amp; Bed Mgmt'!$A$5:$A$428=K24)*('Client DB &amp; Bed Mgmt'!$B$5:$B$428=L24)*('Client DB &amp; Bed Mgmt'!$D$5:$D$428&lt;&gt;"")*--(('Client DB &amp; Bed Mgmt'!$M$5:$M$428="")+NOT(ISNUMBER('Client DB &amp; Bed Mgmt'!$M$5:$M$428))+IFERROR('Client DB &amp; Bed Mgmt'!$M$5:$M$428&lt;=EOMONTH(B24,0),FALSE)&gt;0)*--(('Client DB &amp; Bed Mgmt'!$N$5:$N$428="")+NOT(ISNUMBER('Client DB &amp; Bed Mgmt'!$N$5:$N$428))+IFERROR('Client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</row>
    <row r="25" ht="14.25" customHeight="1" s="83">
      <c r="A25" s="103" t="inlineStr">
        <is>
          <t>Dorm 1</t>
        </is>
      </c>
      <c r="B25" s="125">
        <f>DATE(YEAR(StartDate),MONTH(StartDate),1)</f>
        <v/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Mgmt'!$B:$B,C25,'Client DB &amp; Bed Mgmt'!$E:$E,"Occupied"),0)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Mgmt'!$M:$M,"&lt;="&amp;EOMONTH($B25,0),'Client DB &amp; Bed Mgmt'!$N:$N,"&gt;="&amp;DATE(YEAR($B25),MONTH($B25),1))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29">
        <f>IFERROR(J25*SUMPRODUCT(('Client DB &amp; Bed Mgmt'!$A$5:$A$428=A25)*('Client DB &amp; Bed Mgmt'!$B$5:$B$428=C25)*('Client DB &amp; Bed Mgmt'!$D$5:$D$428&lt;&gt;"")*--(('Client DB &amp; Bed Mgmt'!$M$5:$M$428="")+NOT(ISNUMBER('Client DB &amp; Bed Mgmt'!$M$5:$M$428))+IFERROR('Client DB &amp; Bed Mgmt'!$M$5:$M$428&lt;=EOMONTH(B25,0),FALSE)&gt;0)*--(('Client DB &amp; Bed Mgmt'!$N$5:$N$428="")+NOT(ISNUMBER('Client DB &amp; Bed Mgmt'!$N$5:$N$428))+IFERROR('Client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  <c r="V25" s="130">
        <f>IFERROR(T25*SUMPRODUCT(('Client DB &amp; Bed Mgmt'!$A$5:$A$428=K25)*('Client DB &amp; Bed Mgmt'!$B$5:$B$428=L25)*('Client DB &amp; Bed Mgmt'!$D$5:$D$428&lt;&gt;"")*--(('Client DB &amp; Bed Mgmt'!$M$5:$M$428="")+NOT(ISNUMBER('Client DB &amp; Bed Mgmt'!$M$5:$M$428))+IFERROR('Client DB &amp; Bed Mgmt'!$M$5:$M$428&lt;=EOMONTH(B25,0),FALSE)&gt;0)*--(('Client DB &amp; Bed Mgmt'!$N$5:$N$428="")+NOT(ISNUMBER('Client DB &amp; Bed Mgmt'!$N$5:$N$428))+IFERROR('Client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</row>
    <row r="26" ht="14.25" customHeight="1" s="83">
      <c r="A26" s="103" t="inlineStr">
        <is>
          <t>Dorm 1</t>
        </is>
      </c>
      <c r="B26" s="125">
        <f>DATE(YEAR(StartDate),MONTH(StartDate),1)</f>
        <v/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Mgmt'!$B:$B,C26,'Client DB &amp; Bed Mgmt'!$E:$E,"Occupied"),0)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Mgmt'!$M:$M,"&lt;="&amp;EOMONTH($B26,0),'Client DB &amp; Bed Mgmt'!$N:$N,"&gt;="&amp;DATE(YEAR($B26),MONTH($B26),1))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29">
        <f>IFERROR(J26*SUMPRODUCT(('Client DB &amp; Bed Mgmt'!$A$5:$A$428=A26)*('Client DB &amp; Bed Mgmt'!$B$5:$B$428=C26)*('Client DB &amp; Bed Mgmt'!$D$5:$D$428&lt;&gt;"")*--(('Client DB &amp; Bed Mgmt'!$M$5:$M$428="")+NOT(ISNUMBER('Client DB &amp; Bed Mgmt'!$M$5:$M$428))+IFERROR('Client DB &amp; Bed Mgmt'!$M$5:$M$428&lt;=EOMONTH(B26,0),FALSE)&gt;0)*--(('Client DB &amp; Bed Mgmt'!$N$5:$N$428="")+NOT(ISNUMBER('Client DB &amp; Bed Mgmt'!$N$5:$N$428))+IFERROR('Client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  <c r="V26" s="130">
        <f>IFERROR(T26*SUMPRODUCT(('Client DB &amp; Bed Mgmt'!$A$5:$A$428=K26)*('Client DB &amp; Bed Mgmt'!$B$5:$B$428=L26)*('Client DB &amp; Bed Mgmt'!$D$5:$D$428&lt;&gt;"")*--(('Client DB &amp; Bed Mgmt'!$M$5:$M$428="")+NOT(ISNUMBER('Client DB &amp; Bed Mgmt'!$M$5:$M$428))+IFERROR('Client DB &amp; Bed Mgmt'!$M$5:$M$428&lt;=EOMONTH(B26,0),FALSE)&gt;0)*--(('Client DB &amp; Bed Mgmt'!$N$5:$N$428="")+NOT(ISNUMBER('Client DB &amp; Bed Mgmt'!$N$5:$N$428))+IFERROR('Client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</row>
    <row r="27" ht="14.25" customHeight="1" s="83">
      <c r="A27" s="103" t="inlineStr">
        <is>
          <t>Dorm 1</t>
        </is>
      </c>
      <c r="B27" s="125">
        <f>DATE(YEAR(StartDate),MONTH(StartDate),1)</f>
        <v/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Mgmt'!$B:$B,C27,'Client DB &amp; Bed Mgmt'!$E:$E,"Occupied"),0)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Mgmt'!$M:$M,"&lt;="&amp;EOMONTH($B27,0),'Client DB &amp; Bed Mgmt'!$N:$N,"&gt;="&amp;DATE(YEAR($B27),MONTH($B27),1))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29">
        <f>IFERROR(J27*SUMPRODUCT(('Client DB &amp; Bed Mgmt'!$A$5:$A$428=A27)*('Client DB &amp; Bed Mgmt'!$B$5:$B$428=C27)*('Client DB &amp; Bed Mgmt'!$D$5:$D$428&lt;&gt;"")*--(('Client DB &amp; Bed Mgmt'!$M$5:$M$428="")+NOT(ISNUMBER('Client DB &amp; Bed Mgmt'!$M$5:$M$428))+IFERROR('Client DB &amp; Bed Mgmt'!$M$5:$M$428&lt;=EOMONTH(B27,0),FALSE)&gt;0)*--(('Client DB &amp; Bed Mgmt'!$N$5:$N$428="")+NOT(ISNUMBER('Client DB &amp; Bed Mgmt'!$N$5:$N$428))+IFERROR('Client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  <c r="V27" s="130">
        <f>IFERROR(T27*SUMPRODUCT(('Client DB &amp; Bed Mgmt'!$A$5:$A$428=K27)*('Client DB &amp; Bed Mgmt'!$B$5:$B$428=L27)*('Client DB &amp; Bed Mgmt'!$D$5:$D$428&lt;&gt;"")*--(('Client DB &amp; Bed Mgmt'!$M$5:$M$428="")+NOT(ISNUMBER('Client DB &amp; Bed Mgmt'!$M$5:$M$428))+IFERROR('Client DB &amp; Bed Mgmt'!$M$5:$M$428&lt;=EOMONTH(B27,0),FALSE)&gt;0)*--(('Client DB &amp; Bed Mgmt'!$N$5:$N$428="")+NOT(ISNUMBER('Client DB &amp; Bed Mgmt'!$N$5:$N$428))+IFERROR('Client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</row>
    <row r="28" ht="14.25" customHeight="1" s="83">
      <c r="A28" s="103" t="inlineStr">
        <is>
          <t>Dorm 1</t>
        </is>
      </c>
      <c r="B28" s="125">
        <f>DATE(YEAR(StartDate),MONTH(StartDate),1)</f>
        <v/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Mgmt'!$B:$B,C28,'Client DB &amp; Bed Mgmt'!$E:$E,"Occupied"),0)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Mgmt'!$M:$M,"&lt;="&amp;EOMONTH($B28,0),'Client DB &amp; Bed Mgmt'!$N:$N,"&gt;="&amp;DATE(YEAR($B28),MONTH($B28),1))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29">
        <f>IFERROR(J28*SUMPRODUCT(('Client DB &amp; Bed Mgmt'!$A$5:$A$428=A28)*('Client DB &amp; Bed Mgmt'!$B$5:$B$428=C28)*('Client DB &amp; Bed Mgmt'!$D$5:$D$428&lt;&gt;"")*--(('Client DB &amp; Bed Mgmt'!$M$5:$M$428="")+NOT(ISNUMBER('Client DB &amp; Bed Mgmt'!$M$5:$M$428))+IFERROR('Client DB &amp; Bed Mgmt'!$M$5:$M$428&lt;=EOMONTH(B28,0),FALSE)&gt;0)*--(('Client DB &amp; Bed Mgmt'!$N$5:$N$428="")+NOT(ISNUMBER('Client DB &amp; Bed Mgmt'!$N$5:$N$428))+IFERROR('Client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  <c r="V28" s="130">
        <f>IFERROR(T28*SUMPRODUCT(('Client DB &amp; Bed Mgmt'!$A$5:$A$428=K28)*('Client DB &amp; Bed Mgmt'!$B$5:$B$428=L28)*('Client DB &amp; Bed Mgmt'!$D$5:$D$428&lt;&gt;"")*--(('Client DB &amp; Bed Mgmt'!$M$5:$M$428="")+NOT(ISNUMBER('Client DB &amp; Bed Mgmt'!$M$5:$M$428))+IFERROR('Client DB &amp; Bed Mgmt'!$M$5:$M$428&lt;=EOMONTH(B28,0),FALSE)&gt;0)*--(('Client DB &amp; Bed Mgmt'!$N$5:$N$428="")+NOT(ISNUMBER('Client DB &amp; Bed Mgmt'!$N$5:$N$428))+IFERROR('Client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</row>
    <row r="29" ht="14.25" customHeight="1" s="83">
      <c r="A29" s="103" t="inlineStr">
        <is>
          <t>Dorm 1</t>
        </is>
      </c>
      <c r="B29" s="125">
        <f>DATE(YEAR(StartDate),MONTH(StartDate),1)</f>
        <v/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Mgmt'!$B:$B,C29,'Client DB &amp; Bed Mgmt'!$E:$E,"Occupied"),0)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Mgmt'!$M:$M,"&lt;="&amp;EOMONTH($B29,0),'Client DB &amp; Bed Mgmt'!$N:$N,"&gt;="&amp;DATE(YEAR($B29),MONTH($B29),1))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29">
        <f>IFERROR(J29*SUMPRODUCT(('Client DB &amp; Bed Mgmt'!$A$5:$A$428=A29)*('Client DB &amp; Bed Mgmt'!$B$5:$B$428=C29)*('Client DB &amp; Bed Mgmt'!$D$5:$D$428&lt;&gt;"")*--(('Client DB &amp; Bed Mgmt'!$M$5:$M$428="")+NOT(ISNUMBER('Client DB &amp; Bed Mgmt'!$M$5:$M$428))+IFERROR('Client DB &amp; Bed Mgmt'!$M$5:$M$428&lt;=EOMONTH(B29,0),FALSE)&gt;0)*--(('Client DB &amp; Bed Mgmt'!$N$5:$N$428="")+NOT(ISNUMBER('Client DB &amp; Bed Mgmt'!$N$5:$N$428))+IFERROR('Client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  <c r="V29" s="130">
        <f>IFERROR(T29*SUMPRODUCT(('Client DB &amp; Bed Mgmt'!$A$5:$A$428=K29)*('Client DB &amp; Bed Mgmt'!$B$5:$B$428=L29)*('Client DB &amp; Bed Mgmt'!$D$5:$D$428&lt;&gt;"")*--(('Client DB &amp; Bed Mgmt'!$M$5:$M$428="")+NOT(ISNUMBER('Client DB &amp; Bed Mgmt'!$M$5:$M$428))+IFERROR('Client DB &amp; Bed Mgmt'!$M$5:$M$428&lt;=EOMONTH(B29,0),FALSE)&gt;0)*--(('Client DB &amp; Bed Mgmt'!$N$5:$N$428="")+NOT(ISNUMBER('Client DB &amp; Bed Mgmt'!$N$5:$N$428))+IFERROR('Client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</row>
    <row r="30" ht="14.25" customHeight="1" s="83">
      <c r="A30" s="103" t="inlineStr">
        <is>
          <t>Dorm 1</t>
        </is>
      </c>
      <c r="B30" s="125">
        <f>DATE(YEAR(StartDate),MONTH(StartDate),1)</f>
        <v/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Mgmt'!$B:$B,C30,'Client DB &amp; Bed Mgmt'!$E:$E,"Occupied"),0)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Mgmt'!$M:$M,"&lt;="&amp;EOMONTH($B30,0),'Client DB &amp; Bed Mgmt'!$N:$N,"&gt;="&amp;DATE(YEAR($B30),MONTH($B30),1))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29">
        <f>IFERROR(J30*SUMPRODUCT(('Client DB &amp; Bed Mgmt'!$A$5:$A$428=A30)*('Client DB &amp; Bed Mgmt'!$B$5:$B$428=C30)*('Client DB &amp; Bed Mgmt'!$D$5:$D$428&lt;&gt;"")*--(('Client DB &amp; Bed Mgmt'!$M$5:$M$428="")+NOT(ISNUMBER('Client DB &amp; Bed Mgmt'!$M$5:$M$428))+IFERROR('Client DB &amp; Bed Mgmt'!$M$5:$M$428&lt;=EOMONTH(B30,0),FALSE)&gt;0)*--(('Client DB &amp; Bed Mgmt'!$N$5:$N$428="")+NOT(ISNUMBER('Client DB &amp; Bed Mgmt'!$N$5:$N$428))+IFERROR('Client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  <c r="V30" s="130">
        <f>IFERROR(T30*SUMPRODUCT(('Client DB &amp; Bed Mgmt'!$A$5:$A$428=K30)*('Client DB &amp; Bed Mgmt'!$B$5:$B$428=L30)*('Client DB &amp; Bed Mgmt'!$D$5:$D$428&lt;&gt;"")*--(('Client DB &amp; Bed Mgmt'!$M$5:$M$428="")+NOT(ISNUMBER('Client DB &amp; Bed Mgmt'!$M$5:$M$428))+IFERROR('Client DB &amp; Bed Mgmt'!$M$5:$M$428&lt;=EOMONTH(B30,0),FALSE)&gt;0)*--(('Client DB &amp; Bed Mgmt'!$N$5:$N$428="")+NOT(ISNUMBER('Client DB &amp; Bed Mgmt'!$N$5:$N$428))+IFERROR('Client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</row>
    <row r="31" ht="14.25" customHeight="1" s="83">
      <c r="A31" s="103" t="inlineStr">
        <is>
          <t>Dorm 1</t>
        </is>
      </c>
      <c r="B31" s="125">
        <f>DATE(YEAR(StartDate),MONTH(StartDate),1)</f>
        <v/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Mgmt'!$B:$B,C31,'Client DB &amp; Bed Mgmt'!$E:$E,"Occupied"),0)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Mgmt'!$M:$M,"&lt;="&amp;EOMONTH($B31,0),'Client DB &amp; Bed Mgmt'!$N:$N,"&gt;="&amp;DATE(YEAR($B31),MONTH($B31),1))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29">
        <f>IFERROR(J31*SUMPRODUCT(('Client DB &amp; Bed Mgmt'!$A$5:$A$428=A31)*('Client DB &amp; Bed Mgmt'!$B$5:$B$428=C31)*('Client DB &amp; Bed Mgmt'!$D$5:$D$428&lt;&gt;"")*--(('Client DB &amp; Bed Mgmt'!$M$5:$M$428="")+NOT(ISNUMBER('Client DB &amp; Bed Mgmt'!$M$5:$M$428))+IFERROR('Client DB &amp; Bed Mgmt'!$M$5:$M$428&lt;=EOMONTH(B31,0),FALSE)&gt;0)*--(('Client DB &amp; Bed Mgmt'!$N$5:$N$428="")+NOT(ISNUMBER('Client DB &amp; Bed Mgmt'!$N$5:$N$428))+IFERROR('Client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  <c r="V31" s="130">
        <f>IFERROR(T31*SUMPRODUCT(('Client DB &amp; Bed Mgmt'!$A$5:$A$428=K31)*('Client DB &amp; Bed Mgmt'!$B$5:$B$428=L31)*('Client DB &amp; Bed Mgmt'!$D$5:$D$428&lt;&gt;"")*--(('Client DB &amp; Bed Mgmt'!$M$5:$M$428="")+NOT(ISNUMBER('Client DB &amp; Bed Mgmt'!$M$5:$M$428))+IFERROR('Client DB &amp; Bed Mgmt'!$M$5:$M$428&lt;=EOMONTH(B31,0),FALSE)&gt;0)*--(('Client DB &amp; Bed Mgmt'!$N$5:$N$428="")+NOT(ISNUMBER('Client DB &amp; Bed Mgmt'!$N$5:$N$428))+IFERROR('Client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</row>
    <row r="32" ht="14.25" customHeight="1" s="83">
      <c r="A32" s="103" t="inlineStr">
        <is>
          <t>Dorm 1</t>
        </is>
      </c>
      <c r="B32" s="125">
        <f>DATE(YEAR(StartDate),MONTH(StartDate),1)</f>
        <v/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Mgmt'!$B:$B,C32,'Client DB &amp; Bed Mgmt'!$E:$E,"Occupied"),0)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Mgmt'!$M:$M,"&lt;="&amp;EOMONTH($B32,0),'Client DB &amp; Bed Mgmt'!$N:$N,"&gt;="&amp;DATE(YEAR($B32),MONTH($B32),1))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29">
        <f>IFERROR(J32*SUMPRODUCT(('Client DB &amp; Bed Mgmt'!$A$5:$A$428=A32)*('Client DB &amp; Bed Mgmt'!$B$5:$B$428=C32)*('Client DB &amp; Bed Mgmt'!$D$5:$D$428&lt;&gt;"")*--(('Client DB &amp; Bed Mgmt'!$M$5:$M$428="")+NOT(ISNUMBER('Client DB &amp; Bed Mgmt'!$M$5:$M$428))+IFERROR('Client DB &amp; Bed Mgmt'!$M$5:$M$428&lt;=EOMONTH(B32,0),FALSE)&gt;0)*--(('Client DB &amp; Bed Mgmt'!$N$5:$N$428="")+NOT(ISNUMBER('Client DB &amp; Bed Mgmt'!$N$5:$N$428))+IFERROR('Client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  <c r="V32" s="130">
        <f>IFERROR(T32*SUMPRODUCT(('Client DB &amp; Bed Mgmt'!$A$5:$A$428=K32)*('Client DB &amp; Bed Mgmt'!$B$5:$B$428=L32)*('Client DB &amp; Bed Mgmt'!$D$5:$D$428&lt;&gt;"")*--(('Client DB &amp; Bed Mgmt'!$M$5:$M$428="")+NOT(ISNUMBER('Client DB &amp; Bed Mgmt'!$M$5:$M$428))+IFERROR('Client DB &amp; Bed Mgmt'!$M$5:$M$428&lt;=EOMONTH(B32,0),FALSE)&gt;0)*--(('Client DB &amp; Bed Mgmt'!$N$5:$N$428="")+NOT(ISNUMBER('Client DB &amp; Bed Mgmt'!$N$5:$N$428))+IFERROR('Client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</row>
    <row r="33" ht="14.25" customHeight="1" s="83">
      <c r="A33" s="103" t="inlineStr">
        <is>
          <t>Dorm 1</t>
        </is>
      </c>
      <c r="B33" s="125">
        <f>DATE(YEAR(StartDate),MONTH(StartDate),1)</f>
        <v/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Mgmt'!$B:$B,C33,'Client DB &amp; Bed Mgmt'!$E:$E,"Occupied"),0)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Mgmt'!$M:$M,"&lt;="&amp;EOMONTH($B33,0),'Client DB &amp; Bed Mgmt'!$N:$N,"&gt;="&amp;DATE(YEAR($B33),MONTH($B33),1))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29">
        <f>IFERROR(J33*SUMPRODUCT(('Client DB &amp; Bed Mgmt'!$A$5:$A$428=A33)*('Client DB &amp; Bed Mgmt'!$B$5:$B$428=C33)*('Client DB &amp; Bed Mgmt'!$D$5:$D$428&lt;&gt;"")*--(('Client DB &amp; Bed Mgmt'!$M$5:$M$428="")+NOT(ISNUMBER('Client DB &amp; Bed Mgmt'!$M$5:$M$428))+IFERROR('Client DB &amp; Bed Mgmt'!$M$5:$M$428&lt;=EOMONTH(B33,0),FALSE)&gt;0)*--(('Client DB &amp; Bed Mgmt'!$N$5:$N$428="")+NOT(ISNUMBER('Client DB &amp; Bed Mgmt'!$N$5:$N$428))+IFERROR('Client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  <c r="V33" s="130">
        <f>IFERROR(T33*SUMPRODUCT(('Client DB &amp; Bed Mgmt'!$A$5:$A$428=K33)*('Client DB &amp; Bed Mgmt'!$B$5:$B$428=L33)*('Client DB &amp; Bed Mgmt'!$D$5:$D$428&lt;&gt;"")*--(('Client DB &amp; Bed Mgmt'!$M$5:$M$428="")+NOT(ISNUMBER('Client DB &amp; Bed Mgmt'!$M$5:$M$428))+IFERROR('Client DB &amp; Bed Mgmt'!$M$5:$M$428&lt;=EOMONTH(B33,0),FALSE)&gt;0)*--(('Client DB &amp; Bed Mgmt'!$N$5:$N$428="")+NOT(ISNUMBER('Client DB &amp; Bed Mgmt'!$N$5:$N$428))+IFERROR('Client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</row>
    <row r="34" ht="14.25" customHeight="1" s="83">
      <c r="A34" s="103" t="inlineStr">
        <is>
          <t>Dorm 1</t>
        </is>
      </c>
      <c r="B34" s="125">
        <f>DATE(YEAR(StartDate),MONTH(StartDate),1)</f>
        <v/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Mgmt'!$B:$B,C34,'Client DB &amp; Bed Mgmt'!$E:$E,"Occupied"),0)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Mgmt'!$M:$M,"&lt;="&amp;EOMONTH($B34,0),'Client DB &amp; Bed Mgmt'!$N:$N,"&gt;="&amp;DATE(YEAR($B34),MONTH($B34),1))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29">
        <f>IFERROR(J34*SUMPRODUCT(('Client DB &amp; Bed Mgmt'!$A$5:$A$428=A34)*('Client DB &amp; Bed Mgmt'!$B$5:$B$428=C34)*('Client DB &amp; Bed Mgmt'!$D$5:$D$428&lt;&gt;"")*--(('Client DB &amp; Bed Mgmt'!$M$5:$M$428="")+NOT(ISNUMBER('Client DB &amp; Bed Mgmt'!$M$5:$M$428))+IFERROR('Client DB &amp; Bed Mgmt'!$M$5:$M$428&lt;=EOMONTH(B34,0),FALSE)&gt;0)*--(('Client DB &amp; Bed Mgmt'!$N$5:$N$428="")+NOT(ISNUMBER('Client DB &amp; Bed Mgmt'!$N$5:$N$428))+IFERROR('Client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  <c r="V34" s="130">
        <f>IFERROR(T34*SUMPRODUCT(('Client DB &amp; Bed Mgmt'!$A$5:$A$428=K34)*('Client DB &amp; Bed Mgmt'!$B$5:$B$428=L34)*('Client DB &amp; Bed Mgmt'!$D$5:$D$428&lt;&gt;"")*--(('Client DB &amp; Bed Mgmt'!$M$5:$M$428="")+NOT(ISNUMBER('Client DB &amp; Bed Mgmt'!$M$5:$M$428))+IFERROR('Client DB &amp; Bed Mgmt'!$M$5:$M$428&lt;=EOMONTH(B34,0),FALSE)&gt;0)*--(('Client DB &amp; Bed Mgmt'!$N$5:$N$428="")+NOT(ISNUMBER('Client DB &amp; Bed Mgmt'!$N$5:$N$428))+IFERROR('Client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</row>
    <row r="35" ht="14.25" customHeight="1" s="83">
      <c r="A35" s="103" t="inlineStr">
        <is>
          <t>Dorm 1</t>
        </is>
      </c>
      <c r="B35" s="125">
        <f>DATE(YEAR(StartDate),MONTH(StartDate),1)</f>
        <v/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Mgmt'!$B:$B,C35,'Client DB &amp; Bed Mgmt'!$E:$E,"Occupied"),0)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Mgmt'!$M:$M,"&lt;="&amp;EOMONTH($B35,0),'Client DB &amp; Bed Mgmt'!$N:$N,"&gt;="&amp;DATE(YEAR($B35),MONTH($B35),1))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29">
        <f>IFERROR(J35*SUMPRODUCT(('Client DB &amp; Bed Mgmt'!$A$5:$A$428=A35)*('Client DB &amp; Bed Mgmt'!$B$5:$B$428=C35)*('Client DB &amp; Bed Mgmt'!$D$5:$D$428&lt;&gt;"")*--(('Client DB &amp; Bed Mgmt'!$M$5:$M$428="")+NOT(ISNUMBER('Client DB &amp; Bed Mgmt'!$M$5:$M$428))+IFERROR('Client DB &amp; Bed Mgmt'!$M$5:$M$428&lt;=EOMONTH(B35,0),FALSE)&gt;0)*--(('Client DB &amp; Bed Mgmt'!$N$5:$N$428="")+NOT(ISNUMBER('Client DB &amp; Bed Mgmt'!$N$5:$N$428))+IFERROR('Client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  <c r="V35" s="130">
        <f>IFERROR(T35*SUMPRODUCT(('Client DB &amp; Bed Mgmt'!$A$5:$A$428=K35)*('Client DB &amp; Bed Mgmt'!$B$5:$B$428=L35)*('Client DB &amp; Bed Mgmt'!$D$5:$D$428&lt;&gt;"")*--(('Client DB &amp; Bed Mgmt'!$M$5:$M$428="")+NOT(ISNUMBER('Client DB &amp; Bed Mgmt'!$M$5:$M$428))+IFERROR('Client DB &amp; Bed Mgmt'!$M$5:$M$428&lt;=EOMONTH(B35,0),FALSE)&gt;0)*--(('Client DB &amp; Bed Mgmt'!$N$5:$N$428="")+NOT(ISNUMBER('Client DB &amp; Bed Mgmt'!$N$5:$N$428))+IFERROR('Client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</row>
    <row r="36" ht="14.25" customHeight="1" s="83">
      <c r="A36" s="103" t="inlineStr">
        <is>
          <t>Dorm 1</t>
        </is>
      </c>
      <c r="B36" s="125">
        <f>DATE(YEAR(StartDate),MONTH(StartDate),1)</f>
        <v/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Mgmt'!$B:$B,C36,'Client DB &amp; Bed Mgmt'!$E:$E,"Occupied"),0)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Mgmt'!$M:$M,"&lt;="&amp;EOMONTH($B36,0),'Client DB &amp; Bed Mgmt'!$N:$N,"&gt;="&amp;DATE(YEAR($B36),MONTH($B36),1))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29">
        <f>IFERROR(J36*SUMPRODUCT(('Client DB &amp; Bed Mgmt'!$A$5:$A$428=A36)*('Client DB &amp; Bed Mgmt'!$B$5:$B$428=C36)*('Client DB &amp; Bed Mgmt'!$D$5:$D$428&lt;&gt;"")*--(('Client DB &amp; Bed Mgmt'!$M$5:$M$428="")+NOT(ISNUMBER('Client DB &amp; Bed Mgmt'!$M$5:$M$428))+IFERROR('Client DB &amp; Bed Mgmt'!$M$5:$M$428&lt;=EOMONTH(B36,0),FALSE)&gt;0)*--(('Client DB &amp; Bed Mgmt'!$N$5:$N$428="")+NOT(ISNUMBER('Client DB &amp; Bed Mgmt'!$N$5:$N$428))+IFERROR('Client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  <c r="V36" s="130">
        <f>IFERROR(T36*SUMPRODUCT(('Client DB &amp; Bed Mgmt'!$A$5:$A$428=K36)*('Client DB &amp; Bed Mgmt'!$B$5:$B$428=L36)*('Client DB &amp; Bed Mgmt'!$D$5:$D$428&lt;&gt;"")*--(('Client DB &amp; Bed Mgmt'!$M$5:$M$428="")+NOT(ISNUMBER('Client DB &amp; Bed Mgmt'!$M$5:$M$428))+IFERROR('Client DB &amp; Bed Mgmt'!$M$5:$M$428&lt;=EOMONTH(B36,0),FALSE)&gt;0)*--(('Client DB &amp; Bed Mgmt'!$N$5:$N$428="")+NOT(ISNUMBER('Client DB &amp; Bed Mgmt'!$N$5:$N$428))+IFERROR('Client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</row>
    <row r="37" ht="14.25" customHeight="1" s="83">
      <c r="A37" s="103" t="inlineStr">
        <is>
          <t>Dorm 1</t>
        </is>
      </c>
      <c r="B37" s="125">
        <f>DATE(YEAR(StartDate),MONTH(StartDate),1)</f>
        <v/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Mgmt'!$B:$B,C37,'Client DB &amp; Bed Mgmt'!$E:$E,"Occupied"),0)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Mgmt'!$M:$M,"&lt;="&amp;EOMONTH($B37,0),'Client DB &amp; Bed Mgmt'!$N:$N,"&gt;="&amp;DATE(YEAR($B37),MONTH($B37),1))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29">
        <f>IFERROR(J37*SUMPRODUCT(('Client DB &amp; Bed Mgmt'!$A$5:$A$428=A37)*('Client DB &amp; Bed Mgmt'!$B$5:$B$428=C37)*('Client DB &amp; Bed Mgmt'!$D$5:$D$428&lt;&gt;"")*--(('Client DB &amp; Bed Mgmt'!$M$5:$M$428="")+NOT(ISNUMBER('Client DB &amp; Bed Mgmt'!$M$5:$M$428))+IFERROR('Client DB &amp; Bed Mgmt'!$M$5:$M$428&lt;=EOMONTH(B37,0),FALSE)&gt;0)*--(('Client DB &amp; Bed Mgmt'!$N$5:$N$428="")+NOT(ISNUMBER('Client DB &amp; Bed Mgmt'!$N$5:$N$428))+IFERROR('Client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  <c r="V37" s="130">
        <f>IFERROR(T37*SUMPRODUCT(('Client DB &amp; Bed Mgmt'!$A$5:$A$428=K37)*('Client DB &amp; Bed Mgmt'!$B$5:$B$428=L37)*('Client DB &amp; Bed Mgmt'!$D$5:$D$428&lt;&gt;"")*--(('Client DB &amp; Bed Mgmt'!$M$5:$M$428="")+NOT(ISNUMBER('Client DB &amp; Bed Mgmt'!$M$5:$M$428))+IFERROR('Client DB &amp; Bed Mgmt'!$M$5:$M$428&lt;=EOMONTH(B37,0),FALSE)&gt;0)*--(('Client DB &amp; Bed Mgmt'!$N$5:$N$428="")+NOT(ISNUMBER('Client DB &amp; Bed Mgmt'!$N$5:$N$428))+IFERROR('Client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</row>
    <row r="38" ht="14.25" customHeight="1" s="83">
      <c r="A38" s="103" t="inlineStr">
        <is>
          <t>Dorm 1</t>
        </is>
      </c>
      <c r="B38" s="125">
        <f>DATE(YEAR(StartDate),MONTH(StartDate),1)</f>
        <v/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Mgmt'!$B:$B,C38,'Client DB &amp; Bed Mgmt'!$E:$E,"Occupied"),0)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Mgmt'!$M:$M,"&lt;="&amp;EOMONTH($B38,0),'Client DB &amp; Bed Mgmt'!$N:$N,"&gt;="&amp;DATE(YEAR($B38),MONTH($B38),1))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29">
        <f>IFERROR(J38*SUMPRODUCT(('Client DB &amp; Bed Mgmt'!$A$5:$A$428=A38)*('Client DB &amp; Bed Mgmt'!$B$5:$B$428=C38)*('Client DB &amp; Bed Mgmt'!$D$5:$D$428&lt;&gt;"")*--(('Client DB &amp; Bed Mgmt'!$M$5:$M$428="")+NOT(ISNUMBER('Client DB &amp; Bed Mgmt'!$M$5:$M$428))+IFERROR('Client DB &amp; Bed Mgmt'!$M$5:$M$428&lt;=EOMONTH(B38,0),FALSE)&gt;0)*--(('Client DB &amp; Bed Mgmt'!$N$5:$N$428="")+NOT(ISNUMBER('Client DB &amp; Bed Mgmt'!$N$5:$N$428))+IFERROR('Client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  <c r="V38" s="130">
        <f>IFERROR(T38*SUMPRODUCT(('Client DB &amp; Bed Mgmt'!$A$5:$A$428=K38)*('Client DB &amp; Bed Mgmt'!$B$5:$B$428=L38)*('Client DB &amp; Bed Mgmt'!$D$5:$D$428&lt;&gt;"")*--(('Client DB &amp; Bed Mgmt'!$M$5:$M$428="")+NOT(ISNUMBER('Client DB &amp; Bed Mgmt'!$M$5:$M$428))+IFERROR('Client DB &amp; Bed Mgmt'!$M$5:$M$428&lt;=EOMONTH(B38,0),FALSE)&gt;0)*--(('Client DB &amp; Bed Mgmt'!$N$5:$N$428="")+NOT(ISNUMBER('Client DB &amp; Bed Mgmt'!$N$5:$N$428))+IFERROR('Client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</row>
    <row r="39" ht="14.25" customHeight="1" s="83">
      <c r="A39" s="103" t="inlineStr">
        <is>
          <t>Dorm 1</t>
        </is>
      </c>
      <c r="B39" s="125">
        <f>DATE(YEAR(StartDate),MONTH(StartDate),1)</f>
        <v/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Mgmt'!$B:$B,C39,'Client DB &amp; Bed Mgmt'!$E:$E,"Occupied"),0)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Mgmt'!$M:$M,"&lt;="&amp;EOMONTH($B39,0),'Client DB &amp; Bed Mgmt'!$N:$N,"&gt;="&amp;DATE(YEAR($B39),MONTH($B39),1))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29">
        <f>IFERROR(J39*SUMPRODUCT(('Client DB &amp; Bed Mgmt'!$A$5:$A$428=A39)*('Client DB &amp; Bed Mgmt'!$B$5:$B$428=C39)*('Client DB &amp; Bed Mgmt'!$D$5:$D$428&lt;&gt;"")*--(('Client DB &amp; Bed Mgmt'!$M$5:$M$428="")+NOT(ISNUMBER('Client DB &amp; Bed Mgmt'!$M$5:$M$428))+IFERROR('Client DB &amp; Bed Mgmt'!$M$5:$M$428&lt;=EOMONTH(B39,0),FALSE)&gt;0)*--(('Client DB &amp; Bed Mgmt'!$N$5:$N$428="")+NOT(ISNUMBER('Client DB &amp; Bed Mgmt'!$N$5:$N$428))+IFERROR('Client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  <c r="V39" s="130">
        <f>IFERROR(T39*SUMPRODUCT(('Client DB &amp; Bed Mgmt'!$A$5:$A$428=K39)*('Client DB &amp; Bed Mgmt'!$B$5:$B$428=L39)*('Client DB &amp; Bed Mgmt'!$D$5:$D$428&lt;&gt;"")*--(('Client DB &amp; Bed Mgmt'!$M$5:$M$428="")+NOT(ISNUMBER('Client DB &amp; Bed Mgmt'!$M$5:$M$428))+IFERROR('Client DB &amp; Bed Mgmt'!$M$5:$M$428&lt;=EOMONTH(B39,0),FALSE)&gt;0)*--(('Client DB &amp; Bed Mgmt'!$N$5:$N$428="")+NOT(ISNUMBER('Client DB &amp; Bed Mgmt'!$N$5:$N$428))+IFERROR('Client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</row>
    <row r="40" ht="14.25" customHeight="1" s="83">
      <c r="A40" s="103" t="inlineStr">
        <is>
          <t>Dorm 1</t>
        </is>
      </c>
      <c r="B40" s="125">
        <f>DATE(YEAR(StartDate),MONTH(StartDate),1)</f>
        <v/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Mgmt'!$B:$B,C40,'Client DB &amp; Bed Mgmt'!$E:$E,"Occupied"),0)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Mgmt'!$M:$M,"&lt;="&amp;EOMONTH($B40,0),'Client DB &amp; Bed Mgmt'!$N:$N,"&gt;="&amp;DATE(YEAR($B40),MONTH($B40),1))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29">
        <f>IFERROR(J40*SUMPRODUCT(('Client DB &amp; Bed Mgmt'!$A$5:$A$428=A40)*('Client DB &amp; Bed Mgmt'!$B$5:$B$428=C40)*('Client DB &amp; Bed Mgmt'!$D$5:$D$428&lt;&gt;"")*--(('Client DB &amp; Bed Mgmt'!$M$5:$M$428="")+NOT(ISNUMBER('Client DB &amp; Bed Mgmt'!$M$5:$M$428))+IFERROR('Client DB &amp; Bed Mgmt'!$M$5:$M$428&lt;=EOMONTH(B40,0),FALSE)&gt;0)*--(('Client DB &amp; Bed Mgmt'!$N$5:$N$428="")+NOT(ISNUMBER('Client DB &amp; Bed Mgmt'!$N$5:$N$428))+IFERROR('Client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  <c r="V40" s="130">
        <f>IFERROR(T40*SUMPRODUCT(('Client DB &amp; Bed Mgmt'!$A$5:$A$428=K40)*('Client DB &amp; Bed Mgmt'!$B$5:$B$428=L40)*('Client DB &amp; Bed Mgmt'!$D$5:$D$428&lt;&gt;"")*--(('Client DB &amp; Bed Mgmt'!$M$5:$M$428="")+NOT(ISNUMBER('Client DB &amp; Bed Mgmt'!$M$5:$M$428))+IFERROR('Client DB &amp; Bed Mgmt'!$M$5:$M$428&lt;=EOMONTH(B40,0),FALSE)&gt;0)*--(('Client DB &amp; Bed Mgmt'!$N$5:$N$428="")+NOT(ISNUMBER('Client DB &amp; Bed Mgmt'!$N$5:$N$428))+IFERROR('Client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</row>
    <row r="41" ht="14.25" customHeight="1" s="83">
      <c r="A41" s="103" t="inlineStr">
        <is>
          <t>Dorm 1</t>
        </is>
      </c>
      <c r="B41" s="125">
        <f>DATE(YEAR(StartDate),MONTH(StartDate),1)</f>
        <v/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Mgmt'!$B:$B,C41,'Client DB &amp; Bed Mgmt'!$E:$E,"Occupied"),0)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Mgmt'!$M:$M,"&lt;="&amp;EOMONTH($B41,0),'Client DB &amp; Bed Mgmt'!$N:$N,"&gt;="&amp;DATE(YEAR($B41),MONTH($B41),1))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29">
        <f>IFERROR(J41*SUMPRODUCT(('Client DB &amp; Bed Mgmt'!$A$5:$A$428=A41)*('Client DB &amp; Bed Mgmt'!$B$5:$B$428=C41)*('Client DB &amp; Bed Mgmt'!$D$5:$D$428&lt;&gt;"")*--(('Client DB &amp; Bed Mgmt'!$M$5:$M$428="")+NOT(ISNUMBER('Client DB &amp; Bed Mgmt'!$M$5:$M$428))+IFERROR('Client DB &amp; Bed Mgmt'!$M$5:$M$428&lt;=EOMONTH(B41,0),FALSE)&gt;0)*--(('Client DB &amp; Bed Mgmt'!$N$5:$N$428="")+NOT(ISNUMBER('Client DB &amp; Bed Mgmt'!$N$5:$N$428))+IFERROR('Client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  <c r="V41" s="130">
        <f>IFERROR(T41*SUMPRODUCT(('Client DB &amp; Bed Mgmt'!$A$5:$A$428=K41)*('Client DB &amp; Bed Mgmt'!$B$5:$B$428=L41)*('Client DB &amp; Bed Mgmt'!$D$5:$D$428&lt;&gt;"")*--(('Client DB &amp; Bed Mgmt'!$M$5:$M$428="")+NOT(ISNUMBER('Client DB &amp; Bed Mgmt'!$M$5:$M$428))+IFERROR('Client DB &amp; Bed Mgmt'!$M$5:$M$428&lt;=EOMONTH(B41,0),FALSE)&gt;0)*--(('Client DB &amp; Bed Mgmt'!$N$5:$N$428="")+NOT(ISNUMBER('Client DB &amp; Bed Mgmt'!$N$5:$N$428))+IFERROR('Client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</row>
    <row r="42" ht="14.25" customHeight="1" s="83">
      <c r="A42" s="103" t="inlineStr">
        <is>
          <t>Dorm 1</t>
        </is>
      </c>
      <c r="B42" s="125">
        <f>DATE(YEAR(StartDate),MONTH(StartDate),1)</f>
        <v/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Mgmt'!$B:$B,C42,'Client DB &amp; Bed Mgmt'!$E:$E,"Occupied"),0)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Mgmt'!$M:$M,"&lt;="&amp;EOMONTH($B42,0),'Client DB &amp; Bed Mgmt'!$N:$N,"&gt;="&amp;DATE(YEAR($B42),MONTH($B42),1))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29">
        <f>IFERROR(J42*SUMPRODUCT(('Client DB &amp; Bed Mgmt'!$A$5:$A$428=A42)*('Client DB &amp; Bed Mgmt'!$B$5:$B$428=C42)*('Client DB &amp; Bed Mgmt'!$D$5:$D$428&lt;&gt;"")*--(('Client DB &amp; Bed Mgmt'!$M$5:$M$428="")+NOT(ISNUMBER('Client DB &amp; Bed Mgmt'!$M$5:$M$428))+IFERROR('Client DB &amp; Bed Mgmt'!$M$5:$M$428&lt;=EOMONTH(B42,0),FALSE)&gt;0)*--(('Client DB &amp; Bed Mgmt'!$N$5:$N$428="")+NOT(ISNUMBER('Client DB &amp; Bed Mgmt'!$N$5:$N$428))+IFERROR('Client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  <c r="V42" s="130">
        <f>IFERROR(T42*SUMPRODUCT(('Client DB &amp; Bed Mgmt'!$A$5:$A$428=K42)*('Client DB &amp; Bed Mgmt'!$B$5:$B$428=L42)*('Client DB &amp; Bed Mgmt'!$D$5:$D$428&lt;&gt;"")*--(('Client DB &amp; Bed Mgmt'!$M$5:$M$428="")+NOT(ISNUMBER('Client DB &amp; Bed Mgmt'!$M$5:$M$428))+IFERROR('Client DB &amp; Bed Mgmt'!$M$5:$M$428&lt;=EOMONTH(B42,0),FALSE)&gt;0)*--(('Client DB &amp; Bed Mgmt'!$N$5:$N$428="")+NOT(ISNUMBER('Client DB &amp; Bed Mgmt'!$N$5:$N$428))+IFERROR('Client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</row>
    <row r="43" ht="14.25" customHeight="1" s="83">
      <c r="A43" s="103" t="inlineStr">
        <is>
          <t>Dorm 1</t>
        </is>
      </c>
      <c r="B43" s="125">
        <f>DATE(YEAR(StartDate),MONTH(StartDate),1)</f>
        <v/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Mgmt'!$B:$B,C43,'Client DB &amp; Bed Mgmt'!$E:$E,"Occupied"),0)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Mgmt'!$M:$M,"&lt;="&amp;EOMONTH($B43,0),'Client DB &amp; Bed Mgmt'!$N:$N,"&gt;="&amp;DATE(YEAR($B43),MONTH($B43),1))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29">
        <f>IFERROR(J43*SUMPRODUCT(('Client DB &amp; Bed Mgmt'!$A$5:$A$428=A43)*('Client DB &amp; Bed Mgmt'!$B$5:$B$428=C43)*('Client DB &amp; Bed Mgmt'!$D$5:$D$428&lt;&gt;"")*--(('Client DB &amp; Bed Mgmt'!$M$5:$M$428="")+NOT(ISNUMBER('Client DB &amp; Bed Mgmt'!$M$5:$M$428))+IFERROR('Client DB &amp; Bed Mgmt'!$M$5:$M$428&lt;=EOMONTH(B43,0),FALSE)&gt;0)*--(('Client DB &amp; Bed Mgmt'!$N$5:$N$428="")+NOT(ISNUMBER('Client DB &amp; Bed Mgmt'!$N$5:$N$428))+IFERROR('Client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  <c r="V43" s="130">
        <f>IFERROR(T43*SUMPRODUCT(('Client DB &amp; Bed Mgmt'!$A$5:$A$428=K43)*('Client DB &amp; Bed Mgmt'!$B$5:$B$428=L43)*('Client DB &amp; Bed Mgmt'!$D$5:$D$428&lt;&gt;"")*--(('Client DB &amp; Bed Mgmt'!$M$5:$M$428="")+NOT(ISNUMBER('Client DB &amp; Bed Mgmt'!$M$5:$M$428))+IFERROR('Client DB &amp; Bed Mgmt'!$M$5:$M$428&lt;=EOMONTH(B43,0),FALSE)&gt;0)*--(('Client DB &amp; Bed Mgmt'!$N$5:$N$428="")+NOT(ISNUMBER('Client DB &amp; Bed Mgmt'!$N$5:$N$428))+IFERROR('Client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</row>
    <row r="44" ht="14.25" customHeight="1" s="83">
      <c r="A44" s="103" t="inlineStr">
        <is>
          <t>Dorm 1</t>
        </is>
      </c>
      <c r="B44" s="125">
        <f>DATE(YEAR(StartDate),MONTH(StartDate),1)</f>
        <v/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Mgmt'!$B:$B,C44,'Client DB &amp; Bed Mgmt'!$E:$E,"Occupied"),0)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Mgmt'!$M:$M,"&lt;="&amp;EOMONTH($B44,0),'Client DB &amp; Bed Mgmt'!$N:$N,"&gt;="&amp;DATE(YEAR($B44),MONTH($B44),1))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29">
        <f>IFERROR(J44*SUMPRODUCT(('Client DB &amp; Bed Mgmt'!$A$5:$A$428=A44)*('Client DB &amp; Bed Mgmt'!$B$5:$B$428=C44)*('Client DB &amp; Bed Mgmt'!$D$5:$D$428&lt;&gt;"")*--(('Client DB &amp; Bed Mgmt'!$M$5:$M$428="")+NOT(ISNUMBER('Client DB &amp; Bed Mgmt'!$M$5:$M$428))+IFERROR('Client DB &amp; Bed Mgmt'!$M$5:$M$428&lt;=EOMONTH(B44,0),FALSE)&gt;0)*--(('Client DB &amp; Bed Mgmt'!$N$5:$N$428="")+NOT(ISNUMBER('Client DB &amp; Bed Mgmt'!$N$5:$N$428))+IFERROR('Client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  <c r="V44" s="130">
        <f>IFERROR(T44*SUMPRODUCT(('Client DB &amp; Bed Mgmt'!$A$5:$A$428=K44)*('Client DB &amp; Bed Mgmt'!$B$5:$B$428=L44)*('Client DB &amp; Bed Mgmt'!$D$5:$D$428&lt;&gt;"")*--(('Client DB &amp; Bed Mgmt'!$M$5:$M$428="")+NOT(ISNUMBER('Client DB &amp; Bed Mgmt'!$M$5:$M$428))+IFERROR('Client DB &amp; Bed Mgmt'!$M$5:$M$428&lt;=EOMONTH(B44,0),FALSE)&gt;0)*--(('Client DB &amp; Bed Mgmt'!$N$5:$N$428="")+NOT(ISNUMBER('Client DB &amp; Bed Mgmt'!$N$5:$N$428))+IFERROR('Client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</row>
    <row r="45" ht="14.25" customHeight="1" s="83">
      <c r="A45" s="103" t="inlineStr">
        <is>
          <t>Dorm 1</t>
        </is>
      </c>
      <c r="B45" s="125">
        <f>DATE(YEAR(StartDate),MONTH(StartDate),1)</f>
        <v/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Mgmt'!$B:$B,C45,'Client DB &amp; Bed Mgmt'!$E:$E,"Occupied"),0)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Mgmt'!$M:$M,"&lt;="&amp;EOMONTH($B45,0),'Client DB &amp; Bed Mgmt'!$N:$N,"&gt;="&amp;DATE(YEAR($B45),MONTH($B45),1))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29">
        <f>IFERROR(J45*SUMPRODUCT(('Client DB &amp; Bed Mgmt'!$A$5:$A$428=A45)*('Client DB &amp; Bed Mgmt'!$B$5:$B$428=C45)*('Client DB &amp; Bed Mgmt'!$D$5:$D$428&lt;&gt;"")*--(('Client DB &amp; Bed Mgmt'!$M$5:$M$428="")+NOT(ISNUMBER('Client DB &amp; Bed Mgmt'!$M$5:$M$428))+IFERROR('Client DB &amp; Bed Mgmt'!$M$5:$M$428&lt;=EOMONTH(B45,0),FALSE)&gt;0)*--(('Client DB &amp; Bed Mgmt'!$N$5:$N$428="")+NOT(ISNUMBER('Client DB &amp; Bed Mgmt'!$N$5:$N$428))+IFERROR('Client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  <c r="V45" s="130">
        <f>IFERROR(T45*SUMPRODUCT(('Client DB &amp; Bed Mgmt'!$A$5:$A$428=K45)*('Client DB &amp; Bed Mgmt'!$B$5:$B$428=L45)*('Client DB &amp; Bed Mgmt'!$D$5:$D$428&lt;&gt;"")*--(('Client DB &amp; Bed Mgmt'!$M$5:$M$428="")+NOT(ISNUMBER('Client DB &amp; Bed Mgmt'!$M$5:$M$428))+IFERROR('Client DB &amp; Bed Mgmt'!$M$5:$M$428&lt;=EOMONTH(B45,0),FALSE)&gt;0)*--(('Client DB &amp; Bed Mgmt'!$N$5:$N$428="")+NOT(ISNUMBER('Client DB &amp; Bed Mgmt'!$N$5:$N$428))+IFERROR('Client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</row>
    <row r="46" ht="14.25" customHeight="1" s="83">
      <c r="A46" s="103" t="inlineStr">
        <is>
          <t>Dorm 1</t>
        </is>
      </c>
      <c r="B46" s="125">
        <f>DATE(YEAR(StartDate),MONTH(StartDate),1)</f>
        <v/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Mgmt'!$B:$B,C46,'Client DB &amp; Bed Mgmt'!$E:$E,"Occupied"),0)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Mgmt'!$M:$M,"&lt;="&amp;EOMONTH($B46,0),'Client DB &amp; Bed Mgmt'!$N:$N,"&gt;="&amp;DATE(YEAR($B46),MONTH($B46),1))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29">
        <f>IFERROR(J46*SUMPRODUCT(('Client DB &amp; Bed Mgmt'!$A$5:$A$428=A46)*('Client DB &amp; Bed Mgmt'!$B$5:$B$428=C46)*('Client DB &amp; Bed Mgmt'!$D$5:$D$428&lt;&gt;"")*--(('Client DB &amp; Bed Mgmt'!$M$5:$M$428="")+NOT(ISNUMBER('Client DB &amp; Bed Mgmt'!$M$5:$M$428))+IFERROR('Client DB &amp; Bed Mgmt'!$M$5:$M$428&lt;=EOMONTH(B46,0),FALSE)&gt;0)*--(('Client DB &amp; Bed Mgmt'!$N$5:$N$428="")+NOT(ISNUMBER('Client DB &amp; Bed Mgmt'!$N$5:$N$428))+IFERROR('Client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  <c r="V46" s="130">
        <f>IFERROR(T46*SUMPRODUCT(('Client DB &amp; Bed Mgmt'!$A$5:$A$428=K46)*('Client DB &amp; Bed Mgmt'!$B$5:$B$428=L46)*('Client DB &amp; Bed Mgmt'!$D$5:$D$428&lt;&gt;"")*--(('Client DB &amp; Bed Mgmt'!$M$5:$M$428="")+NOT(ISNUMBER('Client DB &amp; Bed Mgmt'!$M$5:$M$428))+IFERROR('Client DB &amp; Bed Mgmt'!$M$5:$M$428&lt;=EOMONTH(B46,0),FALSE)&gt;0)*--(('Client DB &amp; Bed Mgmt'!$N$5:$N$428="")+NOT(ISNUMBER('Client DB &amp; Bed Mgmt'!$N$5:$N$428))+IFERROR('Client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</row>
    <row r="47" ht="14.25" customHeight="1" s="83">
      <c r="A47" s="103" t="inlineStr">
        <is>
          <t>Dorm 1</t>
        </is>
      </c>
      <c r="B47" s="125">
        <f>DATE(YEAR(StartDate),MONTH(StartDate),1)</f>
        <v/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Mgmt'!$B:$B,C47,'Client DB &amp; Bed Mgmt'!$E:$E,"Occupied"),0)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Mgmt'!$M:$M,"&lt;="&amp;EOMONTH($B47,0),'Client DB &amp; Bed Mgmt'!$N:$N,"&gt;="&amp;DATE(YEAR($B47),MONTH($B47),1))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29">
        <f>IFERROR(J47*SUMPRODUCT(('Client DB &amp; Bed Mgmt'!$A$5:$A$428=A47)*('Client DB &amp; Bed Mgmt'!$B$5:$B$428=C47)*('Client DB &amp; Bed Mgmt'!$D$5:$D$428&lt;&gt;"")*--(('Client DB &amp; Bed Mgmt'!$M$5:$M$428="")+NOT(ISNUMBER('Client DB &amp; Bed Mgmt'!$M$5:$M$428))+IFERROR('Client DB &amp; Bed Mgmt'!$M$5:$M$428&lt;=EOMONTH(B47,0),FALSE)&gt;0)*--(('Client DB &amp; Bed Mgmt'!$N$5:$N$428="")+NOT(ISNUMBER('Client DB &amp; Bed Mgmt'!$N$5:$N$428))+IFERROR('Client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  <c r="V47" s="130">
        <f>IFERROR(T47*SUMPRODUCT(('Client DB &amp; Bed Mgmt'!$A$5:$A$428=K47)*('Client DB &amp; Bed Mgmt'!$B$5:$B$428=L47)*('Client DB &amp; Bed Mgmt'!$D$5:$D$428&lt;&gt;"")*--(('Client DB &amp; Bed Mgmt'!$M$5:$M$428="")+NOT(ISNUMBER('Client DB &amp; Bed Mgmt'!$M$5:$M$428))+IFERROR('Client DB &amp; Bed Mgmt'!$M$5:$M$428&lt;=EOMONTH(B47,0),FALSE)&gt;0)*--(('Client DB &amp; Bed Mgmt'!$N$5:$N$428="")+NOT(ISNUMBER('Client DB &amp; Bed Mgmt'!$N$5:$N$428))+IFERROR('Client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</row>
    <row r="48" ht="14.25" customHeight="1" s="83">
      <c r="A48" s="103" t="inlineStr">
        <is>
          <t>Dorm 1</t>
        </is>
      </c>
      <c r="B48" s="125">
        <f>DATE(YEAR(StartDate),MONTH(StartDate),1)</f>
        <v/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Mgmt'!$B:$B,C48,'Client DB &amp; Bed Mgmt'!$E:$E,"Occupied"),0)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Mgmt'!$M:$M,"&lt;="&amp;EOMONTH($B48,0),'Client DB &amp; Bed Mgmt'!$N:$N,"&gt;="&amp;DATE(YEAR($B48),MONTH($B48),1))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29">
        <f>IFERROR(J48*SUMPRODUCT(('Client DB &amp; Bed Mgmt'!$A$5:$A$428=A48)*('Client DB &amp; Bed Mgmt'!$B$5:$B$428=C48)*('Client DB &amp; Bed Mgmt'!$D$5:$D$428&lt;&gt;"")*--(('Client DB &amp; Bed Mgmt'!$M$5:$M$428="")+NOT(ISNUMBER('Client DB &amp; Bed Mgmt'!$M$5:$M$428))+IFERROR('Client DB &amp; Bed Mgmt'!$M$5:$M$428&lt;=EOMONTH(B48,0),FALSE)&gt;0)*--(('Client DB &amp; Bed Mgmt'!$N$5:$N$428="")+NOT(ISNUMBER('Client DB &amp; Bed Mgmt'!$N$5:$N$428))+IFERROR('Client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  <c r="V48" s="130">
        <f>IFERROR(T48*SUMPRODUCT(('Client DB &amp; Bed Mgmt'!$A$5:$A$428=K48)*('Client DB &amp; Bed Mgmt'!$B$5:$B$428=L48)*('Client DB &amp; Bed Mgmt'!$D$5:$D$428&lt;&gt;"")*--(('Client DB &amp; Bed Mgmt'!$M$5:$M$428="")+NOT(ISNUMBER('Client DB &amp; Bed Mgmt'!$M$5:$M$428))+IFERROR('Client DB &amp; Bed Mgmt'!$M$5:$M$428&lt;=EOMONTH(B48,0),FALSE)&gt;0)*--(('Client DB &amp; Bed Mgmt'!$N$5:$N$428="")+NOT(ISNUMBER('Client DB &amp; Bed Mgmt'!$N$5:$N$428))+IFERROR('Client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</row>
    <row r="49" ht="14.25" customHeight="1" s="83">
      <c r="A49" s="103" t="inlineStr">
        <is>
          <t>Dorm 1</t>
        </is>
      </c>
      <c r="B49" s="125">
        <f>DATE(YEAR(StartDate),MONTH(StartDate),1)</f>
        <v/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Mgmt'!$B:$B,C49,'Client DB &amp; Bed Mgmt'!$E:$E,"Occupied"),0)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Mgmt'!$M:$M,"&lt;="&amp;EOMONTH($B49,0),'Client DB &amp; Bed Mgmt'!$N:$N,"&gt;="&amp;DATE(YEAR($B49),MONTH($B49),1))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29">
        <f>IFERROR(J49*SUMPRODUCT(('Client DB &amp; Bed Mgmt'!$A$5:$A$428=A49)*('Client DB &amp; Bed Mgmt'!$B$5:$B$428=C49)*('Client DB &amp; Bed Mgmt'!$D$5:$D$428&lt;&gt;"")*--(('Client DB &amp; Bed Mgmt'!$M$5:$M$428="")+NOT(ISNUMBER('Client DB &amp; Bed Mgmt'!$M$5:$M$428))+IFERROR('Client DB &amp; Bed Mgmt'!$M$5:$M$428&lt;=EOMONTH(B49,0),FALSE)&gt;0)*--(('Client DB &amp; Bed Mgmt'!$N$5:$N$428="")+NOT(ISNUMBER('Client DB &amp; Bed Mgmt'!$N$5:$N$428))+IFERROR('Client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  <c r="V49" s="130">
        <f>IFERROR(T49*SUMPRODUCT(('Client DB &amp; Bed Mgmt'!$A$5:$A$428=K49)*('Client DB &amp; Bed Mgmt'!$B$5:$B$428=L49)*('Client DB &amp; Bed Mgmt'!$D$5:$D$428&lt;&gt;"")*--(('Client DB &amp; Bed Mgmt'!$M$5:$M$428="")+NOT(ISNUMBER('Client DB &amp; Bed Mgmt'!$M$5:$M$428))+IFERROR('Client DB &amp; Bed Mgmt'!$M$5:$M$428&lt;=EOMONTH(B49,0),FALSE)&gt;0)*--(('Client DB &amp; Bed Mgmt'!$N$5:$N$428="")+NOT(ISNUMBER('Client DB &amp; Bed Mgmt'!$N$5:$N$428))+IFERROR('Client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</row>
    <row r="50" ht="14.25" customHeight="1" s="83">
      <c r="A50" s="103" t="inlineStr">
        <is>
          <t>Dorm 1</t>
        </is>
      </c>
      <c r="B50" s="125">
        <f>DATE(YEAR(StartDate),MONTH(StartDate),1)</f>
        <v/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Mgmt'!$B:$B,C50,'Client DB &amp; Bed Mgmt'!$E:$E,"Occupied"),0)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Mgmt'!$M:$M,"&lt;="&amp;EOMONTH($B50,0),'Client DB &amp; Bed Mgmt'!$N:$N,"&gt;="&amp;DATE(YEAR($B50),MONTH($B50),1))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29">
        <f>IFERROR(J50*SUMPRODUCT(('Client DB &amp; Bed Mgmt'!$A$5:$A$428=A50)*('Client DB &amp; Bed Mgmt'!$B$5:$B$428=C50)*('Client DB &amp; Bed Mgmt'!$D$5:$D$428&lt;&gt;"")*--(('Client DB &amp; Bed Mgmt'!$M$5:$M$428="")+NOT(ISNUMBER('Client DB &amp; Bed Mgmt'!$M$5:$M$428))+IFERROR('Client DB &amp; Bed Mgmt'!$M$5:$M$428&lt;=EOMONTH(B50,0),FALSE)&gt;0)*--(('Client DB &amp; Bed Mgmt'!$N$5:$N$428="")+NOT(ISNUMBER('Client DB &amp; Bed Mgmt'!$N$5:$N$428))+IFERROR('Client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  <c r="V50" s="130">
        <f>IFERROR(T50*SUMPRODUCT(('Client DB &amp; Bed Mgmt'!$A$5:$A$428=K50)*('Client DB &amp; Bed Mgmt'!$B$5:$B$428=L50)*('Client DB &amp; Bed Mgmt'!$D$5:$D$428&lt;&gt;"")*--(('Client DB &amp; Bed Mgmt'!$M$5:$M$428="")+NOT(ISNUMBER('Client DB &amp; Bed Mgmt'!$M$5:$M$428))+IFERROR('Client DB &amp; Bed Mgmt'!$M$5:$M$428&lt;=EOMONTH(B50,0),FALSE)&gt;0)*--(('Client DB &amp; Bed Mgmt'!$N$5:$N$428="")+NOT(ISNUMBER('Client DB &amp; Bed Mgmt'!$N$5:$N$428))+IFERROR('Client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</row>
    <row r="51" ht="14.25" customHeight="1" s="83">
      <c r="A51" s="103" t="inlineStr">
        <is>
          <t>Dorm 1</t>
        </is>
      </c>
      <c r="B51" s="125">
        <f>DATE(YEAR(StartDate),MONTH(StartDate),1)</f>
        <v/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Mgmt'!$B:$B,C51,'Client DB &amp; Bed Mgmt'!$E:$E,"Occupied"),0)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Mgmt'!$M:$M,"&lt;="&amp;EOMONTH($B51,0),'Client DB &amp; Bed Mgmt'!$N:$N,"&gt;="&amp;DATE(YEAR($B51),MONTH($B51),1))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29">
        <f>IFERROR(J51*SUMPRODUCT(('Client DB &amp; Bed Mgmt'!$A$5:$A$428=A51)*('Client DB &amp; Bed Mgmt'!$B$5:$B$428=C51)*('Client DB &amp; Bed Mgmt'!$D$5:$D$428&lt;&gt;"")*--(('Client DB &amp; Bed Mgmt'!$M$5:$M$428="")+NOT(ISNUMBER('Client DB &amp; Bed Mgmt'!$M$5:$M$428))+IFERROR('Client DB &amp; Bed Mgmt'!$M$5:$M$428&lt;=EOMONTH(B51,0),FALSE)&gt;0)*--(('Client DB &amp; Bed Mgmt'!$N$5:$N$428="")+NOT(ISNUMBER('Client DB &amp; Bed Mgmt'!$N$5:$N$428))+IFERROR('Client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  <c r="V51" s="130">
        <f>IFERROR(T51*SUMPRODUCT(('Client DB &amp; Bed Mgmt'!$A$5:$A$428=K51)*('Client DB &amp; Bed Mgmt'!$B$5:$B$428=L51)*('Client DB &amp; Bed Mgmt'!$D$5:$D$428&lt;&gt;"")*--(('Client DB &amp; Bed Mgmt'!$M$5:$M$428="")+NOT(ISNUMBER('Client DB &amp; Bed Mgmt'!$M$5:$M$428))+IFERROR('Client DB &amp; Bed Mgmt'!$M$5:$M$428&lt;=EOMONTH(B51,0),FALSE)&gt;0)*--(('Client DB &amp; Bed Mgmt'!$N$5:$N$428="")+NOT(ISNUMBER('Client DB &amp; Bed Mgmt'!$N$5:$N$428))+IFERROR('Client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</row>
    <row r="52" ht="14.25" customHeight="1" s="83">
      <c r="A52" s="103" t="inlineStr">
        <is>
          <t>Dorm 1</t>
        </is>
      </c>
      <c r="B52" s="125">
        <f>DATE(YEAR(StartDate),MONTH(StartDate),1)</f>
        <v/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Mgmt'!$B:$B,C52,'Client DB &amp; Bed Mgmt'!$E:$E,"Occupied"),0)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Mgmt'!$M:$M,"&lt;="&amp;EOMONTH($B52,0),'Client DB &amp; Bed Mgmt'!$N:$N,"&gt;="&amp;DATE(YEAR($B52),MONTH($B52),1))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29">
        <f>IFERROR(J52*SUMPRODUCT(('Client DB &amp; Bed Mgmt'!$A$5:$A$428=A52)*('Client DB &amp; Bed Mgmt'!$B$5:$B$428=C52)*('Client DB &amp; Bed Mgmt'!$D$5:$D$428&lt;&gt;"")*--(('Client DB &amp; Bed Mgmt'!$M$5:$M$428="")+NOT(ISNUMBER('Client DB &amp; Bed Mgmt'!$M$5:$M$428))+IFERROR('Client DB &amp; Bed Mgmt'!$M$5:$M$428&lt;=EOMONTH(B52,0),FALSE)&gt;0)*--(('Client DB &amp; Bed Mgmt'!$N$5:$N$428="")+NOT(ISNUMBER('Client DB &amp; Bed Mgmt'!$N$5:$N$428))+IFERROR('Client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  <c r="V52" s="130">
        <f>IFERROR(T52*SUMPRODUCT(('Client DB &amp; Bed Mgmt'!$A$5:$A$428=K52)*('Client DB &amp; Bed Mgmt'!$B$5:$B$428=L52)*('Client DB &amp; Bed Mgmt'!$D$5:$D$428&lt;&gt;"")*--(('Client DB &amp; Bed Mgmt'!$M$5:$M$428="")+NOT(ISNUMBER('Client DB &amp; Bed Mgmt'!$M$5:$M$428))+IFERROR('Client DB &amp; Bed Mgmt'!$M$5:$M$428&lt;=EOMONTH(B52,0),FALSE)&gt;0)*--(('Client DB &amp; Bed Mgmt'!$N$5:$N$428="")+NOT(ISNUMBER('Client DB &amp; Bed Mgmt'!$N$5:$N$428))+IFERROR('Client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</row>
    <row r="53" ht="14.25" customHeight="1" s="83">
      <c r="A53" s="103" t="inlineStr">
        <is>
          <t>Dorm 1</t>
        </is>
      </c>
      <c r="B53" s="125">
        <f>DATE(YEAR(StartDate),MONTH(StartDate),1)</f>
        <v/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Mgmt'!$B:$B,C53,'Client DB &amp; Bed Mgmt'!$E:$E,"Occupied"),0)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Mgmt'!$M:$M,"&lt;="&amp;EOMONTH($B53,0),'Client DB &amp; Bed Mgmt'!$N:$N,"&gt;="&amp;DATE(YEAR($B53),MONTH($B53),1))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29">
        <f>IFERROR(J53*SUMPRODUCT(('Client DB &amp; Bed Mgmt'!$A$5:$A$428=A53)*('Client DB &amp; Bed Mgmt'!$B$5:$B$428=C53)*('Client DB &amp; Bed Mgmt'!$D$5:$D$428&lt;&gt;"")*--(('Client DB &amp; Bed Mgmt'!$M$5:$M$428="")+NOT(ISNUMBER('Client DB &amp; Bed Mgmt'!$M$5:$M$428))+IFERROR('Client DB &amp; Bed Mgmt'!$M$5:$M$428&lt;=EOMONTH(B53,0),FALSE)&gt;0)*--(('Client DB &amp; Bed Mgmt'!$N$5:$N$428="")+NOT(ISNUMBER('Client DB &amp; Bed Mgmt'!$N$5:$N$428))+IFERROR('Client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  <c r="V53" s="130">
        <f>IFERROR(T53*SUMPRODUCT(('Client DB &amp; Bed Mgmt'!$A$5:$A$428=K53)*('Client DB &amp; Bed Mgmt'!$B$5:$B$428=L53)*('Client DB &amp; Bed Mgmt'!$D$5:$D$428&lt;&gt;"")*--(('Client DB &amp; Bed Mgmt'!$M$5:$M$428="")+NOT(ISNUMBER('Client DB &amp; Bed Mgmt'!$M$5:$M$428))+IFERROR('Client DB &amp; Bed Mgmt'!$M$5:$M$428&lt;=EOMONTH(B53,0),FALSE)&gt;0)*--(('Client DB &amp; Bed Mgmt'!$N$5:$N$428="")+NOT(ISNUMBER('Client DB &amp; Bed Mgmt'!$N$5:$N$428))+IFERROR('Client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</row>
    <row r="54" ht="14.25" customHeight="1" s="83">
      <c r="A54" s="103" t="inlineStr">
        <is>
          <t>Dorm 1</t>
        </is>
      </c>
      <c r="B54" s="125">
        <f>DATE(YEAR(StartDate),MONTH(StartDate),1)</f>
        <v/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Mgmt'!$B:$B,C54,'Client DB &amp; Bed Mgmt'!$E:$E,"Occupied"),0)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Mgmt'!$M:$M,"&lt;="&amp;EOMONTH($B54,0),'Client DB &amp; Bed Mgmt'!$N:$N,"&gt;="&amp;DATE(YEAR($B54),MONTH($B54),1))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29">
        <f>IFERROR(J54*SUMPRODUCT(('Client DB &amp; Bed Mgmt'!$A$5:$A$428=A54)*('Client DB &amp; Bed Mgmt'!$B$5:$B$428=C54)*('Client DB &amp; Bed Mgmt'!$D$5:$D$428&lt;&gt;"")*--(('Client DB &amp; Bed Mgmt'!$M$5:$M$428="")+NOT(ISNUMBER('Client DB &amp; Bed Mgmt'!$M$5:$M$428))+IFERROR('Client DB &amp; Bed Mgmt'!$M$5:$M$428&lt;=EOMONTH(B54,0),FALSE)&gt;0)*--(('Client DB &amp; Bed Mgmt'!$N$5:$N$428="")+NOT(ISNUMBER('Client DB &amp; Bed Mgmt'!$N$5:$N$428))+IFERROR('Client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  <c r="V54" s="130">
        <f>IFERROR(T54*SUMPRODUCT(('Client DB &amp; Bed Mgmt'!$A$5:$A$428=K54)*('Client DB &amp; Bed Mgmt'!$B$5:$B$428=L54)*('Client DB &amp; Bed Mgmt'!$D$5:$D$428&lt;&gt;"")*--(('Client DB &amp; Bed Mgmt'!$M$5:$M$428="")+NOT(ISNUMBER('Client DB &amp; Bed Mgmt'!$M$5:$M$428))+IFERROR('Client DB &amp; Bed Mgmt'!$M$5:$M$428&lt;=EOMONTH(B54,0),FALSE)&gt;0)*--(('Client DB &amp; Bed Mgmt'!$N$5:$N$428="")+NOT(ISNUMBER('Client DB &amp; Bed Mgmt'!$N$5:$N$428))+IFERROR('Client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</row>
    <row r="55" ht="14.25" customHeight="1" s="83">
      <c r="A55" s="103" t="inlineStr">
        <is>
          <t>Dorm 1</t>
        </is>
      </c>
      <c r="B55" s="125">
        <f>DATE(YEAR(StartDate),MONTH(StartDate),1)</f>
        <v/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Mgmt'!$B:$B,C55,'Client DB &amp; Bed Mgmt'!$E:$E,"Occupied"),0)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Mgmt'!$M:$M,"&lt;="&amp;EOMONTH($B55,0),'Client DB &amp; Bed Mgmt'!$N:$N,"&gt;="&amp;DATE(YEAR($B55),MONTH($B55),1))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29">
        <f>IFERROR(J55*SUMPRODUCT(('Client DB &amp; Bed Mgmt'!$A$5:$A$428=A55)*('Client DB &amp; Bed Mgmt'!$B$5:$B$428=C55)*('Client DB &amp; Bed Mgmt'!$D$5:$D$428&lt;&gt;"")*--(('Client DB &amp; Bed Mgmt'!$M$5:$M$428="")+NOT(ISNUMBER('Client DB &amp; Bed Mgmt'!$M$5:$M$428))+IFERROR('Client DB &amp; Bed Mgmt'!$M$5:$M$428&lt;=EOMONTH(B55,0),FALSE)&gt;0)*--(('Client DB &amp; Bed Mgmt'!$N$5:$N$428="")+NOT(ISNUMBER('Client DB &amp; Bed Mgmt'!$N$5:$N$428))+IFERROR('Client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  <c r="V55" s="130">
        <f>IFERROR(T55*SUMPRODUCT(('Client DB &amp; Bed Mgmt'!$A$5:$A$428=K55)*('Client DB &amp; Bed Mgmt'!$B$5:$B$428=L55)*('Client DB &amp; Bed Mgmt'!$D$5:$D$428&lt;&gt;"")*--(('Client DB &amp; Bed Mgmt'!$M$5:$M$428="")+NOT(ISNUMBER('Client DB &amp; Bed Mgmt'!$M$5:$M$428))+IFERROR('Client DB &amp; Bed Mgmt'!$M$5:$M$428&lt;=EOMONTH(B55,0),FALSE)&gt;0)*--(('Client DB &amp; Bed Mgmt'!$N$5:$N$428="")+NOT(ISNUMBER('Client DB &amp; Bed Mgmt'!$N$5:$N$428))+IFERROR('Client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</row>
    <row r="56" ht="14.25" customHeight="1" s="83">
      <c r="A56" s="103" t="inlineStr">
        <is>
          <t>Dorm 1</t>
        </is>
      </c>
      <c r="B56" s="125">
        <f>DATE(YEAR(StartDate),MONTH(StartDate),1)</f>
        <v/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Mgmt'!$B:$B,C56,'Client DB &amp; Bed Mgmt'!$E:$E,"Occupied"),0)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Mgmt'!$M:$M,"&lt;="&amp;EOMONTH($B56,0),'Client DB &amp; Bed Mgmt'!$N:$N,"&gt;="&amp;DATE(YEAR($B56),MONTH($B56),1))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29">
        <f>IFERROR(J56*SUMPRODUCT(('Client DB &amp; Bed Mgmt'!$A$5:$A$428=A56)*('Client DB &amp; Bed Mgmt'!$B$5:$B$428=C56)*('Client DB &amp; Bed Mgmt'!$D$5:$D$428&lt;&gt;"")*--(('Client DB &amp; Bed Mgmt'!$M$5:$M$428="")+NOT(ISNUMBER('Client DB &amp; Bed Mgmt'!$M$5:$M$428))+IFERROR('Client DB &amp; Bed Mgmt'!$M$5:$M$428&lt;=EOMONTH(B56,0),FALSE)&gt;0)*--(('Client DB &amp; Bed Mgmt'!$N$5:$N$428="")+NOT(ISNUMBER('Client DB &amp; Bed Mgmt'!$N$5:$N$428))+IFERROR('Client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  <c r="V56" s="130">
        <f>IFERROR(T56*SUMPRODUCT(('Client DB &amp; Bed Mgmt'!$A$5:$A$428=K56)*('Client DB &amp; Bed Mgmt'!$B$5:$B$428=L56)*('Client DB &amp; Bed Mgmt'!$D$5:$D$428&lt;&gt;"")*--(('Client DB &amp; Bed Mgmt'!$M$5:$M$428="")+NOT(ISNUMBER('Client DB &amp; Bed Mgmt'!$M$5:$M$428))+IFERROR('Client DB &amp; Bed Mgmt'!$M$5:$M$428&lt;=EOMONTH(B56,0),FALSE)&gt;0)*--(('Client DB &amp; Bed Mgmt'!$N$5:$N$428="")+NOT(ISNUMBER('Client DB &amp; Bed Mgmt'!$N$5:$N$428))+IFERROR('Client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</row>
    <row r="57" ht="14.25" customHeight="1" s="83">
      <c r="A57" s="103" t="inlineStr">
        <is>
          <t>Dorm 1</t>
        </is>
      </c>
      <c r="B57" s="125">
        <f>DATE(YEAR(StartDate),MONTH(StartDate),1)</f>
        <v/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Mgmt'!$B:$B,C57,'Client DB &amp; Bed Mgmt'!$E:$E,"Occupied"),0)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Mgmt'!$M:$M,"&lt;="&amp;EOMONTH($B57,0),'Client DB &amp; Bed Mgmt'!$N:$N,"&gt;="&amp;DATE(YEAR($B57),MONTH($B57),1))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29">
        <f>IFERROR(J57*SUMPRODUCT(('Client DB &amp; Bed Mgmt'!$A$5:$A$428=A57)*('Client DB &amp; Bed Mgmt'!$B$5:$B$428=C57)*('Client DB &amp; Bed Mgmt'!$D$5:$D$428&lt;&gt;"")*--(('Client DB &amp; Bed Mgmt'!$M$5:$M$428="")+NOT(ISNUMBER('Client DB &amp; Bed Mgmt'!$M$5:$M$428))+IFERROR('Client DB &amp; Bed Mgmt'!$M$5:$M$428&lt;=EOMONTH(B57,0),FALSE)&gt;0)*--(('Client DB &amp; Bed Mgmt'!$N$5:$N$428="")+NOT(ISNUMBER('Client DB &amp; Bed Mgmt'!$N$5:$N$428))+IFERROR('Client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  <c r="V57" s="130">
        <f>IFERROR(T57*SUMPRODUCT(('Client DB &amp; Bed Mgmt'!$A$5:$A$428=K57)*('Client DB &amp; Bed Mgmt'!$B$5:$B$428=L57)*('Client DB &amp; Bed Mgmt'!$D$5:$D$428&lt;&gt;"")*--(('Client DB &amp; Bed Mgmt'!$M$5:$M$428="")+NOT(ISNUMBER('Client DB &amp; Bed Mgmt'!$M$5:$M$428))+IFERROR('Client DB &amp; Bed Mgmt'!$M$5:$M$428&lt;=EOMONTH(B57,0),FALSE)&gt;0)*--(('Client DB &amp; Bed Mgmt'!$N$5:$N$428="")+NOT(ISNUMBER('Client DB &amp; Bed Mgmt'!$N$5:$N$428))+IFERROR('Client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</row>
    <row r="58" ht="14.25" customHeight="1" s="83">
      <c r="A58" s="103" t="inlineStr">
        <is>
          <t>Dorm 1</t>
        </is>
      </c>
      <c r="B58" s="125">
        <f>DATE(YEAR(StartDate),MONTH(StartDate),1)</f>
        <v/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Mgmt'!$B:$B,C58,'Client DB &amp; Bed Mgmt'!$E:$E,"Occupied"),0)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Mgmt'!$M:$M,"&lt;="&amp;EOMONTH($B58,0),'Client DB &amp; Bed Mgmt'!$N:$N,"&gt;="&amp;DATE(YEAR($B58),MONTH($B58),1))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29">
        <f>IFERROR(J58*SUMPRODUCT(('Client DB &amp; Bed Mgmt'!$A$5:$A$428=A58)*('Client DB &amp; Bed Mgmt'!$B$5:$B$428=C58)*('Client DB &amp; Bed Mgmt'!$D$5:$D$428&lt;&gt;"")*--(('Client DB &amp; Bed Mgmt'!$M$5:$M$428="")+NOT(ISNUMBER('Client DB &amp; Bed Mgmt'!$M$5:$M$428))+IFERROR('Client DB &amp; Bed Mgmt'!$M$5:$M$428&lt;=EOMONTH(B58,0),FALSE)&gt;0)*--(('Client DB &amp; Bed Mgmt'!$N$5:$N$428="")+NOT(ISNUMBER('Client DB &amp; Bed Mgmt'!$N$5:$N$428))+IFERROR('Client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  <c r="V58" s="130">
        <f>IFERROR(T58*SUMPRODUCT(('Client DB &amp; Bed Mgmt'!$A$5:$A$428=K58)*('Client DB &amp; Bed Mgmt'!$B$5:$B$428=L58)*('Client DB &amp; Bed Mgmt'!$D$5:$D$428&lt;&gt;"")*--(('Client DB &amp; Bed Mgmt'!$M$5:$M$428="")+NOT(ISNUMBER('Client DB &amp; Bed Mgmt'!$M$5:$M$428))+IFERROR('Client DB &amp; Bed Mgmt'!$M$5:$M$428&lt;=EOMONTH(B58,0),FALSE)&gt;0)*--(('Client DB &amp; Bed Mgmt'!$N$5:$N$428="")+NOT(ISNUMBER('Client DB &amp; Bed Mgmt'!$N$5:$N$428))+IFERROR('Client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</row>
    <row r="59" ht="14.25" customHeight="1" s="83">
      <c r="A59" s="103" t="inlineStr">
        <is>
          <t>Dorm 1</t>
        </is>
      </c>
      <c r="B59" s="125">
        <f>DATE(YEAR(StartDate),MONTH(StartDate),1)</f>
        <v/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Mgmt'!$B:$B,C59,'Client DB &amp; Bed Mgmt'!$E:$E,"Occupied"),0)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Mgmt'!$M:$M,"&lt;="&amp;EOMONTH($B59,0),'Client DB &amp; Bed Mgmt'!$N:$N,"&gt;="&amp;DATE(YEAR($B59),MONTH($B59),1))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29">
        <f>IFERROR(J59*SUMPRODUCT(('Client DB &amp; Bed Mgmt'!$A$5:$A$428=A59)*('Client DB &amp; Bed Mgmt'!$B$5:$B$428=C59)*('Client DB &amp; Bed Mgmt'!$D$5:$D$428&lt;&gt;"")*--(('Client DB &amp; Bed Mgmt'!$M$5:$M$428="")+NOT(ISNUMBER('Client DB &amp; Bed Mgmt'!$M$5:$M$428))+IFERROR('Client DB &amp; Bed Mgmt'!$M$5:$M$428&lt;=EOMONTH(B59,0),FALSE)&gt;0)*--(('Client DB &amp; Bed Mgmt'!$N$5:$N$428="")+NOT(ISNUMBER('Client DB &amp; Bed Mgmt'!$N$5:$N$428))+IFERROR('Client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  <c r="V59" s="130">
        <f>IFERROR(T59*SUMPRODUCT(('Client DB &amp; Bed Mgmt'!$A$5:$A$428=K59)*('Client DB &amp; Bed Mgmt'!$B$5:$B$428=L59)*('Client DB &amp; Bed Mgmt'!$D$5:$D$428&lt;&gt;"")*--(('Client DB &amp; Bed Mgmt'!$M$5:$M$428="")+NOT(ISNUMBER('Client DB &amp; Bed Mgmt'!$M$5:$M$428))+IFERROR('Client DB &amp; Bed Mgmt'!$M$5:$M$428&lt;=EOMONTH(B59,0),FALSE)&gt;0)*--(('Client DB &amp; Bed Mgmt'!$N$5:$N$428="")+NOT(ISNUMBER('Client DB &amp; Bed Mgmt'!$N$5:$N$428))+IFERROR('Client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</row>
    <row r="60" ht="14.25" customHeight="1" s="83">
      <c r="A60" s="103" t="inlineStr">
        <is>
          <t>Dorm 1</t>
        </is>
      </c>
      <c r="B60" s="125">
        <f>DATE(YEAR(StartDate),MONTH(StartDate),1)</f>
        <v/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Mgmt'!$B:$B,C60,'Client DB &amp; Bed Mgmt'!$E:$E,"Occupied"),0)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Mgmt'!$M:$M,"&lt;="&amp;EOMONTH($B60,0),'Client DB &amp; Bed Mgmt'!$N:$N,"&gt;="&amp;DATE(YEAR($B60),MONTH($B60),1))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29">
        <f>IFERROR(J60*SUMPRODUCT(('Client DB &amp; Bed Mgmt'!$A$5:$A$428=A60)*('Client DB &amp; Bed Mgmt'!$B$5:$B$428=C60)*('Client DB &amp; Bed Mgmt'!$D$5:$D$428&lt;&gt;"")*--(('Client DB &amp; Bed Mgmt'!$M$5:$M$428="")+NOT(ISNUMBER('Client DB &amp; Bed Mgmt'!$M$5:$M$428))+IFERROR('Client DB &amp; Bed Mgmt'!$M$5:$M$428&lt;=EOMONTH(B60,0),FALSE)&gt;0)*--(('Client DB &amp; Bed Mgmt'!$N$5:$N$428="")+NOT(ISNUMBER('Client DB &amp; Bed Mgmt'!$N$5:$N$428))+IFERROR('Client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  <c r="V60" s="130">
        <f>IFERROR(T60*SUMPRODUCT(('Client DB &amp; Bed Mgmt'!$A$5:$A$428=K60)*('Client DB &amp; Bed Mgmt'!$B$5:$B$428=L60)*('Client DB &amp; Bed Mgmt'!$D$5:$D$428&lt;&gt;"")*--(('Client DB &amp; Bed Mgmt'!$M$5:$M$428="")+NOT(ISNUMBER('Client DB &amp; Bed Mgmt'!$M$5:$M$428))+IFERROR('Client DB &amp; Bed Mgmt'!$M$5:$M$428&lt;=EOMONTH(B60,0),FALSE)&gt;0)*--(('Client DB &amp; Bed Mgmt'!$N$5:$N$428="")+NOT(ISNUMBER('Client DB &amp; Bed Mgmt'!$N$5:$N$428))+IFERROR('Client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</row>
    <row r="61" ht="14.25" customHeight="1" s="83">
      <c r="A61" s="103" t="inlineStr">
        <is>
          <t>Dorm 1</t>
        </is>
      </c>
      <c r="B61" s="125">
        <f>DATE(YEAR(StartDate),MONTH(StartDate),1)</f>
        <v/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Mgmt'!$B:$B,C61,'Client DB &amp; Bed Mgmt'!$E:$E,"Occupied"),0)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Mgmt'!$M:$M,"&lt;="&amp;EOMONTH($B61,0),'Client DB &amp; Bed Mgmt'!$N:$N,"&gt;="&amp;DATE(YEAR($B61),MONTH($B61),1))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29">
        <f>IFERROR(J61*SUMPRODUCT(('Client DB &amp; Bed Mgmt'!$A$5:$A$428=A61)*('Client DB &amp; Bed Mgmt'!$B$5:$B$428=C61)*('Client DB &amp; Bed Mgmt'!$D$5:$D$428&lt;&gt;"")*--(('Client DB &amp; Bed Mgmt'!$M$5:$M$428="")+NOT(ISNUMBER('Client DB &amp; Bed Mgmt'!$M$5:$M$428))+IFERROR('Client DB &amp; Bed Mgmt'!$M$5:$M$428&lt;=EOMONTH(B61,0),FALSE)&gt;0)*--(('Client DB &amp; Bed Mgmt'!$N$5:$N$428="")+NOT(ISNUMBER('Client DB &amp; Bed Mgmt'!$N$5:$N$428))+IFERROR('Client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  <c r="V61" s="130">
        <f>IFERROR(T61*SUMPRODUCT(('Client DB &amp; Bed Mgmt'!$A$5:$A$428=K61)*('Client DB &amp; Bed Mgmt'!$B$5:$B$428=L61)*('Client DB &amp; Bed Mgmt'!$D$5:$D$428&lt;&gt;"")*--(('Client DB &amp; Bed Mgmt'!$M$5:$M$428="")+NOT(ISNUMBER('Client DB &amp; Bed Mgmt'!$M$5:$M$428))+IFERROR('Client DB &amp; Bed Mgmt'!$M$5:$M$428&lt;=EOMONTH(B61,0),FALSE)&gt;0)*--(('Client DB &amp; Bed Mgmt'!$N$5:$N$428="")+NOT(ISNUMBER('Client DB &amp; Bed Mgmt'!$N$5:$N$428))+IFERROR('Client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</row>
    <row r="62" ht="14.25" customHeight="1" s="83">
      <c r="A62" s="103" t="inlineStr">
        <is>
          <t>Dorm 1</t>
        </is>
      </c>
      <c r="B62" s="125">
        <f>DATE(YEAR(StartDate),MONTH(StartDate),1)</f>
        <v/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Mgmt'!$B:$B,C62,'Client DB &amp; Bed Mgmt'!$E:$E,"Occupied"),0)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Mgmt'!$M:$M,"&lt;="&amp;EOMONTH($B62,0),'Client DB &amp; Bed Mgmt'!$N:$N,"&gt;="&amp;DATE(YEAR($B62),MONTH($B62),1))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29">
        <f>IFERROR(J62*SUMPRODUCT(('Client DB &amp; Bed Mgmt'!$A$5:$A$428=A62)*('Client DB &amp; Bed Mgmt'!$B$5:$B$428=C62)*('Client DB &amp; Bed Mgmt'!$D$5:$D$428&lt;&gt;"")*--(('Client DB &amp; Bed Mgmt'!$M$5:$M$428="")+NOT(ISNUMBER('Client DB &amp; Bed Mgmt'!$M$5:$M$428))+IFERROR('Client DB &amp; Bed Mgmt'!$M$5:$M$428&lt;=EOMONTH(B62,0),FALSE)&gt;0)*--(('Client DB &amp; Bed Mgmt'!$N$5:$N$428="")+NOT(ISNUMBER('Client DB &amp; Bed Mgmt'!$N$5:$N$428))+IFERROR('Client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  <c r="V62" s="130">
        <f>IFERROR(T62*SUMPRODUCT(('Client DB &amp; Bed Mgmt'!$A$5:$A$428=K62)*('Client DB &amp; Bed Mgmt'!$B$5:$B$428=L62)*('Client DB &amp; Bed Mgmt'!$D$5:$D$428&lt;&gt;"")*--(('Client DB &amp; Bed Mgmt'!$M$5:$M$428="")+NOT(ISNUMBER('Client DB &amp; Bed Mgmt'!$M$5:$M$428))+IFERROR('Client DB &amp; Bed Mgmt'!$M$5:$M$428&lt;=EOMONTH(B62,0),FALSE)&gt;0)*--(('Client DB &amp; Bed Mgmt'!$N$5:$N$428="")+NOT(ISNUMBER('Client DB &amp; Bed Mgmt'!$N$5:$N$428))+IFERROR('Client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</row>
    <row r="63" ht="14.25" customHeight="1" s="83">
      <c r="A63" s="103" t="inlineStr">
        <is>
          <t>Dorm 1</t>
        </is>
      </c>
      <c r="B63" s="125">
        <f>DATE(YEAR(StartDate),MONTH(StartDate),1)</f>
        <v/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Mgmt'!$B:$B,C63,'Client DB &amp; Bed Mgmt'!$E:$E,"Occupied"),0)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Mgmt'!$M:$M,"&lt;="&amp;EOMONTH($B63,0),'Client DB &amp; Bed Mgmt'!$N:$N,"&gt;="&amp;DATE(YEAR($B63),MONTH($B63),1))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29">
        <f>IFERROR(J63*SUMPRODUCT(('Client DB &amp; Bed Mgmt'!$A$5:$A$428=A63)*('Client DB &amp; Bed Mgmt'!$B$5:$B$428=C63)*('Client DB &amp; Bed Mgmt'!$D$5:$D$428&lt;&gt;"")*--(('Client DB &amp; Bed Mgmt'!$M$5:$M$428="")+NOT(ISNUMBER('Client DB &amp; Bed Mgmt'!$M$5:$M$428))+IFERROR('Client DB &amp; Bed Mgmt'!$M$5:$M$428&lt;=EOMONTH(B63,0),FALSE)&gt;0)*--(('Client DB &amp; Bed Mgmt'!$N$5:$N$428="")+NOT(ISNUMBER('Client DB &amp; Bed Mgmt'!$N$5:$N$428))+IFERROR('Client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  <c r="V63" s="130">
        <f>IFERROR(T63*SUMPRODUCT(('Client DB &amp; Bed Mgmt'!$A$5:$A$428=K63)*('Client DB &amp; Bed Mgmt'!$B$5:$B$428=L63)*('Client DB &amp; Bed Mgmt'!$D$5:$D$428&lt;&gt;"")*--(('Client DB &amp; Bed Mgmt'!$M$5:$M$428="")+NOT(ISNUMBER('Client DB &amp; Bed Mgmt'!$M$5:$M$428))+IFERROR('Client DB &amp; Bed Mgmt'!$M$5:$M$428&lt;=EOMONTH(B63,0),FALSE)&gt;0)*--(('Client DB &amp; Bed Mgmt'!$N$5:$N$428="")+NOT(ISNUMBER('Client DB &amp; Bed Mgmt'!$N$5:$N$428))+IFERROR('Client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</row>
    <row r="64" ht="14.25" customHeight="1" s="83">
      <c r="A64" s="103" t="inlineStr">
        <is>
          <t>Dorm 1</t>
        </is>
      </c>
      <c r="B64" s="125">
        <f>DATE(YEAR(StartDate),MONTH(StartDate),1)</f>
        <v/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Mgmt'!$B:$B,C64,'Client DB &amp; Bed Mgmt'!$E:$E,"Occupied"),0)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Mgmt'!$M:$M,"&lt;="&amp;EOMONTH($B64,0),'Client DB &amp; Bed Mgmt'!$N:$N,"&gt;="&amp;DATE(YEAR($B64),MONTH($B64),1))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29">
        <f>IFERROR(J64*SUMPRODUCT(('Client DB &amp; Bed Mgmt'!$A$5:$A$428=A64)*('Client DB &amp; Bed Mgmt'!$B$5:$B$428=C64)*('Client DB &amp; Bed Mgmt'!$D$5:$D$428&lt;&gt;"")*--(('Client DB &amp; Bed Mgmt'!$M$5:$M$428="")+NOT(ISNUMBER('Client DB &amp; Bed Mgmt'!$M$5:$M$428))+IFERROR('Client DB &amp; Bed Mgmt'!$M$5:$M$428&lt;=EOMONTH(B64,0),FALSE)&gt;0)*--(('Client DB &amp; Bed Mgmt'!$N$5:$N$428="")+NOT(ISNUMBER('Client DB &amp; Bed Mgmt'!$N$5:$N$428))+IFERROR('Client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  <c r="V64" s="130">
        <f>IFERROR(T64*SUMPRODUCT(('Client DB &amp; Bed Mgmt'!$A$5:$A$428=K64)*('Client DB &amp; Bed Mgmt'!$B$5:$B$428=L64)*('Client DB &amp; Bed Mgmt'!$D$5:$D$428&lt;&gt;"")*--(('Client DB &amp; Bed Mgmt'!$M$5:$M$428="")+NOT(ISNUMBER('Client DB &amp; Bed Mgmt'!$M$5:$M$428))+IFERROR('Client DB &amp; Bed Mgmt'!$M$5:$M$428&lt;=EOMONTH(B64,0),FALSE)&gt;0)*--(('Client DB &amp; Bed Mgmt'!$N$5:$N$428="")+NOT(ISNUMBER('Client DB &amp; Bed Mgmt'!$N$5:$N$428))+IFERROR('Client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</row>
    <row r="65" ht="14.25" customHeight="1" s="83">
      <c r="A65" s="103" t="inlineStr">
        <is>
          <t>Dorm 1</t>
        </is>
      </c>
      <c r="B65" s="125">
        <f>DATE(YEAR(StartDate),MONTH(StartDate),1)</f>
        <v/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Mgmt'!$B:$B,C65,'Client DB &amp; Bed Mgmt'!$E:$E,"Occupied"),0)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Mgmt'!$M:$M,"&lt;="&amp;EOMONTH($B65,0),'Client DB &amp; Bed Mgmt'!$N:$N,"&gt;="&amp;DATE(YEAR($B65),MONTH($B65),1))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29">
        <f>IFERROR(J65*SUMPRODUCT(('Client DB &amp; Bed Mgmt'!$A$5:$A$428=A65)*('Client DB &amp; Bed Mgmt'!$B$5:$B$428=C65)*('Client DB &amp; Bed Mgmt'!$D$5:$D$428&lt;&gt;"")*--(('Client DB &amp; Bed Mgmt'!$M$5:$M$428="")+NOT(ISNUMBER('Client DB &amp; Bed Mgmt'!$M$5:$M$428))+IFERROR('Client DB &amp; Bed Mgmt'!$M$5:$M$428&lt;=EOMONTH(B65,0),FALSE)&gt;0)*--(('Client DB &amp; Bed Mgmt'!$N$5:$N$428="")+NOT(ISNUMBER('Client DB &amp; Bed Mgmt'!$N$5:$N$428))+IFERROR('Client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  <c r="V65" s="130">
        <f>IFERROR(T65*SUMPRODUCT(('Client DB &amp; Bed Mgmt'!$A$5:$A$428=K65)*('Client DB &amp; Bed Mgmt'!$B$5:$B$428=L65)*('Client DB &amp; Bed Mgmt'!$D$5:$D$428&lt;&gt;"")*--(('Client DB &amp; Bed Mgmt'!$M$5:$M$428="")+NOT(ISNUMBER('Client DB &amp; Bed Mgmt'!$M$5:$M$428))+IFERROR('Client DB &amp; Bed Mgmt'!$M$5:$M$428&lt;=EOMONTH(B65,0),FALSE)&gt;0)*--(('Client DB &amp; Bed Mgmt'!$N$5:$N$428="")+NOT(ISNUMBER('Client DB &amp; Bed Mgmt'!$N$5:$N$428))+IFERROR('Client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</row>
    <row r="66" ht="14.25" customHeight="1" s="83">
      <c r="A66" s="103" t="inlineStr">
        <is>
          <t>Dorm 1</t>
        </is>
      </c>
      <c r="B66" s="125">
        <f>DATE(YEAR(StartDate),MONTH(StartDate),1)</f>
        <v/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Mgmt'!$B:$B,C66,'Client DB &amp; Bed Mgmt'!$E:$E,"Occupied"),0)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Mgmt'!$M:$M,"&lt;="&amp;EOMONTH($B66,0),'Client DB &amp; Bed Mgmt'!$N:$N,"&gt;="&amp;DATE(YEAR($B66),MONTH($B66),1))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29">
        <f>IFERROR(J66*SUMPRODUCT(('Client DB &amp; Bed Mgmt'!$A$5:$A$428=A66)*('Client DB &amp; Bed Mgmt'!$B$5:$B$428=C66)*('Client DB &amp; Bed Mgmt'!$D$5:$D$428&lt;&gt;"")*--(('Client DB &amp; Bed Mgmt'!$M$5:$M$428="")+NOT(ISNUMBER('Client DB &amp; Bed Mgmt'!$M$5:$M$428))+IFERROR('Client DB &amp; Bed Mgmt'!$M$5:$M$428&lt;=EOMONTH(B66,0),FALSE)&gt;0)*--(('Client DB &amp; Bed Mgmt'!$N$5:$N$428="")+NOT(ISNUMBER('Client DB &amp; Bed Mgmt'!$N$5:$N$428))+IFERROR('Client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  <c r="V66" s="130">
        <f>IFERROR(T66*SUMPRODUCT(('Client DB &amp; Bed Mgmt'!$A$5:$A$428=K66)*('Client DB &amp; Bed Mgmt'!$B$5:$B$428=L66)*('Client DB &amp; Bed Mgmt'!$D$5:$D$428&lt;&gt;"")*--(('Client DB &amp; Bed Mgmt'!$M$5:$M$428="")+NOT(ISNUMBER('Client DB &amp; Bed Mgmt'!$M$5:$M$428))+IFERROR('Client DB &amp; Bed Mgmt'!$M$5:$M$428&lt;=EOMONTH(B66,0),FALSE)&gt;0)*--(('Client DB &amp; Bed Mgmt'!$N$5:$N$428="")+NOT(ISNUMBER('Client DB &amp; Bed Mgmt'!$N$5:$N$428))+IFERROR('Client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</row>
    <row r="67" ht="14.25" customHeight="1" s="83">
      <c r="A67" s="103" t="inlineStr">
        <is>
          <t>Dorm 1</t>
        </is>
      </c>
      <c r="B67" s="125">
        <f>DATE(YEAR(StartDate),MONTH(StartDate),1)</f>
        <v/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Mgmt'!$B:$B,C67,'Client DB &amp; Bed Mgmt'!$E:$E,"Occupied"),0)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Mgmt'!$M:$M,"&lt;="&amp;EOMONTH($B67,0),'Client DB &amp; Bed Mgmt'!$N:$N,"&gt;="&amp;DATE(YEAR($B67),MONTH($B67),1))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29">
        <f>IFERROR(J67*SUMPRODUCT(('Client DB &amp; Bed Mgmt'!$A$5:$A$428=A67)*('Client DB &amp; Bed Mgmt'!$B$5:$B$428=C67)*('Client DB &amp; Bed Mgmt'!$D$5:$D$428&lt;&gt;"")*--(('Client DB &amp; Bed Mgmt'!$M$5:$M$428="")+NOT(ISNUMBER('Client DB &amp; Bed Mgmt'!$M$5:$M$428))+IFERROR('Client DB &amp; Bed Mgmt'!$M$5:$M$428&lt;=EOMONTH(B67,0),FALSE)&gt;0)*--(('Client DB &amp; Bed Mgmt'!$N$5:$N$428="")+NOT(ISNUMBER('Client DB &amp; Bed Mgmt'!$N$5:$N$428))+IFERROR('Client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  <c r="V67" s="130">
        <f>IFERROR(T67*SUMPRODUCT(('Client DB &amp; Bed Mgmt'!$A$5:$A$428=K67)*('Client DB &amp; Bed Mgmt'!$B$5:$B$428=L67)*('Client DB &amp; Bed Mgmt'!$D$5:$D$428&lt;&gt;"")*--(('Client DB &amp; Bed Mgmt'!$M$5:$M$428="")+NOT(ISNUMBER('Client DB &amp; Bed Mgmt'!$M$5:$M$428))+IFERROR('Client DB &amp; Bed Mgmt'!$M$5:$M$428&lt;=EOMONTH(B67,0),FALSE)&gt;0)*--(('Client DB &amp; Bed Mgmt'!$N$5:$N$428="")+NOT(ISNUMBER('Client DB &amp; Bed Mgmt'!$N$5:$N$428))+IFERROR('Client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</row>
    <row r="68" ht="14.25" customHeight="1" s="83">
      <c r="A68" s="103" t="inlineStr">
        <is>
          <t>Dorm 1</t>
        </is>
      </c>
      <c r="B68" s="125">
        <f>DATE(YEAR(StartDate),MONTH(StartDate),1)</f>
        <v/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Mgmt'!$B:$B,C68,'Client DB &amp; Bed Mgmt'!$E:$E,"Occupied"),0)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Mgmt'!$M:$M,"&lt;="&amp;EOMONTH($B68,0),'Client DB &amp; Bed Mgmt'!$N:$N,"&gt;="&amp;DATE(YEAR($B68),MONTH($B68),1))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29">
        <f>IFERROR(J68*SUMPRODUCT(('Client DB &amp; Bed Mgmt'!$A$5:$A$428=A68)*('Client DB &amp; Bed Mgmt'!$B$5:$B$428=C68)*('Client DB &amp; Bed Mgmt'!$D$5:$D$428&lt;&gt;"")*--(('Client DB &amp; Bed Mgmt'!$M$5:$M$428="")+NOT(ISNUMBER('Client DB &amp; Bed Mgmt'!$M$5:$M$428))+IFERROR('Client DB &amp; Bed Mgmt'!$M$5:$M$428&lt;=EOMONTH(B68,0),FALSE)&gt;0)*--(('Client DB &amp; Bed Mgmt'!$N$5:$N$428="")+NOT(ISNUMBER('Client DB &amp; Bed Mgmt'!$N$5:$N$428))+IFERROR('Client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  <c r="V68" s="130">
        <f>IFERROR(T68*SUMPRODUCT(('Client DB &amp; Bed Mgmt'!$A$5:$A$428=K68)*('Client DB &amp; Bed Mgmt'!$B$5:$B$428=L68)*('Client DB &amp; Bed Mgmt'!$D$5:$D$428&lt;&gt;"")*--(('Client DB &amp; Bed Mgmt'!$M$5:$M$428="")+NOT(ISNUMBER('Client DB &amp; Bed Mgmt'!$M$5:$M$428))+IFERROR('Client DB &amp; Bed Mgmt'!$M$5:$M$428&lt;=EOMONTH(B68,0),FALSE)&gt;0)*--(('Client DB &amp; Bed Mgmt'!$N$5:$N$428="")+NOT(ISNUMBER('Client DB &amp; Bed Mgmt'!$N$5:$N$428))+IFERROR('Client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</row>
    <row r="69" ht="14.25" customHeight="1" s="83">
      <c r="A69" s="103" t="inlineStr">
        <is>
          <t>Dorm 1</t>
        </is>
      </c>
      <c r="B69" s="125">
        <f>DATE(YEAR(StartDate),MONTH(StartDate),1)</f>
        <v/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Mgmt'!$B:$B,C69,'Client DB &amp; Bed Mgmt'!$E:$E,"Occupied"),0)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Mgmt'!$M:$M,"&lt;="&amp;EOMONTH($B69,0),'Client DB &amp; Bed Mgmt'!$N:$N,"&gt;="&amp;DATE(YEAR($B69),MONTH($B69),1))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29">
        <f>IFERROR(J69*SUMPRODUCT(('Client DB &amp; Bed Mgmt'!$A$5:$A$428=A69)*('Client DB &amp; Bed Mgmt'!$B$5:$B$428=C69)*('Client DB &amp; Bed Mgmt'!$D$5:$D$428&lt;&gt;"")*--(('Client DB &amp; Bed Mgmt'!$M$5:$M$428="")+NOT(ISNUMBER('Client DB &amp; Bed Mgmt'!$M$5:$M$428))+IFERROR('Client DB &amp; Bed Mgmt'!$M$5:$M$428&lt;=EOMONTH(B69,0),FALSE)&gt;0)*--(('Client DB &amp; Bed Mgmt'!$N$5:$N$428="")+NOT(ISNUMBER('Client DB &amp; Bed Mgmt'!$N$5:$N$428))+IFERROR('Client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  <c r="V69" s="130">
        <f>IFERROR(T69*SUMPRODUCT(('Client DB &amp; Bed Mgmt'!$A$5:$A$428=K69)*('Client DB &amp; Bed Mgmt'!$B$5:$B$428=L69)*('Client DB &amp; Bed Mgmt'!$D$5:$D$428&lt;&gt;"")*--(('Client DB &amp; Bed Mgmt'!$M$5:$M$428="")+NOT(ISNUMBER('Client DB &amp; Bed Mgmt'!$M$5:$M$428))+IFERROR('Client DB &amp; Bed Mgmt'!$M$5:$M$428&lt;=EOMONTH(B69,0),FALSE)&gt;0)*--(('Client DB &amp; Bed Mgmt'!$N$5:$N$428="")+NOT(ISNUMBER('Client DB &amp; Bed Mgmt'!$N$5:$N$428))+IFERROR('Client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</row>
    <row r="70" ht="14.25" customHeight="1" s="83">
      <c r="A70" s="103" t="inlineStr">
        <is>
          <t>Dorm 1</t>
        </is>
      </c>
      <c r="B70" s="125">
        <f>DATE(YEAR(StartDate),MONTH(StartDate),1)</f>
        <v/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Mgmt'!$B:$B,C70,'Client DB &amp; Bed Mgmt'!$E:$E,"Occupied"),0)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Mgmt'!$M:$M,"&lt;="&amp;EOMONTH($B70,0),'Client DB &amp; Bed Mgmt'!$N:$N,"&gt;="&amp;DATE(YEAR($B70),MONTH($B70),1))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29">
        <f>IFERROR(J70*SUMPRODUCT(('Client DB &amp; Bed Mgmt'!$A$5:$A$428=A70)*('Client DB &amp; Bed Mgmt'!$B$5:$B$428=C70)*('Client DB &amp; Bed Mgmt'!$D$5:$D$428&lt;&gt;"")*--(('Client DB &amp; Bed Mgmt'!$M$5:$M$428="")+NOT(ISNUMBER('Client DB &amp; Bed Mgmt'!$M$5:$M$428))+IFERROR('Client DB &amp; Bed Mgmt'!$M$5:$M$428&lt;=EOMONTH(B70,0),FALSE)&gt;0)*--(('Client DB &amp; Bed Mgmt'!$N$5:$N$428="")+NOT(ISNUMBER('Client DB &amp; Bed Mgmt'!$N$5:$N$428))+IFERROR('Client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  <c r="V70" s="130">
        <f>IFERROR(T70*SUMPRODUCT(('Client DB &amp; Bed Mgmt'!$A$5:$A$428=K70)*('Client DB &amp; Bed Mgmt'!$B$5:$B$428=L70)*('Client DB &amp; Bed Mgmt'!$D$5:$D$428&lt;&gt;"")*--(('Client DB &amp; Bed Mgmt'!$M$5:$M$428="")+NOT(ISNUMBER('Client DB &amp; Bed Mgmt'!$M$5:$M$428))+IFERROR('Client DB &amp; Bed Mgmt'!$M$5:$M$428&lt;=EOMONTH(B70,0),FALSE)&gt;0)*--(('Client DB &amp; Bed Mgmt'!$N$5:$N$428="")+NOT(ISNUMBER('Client DB &amp; Bed Mgmt'!$N$5:$N$428))+IFERROR('Client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</row>
    <row r="71" ht="14.25" customHeight="1" s="83">
      <c r="A71" s="103" t="inlineStr">
        <is>
          <t>Dorm 1</t>
        </is>
      </c>
      <c r="B71" s="125">
        <f>DATE(YEAR(StartDate),MONTH(StartDate),1)</f>
        <v/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Mgmt'!$B:$B,C71,'Client DB &amp; Bed Mgmt'!$E:$E,"Occupied"),0)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Mgmt'!$M:$M,"&lt;="&amp;EOMONTH($B71,0),'Client DB &amp; Bed Mgmt'!$N:$N,"&gt;="&amp;DATE(YEAR($B71),MONTH($B71),1))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29">
        <f>IFERROR(J71*SUMPRODUCT(('Client DB &amp; Bed Mgmt'!$A$5:$A$428=A71)*('Client DB &amp; Bed Mgmt'!$B$5:$B$428=C71)*('Client DB &amp; Bed Mgmt'!$D$5:$D$428&lt;&gt;"")*--(('Client DB &amp; Bed Mgmt'!$M$5:$M$428="")+NOT(ISNUMBER('Client DB &amp; Bed Mgmt'!$M$5:$M$428))+IFERROR('Client DB &amp; Bed Mgmt'!$M$5:$M$428&lt;=EOMONTH(B71,0),FALSE)&gt;0)*--(('Client DB &amp; Bed Mgmt'!$N$5:$N$428="")+NOT(ISNUMBER('Client DB &amp; Bed Mgmt'!$N$5:$N$428))+IFERROR('Client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  <c r="V71" s="130">
        <f>IFERROR(T71*SUMPRODUCT(('Client DB &amp; Bed Mgmt'!$A$5:$A$428=K71)*('Client DB &amp; Bed Mgmt'!$B$5:$B$428=L71)*('Client DB &amp; Bed Mgmt'!$D$5:$D$428&lt;&gt;"")*--(('Client DB &amp; Bed Mgmt'!$M$5:$M$428="")+NOT(ISNUMBER('Client DB &amp; Bed Mgmt'!$M$5:$M$428))+IFERROR('Client DB &amp; Bed Mgmt'!$M$5:$M$428&lt;=EOMONTH(B71,0),FALSE)&gt;0)*--(('Client DB &amp; Bed Mgmt'!$N$5:$N$428="")+NOT(ISNUMBER('Client DB &amp; Bed Mgmt'!$N$5:$N$428))+IFERROR('Client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</row>
    <row r="72" ht="14.25" customHeight="1" s="83">
      <c r="A72" s="103" t="inlineStr">
        <is>
          <t>Dorm 1</t>
        </is>
      </c>
      <c r="B72" s="125">
        <f>DATE(YEAR(StartDate),MONTH(StartDate),1)</f>
        <v/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Mgmt'!$B:$B,C72,'Client DB &amp; Bed Mgmt'!$E:$E,"Occupied"),0)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Mgmt'!$M:$M,"&lt;="&amp;EOMONTH($B72,0),'Client DB &amp; Bed Mgmt'!$N:$N,"&gt;="&amp;DATE(YEAR($B72),MONTH($B72),1))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29">
        <f>IFERROR(J72*SUMPRODUCT(('Client DB &amp; Bed Mgmt'!$A$5:$A$428=A72)*('Client DB &amp; Bed Mgmt'!$B$5:$B$428=C72)*('Client DB &amp; Bed Mgmt'!$D$5:$D$428&lt;&gt;"")*--(('Client DB &amp; Bed Mgmt'!$M$5:$M$428="")+NOT(ISNUMBER('Client DB &amp; Bed Mgmt'!$M$5:$M$428))+IFERROR('Client DB &amp; Bed Mgmt'!$M$5:$M$428&lt;=EOMONTH(B72,0),FALSE)&gt;0)*--(('Client DB &amp; Bed Mgmt'!$N$5:$N$428="")+NOT(ISNUMBER('Client DB &amp; Bed Mgmt'!$N$5:$N$428))+IFERROR('Client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  <c r="V72" s="130">
        <f>IFERROR(T72*SUMPRODUCT(('Client DB &amp; Bed Mgmt'!$A$5:$A$428=K72)*('Client DB &amp; Bed Mgmt'!$B$5:$B$428=L72)*('Client DB &amp; Bed Mgmt'!$D$5:$D$428&lt;&gt;"")*--(('Client DB &amp; Bed Mgmt'!$M$5:$M$428="")+NOT(ISNUMBER('Client DB &amp; Bed Mgmt'!$M$5:$M$428))+IFERROR('Client DB &amp; Bed Mgmt'!$M$5:$M$428&lt;=EOMONTH(B72,0),FALSE)&gt;0)*--(('Client DB &amp; Bed Mgmt'!$N$5:$N$428="")+NOT(ISNUMBER('Client DB &amp; Bed Mgmt'!$N$5:$N$428))+IFERROR('Client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</row>
    <row r="73" ht="14.25" customHeight="1" s="83">
      <c r="A73" s="103" t="inlineStr">
        <is>
          <t>Dorm 1</t>
        </is>
      </c>
      <c r="B73" s="125">
        <f>DATE(YEAR(StartDate),MONTH(StartDate),1)</f>
        <v/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Mgmt'!$B:$B,C73,'Client DB &amp; Bed Mgmt'!$E:$E,"Occupied"),0)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Mgmt'!$M:$M,"&lt;="&amp;EOMONTH($B73,0),'Client DB &amp; Bed Mgmt'!$N:$N,"&gt;="&amp;DATE(YEAR($B73),MONTH($B73),1))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29">
        <f>IFERROR(J73*SUMPRODUCT(('Client DB &amp; Bed Mgmt'!$A$5:$A$428=A73)*('Client DB &amp; Bed Mgmt'!$B$5:$B$428=C73)*('Client DB &amp; Bed Mgmt'!$D$5:$D$428&lt;&gt;"")*--(('Client DB &amp; Bed Mgmt'!$M$5:$M$428="")+NOT(ISNUMBER('Client DB &amp; Bed Mgmt'!$M$5:$M$428))+IFERROR('Client DB &amp; Bed Mgmt'!$M$5:$M$428&lt;=EOMONTH(B73,0),FALSE)&gt;0)*--(('Client DB &amp; Bed Mgmt'!$N$5:$N$428="")+NOT(ISNUMBER('Client DB &amp; Bed Mgmt'!$N$5:$N$428))+IFERROR('Client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  <c r="V73" s="130">
        <f>IFERROR(T73*SUMPRODUCT(('Client DB &amp; Bed Mgmt'!$A$5:$A$428=K73)*('Client DB &amp; Bed Mgmt'!$B$5:$B$428=L73)*('Client DB &amp; Bed Mgmt'!$D$5:$D$428&lt;&gt;"")*--(('Client DB &amp; Bed Mgmt'!$M$5:$M$428="")+NOT(ISNUMBER('Client DB &amp; Bed Mgmt'!$M$5:$M$428))+IFERROR('Client DB &amp; Bed Mgmt'!$M$5:$M$428&lt;=EOMONTH(B73,0),FALSE)&gt;0)*--(('Client DB &amp; Bed Mgmt'!$N$5:$N$428="")+NOT(ISNUMBER('Client DB &amp; Bed Mgmt'!$N$5:$N$428))+IFERROR('Client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</row>
    <row r="74" ht="14.25" customHeight="1" s="83">
      <c r="A74" s="103" t="inlineStr">
        <is>
          <t>Dorm 1</t>
        </is>
      </c>
      <c r="B74" s="125">
        <f>DATE(YEAR(StartDate),MONTH(StartDate),1)</f>
        <v/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Mgmt'!$B:$B,C74,'Client DB &amp; Bed Mgmt'!$E:$E,"Occupied"),0)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Mgmt'!$M:$M,"&lt;="&amp;EOMONTH($B74,0),'Client DB &amp; Bed Mgmt'!$N:$N,"&gt;="&amp;DATE(YEAR($B74),MONTH($B74),1))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29">
        <f>IFERROR(J74*SUMPRODUCT(('Client DB &amp; Bed Mgmt'!$A$5:$A$428=A74)*('Client DB &amp; Bed Mgmt'!$B$5:$B$428=C74)*('Client DB &amp; Bed Mgmt'!$D$5:$D$428&lt;&gt;"")*--(('Client DB &amp; Bed Mgmt'!$M$5:$M$428="")+NOT(ISNUMBER('Client DB &amp; Bed Mgmt'!$M$5:$M$428))+IFERROR('Client DB &amp; Bed Mgmt'!$M$5:$M$428&lt;=EOMONTH(B74,0),FALSE)&gt;0)*--(('Client DB &amp; Bed Mgmt'!$N$5:$N$428="")+NOT(ISNUMBER('Client DB &amp; Bed Mgmt'!$N$5:$N$428))+IFERROR('Client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  <c r="V74" s="130">
        <f>IFERROR(T74*SUMPRODUCT(('Client DB &amp; Bed Mgmt'!$A$5:$A$428=K74)*('Client DB &amp; Bed Mgmt'!$B$5:$B$428=L74)*('Client DB &amp; Bed Mgmt'!$D$5:$D$428&lt;&gt;"")*--(('Client DB &amp; Bed Mgmt'!$M$5:$M$428="")+NOT(ISNUMBER('Client DB &amp; Bed Mgmt'!$M$5:$M$428))+IFERROR('Client DB &amp; Bed Mgmt'!$M$5:$M$428&lt;=EOMONTH(B74,0),FALSE)&gt;0)*--(('Client DB &amp; Bed Mgmt'!$N$5:$N$428="")+NOT(ISNUMBER('Client DB &amp; Bed Mgmt'!$N$5:$N$428))+IFERROR('Client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</row>
    <row r="75" ht="14.25" customHeight="1" s="83">
      <c r="A75" s="103" t="inlineStr">
        <is>
          <t>Dorm 1</t>
        </is>
      </c>
      <c r="B75" s="125">
        <f>DATE(YEAR(StartDate),MONTH(StartDate),1)</f>
        <v/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Mgmt'!$B:$B,C75,'Client DB &amp; Bed Mgmt'!$E:$E,"Occupied"),0)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Mgmt'!$M:$M,"&lt;="&amp;EOMONTH($B75,0),'Client DB &amp; Bed Mgmt'!$N:$N,"&gt;="&amp;DATE(YEAR($B75),MONTH($B75),1))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29">
        <f>IFERROR(J75*SUMPRODUCT(('Client DB &amp; Bed Mgmt'!$A$5:$A$428=A75)*('Client DB &amp; Bed Mgmt'!$B$5:$B$428=C75)*('Client DB &amp; Bed Mgmt'!$D$5:$D$428&lt;&gt;"")*--(('Client DB &amp; Bed Mgmt'!$M$5:$M$428="")+NOT(ISNUMBER('Client DB &amp; Bed Mgmt'!$M$5:$M$428))+IFERROR('Client DB &amp; Bed Mgmt'!$M$5:$M$428&lt;=EOMONTH(B75,0),FALSE)&gt;0)*--(('Client DB &amp; Bed Mgmt'!$N$5:$N$428="")+NOT(ISNUMBER('Client DB &amp; Bed Mgmt'!$N$5:$N$428))+IFERROR('Client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  <c r="V75" s="130">
        <f>IFERROR(T75*SUMPRODUCT(('Client DB &amp; Bed Mgmt'!$A$5:$A$428=K75)*('Client DB &amp; Bed Mgmt'!$B$5:$B$428=L75)*('Client DB &amp; Bed Mgmt'!$D$5:$D$428&lt;&gt;"")*--(('Client DB &amp; Bed Mgmt'!$M$5:$M$428="")+NOT(ISNUMBER('Client DB &amp; Bed Mgmt'!$M$5:$M$428))+IFERROR('Client DB &amp; Bed Mgmt'!$M$5:$M$428&lt;=EOMONTH(B75,0),FALSE)&gt;0)*--(('Client DB &amp; Bed Mgmt'!$N$5:$N$428="")+NOT(ISNUMBER('Client DB &amp; Bed Mgmt'!$N$5:$N$428))+IFERROR('Client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</row>
    <row r="76" ht="14.25" customHeight="1" s="83">
      <c r="A76" s="103" t="inlineStr">
        <is>
          <t>Dorm 1</t>
        </is>
      </c>
      <c r="B76" s="125">
        <f>DATE(YEAR(StartDate),MONTH(StartDate),1)</f>
        <v/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Mgmt'!$B:$B,C76,'Client DB &amp; Bed Mgmt'!$E:$E,"Occupied"),0)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Mgmt'!$M:$M,"&lt;="&amp;EOMONTH($B76,0),'Client DB &amp; Bed Mgmt'!$N:$N,"&gt;="&amp;DATE(YEAR($B76),MONTH($B76),1))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29">
        <f>IFERROR(J76*SUMPRODUCT(('Client DB &amp; Bed Mgmt'!$A$5:$A$428=A76)*('Client DB &amp; Bed Mgmt'!$B$5:$B$428=C76)*('Client DB &amp; Bed Mgmt'!$D$5:$D$428&lt;&gt;"")*--(('Client DB &amp; Bed Mgmt'!$M$5:$M$428="")+NOT(ISNUMBER('Client DB &amp; Bed Mgmt'!$M$5:$M$428))+IFERROR('Client DB &amp; Bed Mgmt'!$M$5:$M$428&lt;=EOMONTH(B76,0),FALSE)&gt;0)*--(('Client DB &amp; Bed Mgmt'!$N$5:$N$428="")+NOT(ISNUMBER('Client DB &amp; Bed Mgmt'!$N$5:$N$428))+IFERROR('Client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  <c r="V76" s="130">
        <f>IFERROR(T76*SUMPRODUCT(('Client DB &amp; Bed Mgmt'!$A$5:$A$428=K76)*('Client DB &amp; Bed Mgmt'!$B$5:$B$428=L76)*('Client DB &amp; Bed Mgmt'!$D$5:$D$428&lt;&gt;"")*--(('Client DB &amp; Bed Mgmt'!$M$5:$M$428="")+NOT(ISNUMBER('Client DB &amp; Bed Mgmt'!$M$5:$M$428))+IFERROR('Client DB &amp; Bed Mgmt'!$M$5:$M$428&lt;=EOMONTH(B76,0),FALSE)&gt;0)*--(('Client DB &amp; Bed Mgmt'!$N$5:$N$428="")+NOT(ISNUMBER('Client DB &amp; Bed Mgmt'!$N$5:$N$428))+IFERROR('Client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</row>
    <row r="77" ht="14.25" customHeight="1" s="83">
      <c r="A77" s="103" t="inlineStr">
        <is>
          <t>Dorm 1</t>
        </is>
      </c>
      <c r="B77" s="125">
        <f>DATE(YEAR(StartDate),MONTH(StartDate),1)</f>
        <v/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Mgmt'!$B:$B,C77,'Client DB &amp; Bed Mgmt'!$E:$E,"Occupied"),0)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Mgmt'!$M:$M,"&lt;="&amp;EOMONTH($B77,0),'Client DB &amp; Bed Mgmt'!$N:$N,"&gt;="&amp;DATE(YEAR($B77),MONTH($B77),1))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29">
        <f>IFERROR(J77*SUMPRODUCT(('Client DB &amp; Bed Mgmt'!$A$5:$A$428=A77)*('Client DB &amp; Bed Mgmt'!$B$5:$B$428=C77)*('Client DB &amp; Bed Mgmt'!$D$5:$D$428&lt;&gt;"")*--(('Client DB &amp; Bed Mgmt'!$M$5:$M$428="")+NOT(ISNUMBER('Client DB &amp; Bed Mgmt'!$M$5:$M$428))+IFERROR('Client DB &amp; Bed Mgmt'!$M$5:$M$428&lt;=EOMONTH(B77,0),FALSE)&gt;0)*--(('Client DB &amp; Bed Mgmt'!$N$5:$N$428="")+NOT(ISNUMBER('Client DB &amp; Bed Mgmt'!$N$5:$N$428))+IFERROR('Client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  <c r="V77" s="130">
        <f>IFERROR(T77*SUMPRODUCT(('Client DB &amp; Bed Mgmt'!$A$5:$A$428=K77)*('Client DB &amp; Bed Mgmt'!$B$5:$B$428=L77)*('Client DB &amp; Bed Mgmt'!$D$5:$D$428&lt;&gt;"")*--(('Client DB &amp; Bed Mgmt'!$M$5:$M$428="")+NOT(ISNUMBER('Client DB &amp; Bed Mgmt'!$M$5:$M$428))+IFERROR('Client DB &amp; Bed Mgmt'!$M$5:$M$428&lt;=EOMONTH(B77,0),FALSE)&gt;0)*--(('Client DB &amp; Bed Mgmt'!$N$5:$N$428="")+NOT(ISNUMBER('Client DB &amp; Bed Mgmt'!$N$5:$N$428))+IFERROR('Client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</row>
    <row r="78" hidden="1" ht="14.25" customHeight="1" s="83">
      <c r="A78" s="103" t="inlineStr">
        <is>
          <t>Dorm 2</t>
        </is>
      </c>
      <c r="B78" s="125">
        <f>DATE(YEAR(StartDate),MONTH(StartDate),1)</f>
        <v/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Mgmt'!$B:$B,C78,'Client DB &amp; Bed Mgmt'!$E:$E,"Occupied"),0)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Mgmt'!$M:$M,"&lt;="&amp;EOMONTH($B78,0),'Client DB &amp; Bed Mgmt'!$N:$N,"&gt;="&amp;DATE(YEAR($B78),MONTH($B78),1))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29">
        <f>IFERROR(J78*SUMPRODUCT(('Client DB &amp; Bed Mgmt'!$A$5:$A$428=A78)*('Client DB &amp; Bed Mgmt'!$B$5:$B$428=C78)*('Client DB &amp; Bed Mgmt'!$D$5:$D$428&lt;&gt;"")*--(('Client DB &amp; Bed Mgmt'!$M$5:$M$428="")+NOT(ISNUMBER('Client DB &amp; Bed Mgmt'!$M$5:$M$428))+IFERROR('Client DB &amp; Bed Mgmt'!$M$5:$M$428&lt;=EOMONTH(B78,0),FALSE)&gt;0)*--(('Client DB &amp; Bed Mgmt'!$N$5:$N$428="")+NOT(ISNUMBER('Client DB &amp; Bed Mgmt'!$N$5:$N$428))+IFERROR('Client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  <c r="V78" s="130">
        <f>IFERROR(T78*SUMPRODUCT(('Client DB &amp; Bed Mgmt'!$A$5:$A$428=K78)*('Client DB &amp; Bed Mgmt'!$B$5:$B$428=L78)*('Client DB &amp; Bed Mgmt'!$D$5:$D$428&lt;&gt;"")*--(('Client DB &amp; Bed Mgmt'!$M$5:$M$428="")+NOT(ISNUMBER('Client DB &amp; Bed Mgmt'!$M$5:$M$428))+IFERROR('Client DB &amp; Bed Mgmt'!$M$5:$M$428&lt;=EOMONTH(B78,0),FALSE)&gt;0)*--(('Client DB &amp; Bed Mgmt'!$N$5:$N$428="")+NOT(ISNUMBER('Client DB &amp; Bed Mgmt'!$N$5:$N$428))+IFERROR('Client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</row>
    <row r="79" hidden="1" ht="14.25" customHeight="1" s="83">
      <c r="A79" s="103" t="inlineStr">
        <is>
          <t>Dorm 2</t>
        </is>
      </c>
      <c r="B79" s="125">
        <f>DATE(YEAR(StartDate),MONTH(StartDate),1)</f>
        <v/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Mgmt'!$B:$B,C79,'Client DB &amp; Bed Mgmt'!$E:$E,"Occupied"),0)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Mgmt'!$M:$M,"&lt;="&amp;EOMONTH($B79,0),'Client DB &amp; Bed Mgmt'!$N:$N,"&gt;="&amp;DATE(YEAR($B79),MONTH($B79),1))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29">
        <f>IFERROR(J79*SUMPRODUCT(('Client DB &amp; Bed Mgmt'!$A$5:$A$428=A79)*('Client DB &amp; Bed Mgmt'!$B$5:$B$428=C79)*('Client DB &amp; Bed Mgmt'!$D$5:$D$428&lt;&gt;"")*--(('Client DB &amp; Bed Mgmt'!$M$5:$M$428="")+NOT(ISNUMBER('Client DB &amp; Bed Mgmt'!$M$5:$M$428))+IFERROR('Client DB &amp; Bed Mgmt'!$M$5:$M$428&lt;=EOMONTH(B79,0),FALSE)&gt;0)*--(('Client DB &amp; Bed Mgmt'!$N$5:$N$428="")+NOT(ISNUMBER('Client DB &amp; Bed Mgmt'!$N$5:$N$428))+IFERROR('Client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  <c r="V79" s="130">
        <f>IFERROR(T79*SUMPRODUCT(('Client DB &amp; Bed Mgmt'!$A$5:$A$428=K79)*('Client DB &amp; Bed Mgmt'!$B$5:$B$428=L79)*('Client DB &amp; Bed Mgmt'!$D$5:$D$428&lt;&gt;"")*--(('Client DB &amp; Bed Mgmt'!$M$5:$M$428="")+NOT(ISNUMBER('Client DB &amp; Bed Mgmt'!$M$5:$M$428))+IFERROR('Client DB &amp; Bed Mgmt'!$M$5:$M$428&lt;=EOMONTH(B79,0),FALSE)&gt;0)*--(('Client DB &amp; Bed Mgmt'!$N$5:$N$428="")+NOT(ISNUMBER('Client DB &amp; Bed Mgmt'!$N$5:$N$428))+IFERROR('Client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</row>
    <row r="80" hidden="1" ht="14.25" customHeight="1" s="83">
      <c r="A80" s="103" t="inlineStr">
        <is>
          <t>Dorm 2</t>
        </is>
      </c>
      <c r="B80" s="125">
        <f>DATE(YEAR(StartDate),MONTH(StartDate),1)</f>
        <v/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Mgmt'!$B:$B,C80,'Client DB &amp; Bed Mgmt'!$E:$E,"Occupied"),0)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Mgmt'!$M:$M,"&lt;="&amp;EOMONTH($B80,0),'Client DB &amp; Bed Mgmt'!$N:$N,"&gt;="&amp;DATE(YEAR($B80),MONTH($B80),1))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29">
        <f>IFERROR(J80*SUMPRODUCT(('Client DB &amp; Bed Mgmt'!$A$5:$A$428=A80)*('Client DB &amp; Bed Mgmt'!$B$5:$B$428=C80)*('Client DB &amp; Bed Mgmt'!$D$5:$D$428&lt;&gt;"")*--(('Client DB &amp; Bed Mgmt'!$M$5:$M$428="")+NOT(ISNUMBER('Client DB &amp; Bed Mgmt'!$M$5:$M$428))+IFERROR('Client DB &amp; Bed Mgmt'!$M$5:$M$428&lt;=EOMONTH(B80,0),FALSE)&gt;0)*--(('Client DB &amp; Bed Mgmt'!$N$5:$N$428="")+NOT(ISNUMBER('Client DB &amp; Bed Mgmt'!$N$5:$N$428))+IFERROR('Client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  <c r="V80" s="130">
        <f>IFERROR(T80*SUMPRODUCT(('Client DB &amp; Bed Mgmt'!$A$5:$A$428=K80)*('Client DB &amp; Bed Mgmt'!$B$5:$B$428=L80)*('Client DB &amp; Bed Mgmt'!$D$5:$D$428&lt;&gt;"")*--(('Client DB &amp; Bed Mgmt'!$M$5:$M$428="")+NOT(ISNUMBER('Client DB &amp; Bed Mgmt'!$M$5:$M$428))+IFERROR('Client DB &amp; Bed Mgmt'!$M$5:$M$428&lt;=EOMONTH(B80,0),FALSE)&gt;0)*--(('Client DB &amp; Bed Mgmt'!$N$5:$N$428="")+NOT(ISNUMBER('Client DB &amp; Bed Mgmt'!$N$5:$N$428))+IFERROR('Client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</row>
    <row r="81" hidden="1" ht="14.25" customHeight="1" s="83">
      <c r="A81" s="103" t="inlineStr">
        <is>
          <t>Dorm 2</t>
        </is>
      </c>
      <c r="B81" s="125">
        <f>DATE(YEAR(StartDate),MONTH(StartDate),1)</f>
        <v/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Mgmt'!$B:$B,C81,'Client DB &amp; Bed Mgmt'!$E:$E,"Occupied"),0)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Mgmt'!$M:$M,"&lt;="&amp;EOMONTH($B81,0),'Client DB &amp; Bed Mgmt'!$N:$N,"&gt;="&amp;DATE(YEAR($B81),MONTH($B81),1))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29">
        <f>IFERROR(J81*SUMPRODUCT(('Client DB &amp; Bed Mgmt'!$A$5:$A$428=A81)*('Client DB &amp; Bed Mgmt'!$B$5:$B$428=C81)*('Client DB &amp; Bed Mgmt'!$D$5:$D$428&lt;&gt;"")*--(('Client DB &amp; Bed Mgmt'!$M$5:$M$428="")+NOT(ISNUMBER('Client DB &amp; Bed Mgmt'!$M$5:$M$428))+IFERROR('Client DB &amp; Bed Mgmt'!$M$5:$M$428&lt;=EOMONTH(B81,0),FALSE)&gt;0)*--(('Client DB &amp; Bed Mgmt'!$N$5:$N$428="")+NOT(ISNUMBER('Client DB &amp; Bed Mgmt'!$N$5:$N$428))+IFERROR('Client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  <c r="V81" s="130">
        <f>IFERROR(T81*SUMPRODUCT(('Client DB &amp; Bed Mgmt'!$A$5:$A$428=K81)*('Client DB &amp; Bed Mgmt'!$B$5:$B$428=L81)*('Client DB &amp; Bed Mgmt'!$D$5:$D$428&lt;&gt;"")*--(('Client DB &amp; Bed Mgmt'!$M$5:$M$428="")+NOT(ISNUMBER('Client DB &amp; Bed Mgmt'!$M$5:$M$428))+IFERROR('Client DB &amp; Bed Mgmt'!$M$5:$M$428&lt;=EOMONTH(B81,0),FALSE)&gt;0)*--(('Client DB &amp; Bed Mgmt'!$N$5:$N$428="")+NOT(ISNUMBER('Client DB &amp; Bed Mgmt'!$N$5:$N$428))+IFERROR('Client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</row>
    <row r="82" hidden="1" ht="14.25" customHeight="1" s="83">
      <c r="A82" s="103" t="inlineStr">
        <is>
          <t>Dorm 2</t>
        </is>
      </c>
      <c r="B82" s="125">
        <f>DATE(YEAR(StartDate),MONTH(StartDate),1)</f>
        <v/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Mgmt'!$B:$B,C82,'Client DB &amp; Bed Mgmt'!$E:$E,"Occupied"),0)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Mgmt'!$M:$M,"&lt;="&amp;EOMONTH($B82,0),'Client DB &amp; Bed Mgmt'!$N:$N,"&gt;="&amp;DATE(YEAR($B82),MONTH($B82),1))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29">
        <f>IFERROR(J82*SUMPRODUCT(('Client DB &amp; Bed Mgmt'!$A$5:$A$428=A82)*('Client DB &amp; Bed Mgmt'!$B$5:$B$428=C82)*('Client DB &amp; Bed Mgmt'!$D$5:$D$428&lt;&gt;"")*--(('Client DB &amp; Bed Mgmt'!$M$5:$M$428="")+NOT(ISNUMBER('Client DB &amp; Bed Mgmt'!$M$5:$M$428))+IFERROR('Client DB &amp; Bed Mgmt'!$M$5:$M$428&lt;=EOMONTH(B82,0),FALSE)&gt;0)*--(('Client DB &amp; Bed Mgmt'!$N$5:$N$428="")+NOT(ISNUMBER('Client DB &amp; Bed Mgmt'!$N$5:$N$428))+IFERROR('Client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  <c r="V82" s="130">
        <f>IFERROR(T82*SUMPRODUCT(('Client DB &amp; Bed Mgmt'!$A$5:$A$428=K82)*('Client DB &amp; Bed Mgmt'!$B$5:$B$428=L82)*('Client DB &amp; Bed Mgmt'!$D$5:$D$428&lt;&gt;"")*--(('Client DB &amp; Bed Mgmt'!$M$5:$M$428="")+NOT(ISNUMBER('Client DB &amp; Bed Mgmt'!$M$5:$M$428))+IFERROR('Client DB &amp; Bed Mgmt'!$M$5:$M$428&lt;=EOMONTH(B82,0),FALSE)&gt;0)*--(('Client DB &amp; Bed Mgmt'!$N$5:$N$428="")+NOT(ISNUMBER('Client DB &amp; Bed Mgmt'!$N$5:$N$428))+IFERROR('Client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</row>
    <row r="83" hidden="1" ht="14.25" customHeight="1" s="83">
      <c r="A83" s="103" t="inlineStr">
        <is>
          <t>Dorm 2</t>
        </is>
      </c>
      <c r="B83" s="125">
        <f>DATE(YEAR(StartDate),MONTH(StartDate),1)</f>
        <v/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Mgmt'!$B:$B,C83,'Client DB &amp; Bed Mgmt'!$E:$E,"Occupied"),0)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Mgmt'!$M:$M,"&lt;="&amp;EOMONTH($B83,0),'Client DB &amp; Bed Mgmt'!$N:$N,"&gt;="&amp;DATE(YEAR($B83),MONTH($B83),1))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29">
        <f>IFERROR(J83*SUMPRODUCT(('Client DB &amp; Bed Mgmt'!$A$5:$A$428=A83)*('Client DB &amp; Bed Mgmt'!$B$5:$B$428=C83)*('Client DB &amp; Bed Mgmt'!$D$5:$D$428&lt;&gt;"")*--(('Client DB &amp; Bed Mgmt'!$M$5:$M$428="")+NOT(ISNUMBER('Client DB &amp; Bed Mgmt'!$M$5:$M$428))+IFERROR('Client DB &amp; Bed Mgmt'!$M$5:$M$428&lt;=EOMONTH(B83,0),FALSE)&gt;0)*--(('Client DB &amp; Bed Mgmt'!$N$5:$N$428="")+NOT(ISNUMBER('Client DB &amp; Bed Mgmt'!$N$5:$N$428))+IFERROR('Client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  <c r="V83" s="130">
        <f>IFERROR(T83*SUMPRODUCT(('Client DB &amp; Bed Mgmt'!$A$5:$A$428=K83)*('Client DB &amp; Bed Mgmt'!$B$5:$B$428=L83)*('Client DB &amp; Bed Mgmt'!$D$5:$D$428&lt;&gt;"")*--(('Client DB &amp; Bed Mgmt'!$M$5:$M$428="")+NOT(ISNUMBER('Client DB &amp; Bed Mgmt'!$M$5:$M$428))+IFERROR('Client DB &amp; Bed Mgmt'!$M$5:$M$428&lt;=EOMONTH(B83,0),FALSE)&gt;0)*--(('Client DB &amp; Bed Mgmt'!$N$5:$N$428="")+NOT(ISNUMBER('Client DB &amp; Bed Mgmt'!$N$5:$N$428))+IFERROR('Client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</row>
    <row r="84" hidden="1" ht="14.25" customHeight="1" s="83">
      <c r="A84" s="103" t="inlineStr">
        <is>
          <t>Dorm 2</t>
        </is>
      </c>
      <c r="B84" s="125">
        <f>DATE(YEAR(StartDate),MONTH(StartDate),1)</f>
        <v/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Mgmt'!$B:$B,C84,'Client DB &amp; Bed Mgmt'!$E:$E,"Occupied"),0)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Mgmt'!$M:$M,"&lt;="&amp;EOMONTH($B84,0),'Client DB &amp; Bed Mgmt'!$N:$N,"&gt;="&amp;DATE(YEAR($B84),MONTH($B84),1))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29">
        <f>IFERROR(J84*SUMPRODUCT(('Client DB &amp; Bed Mgmt'!$A$5:$A$428=A84)*('Client DB &amp; Bed Mgmt'!$B$5:$B$428=C84)*('Client DB &amp; Bed Mgmt'!$D$5:$D$428&lt;&gt;"")*--(('Client DB &amp; Bed Mgmt'!$M$5:$M$428="")+NOT(ISNUMBER('Client DB &amp; Bed Mgmt'!$M$5:$M$428))+IFERROR('Client DB &amp; Bed Mgmt'!$M$5:$M$428&lt;=EOMONTH(B84,0),FALSE)&gt;0)*--(('Client DB &amp; Bed Mgmt'!$N$5:$N$428="")+NOT(ISNUMBER('Client DB &amp; Bed Mgmt'!$N$5:$N$428))+IFERROR('Client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  <c r="V84" s="130">
        <f>IFERROR(T84*SUMPRODUCT(('Client DB &amp; Bed Mgmt'!$A$5:$A$428=K84)*('Client DB &amp; Bed Mgmt'!$B$5:$B$428=L84)*('Client DB &amp; Bed Mgmt'!$D$5:$D$428&lt;&gt;"")*--(('Client DB &amp; Bed Mgmt'!$M$5:$M$428="")+NOT(ISNUMBER('Client DB &amp; Bed Mgmt'!$M$5:$M$428))+IFERROR('Client DB &amp; Bed Mgmt'!$M$5:$M$428&lt;=EOMONTH(B84,0),FALSE)&gt;0)*--(('Client DB &amp; Bed Mgmt'!$N$5:$N$428="")+NOT(ISNUMBER('Client DB &amp; Bed Mgmt'!$N$5:$N$428))+IFERROR('Client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</row>
    <row r="85" hidden="1" ht="14.25" customHeight="1" s="83">
      <c r="A85" s="103" t="inlineStr">
        <is>
          <t>Dorm 2</t>
        </is>
      </c>
      <c r="B85" s="125">
        <f>DATE(YEAR(StartDate),MONTH(StartDate),1)</f>
        <v/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Mgmt'!$B:$B,C85,'Client DB &amp; Bed Mgmt'!$E:$E,"Occupied"),0)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Mgmt'!$M:$M,"&lt;="&amp;EOMONTH($B85,0),'Client DB &amp; Bed Mgmt'!$N:$N,"&gt;="&amp;DATE(YEAR($B85),MONTH($B85),1))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29">
        <f>IFERROR(J85*SUMPRODUCT(('Client DB &amp; Bed Mgmt'!$A$5:$A$428=A85)*('Client DB &amp; Bed Mgmt'!$B$5:$B$428=C85)*('Client DB &amp; Bed Mgmt'!$D$5:$D$428&lt;&gt;"")*--(('Client DB &amp; Bed Mgmt'!$M$5:$M$428="")+NOT(ISNUMBER('Client DB &amp; Bed Mgmt'!$M$5:$M$428))+IFERROR('Client DB &amp; Bed Mgmt'!$M$5:$M$428&lt;=EOMONTH(B85,0),FALSE)&gt;0)*--(('Client DB &amp; Bed Mgmt'!$N$5:$N$428="")+NOT(ISNUMBER('Client DB &amp; Bed Mgmt'!$N$5:$N$428))+IFERROR('Client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  <c r="V85" s="130">
        <f>IFERROR(T85*SUMPRODUCT(('Client DB &amp; Bed Mgmt'!$A$5:$A$428=K85)*('Client DB &amp; Bed Mgmt'!$B$5:$B$428=L85)*('Client DB &amp; Bed Mgmt'!$D$5:$D$428&lt;&gt;"")*--(('Client DB &amp; Bed Mgmt'!$M$5:$M$428="")+NOT(ISNUMBER('Client DB &amp; Bed Mgmt'!$M$5:$M$428))+IFERROR('Client DB &amp; Bed Mgmt'!$M$5:$M$428&lt;=EOMONTH(B85,0),FALSE)&gt;0)*--(('Client DB &amp; Bed Mgmt'!$N$5:$N$428="")+NOT(ISNUMBER('Client DB &amp; Bed Mgmt'!$N$5:$N$428))+IFERROR('Client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</row>
    <row r="86" hidden="1" ht="14.25" customHeight="1" s="83">
      <c r="A86" s="103" t="inlineStr">
        <is>
          <t>Dorm 2</t>
        </is>
      </c>
      <c r="B86" s="125">
        <f>DATE(YEAR(StartDate),MONTH(StartDate),1)</f>
        <v/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Mgmt'!$B:$B,C86,'Client DB &amp; Bed Mgmt'!$E:$E,"Occupied"),0)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Mgmt'!$M:$M,"&lt;="&amp;EOMONTH($B86,0),'Client DB &amp; Bed Mgmt'!$N:$N,"&gt;="&amp;DATE(YEAR($B86),MONTH($B86),1))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29">
        <f>IFERROR(J86*SUMPRODUCT(('Client DB &amp; Bed Mgmt'!$A$5:$A$428=A86)*('Client DB &amp; Bed Mgmt'!$B$5:$B$428=C86)*('Client DB &amp; Bed Mgmt'!$D$5:$D$428&lt;&gt;"")*--(('Client DB &amp; Bed Mgmt'!$M$5:$M$428="")+NOT(ISNUMBER('Client DB &amp; Bed Mgmt'!$M$5:$M$428))+IFERROR('Client DB &amp; Bed Mgmt'!$M$5:$M$428&lt;=EOMONTH(B86,0),FALSE)&gt;0)*--(('Client DB &amp; Bed Mgmt'!$N$5:$N$428="")+NOT(ISNUMBER('Client DB &amp; Bed Mgmt'!$N$5:$N$428))+IFERROR('Client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  <c r="V86" s="130">
        <f>IFERROR(T86*SUMPRODUCT(('Client DB &amp; Bed Mgmt'!$A$5:$A$428=K86)*('Client DB &amp; Bed Mgmt'!$B$5:$B$428=L86)*('Client DB &amp; Bed Mgmt'!$D$5:$D$428&lt;&gt;"")*--(('Client DB &amp; Bed Mgmt'!$M$5:$M$428="")+NOT(ISNUMBER('Client DB &amp; Bed Mgmt'!$M$5:$M$428))+IFERROR('Client DB &amp; Bed Mgmt'!$M$5:$M$428&lt;=EOMONTH(B86,0),FALSE)&gt;0)*--(('Client DB &amp; Bed Mgmt'!$N$5:$N$428="")+NOT(ISNUMBER('Client DB &amp; Bed Mgmt'!$N$5:$N$428))+IFERROR('Client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</row>
    <row r="87" hidden="1" ht="14.25" customHeight="1" s="83">
      <c r="A87" s="103" t="inlineStr">
        <is>
          <t>Dorm 2</t>
        </is>
      </c>
      <c r="B87" s="125">
        <f>DATE(YEAR(StartDate),MONTH(StartDate),1)</f>
        <v/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Mgmt'!$B:$B,C87,'Client DB &amp; Bed Mgmt'!$E:$E,"Occupied"),0)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Mgmt'!$M:$M,"&lt;="&amp;EOMONTH($B87,0),'Client DB &amp; Bed Mgmt'!$N:$N,"&gt;="&amp;DATE(YEAR($B87),MONTH($B87),1))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29">
        <f>IFERROR(J87*SUMPRODUCT(('Client DB &amp; Bed Mgmt'!$A$5:$A$428=A87)*('Client DB &amp; Bed Mgmt'!$B$5:$B$428=C87)*('Client DB &amp; Bed Mgmt'!$D$5:$D$428&lt;&gt;"")*--(('Client DB &amp; Bed Mgmt'!$M$5:$M$428="")+NOT(ISNUMBER('Client DB &amp; Bed Mgmt'!$M$5:$M$428))+IFERROR('Client DB &amp; Bed Mgmt'!$M$5:$M$428&lt;=EOMONTH(B87,0),FALSE)&gt;0)*--(('Client DB &amp; Bed Mgmt'!$N$5:$N$428="")+NOT(ISNUMBER('Client DB &amp; Bed Mgmt'!$N$5:$N$428))+IFERROR('Client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  <c r="V87" s="130">
        <f>IFERROR(T87*SUMPRODUCT(('Client DB &amp; Bed Mgmt'!$A$5:$A$428=K87)*('Client DB &amp; Bed Mgmt'!$B$5:$B$428=L87)*('Client DB &amp; Bed Mgmt'!$D$5:$D$428&lt;&gt;"")*--(('Client DB &amp; Bed Mgmt'!$M$5:$M$428="")+NOT(ISNUMBER('Client DB &amp; Bed Mgmt'!$M$5:$M$428))+IFERROR('Client DB &amp; Bed Mgmt'!$M$5:$M$428&lt;=EOMONTH(B87,0),FALSE)&gt;0)*--(('Client DB &amp; Bed Mgmt'!$N$5:$N$428="")+NOT(ISNUMBER('Client DB &amp; Bed Mgmt'!$N$5:$N$428))+IFERROR('Client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</row>
    <row r="88" hidden="1" ht="14.25" customHeight="1" s="83">
      <c r="A88" s="103" t="inlineStr">
        <is>
          <t>Dorm 2</t>
        </is>
      </c>
      <c r="B88" s="125">
        <f>DATE(YEAR(StartDate),MONTH(StartDate),1)</f>
        <v/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Mgmt'!$B:$B,C88,'Client DB &amp; Bed Mgmt'!$E:$E,"Occupied"),0)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Mgmt'!$M:$M,"&lt;="&amp;EOMONTH($B88,0),'Client DB &amp; Bed Mgmt'!$N:$N,"&gt;="&amp;DATE(YEAR($B88),MONTH($B88),1))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29">
        <f>IFERROR(J88*SUMPRODUCT(('Client DB &amp; Bed Mgmt'!$A$5:$A$428=A88)*('Client DB &amp; Bed Mgmt'!$B$5:$B$428=C88)*('Client DB &amp; Bed Mgmt'!$D$5:$D$428&lt;&gt;"")*--(('Client DB &amp; Bed Mgmt'!$M$5:$M$428="")+NOT(ISNUMBER('Client DB &amp; Bed Mgmt'!$M$5:$M$428))+IFERROR('Client DB &amp; Bed Mgmt'!$M$5:$M$428&lt;=EOMONTH(B88,0),FALSE)&gt;0)*--(('Client DB &amp; Bed Mgmt'!$N$5:$N$428="")+NOT(ISNUMBER('Client DB &amp; Bed Mgmt'!$N$5:$N$428))+IFERROR('Client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  <c r="V88" s="130">
        <f>IFERROR(T88*SUMPRODUCT(('Client DB &amp; Bed Mgmt'!$A$5:$A$428=K88)*('Client DB &amp; Bed Mgmt'!$B$5:$B$428=L88)*('Client DB &amp; Bed Mgmt'!$D$5:$D$428&lt;&gt;"")*--(('Client DB &amp; Bed Mgmt'!$M$5:$M$428="")+NOT(ISNUMBER('Client DB &amp; Bed Mgmt'!$M$5:$M$428))+IFERROR('Client DB &amp; Bed Mgmt'!$M$5:$M$428&lt;=EOMONTH(B88,0),FALSE)&gt;0)*--(('Client DB &amp; Bed Mgmt'!$N$5:$N$428="")+NOT(ISNUMBER('Client DB &amp; Bed Mgmt'!$N$5:$N$428))+IFERROR('Client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</row>
    <row r="89" hidden="1" ht="14.25" customHeight="1" s="83">
      <c r="A89" s="103" t="inlineStr">
        <is>
          <t>Dorm 2</t>
        </is>
      </c>
      <c r="B89" s="125">
        <f>DATE(YEAR(StartDate),MONTH(StartDate),1)</f>
        <v/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Mgmt'!$B:$B,C89,'Client DB &amp; Bed Mgmt'!$E:$E,"Occupied"),0)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Mgmt'!$M:$M,"&lt;="&amp;EOMONTH($B89,0),'Client DB &amp; Bed Mgmt'!$N:$N,"&gt;="&amp;DATE(YEAR($B89),MONTH($B89),1))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29">
        <f>IFERROR(J89*SUMPRODUCT(('Client DB &amp; Bed Mgmt'!$A$5:$A$428=A89)*('Client DB &amp; Bed Mgmt'!$B$5:$B$428=C89)*('Client DB &amp; Bed Mgmt'!$D$5:$D$428&lt;&gt;"")*--(('Client DB &amp; Bed Mgmt'!$M$5:$M$428="")+NOT(ISNUMBER('Client DB &amp; Bed Mgmt'!$M$5:$M$428))+IFERROR('Client DB &amp; Bed Mgmt'!$M$5:$M$428&lt;=EOMONTH(B89,0),FALSE)&gt;0)*--(('Client DB &amp; Bed Mgmt'!$N$5:$N$428="")+NOT(ISNUMBER('Client DB &amp; Bed Mgmt'!$N$5:$N$428))+IFERROR('Client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  <c r="V89" s="130">
        <f>IFERROR(T89*SUMPRODUCT(('Client DB &amp; Bed Mgmt'!$A$5:$A$428=K89)*('Client DB &amp; Bed Mgmt'!$B$5:$B$428=L89)*('Client DB &amp; Bed Mgmt'!$D$5:$D$428&lt;&gt;"")*--(('Client DB &amp; Bed Mgmt'!$M$5:$M$428="")+NOT(ISNUMBER('Client DB &amp; Bed Mgmt'!$M$5:$M$428))+IFERROR('Client DB &amp; Bed Mgmt'!$M$5:$M$428&lt;=EOMONTH(B89,0),FALSE)&gt;0)*--(('Client DB &amp; Bed Mgmt'!$N$5:$N$428="")+NOT(ISNUMBER('Client DB &amp; Bed Mgmt'!$N$5:$N$428))+IFERROR('Client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</row>
    <row r="90" hidden="1" ht="14.25" customHeight="1" s="83">
      <c r="A90" s="103" t="inlineStr">
        <is>
          <t>Dorm 2</t>
        </is>
      </c>
      <c r="B90" s="125">
        <f>DATE(YEAR(StartDate),MONTH(StartDate),1)</f>
        <v/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Mgmt'!$B:$B,C90,'Client DB &amp; Bed Mgmt'!$E:$E,"Occupied"),0)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Mgmt'!$M:$M,"&lt;="&amp;EOMONTH($B90,0),'Client DB &amp; Bed Mgmt'!$N:$N,"&gt;="&amp;DATE(YEAR($B90),MONTH($B90),1))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29">
        <f>IFERROR(J90*SUMPRODUCT(('Client DB &amp; Bed Mgmt'!$A$5:$A$428=A90)*('Client DB &amp; Bed Mgmt'!$B$5:$B$428=C90)*('Client DB &amp; Bed Mgmt'!$D$5:$D$428&lt;&gt;"")*--(('Client DB &amp; Bed Mgmt'!$M$5:$M$428="")+NOT(ISNUMBER('Client DB &amp; Bed Mgmt'!$M$5:$M$428))+IFERROR('Client DB &amp; Bed Mgmt'!$M$5:$M$428&lt;=EOMONTH(B90,0),FALSE)&gt;0)*--(('Client DB &amp; Bed Mgmt'!$N$5:$N$428="")+NOT(ISNUMBER('Client DB &amp; Bed Mgmt'!$N$5:$N$428))+IFERROR('Client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  <c r="V90" s="130">
        <f>IFERROR(T90*SUMPRODUCT(('Client DB &amp; Bed Mgmt'!$A$5:$A$428=K90)*('Client DB &amp; Bed Mgmt'!$B$5:$B$428=L90)*('Client DB &amp; Bed Mgmt'!$D$5:$D$428&lt;&gt;"")*--(('Client DB &amp; Bed Mgmt'!$M$5:$M$428="")+NOT(ISNUMBER('Client DB &amp; Bed Mgmt'!$M$5:$M$428))+IFERROR('Client DB &amp; Bed Mgmt'!$M$5:$M$428&lt;=EOMONTH(B90,0),FALSE)&gt;0)*--(('Client DB &amp; Bed Mgmt'!$N$5:$N$428="")+NOT(ISNUMBER('Client DB &amp; Bed Mgmt'!$N$5:$N$428))+IFERROR('Client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</row>
    <row r="91" hidden="1" ht="14.25" customHeight="1" s="83">
      <c r="A91" s="103" t="inlineStr">
        <is>
          <t>Dorm 2</t>
        </is>
      </c>
      <c r="B91" s="125">
        <f>DATE(YEAR(StartDate),MONTH(StartDate),1)</f>
        <v/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Mgmt'!$B:$B,C91,'Client DB &amp; Bed Mgmt'!$E:$E,"Occupied"),0)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Mgmt'!$M:$M,"&lt;="&amp;EOMONTH($B91,0),'Client DB &amp; Bed Mgmt'!$N:$N,"&gt;="&amp;DATE(YEAR($B91),MONTH($B91),1))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29">
        <f>IFERROR(J91*SUMPRODUCT(('Client DB &amp; Bed Mgmt'!$A$5:$A$428=A91)*('Client DB &amp; Bed Mgmt'!$B$5:$B$428=C91)*('Client DB &amp; Bed Mgmt'!$D$5:$D$428&lt;&gt;"")*--(('Client DB &amp; Bed Mgmt'!$M$5:$M$428="")+NOT(ISNUMBER('Client DB &amp; Bed Mgmt'!$M$5:$M$428))+IFERROR('Client DB &amp; Bed Mgmt'!$M$5:$M$428&lt;=EOMONTH(B91,0),FALSE)&gt;0)*--(('Client DB &amp; Bed Mgmt'!$N$5:$N$428="")+NOT(ISNUMBER('Client DB &amp; Bed Mgmt'!$N$5:$N$428))+IFERROR('Client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  <c r="V91" s="130">
        <f>IFERROR(T91*SUMPRODUCT(('Client DB &amp; Bed Mgmt'!$A$5:$A$428=K91)*('Client DB &amp; Bed Mgmt'!$B$5:$B$428=L91)*('Client DB &amp; Bed Mgmt'!$D$5:$D$428&lt;&gt;"")*--(('Client DB &amp; Bed Mgmt'!$M$5:$M$428="")+NOT(ISNUMBER('Client DB &amp; Bed Mgmt'!$M$5:$M$428))+IFERROR('Client DB &amp; Bed Mgmt'!$M$5:$M$428&lt;=EOMONTH(B91,0),FALSE)&gt;0)*--(('Client DB &amp; Bed Mgmt'!$N$5:$N$428="")+NOT(ISNUMBER('Client DB &amp; Bed Mgmt'!$N$5:$N$428))+IFERROR('Client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</row>
    <row r="92" hidden="1" ht="14.25" customHeight="1" s="83">
      <c r="A92" s="103" t="inlineStr">
        <is>
          <t>Dorm 2</t>
        </is>
      </c>
      <c r="B92" s="125">
        <f>DATE(YEAR(StartDate),MONTH(StartDate),1)</f>
        <v/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Mgmt'!$B:$B,C92,'Client DB &amp; Bed Mgmt'!$E:$E,"Occupied"),0)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Mgmt'!$M:$M,"&lt;="&amp;EOMONTH($B92,0),'Client DB &amp; Bed Mgmt'!$N:$N,"&gt;="&amp;DATE(YEAR($B92),MONTH($B92),1))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29">
        <f>IFERROR(J92*SUMPRODUCT(('Client DB &amp; Bed Mgmt'!$A$5:$A$428=A92)*('Client DB &amp; Bed Mgmt'!$B$5:$B$428=C92)*('Client DB &amp; Bed Mgmt'!$D$5:$D$428&lt;&gt;"")*--(('Client DB &amp; Bed Mgmt'!$M$5:$M$428="")+NOT(ISNUMBER('Client DB &amp; Bed Mgmt'!$M$5:$M$428))+IFERROR('Client DB &amp; Bed Mgmt'!$M$5:$M$428&lt;=EOMONTH(B92,0),FALSE)&gt;0)*--(('Client DB &amp; Bed Mgmt'!$N$5:$N$428="")+NOT(ISNUMBER('Client DB &amp; Bed Mgmt'!$N$5:$N$428))+IFERROR('Client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  <c r="V92" s="130">
        <f>IFERROR(T92*SUMPRODUCT(('Client DB &amp; Bed Mgmt'!$A$5:$A$428=K92)*('Client DB &amp; Bed Mgmt'!$B$5:$B$428=L92)*('Client DB &amp; Bed Mgmt'!$D$5:$D$428&lt;&gt;"")*--(('Client DB &amp; Bed Mgmt'!$M$5:$M$428="")+NOT(ISNUMBER('Client DB &amp; Bed Mgmt'!$M$5:$M$428))+IFERROR('Client DB &amp; Bed Mgmt'!$M$5:$M$428&lt;=EOMONTH(B92,0),FALSE)&gt;0)*--(('Client DB &amp; Bed Mgmt'!$N$5:$N$428="")+NOT(ISNUMBER('Client DB &amp; Bed Mgmt'!$N$5:$N$428))+IFERROR('Client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</row>
    <row r="93" hidden="1" ht="14.25" customHeight="1" s="83">
      <c r="A93" s="103" t="inlineStr">
        <is>
          <t>Dorm 2</t>
        </is>
      </c>
      <c r="B93" s="125">
        <f>DATE(YEAR(StartDate),MONTH(StartDate),1)</f>
        <v/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Mgmt'!$B:$B,C93,'Client DB &amp; Bed Mgmt'!$E:$E,"Occupied"),0)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Mgmt'!$M:$M,"&lt;="&amp;EOMONTH($B93,0),'Client DB &amp; Bed Mgmt'!$N:$N,"&gt;="&amp;DATE(YEAR($B93),MONTH($B93),1))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29">
        <f>IFERROR(J93*SUMPRODUCT(('Client DB &amp; Bed Mgmt'!$A$5:$A$428=A93)*('Client DB &amp; Bed Mgmt'!$B$5:$B$428=C93)*('Client DB &amp; Bed Mgmt'!$D$5:$D$428&lt;&gt;"")*--(('Client DB &amp; Bed Mgmt'!$M$5:$M$428="")+NOT(ISNUMBER('Client DB &amp; Bed Mgmt'!$M$5:$M$428))+IFERROR('Client DB &amp; Bed Mgmt'!$M$5:$M$428&lt;=EOMONTH(B93,0),FALSE)&gt;0)*--(('Client DB &amp; Bed Mgmt'!$N$5:$N$428="")+NOT(ISNUMBER('Client DB &amp; Bed Mgmt'!$N$5:$N$428))+IFERROR('Client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  <c r="V93" s="130">
        <f>IFERROR(T93*SUMPRODUCT(('Client DB &amp; Bed Mgmt'!$A$5:$A$428=K93)*('Client DB &amp; Bed Mgmt'!$B$5:$B$428=L93)*('Client DB &amp; Bed Mgmt'!$D$5:$D$428&lt;&gt;"")*--(('Client DB &amp; Bed Mgmt'!$M$5:$M$428="")+NOT(ISNUMBER('Client DB &amp; Bed Mgmt'!$M$5:$M$428))+IFERROR('Client DB &amp; Bed Mgmt'!$M$5:$M$428&lt;=EOMONTH(B93,0),FALSE)&gt;0)*--(('Client DB &amp; Bed Mgmt'!$N$5:$N$428="")+NOT(ISNUMBER('Client DB &amp; Bed Mgmt'!$N$5:$N$428))+IFERROR('Client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</row>
    <row r="94" hidden="1" ht="14.25" customHeight="1" s="83">
      <c r="A94" s="103" t="inlineStr">
        <is>
          <t>Dorm 2</t>
        </is>
      </c>
      <c r="B94" s="125">
        <f>DATE(YEAR(StartDate),MONTH(StartDate),1)</f>
        <v/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Mgmt'!$B:$B,C94,'Client DB &amp; Bed Mgmt'!$E:$E,"Occupied"),0)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Mgmt'!$M:$M,"&lt;="&amp;EOMONTH($B94,0),'Client DB &amp; Bed Mgmt'!$N:$N,"&gt;="&amp;DATE(YEAR($B94),MONTH($B94),1))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29">
        <f>IFERROR(J94*SUMPRODUCT(('Client DB &amp; Bed Mgmt'!$A$5:$A$428=A94)*('Client DB &amp; Bed Mgmt'!$B$5:$B$428=C94)*('Client DB &amp; Bed Mgmt'!$D$5:$D$428&lt;&gt;"")*--(('Client DB &amp; Bed Mgmt'!$M$5:$M$428="")+NOT(ISNUMBER('Client DB &amp; Bed Mgmt'!$M$5:$M$428))+IFERROR('Client DB &amp; Bed Mgmt'!$M$5:$M$428&lt;=EOMONTH(B94,0),FALSE)&gt;0)*--(('Client DB &amp; Bed Mgmt'!$N$5:$N$428="")+NOT(ISNUMBER('Client DB &amp; Bed Mgmt'!$N$5:$N$428))+IFERROR('Client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  <c r="V94" s="130">
        <f>IFERROR(T94*SUMPRODUCT(('Client DB &amp; Bed Mgmt'!$A$5:$A$428=K94)*('Client DB &amp; Bed Mgmt'!$B$5:$B$428=L94)*('Client DB &amp; Bed Mgmt'!$D$5:$D$428&lt;&gt;"")*--(('Client DB &amp; Bed Mgmt'!$M$5:$M$428="")+NOT(ISNUMBER('Client DB &amp; Bed Mgmt'!$M$5:$M$428))+IFERROR('Client DB &amp; Bed Mgmt'!$M$5:$M$428&lt;=EOMONTH(B94,0),FALSE)&gt;0)*--(('Client DB &amp; Bed Mgmt'!$N$5:$N$428="")+NOT(ISNUMBER('Client DB &amp; Bed Mgmt'!$N$5:$N$428))+IFERROR('Client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</row>
    <row r="95" hidden="1" ht="14.25" customHeight="1" s="83">
      <c r="A95" s="103" t="inlineStr">
        <is>
          <t>Dorm 2</t>
        </is>
      </c>
      <c r="B95" s="125">
        <f>DATE(YEAR(StartDate),MONTH(StartDate),1)</f>
        <v/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Mgmt'!$B:$B,C95,'Client DB &amp; Bed Mgmt'!$E:$E,"Occupied"),0)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Mgmt'!$M:$M,"&lt;="&amp;EOMONTH($B95,0),'Client DB &amp; Bed Mgmt'!$N:$N,"&gt;="&amp;DATE(YEAR($B95),MONTH($B95),1))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29">
        <f>IFERROR(J95*SUMPRODUCT(('Client DB &amp; Bed Mgmt'!$A$5:$A$428=A95)*('Client DB &amp; Bed Mgmt'!$B$5:$B$428=C95)*('Client DB &amp; Bed Mgmt'!$D$5:$D$428&lt;&gt;"")*--(('Client DB &amp; Bed Mgmt'!$M$5:$M$428="")+NOT(ISNUMBER('Client DB &amp; Bed Mgmt'!$M$5:$M$428))+IFERROR('Client DB &amp; Bed Mgmt'!$M$5:$M$428&lt;=EOMONTH(B95,0),FALSE)&gt;0)*--(('Client DB &amp; Bed Mgmt'!$N$5:$N$428="")+NOT(ISNUMBER('Client DB &amp; Bed Mgmt'!$N$5:$N$428))+IFERROR('Client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  <c r="V95" s="130">
        <f>IFERROR(T95*SUMPRODUCT(('Client DB &amp; Bed Mgmt'!$A$5:$A$428=K95)*('Client DB &amp; Bed Mgmt'!$B$5:$B$428=L95)*('Client DB &amp; Bed Mgmt'!$D$5:$D$428&lt;&gt;"")*--(('Client DB &amp; Bed Mgmt'!$M$5:$M$428="")+NOT(ISNUMBER('Client DB &amp; Bed Mgmt'!$M$5:$M$428))+IFERROR('Client DB &amp; Bed Mgmt'!$M$5:$M$428&lt;=EOMONTH(B95,0),FALSE)&gt;0)*--(('Client DB &amp; Bed Mgmt'!$N$5:$N$428="")+NOT(ISNUMBER('Client DB &amp; Bed Mgmt'!$N$5:$N$428))+IFERROR('Client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</row>
    <row r="96" hidden="1" ht="14.25" customHeight="1" s="83">
      <c r="A96" s="103" t="inlineStr">
        <is>
          <t>Dorm 2</t>
        </is>
      </c>
      <c r="B96" s="125">
        <f>DATE(YEAR(StartDate),MONTH(StartDate),1)</f>
        <v/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Mgmt'!$B:$B,C96,'Client DB &amp; Bed Mgmt'!$E:$E,"Occupied"),0)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Mgmt'!$M:$M,"&lt;="&amp;EOMONTH($B96,0),'Client DB &amp; Bed Mgmt'!$N:$N,"&gt;="&amp;DATE(YEAR($B96),MONTH($B96),1))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29">
        <f>IFERROR(J96*SUMPRODUCT(('Client DB &amp; Bed Mgmt'!$A$5:$A$428=A96)*('Client DB &amp; Bed Mgmt'!$B$5:$B$428=C96)*('Client DB &amp; Bed Mgmt'!$D$5:$D$428&lt;&gt;"")*--(('Client DB &amp; Bed Mgmt'!$M$5:$M$428="")+NOT(ISNUMBER('Client DB &amp; Bed Mgmt'!$M$5:$M$428))+IFERROR('Client DB &amp; Bed Mgmt'!$M$5:$M$428&lt;=EOMONTH(B96,0),FALSE)&gt;0)*--(('Client DB &amp; Bed Mgmt'!$N$5:$N$428="")+NOT(ISNUMBER('Client DB &amp; Bed Mgmt'!$N$5:$N$428))+IFERROR('Client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  <c r="V96" s="130">
        <f>IFERROR(T96*SUMPRODUCT(('Client DB &amp; Bed Mgmt'!$A$5:$A$428=K96)*('Client DB &amp; Bed Mgmt'!$B$5:$B$428=L96)*('Client DB &amp; Bed Mgmt'!$D$5:$D$428&lt;&gt;"")*--(('Client DB &amp; Bed Mgmt'!$M$5:$M$428="")+NOT(ISNUMBER('Client DB &amp; Bed Mgmt'!$M$5:$M$428))+IFERROR('Client DB &amp; Bed Mgmt'!$M$5:$M$428&lt;=EOMONTH(B96,0),FALSE)&gt;0)*--(('Client DB &amp; Bed Mgmt'!$N$5:$N$428="")+NOT(ISNUMBER('Client DB &amp; Bed Mgmt'!$N$5:$N$428))+IFERROR('Client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</row>
    <row r="97" hidden="1" ht="14.25" customHeight="1" s="83">
      <c r="A97" s="103" t="inlineStr">
        <is>
          <t>Dorm 2</t>
        </is>
      </c>
      <c r="B97" s="125">
        <f>DATE(YEAR(StartDate),MONTH(StartDate),1)</f>
        <v/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Mgmt'!$B:$B,C97,'Client DB &amp; Bed Mgmt'!$E:$E,"Occupied"),0)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Mgmt'!$M:$M,"&lt;="&amp;EOMONTH($B97,0),'Client DB &amp; Bed Mgmt'!$N:$N,"&gt;="&amp;DATE(YEAR($B97),MONTH($B97),1))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29">
        <f>IFERROR(J97*SUMPRODUCT(('Client DB &amp; Bed Mgmt'!$A$5:$A$428=A97)*('Client DB &amp; Bed Mgmt'!$B$5:$B$428=C97)*('Client DB &amp; Bed Mgmt'!$D$5:$D$428&lt;&gt;"")*--(('Client DB &amp; Bed Mgmt'!$M$5:$M$428="")+NOT(ISNUMBER('Client DB &amp; Bed Mgmt'!$M$5:$M$428))+IFERROR('Client DB &amp; Bed Mgmt'!$M$5:$M$428&lt;=EOMONTH(B97,0),FALSE)&gt;0)*--(('Client DB &amp; Bed Mgmt'!$N$5:$N$428="")+NOT(ISNUMBER('Client DB &amp; Bed Mgmt'!$N$5:$N$428))+IFERROR('Client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  <c r="V97" s="130">
        <f>IFERROR(T97*SUMPRODUCT(('Client DB &amp; Bed Mgmt'!$A$5:$A$428=K97)*('Client DB &amp; Bed Mgmt'!$B$5:$B$428=L97)*('Client DB &amp; Bed Mgmt'!$D$5:$D$428&lt;&gt;"")*--(('Client DB &amp; Bed Mgmt'!$M$5:$M$428="")+NOT(ISNUMBER('Client DB &amp; Bed Mgmt'!$M$5:$M$428))+IFERROR('Client DB &amp; Bed Mgmt'!$M$5:$M$428&lt;=EOMONTH(B97,0),FALSE)&gt;0)*--(('Client DB &amp; Bed Mgmt'!$N$5:$N$428="")+NOT(ISNUMBER('Client DB &amp; Bed Mgmt'!$N$5:$N$428))+IFERROR('Client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</row>
    <row r="98" hidden="1" ht="14.25" customHeight="1" s="83">
      <c r="A98" s="103" t="inlineStr">
        <is>
          <t>Dorm 2</t>
        </is>
      </c>
      <c r="B98" s="125">
        <f>DATE(YEAR(StartDate),MONTH(StartDate),1)</f>
        <v/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Mgmt'!$B:$B,C98,'Client DB &amp; Bed Mgmt'!$E:$E,"Occupied"),0)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Mgmt'!$M:$M,"&lt;="&amp;EOMONTH($B98,0),'Client DB &amp; Bed Mgmt'!$N:$N,"&gt;="&amp;DATE(YEAR($B98),MONTH($B98),1))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29">
        <f>IFERROR(J98*SUMPRODUCT(('Client DB &amp; Bed Mgmt'!$A$5:$A$428=A98)*('Client DB &amp; Bed Mgmt'!$B$5:$B$428=C98)*('Client DB &amp; Bed Mgmt'!$D$5:$D$428&lt;&gt;"")*--(('Client DB &amp; Bed Mgmt'!$M$5:$M$428="")+NOT(ISNUMBER('Client DB &amp; Bed Mgmt'!$M$5:$M$428))+IFERROR('Client DB &amp; Bed Mgmt'!$M$5:$M$428&lt;=EOMONTH(B98,0),FALSE)&gt;0)*--(('Client DB &amp; Bed Mgmt'!$N$5:$N$428="")+NOT(ISNUMBER('Client DB &amp; Bed Mgmt'!$N$5:$N$428))+IFERROR('Client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  <c r="V98" s="130">
        <f>IFERROR(T98*SUMPRODUCT(('Client DB &amp; Bed Mgmt'!$A$5:$A$428=K98)*('Client DB &amp; Bed Mgmt'!$B$5:$B$428=L98)*('Client DB &amp; Bed Mgmt'!$D$5:$D$428&lt;&gt;"")*--(('Client DB &amp; Bed Mgmt'!$M$5:$M$428="")+NOT(ISNUMBER('Client DB &amp; Bed Mgmt'!$M$5:$M$428))+IFERROR('Client DB &amp; Bed Mgmt'!$M$5:$M$428&lt;=EOMONTH(B98,0),FALSE)&gt;0)*--(('Client DB &amp; Bed Mgmt'!$N$5:$N$428="")+NOT(ISNUMBER('Client DB &amp; Bed Mgmt'!$N$5:$N$428))+IFERROR('Client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</row>
    <row r="99" hidden="1" ht="14.25" customHeight="1" s="83">
      <c r="A99" s="103" t="inlineStr">
        <is>
          <t>Dorm 2</t>
        </is>
      </c>
      <c r="B99" s="125">
        <f>DATE(YEAR(StartDate),MONTH(StartDate),1)</f>
        <v/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Mgmt'!$B:$B,C99,'Client DB &amp; Bed Mgmt'!$E:$E,"Occupied"),0)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Mgmt'!$M:$M,"&lt;="&amp;EOMONTH($B99,0),'Client DB &amp; Bed Mgmt'!$N:$N,"&gt;="&amp;DATE(YEAR($B99),MONTH($B99),1))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29">
        <f>IFERROR(J99*SUMPRODUCT(('Client DB &amp; Bed Mgmt'!$A$5:$A$428=A99)*('Client DB &amp; Bed Mgmt'!$B$5:$B$428=C99)*('Client DB &amp; Bed Mgmt'!$D$5:$D$428&lt;&gt;"")*--(('Client DB &amp; Bed Mgmt'!$M$5:$M$428="")+NOT(ISNUMBER('Client DB &amp; Bed Mgmt'!$M$5:$M$428))+IFERROR('Client DB &amp; Bed Mgmt'!$M$5:$M$428&lt;=EOMONTH(B99,0),FALSE)&gt;0)*--(('Client DB &amp; Bed Mgmt'!$N$5:$N$428="")+NOT(ISNUMBER('Client DB &amp; Bed Mgmt'!$N$5:$N$428))+IFERROR('Client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  <c r="V99" s="130">
        <f>IFERROR(T99*SUMPRODUCT(('Client DB &amp; Bed Mgmt'!$A$5:$A$428=K99)*('Client DB &amp; Bed Mgmt'!$B$5:$B$428=L99)*('Client DB &amp; Bed Mgmt'!$D$5:$D$428&lt;&gt;"")*--(('Client DB &amp; Bed Mgmt'!$M$5:$M$428="")+NOT(ISNUMBER('Client DB &amp; Bed Mgmt'!$M$5:$M$428))+IFERROR('Client DB &amp; Bed Mgmt'!$M$5:$M$428&lt;=EOMONTH(B99,0),FALSE)&gt;0)*--(('Client DB &amp; Bed Mgmt'!$N$5:$N$428="")+NOT(ISNUMBER('Client DB &amp; Bed Mgmt'!$N$5:$N$428))+IFERROR('Client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</row>
    <row r="100" hidden="1" ht="14.25" customHeight="1" s="83">
      <c r="A100" s="103" t="inlineStr">
        <is>
          <t>Dorm 2</t>
        </is>
      </c>
      <c r="B100" s="125">
        <f>DATE(YEAR(StartDate),MONTH(StartDate),1)</f>
        <v/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Mgmt'!$B:$B,C100,'Client DB &amp; Bed Mgmt'!$E:$E,"Occupied"),0)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Mgmt'!$M:$M,"&lt;="&amp;EOMONTH($B100,0),'Client DB &amp; Bed Mgmt'!$N:$N,"&gt;="&amp;DATE(YEAR($B100),MONTH($B100),1))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29">
        <f>IFERROR(J100*SUMPRODUCT(('Client DB &amp; Bed Mgmt'!$A$5:$A$428=A100)*('Client DB &amp; Bed Mgmt'!$B$5:$B$428=C100)*('Client DB &amp; Bed Mgmt'!$D$5:$D$428&lt;&gt;"")*--(('Client DB &amp; Bed Mgmt'!$M$5:$M$428="")+NOT(ISNUMBER('Client DB &amp; Bed Mgmt'!$M$5:$M$428))+IFERROR('Client DB &amp; Bed Mgmt'!$M$5:$M$428&lt;=EOMONTH(B100,0),FALSE)&gt;0)*--(('Client DB &amp; Bed Mgmt'!$N$5:$N$428="")+NOT(ISNUMBER('Client DB &amp; Bed Mgmt'!$N$5:$N$428))+IFERROR('Client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  <c r="V100" s="130">
        <f>IFERROR(T100*SUMPRODUCT(('Client DB &amp; Bed Mgmt'!$A$5:$A$428=K100)*('Client DB &amp; Bed Mgmt'!$B$5:$B$428=L100)*('Client DB &amp; Bed Mgmt'!$D$5:$D$428&lt;&gt;"")*--(('Client DB &amp; Bed Mgmt'!$M$5:$M$428="")+NOT(ISNUMBER('Client DB &amp; Bed Mgmt'!$M$5:$M$428))+IFERROR('Client DB &amp; Bed Mgmt'!$M$5:$M$428&lt;=EOMONTH(B100,0),FALSE)&gt;0)*--(('Client DB &amp; Bed Mgmt'!$N$5:$N$428="")+NOT(ISNUMBER('Client DB &amp; Bed Mgmt'!$N$5:$N$428))+IFERROR('Client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</row>
    <row r="101" hidden="1" ht="14.25" customHeight="1" s="83">
      <c r="A101" s="103" t="inlineStr">
        <is>
          <t>Dorm 2</t>
        </is>
      </c>
      <c r="B101" s="125">
        <f>DATE(YEAR(StartDate),MONTH(StartDate),1)</f>
        <v/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Mgmt'!$B:$B,C101,'Client DB &amp; Bed Mgmt'!$E:$E,"Occupied"),0)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Mgmt'!$M:$M,"&lt;="&amp;EOMONTH($B101,0),'Client DB &amp; Bed Mgmt'!$N:$N,"&gt;="&amp;DATE(YEAR($B101),MONTH($B101),1))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29">
        <f>IFERROR(J101*SUMPRODUCT(('Client DB &amp; Bed Mgmt'!$A$5:$A$428=A101)*('Client DB &amp; Bed Mgmt'!$B$5:$B$428=C101)*('Client DB &amp; Bed Mgmt'!$D$5:$D$428&lt;&gt;"")*--(('Client DB &amp; Bed Mgmt'!$M$5:$M$428="")+NOT(ISNUMBER('Client DB &amp; Bed Mgmt'!$M$5:$M$428))+IFERROR('Client DB &amp; Bed Mgmt'!$M$5:$M$428&lt;=EOMONTH(B101,0),FALSE)&gt;0)*--(('Client DB &amp; Bed Mgmt'!$N$5:$N$428="")+NOT(ISNUMBER('Client DB &amp; Bed Mgmt'!$N$5:$N$428))+IFERROR('Client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  <c r="V101" s="130">
        <f>IFERROR(T101*SUMPRODUCT(('Client DB &amp; Bed Mgmt'!$A$5:$A$428=K101)*('Client DB &amp; Bed Mgmt'!$B$5:$B$428=L101)*('Client DB &amp; Bed Mgmt'!$D$5:$D$428&lt;&gt;"")*--(('Client DB &amp; Bed Mgmt'!$M$5:$M$428="")+NOT(ISNUMBER('Client DB &amp; Bed Mgmt'!$M$5:$M$428))+IFERROR('Client DB &amp; Bed Mgmt'!$M$5:$M$428&lt;=EOMONTH(B101,0),FALSE)&gt;0)*--(('Client DB &amp; Bed Mgmt'!$N$5:$N$428="")+NOT(ISNUMBER('Client DB &amp; Bed Mgmt'!$N$5:$N$428))+IFERROR('Client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</row>
    <row r="102" hidden="1" ht="14.25" customHeight="1" s="83">
      <c r="A102" s="103" t="inlineStr">
        <is>
          <t>Dorm 2</t>
        </is>
      </c>
      <c r="B102" s="125">
        <f>DATE(YEAR(StartDate),MONTH(StartDate),1)</f>
        <v/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Mgmt'!$B:$B,C102,'Client DB &amp; Bed Mgmt'!$E:$E,"Occupied"),0)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Mgmt'!$M:$M,"&lt;="&amp;EOMONTH($B102,0),'Client DB &amp; Bed Mgmt'!$N:$N,"&gt;="&amp;DATE(YEAR($B102),MONTH($B102),1))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29">
        <f>IFERROR(J102*SUMPRODUCT(('Client DB &amp; Bed Mgmt'!$A$5:$A$428=A102)*('Client DB &amp; Bed Mgmt'!$B$5:$B$428=C102)*('Client DB &amp; Bed Mgmt'!$D$5:$D$428&lt;&gt;"")*--(('Client DB &amp; Bed Mgmt'!$M$5:$M$428="")+NOT(ISNUMBER('Client DB &amp; Bed Mgmt'!$M$5:$M$428))+IFERROR('Client DB &amp; Bed Mgmt'!$M$5:$M$428&lt;=EOMONTH(B102,0),FALSE)&gt;0)*--(('Client DB &amp; Bed Mgmt'!$N$5:$N$428="")+NOT(ISNUMBER('Client DB &amp; Bed Mgmt'!$N$5:$N$428))+IFERROR('Client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  <c r="V102" s="130">
        <f>IFERROR(T102*SUMPRODUCT(('Client DB &amp; Bed Mgmt'!$A$5:$A$428=K102)*('Client DB &amp; Bed Mgmt'!$B$5:$B$428=L102)*('Client DB &amp; Bed Mgmt'!$D$5:$D$428&lt;&gt;"")*--(('Client DB &amp; Bed Mgmt'!$M$5:$M$428="")+NOT(ISNUMBER('Client DB &amp; Bed Mgmt'!$M$5:$M$428))+IFERROR('Client DB &amp; Bed Mgmt'!$M$5:$M$428&lt;=EOMONTH(B102,0),FALSE)&gt;0)*--(('Client DB &amp; Bed Mgmt'!$N$5:$N$428="")+NOT(ISNUMBER('Client DB &amp; Bed Mgmt'!$N$5:$N$428))+IFERROR('Client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</row>
    <row r="103" hidden="1" ht="14.25" customHeight="1" s="83">
      <c r="A103" s="103" t="inlineStr">
        <is>
          <t>Dorm 2</t>
        </is>
      </c>
      <c r="B103" s="125">
        <f>DATE(YEAR(StartDate),MONTH(StartDate),1)</f>
        <v/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Mgmt'!$B:$B,C103,'Client DB &amp; Bed Mgmt'!$E:$E,"Occupied"),0)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Mgmt'!$M:$M,"&lt;="&amp;EOMONTH($B103,0),'Client DB &amp; Bed Mgmt'!$N:$N,"&gt;="&amp;DATE(YEAR($B103),MONTH($B103),1))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29">
        <f>IFERROR(J103*SUMPRODUCT(('Client DB &amp; Bed Mgmt'!$A$5:$A$428=A103)*('Client DB &amp; Bed Mgmt'!$B$5:$B$428=C103)*('Client DB &amp; Bed Mgmt'!$D$5:$D$428&lt;&gt;"")*--(('Client DB &amp; Bed Mgmt'!$M$5:$M$428="")+NOT(ISNUMBER('Client DB &amp; Bed Mgmt'!$M$5:$M$428))+IFERROR('Client DB &amp; Bed Mgmt'!$M$5:$M$428&lt;=EOMONTH(B103,0),FALSE)&gt;0)*--(('Client DB &amp; Bed Mgmt'!$N$5:$N$428="")+NOT(ISNUMBER('Client DB &amp; Bed Mgmt'!$N$5:$N$428))+IFERROR('Client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  <c r="V103" s="130">
        <f>IFERROR(T103*SUMPRODUCT(('Client DB &amp; Bed Mgmt'!$A$5:$A$428=K103)*('Client DB &amp; Bed Mgmt'!$B$5:$B$428=L103)*('Client DB &amp; Bed Mgmt'!$D$5:$D$428&lt;&gt;"")*--(('Client DB &amp; Bed Mgmt'!$M$5:$M$428="")+NOT(ISNUMBER('Client DB &amp; Bed Mgmt'!$M$5:$M$428))+IFERROR('Client DB &amp; Bed Mgmt'!$M$5:$M$428&lt;=EOMONTH(B103,0),FALSE)&gt;0)*--(('Client DB &amp; Bed Mgmt'!$N$5:$N$428="")+NOT(ISNUMBER('Client DB &amp; Bed Mgmt'!$N$5:$N$428))+IFERROR('Client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</row>
    <row r="104" hidden="1" ht="14.25" customHeight="1" s="83">
      <c r="A104" s="103" t="inlineStr">
        <is>
          <t>Dorm 2</t>
        </is>
      </c>
      <c r="B104" s="125">
        <f>DATE(YEAR(StartDate),MONTH(StartDate),1)</f>
        <v/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Mgmt'!$B:$B,C104,'Client DB &amp; Bed Mgmt'!$E:$E,"Occupied"),0)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Mgmt'!$M:$M,"&lt;="&amp;EOMONTH($B104,0),'Client DB &amp; Bed Mgmt'!$N:$N,"&gt;="&amp;DATE(YEAR($B104),MONTH($B104),1))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29">
        <f>IFERROR(J104*SUMPRODUCT(('Client DB &amp; Bed Mgmt'!$A$5:$A$428=A104)*('Client DB &amp; Bed Mgmt'!$B$5:$B$428=C104)*('Client DB &amp; Bed Mgmt'!$D$5:$D$428&lt;&gt;"")*--(('Client DB &amp; Bed Mgmt'!$M$5:$M$428="")+NOT(ISNUMBER('Client DB &amp; Bed Mgmt'!$M$5:$M$428))+IFERROR('Client DB &amp; Bed Mgmt'!$M$5:$M$428&lt;=EOMONTH(B104,0),FALSE)&gt;0)*--(('Client DB &amp; Bed Mgmt'!$N$5:$N$428="")+NOT(ISNUMBER('Client DB &amp; Bed Mgmt'!$N$5:$N$428))+IFERROR('Client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  <c r="V104" s="130">
        <f>IFERROR(T104*SUMPRODUCT(('Client DB &amp; Bed Mgmt'!$A$5:$A$428=K104)*('Client DB &amp; Bed Mgmt'!$B$5:$B$428=L104)*('Client DB &amp; Bed Mgmt'!$D$5:$D$428&lt;&gt;"")*--(('Client DB &amp; Bed Mgmt'!$M$5:$M$428="")+NOT(ISNUMBER('Client DB &amp; Bed Mgmt'!$M$5:$M$428))+IFERROR('Client DB &amp; Bed Mgmt'!$M$5:$M$428&lt;=EOMONTH(B104,0),FALSE)&gt;0)*--(('Client DB &amp; Bed Mgmt'!$N$5:$N$428="")+NOT(ISNUMBER('Client DB &amp; Bed Mgmt'!$N$5:$N$428))+IFERROR('Client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</row>
    <row r="105" hidden="1" ht="14.25" customHeight="1" s="83">
      <c r="A105" s="103" t="inlineStr">
        <is>
          <t>Dorm 2</t>
        </is>
      </c>
      <c r="B105" s="125">
        <f>DATE(YEAR(StartDate),MONTH(StartDate),1)</f>
        <v/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Mgmt'!$B:$B,C105,'Client DB &amp; Bed Mgmt'!$E:$E,"Occupied"),0)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Mgmt'!$M:$M,"&lt;="&amp;EOMONTH($B105,0),'Client DB &amp; Bed Mgmt'!$N:$N,"&gt;="&amp;DATE(YEAR($B105),MONTH($B105),1))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29">
        <f>IFERROR(J105*SUMPRODUCT(('Client DB &amp; Bed Mgmt'!$A$5:$A$428=A105)*('Client DB &amp; Bed Mgmt'!$B$5:$B$428=C105)*('Client DB &amp; Bed Mgmt'!$D$5:$D$428&lt;&gt;"")*--(('Client DB &amp; Bed Mgmt'!$M$5:$M$428="")+NOT(ISNUMBER('Client DB &amp; Bed Mgmt'!$M$5:$M$428))+IFERROR('Client DB &amp; Bed Mgmt'!$M$5:$M$428&lt;=EOMONTH(B105,0),FALSE)&gt;0)*--(('Client DB &amp; Bed Mgmt'!$N$5:$N$428="")+NOT(ISNUMBER('Client DB &amp; Bed Mgmt'!$N$5:$N$428))+IFERROR('Client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  <c r="V105" s="130">
        <f>IFERROR(T105*SUMPRODUCT(('Client DB &amp; Bed Mgmt'!$A$5:$A$428=K105)*('Client DB &amp; Bed Mgmt'!$B$5:$B$428=L105)*('Client DB &amp; Bed Mgmt'!$D$5:$D$428&lt;&gt;"")*--(('Client DB &amp; Bed Mgmt'!$M$5:$M$428="")+NOT(ISNUMBER('Client DB &amp; Bed Mgmt'!$M$5:$M$428))+IFERROR('Client DB &amp; Bed Mgmt'!$M$5:$M$428&lt;=EOMONTH(B105,0),FALSE)&gt;0)*--(('Client DB &amp; Bed Mgmt'!$N$5:$N$428="")+NOT(ISNUMBER('Client DB &amp; Bed Mgmt'!$N$5:$N$428))+IFERROR('Client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</row>
    <row r="106" hidden="1" ht="14.25" customHeight="1" s="83">
      <c r="A106" s="103" t="inlineStr">
        <is>
          <t>Dorm 2</t>
        </is>
      </c>
      <c r="B106" s="125">
        <f>DATE(YEAR(StartDate),MONTH(StartDate),1)</f>
        <v/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Mgmt'!$B:$B,C106,'Client DB &amp; Bed Mgmt'!$E:$E,"Occupied"),0)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Mgmt'!$M:$M,"&lt;="&amp;EOMONTH($B106,0),'Client DB &amp; Bed Mgmt'!$N:$N,"&gt;="&amp;DATE(YEAR($B106),MONTH($B106),1))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29">
        <f>IFERROR(J106*SUMPRODUCT(('Client DB &amp; Bed Mgmt'!$A$5:$A$428=A106)*('Client DB &amp; Bed Mgmt'!$B$5:$B$428=C106)*('Client DB &amp; Bed Mgmt'!$D$5:$D$428&lt;&gt;"")*--(('Client DB &amp; Bed Mgmt'!$M$5:$M$428="")+NOT(ISNUMBER('Client DB &amp; Bed Mgmt'!$M$5:$M$428))+IFERROR('Client DB &amp; Bed Mgmt'!$M$5:$M$428&lt;=EOMONTH(B106,0),FALSE)&gt;0)*--(('Client DB &amp; Bed Mgmt'!$N$5:$N$428="")+NOT(ISNUMBER('Client DB &amp; Bed Mgmt'!$N$5:$N$428))+IFERROR('Client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  <c r="V106" s="130">
        <f>IFERROR(T106*SUMPRODUCT(('Client DB &amp; Bed Mgmt'!$A$5:$A$428=K106)*('Client DB &amp; Bed Mgmt'!$B$5:$B$428=L106)*('Client DB &amp; Bed Mgmt'!$D$5:$D$428&lt;&gt;"")*--(('Client DB &amp; Bed Mgmt'!$M$5:$M$428="")+NOT(ISNUMBER('Client DB &amp; Bed Mgmt'!$M$5:$M$428))+IFERROR('Client DB &amp; Bed Mgmt'!$M$5:$M$428&lt;=EOMONTH(B106,0),FALSE)&gt;0)*--(('Client DB &amp; Bed Mgmt'!$N$5:$N$428="")+NOT(ISNUMBER('Client DB &amp; Bed Mgmt'!$N$5:$N$428))+IFERROR('Client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</row>
    <row r="107" hidden="1" ht="14.25" customHeight="1" s="83">
      <c r="A107" s="103" t="inlineStr">
        <is>
          <t>Dorm 2</t>
        </is>
      </c>
      <c r="B107" s="125">
        <f>DATE(YEAR(StartDate),MONTH(StartDate),1)</f>
        <v/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Mgmt'!$B:$B,C107,'Client DB &amp; Bed Mgmt'!$E:$E,"Occupied"),0)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Mgmt'!$M:$M,"&lt;="&amp;EOMONTH($B107,0),'Client DB &amp; Bed Mgmt'!$N:$N,"&gt;="&amp;DATE(YEAR($B107),MONTH($B107),1))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29">
        <f>IFERROR(J107*SUMPRODUCT(('Client DB &amp; Bed Mgmt'!$A$5:$A$428=A107)*('Client DB &amp; Bed Mgmt'!$B$5:$B$428=C107)*('Client DB &amp; Bed Mgmt'!$D$5:$D$428&lt;&gt;"")*--(('Client DB &amp; Bed Mgmt'!$M$5:$M$428="")+NOT(ISNUMBER('Client DB &amp; Bed Mgmt'!$M$5:$M$428))+IFERROR('Client DB &amp; Bed Mgmt'!$M$5:$M$428&lt;=EOMONTH(B107,0),FALSE)&gt;0)*--(('Client DB &amp; Bed Mgmt'!$N$5:$N$428="")+NOT(ISNUMBER('Client DB &amp; Bed Mgmt'!$N$5:$N$428))+IFERROR('Client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  <c r="V107" s="130">
        <f>IFERROR(T107*SUMPRODUCT(('Client DB &amp; Bed Mgmt'!$A$5:$A$428=K107)*('Client DB &amp; Bed Mgmt'!$B$5:$B$428=L107)*('Client DB &amp; Bed Mgmt'!$D$5:$D$428&lt;&gt;"")*--(('Client DB &amp; Bed Mgmt'!$M$5:$M$428="")+NOT(ISNUMBER('Client DB &amp; Bed Mgmt'!$M$5:$M$428))+IFERROR('Client DB &amp; Bed Mgmt'!$M$5:$M$428&lt;=EOMONTH(B107,0),FALSE)&gt;0)*--(('Client DB &amp; Bed Mgmt'!$N$5:$N$428="")+NOT(ISNUMBER('Client DB &amp; Bed Mgmt'!$N$5:$N$428))+IFERROR('Client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</row>
    <row r="108" hidden="1" ht="14.25" customHeight="1" s="83">
      <c r="A108" s="103" t="inlineStr">
        <is>
          <t>Dorm 2</t>
        </is>
      </c>
      <c r="B108" s="125">
        <f>DATE(YEAR(StartDate),MONTH(StartDate),1)</f>
        <v/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Mgmt'!$B:$B,C108,'Client DB &amp; Bed Mgmt'!$E:$E,"Occupied"),0)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Mgmt'!$M:$M,"&lt;="&amp;EOMONTH($B108,0),'Client DB &amp; Bed Mgmt'!$N:$N,"&gt;="&amp;DATE(YEAR($B108),MONTH($B108),1))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29">
        <f>IFERROR(J108*SUMPRODUCT(('Client DB &amp; Bed Mgmt'!$A$5:$A$428=A108)*('Client DB &amp; Bed Mgmt'!$B$5:$B$428=C108)*('Client DB &amp; Bed Mgmt'!$D$5:$D$428&lt;&gt;"")*--(('Client DB &amp; Bed Mgmt'!$M$5:$M$428="")+NOT(ISNUMBER('Client DB &amp; Bed Mgmt'!$M$5:$M$428))+IFERROR('Client DB &amp; Bed Mgmt'!$M$5:$M$428&lt;=EOMONTH(B108,0),FALSE)&gt;0)*--(('Client DB &amp; Bed Mgmt'!$N$5:$N$428="")+NOT(ISNUMBER('Client DB &amp; Bed Mgmt'!$N$5:$N$428))+IFERROR('Client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  <c r="V108" s="130">
        <f>IFERROR(T108*SUMPRODUCT(('Client DB &amp; Bed Mgmt'!$A$5:$A$428=K108)*('Client DB &amp; Bed Mgmt'!$B$5:$B$428=L108)*('Client DB &amp; Bed Mgmt'!$D$5:$D$428&lt;&gt;"")*--(('Client DB &amp; Bed Mgmt'!$M$5:$M$428="")+NOT(ISNUMBER('Client DB &amp; Bed Mgmt'!$M$5:$M$428))+IFERROR('Client DB &amp; Bed Mgmt'!$M$5:$M$428&lt;=EOMONTH(B108,0),FALSE)&gt;0)*--(('Client DB &amp; Bed Mgmt'!$N$5:$N$428="")+NOT(ISNUMBER('Client DB &amp; Bed Mgmt'!$N$5:$N$428))+IFERROR('Client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</row>
    <row r="109" hidden="1" ht="14.25" customHeight="1" s="83">
      <c r="A109" s="103" t="inlineStr">
        <is>
          <t>Dorm 2</t>
        </is>
      </c>
      <c r="B109" s="125">
        <f>DATE(YEAR(StartDate),MONTH(StartDate),1)</f>
        <v/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Mgmt'!$B:$B,C109,'Client DB &amp; Bed Mgmt'!$E:$E,"Occupied"),0)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Mgmt'!$M:$M,"&lt;="&amp;EOMONTH($B109,0),'Client DB &amp; Bed Mgmt'!$N:$N,"&gt;="&amp;DATE(YEAR($B109),MONTH($B109),1))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29">
        <f>IFERROR(J109*SUMPRODUCT(('Client DB &amp; Bed Mgmt'!$A$5:$A$428=A109)*('Client DB &amp; Bed Mgmt'!$B$5:$B$428=C109)*('Client DB &amp; Bed Mgmt'!$D$5:$D$428&lt;&gt;"")*--(('Client DB &amp; Bed Mgmt'!$M$5:$M$428="")+NOT(ISNUMBER('Client DB &amp; Bed Mgmt'!$M$5:$M$428))+IFERROR('Client DB &amp; Bed Mgmt'!$M$5:$M$428&lt;=EOMONTH(B109,0),FALSE)&gt;0)*--(('Client DB &amp; Bed Mgmt'!$N$5:$N$428="")+NOT(ISNUMBER('Client DB &amp; Bed Mgmt'!$N$5:$N$428))+IFERROR('Client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  <c r="V109" s="130">
        <f>IFERROR(T109*SUMPRODUCT(('Client DB &amp; Bed Mgmt'!$A$5:$A$428=K109)*('Client DB &amp; Bed Mgmt'!$B$5:$B$428=L109)*('Client DB &amp; Bed Mgmt'!$D$5:$D$428&lt;&gt;"")*--(('Client DB &amp; Bed Mgmt'!$M$5:$M$428="")+NOT(ISNUMBER('Client DB &amp; Bed Mgmt'!$M$5:$M$428))+IFERROR('Client DB &amp; Bed Mgmt'!$M$5:$M$428&lt;=EOMONTH(B109,0),FALSE)&gt;0)*--(('Client DB &amp; Bed Mgmt'!$N$5:$N$428="")+NOT(ISNUMBER('Client DB &amp; Bed Mgmt'!$N$5:$N$428))+IFERROR('Client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</row>
    <row r="110" hidden="1" ht="14.25" customHeight="1" s="83">
      <c r="A110" s="103" t="inlineStr">
        <is>
          <t>Dorm 2</t>
        </is>
      </c>
      <c r="B110" s="125">
        <f>DATE(YEAR(StartDate),MONTH(StartDate),1)</f>
        <v/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Mgmt'!$B:$B,C110,'Client DB &amp; Bed Mgmt'!$E:$E,"Occupied"),0)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Mgmt'!$M:$M,"&lt;="&amp;EOMONTH($B110,0),'Client DB &amp; Bed Mgmt'!$N:$N,"&gt;="&amp;DATE(YEAR($B110),MONTH($B110),1))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29">
        <f>IFERROR(J110*SUMPRODUCT(('Client DB &amp; Bed Mgmt'!$A$5:$A$428=A110)*('Client DB &amp; Bed Mgmt'!$B$5:$B$428=C110)*('Client DB &amp; Bed Mgmt'!$D$5:$D$428&lt;&gt;"")*--(('Client DB &amp; Bed Mgmt'!$M$5:$M$428="")+NOT(ISNUMBER('Client DB &amp; Bed Mgmt'!$M$5:$M$428))+IFERROR('Client DB &amp; Bed Mgmt'!$M$5:$M$428&lt;=EOMONTH(B110,0),FALSE)&gt;0)*--(('Client DB &amp; Bed Mgmt'!$N$5:$N$428="")+NOT(ISNUMBER('Client DB &amp; Bed Mgmt'!$N$5:$N$428))+IFERROR('Client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  <c r="V110" s="130">
        <f>IFERROR(T110*SUMPRODUCT(('Client DB &amp; Bed Mgmt'!$A$5:$A$428=K110)*('Client DB &amp; Bed Mgmt'!$B$5:$B$428=L110)*('Client DB &amp; Bed Mgmt'!$D$5:$D$428&lt;&gt;"")*--(('Client DB &amp; Bed Mgmt'!$M$5:$M$428="")+NOT(ISNUMBER('Client DB &amp; Bed Mgmt'!$M$5:$M$428))+IFERROR('Client DB &amp; Bed Mgmt'!$M$5:$M$428&lt;=EOMONTH(B110,0),FALSE)&gt;0)*--(('Client DB &amp; Bed Mgmt'!$N$5:$N$428="")+NOT(ISNUMBER('Client DB &amp; Bed Mgmt'!$N$5:$N$428))+IFERROR('Client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</row>
    <row r="111" hidden="1" ht="14.25" customHeight="1" s="83">
      <c r="A111" s="103" t="inlineStr">
        <is>
          <t>Dorm 2</t>
        </is>
      </c>
      <c r="B111" s="125">
        <f>DATE(YEAR(StartDate),MONTH(StartDate),1)</f>
        <v/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Mgmt'!$B:$B,C111,'Client DB &amp; Bed Mgmt'!$E:$E,"Occupied"),0)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Mgmt'!$M:$M,"&lt;="&amp;EOMONTH($B111,0),'Client DB &amp; Bed Mgmt'!$N:$N,"&gt;="&amp;DATE(YEAR($B111),MONTH($B111),1))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29">
        <f>IFERROR(J111*SUMPRODUCT(('Client DB &amp; Bed Mgmt'!$A$5:$A$428=A111)*('Client DB &amp; Bed Mgmt'!$B$5:$B$428=C111)*('Client DB &amp; Bed Mgmt'!$D$5:$D$428&lt;&gt;"")*--(('Client DB &amp; Bed Mgmt'!$M$5:$M$428="")+NOT(ISNUMBER('Client DB &amp; Bed Mgmt'!$M$5:$M$428))+IFERROR('Client DB &amp; Bed Mgmt'!$M$5:$M$428&lt;=EOMONTH(B111,0),FALSE)&gt;0)*--(('Client DB &amp; Bed Mgmt'!$N$5:$N$428="")+NOT(ISNUMBER('Client DB &amp; Bed Mgmt'!$N$5:$N$428))+IFERROR('Client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  <c r="V111" s="130">
        <f>IFERROR(T111*SUMPRODUCT(('Client DB &amp; Bed Mgmt'!$A$5:$A$428=K111)*('Client DB &amp; Bed Mgmt'!$B$5:$B$428=L111)*('Client DB &amp; Bed Mgmt'!$D$5:$D$428&lt;&gt;"")*--(('Client DB &amp; Bed Mgmt'!$M$5:$M$428="")+NOT(ISNUMBER('Client DB &amp; Bed Mgmt'!$M$5:$M$428))+IFERROR('Client DB &amp; Bed Mgmt'!$M$5:$M$428&lt;=EOMONTH(B111,0),FALSE)&gt;0)*--(('Client DB &amp; Bed Mgmt'!$N$5:$N$428="")+NOT(ISNUMBER('Client DB &amp; Bed Mgmt'!$N$5:$N$428))+IFERROR('Client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</row>
    <row r="112" hidden="1" ht="14.25" customHeight="1" s="83">
      <c r="A112" s="103" t="inlineStr">
        <is>
          <t>Dorm 2</t>
        </is>
      </c>
      <c r="B112" s="125">
        <f>DATE(YEAR(StartDate),MONTH(StartDate),1)</f>
        <v/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Mgmt'!$B:$B,C112,'Client DB &amp; Bed Mgmt'!$E:$E,"Occupied"),0)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Mgmt'!$M:$M,"&lt;="&amp;EOMONTH($B112,0),'Client DB &amp; Bed Mgmt'!$N:$N,"&gt;="&amp;DATE(YEAR($B112),MONTH($B112),1))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29">
        <f>IFERROR(J112*SUMPRODUCT(('Client DB &amp; Bed Mgmt'!$A$5:$A$428=A112)*('Client DB &amp; Bed Mgmt'!$B$5:$B$428=C112)*('Client DB &amp; Bed Mgmt'!$D$5:$D$428&lt;&gt;"")*--(('Client DB &amp; Bed Mgmt'!$M$5:$M$428="")+NOT(ISNUMBER('Client DB &amp; Bed Mgmt'!$M$5:$M$428))+IFERROR('Client DB &amp; Bed Mgmt'!$M$5:$M$428&lt;=EOMONTH(B112,0),FALSE)&gt;0)*--(('Client DB &amp; Bed Mgmt'!$N$5:$N$428="")+NOT(ISNUMBER('Client DB &amp; Bed Mgmt'!$N$5:$N$428))+IFERROR('Client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  <c r="V112" s="130">
        <f>IFERROR(T112*SUMPRODUCT(('Client DB &amp; Bed Mgmt'!$A$5:$A$428=K112)*('Client DB &amp; Bed Mgmt'!$B$5:$B$428=L112)*('Client DB &amp; Bed Mgmt'!$D$5:$D$428&lt;&gt;"")*--(('Client DB &amp; Bed Mgmt'!$M$5:$M$428="")+NOT(ISNUMBER('Client DB &amp; Bed Mgmt'!$M$5:$M$428))+IFERROR('Client DB &amp; Bed Mgmt'!$M$5:$M$428&lt;=EOMONTH(B112,0),FALSE)&gt;0)*--(('Client DB &amp; Bed Mgmt'!$N$5:$N$428="")+NOT(ISNUMBER('Client DB &amp; Bed Mgmt'!$N$5:$N$428))+IFERROR('Client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</row>
    <row r="113" hidden="1" ht="14.25" customHeight="1" s="83">
      <c r="A113" s="103" t="inlineStr">
        <is>
          <t>Dorm 2</t>
        </is>
      </c>
      <c r="B113" s="125">
        <f>DATE(YEAR(StartDate),MONTH(StartDate),1)</f>
        <v/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Mgmt'!$B:$B,C113,'Client DB &amp; Bed Mgmt'!$E:$E,"Occupied"),0)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Mgmt'!$M:$M,"&lt;="&amp;EOMONTH($B113,0),'Client DB &amp; Bed Mgmt'!$N:$N,"&gt;="&amp;DATE(YEAR($B113),MONTH($B113),1))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29">
        <f>IFERROR(J113*SUMPRODUCT(('Client DB &amp; Bed Mgmt'!$A$5:$A$428=A113)*('Client DB &amp; Bed Mgmt'!$B$5:$B$428=C113)*('Client DB &amp; Bed Mgmt'!$D$5:$D$428&lt;&gt;"")*--(('Client DB &amp; Bed Mgmt'!$M$5:$M$428="")+NOT(ISNUMBER('Client DB &amp; Bed Mgmt'!$M$5:$M$428))+IFERROR('Client DB &amp; Bed Mgmt'!$M$5:$M$428&lt;=EOMONTH(B113,0),FALSE)&gt;0)*--(('Client DB &amp; Bed Mgmt'!$N$5:$N$428="")+NOT(ISNUMBER('Client DB &amp; Bed Mgmt'!$N$5:$N$428))+IFERROR('Client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  <c r="V113" s="130">
        <f>IFERROR(T113*SUMPRODUCT(('Client DB &amp; Bed Mgmt'!$A$5:$A$428=K113)*('Client DB &amp; Bed Mgmt'!$B$5:$B$428=L113)*('Client DB &amp; Bed Mgmt'!$D$5:$D$428&lt;&gt;"")*--(('Client DB &amp; Bed Mgmt'!$M$5:$M$428="")+NOT(ISNUMBER('Client DB &amp; Bed Mgmt'!$M$5:$M$428))+IFERROR('Client DB &amp; Bed Mgmt'!$M$5:$M$428&lt;=EOMONTH(B113,0),FALSE)&gt;0)*--(('Client DB &amp; Bed Mgmt'!$N$5:$N$428="")+NOT(ISNUMBER('Client DB &amp; Bed Mgmt'!$N$5:$N$428))+IFERROR('Client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</row>
    <row r="114" hidden="1" ht="14.25" customHeight="1" s="83">
      <c r="A114" s="103" t="inlineStr">
        <is>
          <t>Dorm 2</t>
        </is>
      </c>
      <c r="B114" s="125">
        <f>DATE(YEAR(StartDate),MONTH(StartDate),1)</f>
        <v/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Mgmt'!$B:$B,C114,'Client DB &amp; Bed Mgmt'!$E:$E,"Occupied"),0)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Mgmt'!$M:$M,"&lt;="&amp;EOMONTH($B114,0),'Client DB &amp; Bed Mgmt'!$N:$N,"&gt;="&amp;DATE(YEAR($B114),MONTH($B114),1))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29">
        <f>IFERROR(J114*SUMPRODUCT(('Client DB &amp; Bed Mgmt'!$A$5:$A$428=A114)*('Client DB &amp; Bed Mgmt'!$B$5:$B$428=C114)*('Client DB &amp; Bed Mgmt'!$D$5:$D$428&lt;&gt;"")*--(('Client DB &amp; Bed Mgmt'!$M$5:$M$428="")+NOT(ISNUMBER('Client DB &amp; Bed Mgmt'!$M$5:$M$428))+IFERROR('Client DB &amp; Bed Mgmt'!$M$5:$M$428&lt;=EOMONTH(B114,0),FALSE)&gt;0)*--(('Client DB &amp; Bed Mgmt'!$N$5:$N$428="")+NOT(ISNUMBER('Client DB &amp; Bed Mgmt'!$N$5:$N$428))+IFERROR('Client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  <c r="V114" s="130">
        <f>IFERROR(T114*SUMPRODUCT(('Client DB &amp; Bed Mgmt'!$A$5:$A$428=K114)*('Client DB &amp; Bed Mgmt'!$B$5:$B$428=L114)*('Client DB &amp; Bed Mgmt'!$D$5:$D$428&lt;&gt;"")*--(('Client DB &amp; Bed Mgmt'!$M$5:$M$428="")+NOT(ISNUMBER('Client DB &amp; Bed Mgmt'!$M$5:$M$428))+IFERROR('Client DB &amp; Bed Mgmt'!$M$5:$M$428&lt;=EOMONTH(B114,0),FALSE)&gt;0)*--(('Client DB &amp; Bed Mgmt'!$N$5:$N$428="")+NOT(ISNUMBER('Client DB &amp; Bed Mgmt'!$N$5:$N$428))+IFERROR('Client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</row>
    <row r="115" hidden="1" ht="14.25" customHeight="1" s="83">
      <c r="A115" s="103" t="inlineStr">
        <is>
          <t>Dorm 2</t>
        </is>
      </c>
      <c r="B115" s="125">
        <f>DATE(YEAR(StartDate),MONTH(StartDate),1)</f>
        <v/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Mgmt'!$B:$B,C115,'Client DB &amp; Bed Mgmt'!$E:$E,"Occupied"),0)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Mgmt'!$M:$M,"&lt;="&amp;EOMONTH($B115,0),'Client DB &amp; Bed Mgmt'!$N:$N,"&gt;="&amp;DATE(YEAR($B115),MONTH($B115),1))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29">
        <f>IFERROR(J115*SUMPRODUCT(('Client DB &amp; Bed Mgmt'!$A$5:$A$428=A115)*('Client DB &amp; Bed Mgmt'!$B$5:$B$428=C115)*('Client DB &amp; Bed Mgmt'!$D$5:$D$428&lt;&gt;"")*--(('Client DB &amp; Bed Mgmt'!$M$5:$M$428="")+NOT(ISNUMBER('Client DB &amp; Bed Mgmt'!$M$5:$M$428))+IFERROR('Client DB &amp; Bed Mgmt'!$M$5:$M$428&lt;=EOMONTH(B115,0),FALSE)&gt;0)*--(('Client DB &amp; Bed Mgmt'!$N$5:$N$428="")+NOT(ISNUMBER('Client DB &amp; Bed Mgmt'!$N$5:$N$428))+IFERROR('Client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  <c r="V115" s="130">
        <f>IFERROR(T115*SUMPRODUCT(('Client DB &amp; Bed Mgmt'!$A$5:$A$428=K115)*('Client DB &amp; Bed Mgmt'!$B$5:$B$428=L115)*('Client DB &amp; Bed Mgmt'!$D$5:$D$428&lt;&gt;"")*--(('Client DB &amp; Bed Mgmt'!$M$5:$M$428="")+NOT(ISNUMBER('Client DB &amp; Bed Mgmt'!$M$5:$M$428))+IFERROR('Client DB &amp; Bed Mgmt'!$M$5:$M$428&lt;=EOMONTH(B115,0),FALSE)&gt;0)*--(('Client DB &amp; Bed Mgmt'!$N$5:$N$428="")+NOT(ISNUMBER('Client DB &amp; Bed Mgmt'!$N$5:$N$428))+IFERROR('Client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</row>
    <row r="116" hidden="1" ht="14.25" customHeight="1" s="83">
      <c r="A116" s="103" t="inlineStr">
        <is>
          <t>Dorm 2</t>
        </is>
      </c>
      <c r="B116" s="125">
        <f>DATE(YEAR(StartDate),MONTH(StartDate),1)</f>
        <v/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Mgmt'!$B:$B,C116,'Client DB &amp; Bed Mgmt'!$E:$E,"Occupied"),0)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Mgmt'!$M:$M,"&lt;="&amp;EOMONTH($B116,0),'Client DB &amp; Bed Mgmt'!$N:$N,"&gt;="&amp;DATE(YEAR($B116),MONTH($B116),1))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29">
        <f>IFERROR(J116*SUMPRODUCT(('Client DB &amp; Bed Mgmt'!$A$5:$A$428=A116)*('Client DB &amp; Bed Mgmt'!$B$5:$B$428=C116)*('Client DB &amp; Bed Mgmt'!$D$5:$D$428&lt;&gt;"")*--(('Client DB &amp; Bed Mgmt'!$M$5:$M$428="")+NOT(ISNUMBER('Client DB &amp; Bed Mgmt'!$M$5:$M$428))+IFERROR('Client DB &amp; Bed Mgmt'!$M$5:$M$428&lt;=EOMONTH(B116,0),FALSE)&gt;0)*--(('Client DB &amp; Bed Mgmt'!$N$5:$N$428="")+NOT(ISNUMBER('Client DB &amp; Bed Mgmt'!$N$5:$N$428))+IFERROR('Client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  <c r="V116" s="130">
        <f>IFERROR(T116*SUMPRODUCT(('Client DB &amp; Bed Mgmt'!$A$5:$A$428=K116)*('Client DB &amp; Bed Mgmt'!$B$5:$B$428=L116)*('Client DB &amp; Bed Mgmt'!$D$5:$D$428&lt;&gt;"")*--(('Client DB &amp; Bed Mgmt'!$M$5:$M$428="")+NOT(ISNUMBER('Client DB &amp; Bed Mgmt'!$M$5:$M$428))+IFERROR('Client DB &amp; Bed Mgmt'!$M$5:$M$428&lt;=EOMONTH(B116,0),FALSE)&gt;0)*--(('Client DB &amp; Bed Mgmt'!$N$5:$N$428="")+NOT(ISNUMBER('Client DB &amp; Bed Mgmt'!$N$5:$N$428))+IFERROR('Client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</row>
    <row r="117" hidden="1" ht="14.25" customHeight="1" s="83">
      <c r="A117" s="103" t="inlineStr">
        <is>
          <t>Dorm 2</t>
        </is>
      </c>
      <c r="B117" s="125">
        <f>DATE(YEAR(StartDate),MONTH(StartDate),1)</f>
        <v/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Mgmt'!$B:$B,C117,'Client DB &amp; Bed Mgmt'!$E:$E,"Occupied"),0)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Mgmt'!$M:$M,"&lt;="&amp;EOMONTH($B117,0),'Client DB &amp; Bed Mgmt'!$N:$N,"&gt;="&amp;DATE(YEAR($B117),MONTH($B117),1))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29">
        <f>IFERROR(J117*SUMPRODUCT(('Client DB &amp; Bed Mgmt'!$A$5:$A$428=A117)*('Client DB &amp; Bed Mgmt'!$B$5:$B$428=C117)*('Client DB &amp; Bed Mgmt'!$D$5:$D$428&lt;&gt;"")*--(('Client DB &amp; Bed Mgmt'!$M$5:$M$428="")+NOT(ISNUMBER('Client DB &amp; Bed Mgmt'!$M$5:$M$428))+IFERROR('Client DB &amp; Bed Mgmt'!$M$5:$M$428&lt;=EOMONTH(B117,0),FALSE)&gt;0)*--(('Client DB &amp; Bed Mgmt'!$N$5:$N$428="")+NOT(ISNUMBER('Client DB &amp; Bed Mgmt'!$N$5:$N$428))+IFERROR('Client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  <c r="V117" s="130">
        <f>IFERROR(T117*SUMPRODUCT(('Client DB &amp; Bed Mgmt'!$A$5:$A$428=K117)*('Client DB &amp; Bed Mgmt'!$B$5:$B$428=L117)*('Client DB &amp; Bed Mgmt'!$D$5:$D$428&lt;&gt;"")*--(('Client DB &amp; Bed Mgmt'!$M$5:$M$428="")+NOT(ISNUMBER('Client DB &amp; Bed Mgmt'!$M$5:$M$428))+IFERROR('Client DB &amp; Bed Mgmt'!$M$5:$M$428&lt;=EOMONTH(B117,0),FALSE)&gt;0)*--(('Client DB &amp; Bed Mgmt'!$N$5:$N$428="")+NOT(ISNUMBER('Client DB &amp; Bed Mgmt'!$N$5:$N$428))+IFERROR('Client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</row>
    <row r="118" hidden="1" ht="14.25" customHeight="1" s="83">
      <c r="A118" s="103" t="inlineStr">
        <is>
          <t>Dorm 2</t>
        </is>
      </c>
      <c r="B118" s="125">
        <f>DATE(YEAR(StartDate),MONTH(StartDate),1)</f>
        <v/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Mgmt'!$B:$B,C118,'Client DB &amp; Bed Mgmt'!$E:$E,"Occupied"),0)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Mgmt'!$M:$M,"&lt;="&amp;EOMONTH($B118,0),'Client DB &amp; Bed Mgmt'!$N:$N,"&gt;="&amp;DATE(YEAR($B118),MONTH($B118),1))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29">
        <f>IFERROR(J118*SUMPRODUCT(('Client DB &amp; Bed Mgmt'!$A$5:$A$428=A118)*('Client DB &amp; Bed Mgmt'!$B$5:$B$428=C118)*('Client DB &amp; Bed Mgmt'!$D$5:$D$428&lt;&gt;"")*--(('Client DB &amp; Bed Mgmt'!$M$5:$M$428="")+NOT(ISNUMBER('Client DB &amp; Bed Mgmt'!$M$5:$M$428))+IFERROR('Client DB &amp; Bed Mgmt'!$M$5:$M$428&lt;=EOMONTH(B118,0),FALSE)&gt;0)*--(('Client DB &amp; Bed Mgmt'!$N$5:$N$428="")+NOT(ISNUMBER('Client DB &amp; Bed Mgmt'!$N$5:$N$428))+IFERROR('Client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  <c r="V118" s="130">
        <f>IFERROR(T118*SUMPRODUCT(('Client DB &amp; Bed Mgmt'!$A$5:$A$428=K118)*('Client DB &amp; Bed Mgmt'!$B$5:$B$428=L118)*('Client DB &amp; Bed Mgmt'!$D$5:$D$428&lt;&gt;"")*--(('Client DB &amp; Bed Mgmt'!$M$5:$M$428="")+NOT(ISNUMBER('Client DB &amp; Bed Mgmt'!$M$5:$M$428))+IFERROR('Client DB &amp; Bed Mgmt'!$M$5:$M$428&lt;=EOMONTH(B118,0),FALSE)&gt;0)*--(('Client DB &amp; Bed Mgmt'!$N$5:$N$428="")+NOT(ISNUMBER('Client DB &amp; Bed Mgmt'!$N$5:$N$428))+IFERROR('Client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</row>
    <row r="119" hidden="1" ht="14.25" customHeight="1" s="83">
      <c r="A119" s="103" t="inlineStr">
        <is>
          <t>Dorm 2</t>
        </is>
      </c>
      <c r="B119" s="125">
        <f>DATE(YEAR(StartDate),MONTH(StartDate),1)</f>
        <v/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Mgmt'!$B:$B,C119,'Client DB &amp; Bed Mgmt'!$E:$E,"Occupied"),0)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Mgmt'!$M:$M,"&lt;="&amp;EOMONTH($B119,0),'Client DB &amp; Bed Mgmt'!$N:$N,"&gt;="&amp;DATE(YEAR($B119),MONTH($B119),1))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29">
        <f>IFERROR(J119*SUMPRODUCT(('Client DB &amp; Bed Mgmt'!$A$5:$A$428=A119)*('Client DB &amp; Bed Mgmt'!$B$5:$B$428=C119)*('Client DB &amp; Bed Mgmt'!$D$5:$D$428&lt;&gt;"")*--(('Client DB &amp; Bed Mgmt'!$M$5:$M$428="")+NOT(ISNUMBER('Client DB &amp; Bed Mgmt'!$M$5:$M$428))+IFERROR('Client DB &amp; Bed Mgmt'!$M$5:$M$428&lt;=EOMONTH(B119,0),FALSE)&gt;0)*--(('Client DB &amp; Bed Mgmt'!$N$5:$N$428="")+NOT(ISNUMBER('Client DB &amp; Bed Mgmt'!$N$5:$N$428))+IFERROR('Client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  <c r="V119" s="130">
        <f>IFERROR(T119*SUMPRODUCT(('Client DB &amp; Bed Mgmt'!$A$5:$A$428=K119)*('Client DB &amp; Bed Mgmt'!$B$5:$B$428=L119)*('Client DB &amp; Bed Mgmt'!$D$5:$D$428&lt;&gt;"")*--(('Client DB &amp; Bed Mgmt'!$M$5:$M$428="")+NOT(ISNUMBER('Client DB &amp; Bed Mgmt'!$M$5:$M$428))+IFERROR('Client DB &amp; Bed Mgmt'!$M$5:$M$428&lt;=EOMONTH(B119,0),FALSE)&gt;0)*--(('Client DB &amp; Bed Mgmt'!$N$5:$N$428="")+NOT(ISNUMBER('Client DB &amp; Bed Mgmt'!$N$5:$N$428))+IFERROR('Client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</row>
    <row r="120" hidden="1" ht="14.25" customHeight="1" s="83">
      <c r="A120" s="103" t="inlineStr">
        <is>
          <t>Dorm 2</t>
        </is>
      </c>
      <c r="B120" s="125">
        <f>DATE(YEAR(StartDate),MONTH(StartDate),1)</f>
        <v/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Mgmt'!$B:$B,C120,'Client DB &amp; Bed Mgmt'!$E:$E,"Occupied"),0)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Mgmt'!$M:$M,"&lt;="&amp;EOMONTH($B120,0),'Client DB &amp; Bed Mgmt'!$N:$N,"&gt;="&amp;DATE(YEAR($B120),MONTH($B120),1))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29">
        <f>IFERROR(J120*SUMPRODUCT(('Client DB &amp; Bed Mgmt'!$A$5:$A$428=A120)*('Client DB &amp; Bed Mgmt'!$B$5:$B$428=C120)*('Client DB &amp; Bed Mgmt'!$D$5:$D$428&lt;&gt;"")*--(('Client DB &amp; Bed Mgmt'!$M$5:$M$428="")+NOT(ISNUMBER('Client DB &amp; Bed Mgmt'!$M$5:$M$428))+IFERROR('Client DB &amp; Bed Mgmt'!$M$5:$M$428&lt;=EOMONTH(B120,0),FALSE)&gt;0)*--(('Client DB &amp; Bed Mgmt'!$N$5:$N$428="")+NOT(ISNUMBER('Client DB &amp; Bed Mgmt'!$N$5:$N$428))+IFERROR('Client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  <c r="V120" s="130">
        <f>IFERROR(T120*SUMPRODUCT(('Client DB &amp; Bed Mgmt'!$A$5:$A$428=K120)*('Client DB &amp; Bed Mgmt'!$B$5:$B$428=L120)*('Client DB &amp; Bed Mgmt'!$D$5:$D$428&lt;&gt;"")*--(('Client DB &amp; Bed Mgmt'!$M$5:$M$428="")+NOT(ISNUMBER('Client DB &amp; Bed Mgmt'!$M$5:$M$428))+IFERROR('Client DB &amp; Bed Mgmt'!$M$5:$M$428&lt;=EOMONTH(B120,0),FALSE)&gt;0)*--(('Client DB &amp; Bed Mgmt'!$N$5:$N$428="")+NOT(ISNUMBER('Client DB &amp; Bed Mgmt'!$N$5:$N$428))+IFERROR('Client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</row>
    <row r="121" hidden="1" ht="14.25" customHeight="1" s="83">
      <c r="A121" s="103" t="inlineStr">
        <is>
          <t>Dorm 2</t>
        </is>
      </c>
      <c r="B121" s="125">
        <f>DATE(YEAR(StartDate),MONTH(StartDate),1)</f>
        <v/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Mgmt'!$B:$B,C121,'Client DB &amp; Bed Mgmt'!$E:$E,"Occupied"),0)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Mgmt'!$M:$M,"&lt;="&amp;EOMONTH($B121,0),'Client DB &amp; Bed Mgmt'!$N:$N,"&gt;="&amp;DATE(YEAR($B121),MONTH($B121),1))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29">
        <f>IFERROR(J121*SUMPRODUCT(('Client DB &amp; Bed Mgmt'!$A$5:$A$428=A121)*('Client DB &amp; Bed Mgmt'!$B$5:$B$428=C121)*('Client DB &amp; Bed Mgmt'!$D$5:$D$428&lt;&gt;"")*--(('Client DB &amp; Bed Mgmt'!$M$5:$M$428="")+NOT(ISNUMBER('Client DB &amp; Bed Mgmt'!$M$5:$M$428))+IFERROR('Client DB &amp; Bed Mgmt'!$M$5:$M$428&lt;=EOMONTH(B121,0),FALSE)&gt;0)*--(('Client DB &amp; Bed Mgmt'!$N$5:$N$428="")+NOT(ISNUMBER('Client DB &amp; Bed Mgmt'!$N$5:$N$428))+IFERROR('Client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  <c r="V121" s="130">
        <f>IFERROR(T121*SUMPRODUCT(('Client DB &amp; Bed Mgmt'!$A$5:$A$428=K121)*('Client DB &amp; Bed Mgmt'!$B$5:$B$428=L121)*('Client DB &amp; Bed Mgmt'!$D$5:$D$428&lt;&gt;"")*--(('Client DB &amp; Bed Mgmt'!$M$5:$M$428="")+NOT(ISNUMBER('Client DB &amp; Bed Mgmt'!$M$5:$M$428))+IFERROR('Client DB &amp; Bed Mgmt'!$M$5:$M$428&lt;=EOMONTH(B121,0),FALSE)&gt;0)*--(('Client DB &amp; Bed Mgmt'!$N$5:$N$428="")+NOT(ISNUMBER('Client DB &amp; Bed Mgmt'!$N$5:$N$428))+IFERROR('Client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</row>
    <row r="122" hidden="1" ht="14.25" customHeight="1" s="83">
      <c r="A122" s="103" t="inlineStr">
        <is>
          <t>Dorm 2</t>
        </is>
      </c>
      <c r="B122" s="125">
        <f>DATE(YEAR(StartDate),MONTH(StartDate),1)</f>
        <v/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Mgmt'!$B:$B,C122,'Client DB &amp; Bed Mgmt'!$E:$E,"Occupied"),0)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Mgmt'!$M:$M,"&lt;="&amp;EOMONTH($B122,0),'Client DB &amp; Bed Mgmt'!$N:$N,"&gt;="&amp;DATE(YEAR($B122),MONTH($B122),1))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29">
        <f>IFERROR(J122*SUMPRODUCT(('Client DB &amp; Bed Mgmt'!$A$5:$A$428=A122)*('Client DB &amp; Bed Mgmt'!$B$5:$B$428=C122)*('Client DB &amp; Bed Mgmt'!$D$5:$D$428&lt;&gt;"")*--(('Client DB &amp; Bed Mgmt'!$M$5:$M$428="")+NOT(ISNUMBER('Client DB &amp; Bed Mgmt'!$M$5:$M$428))+IFERROR('Client DB &amp; Bed Mgmt'!$M$5:$M$428&lt;=EOMONTH(B122,0),FALSE)&gt;0)*--(('Client DB &amp; Bed Mgmt'!$N$5:$N$428="")+NOT(ISNUMBER('Client DB &amp; Bed Mgmt'!$N$5:$N$428))+IFERROR('Client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  <c r="V122" s="130">
        <f>IFERROR(T122*SUMPRODUCT(('Client DB &amp; Bed Mgmt'!$A$5:$A$428=K122)*('Client DB &amp; Bed Mgmt'!$B$5:$B$428=L122)*('Client DB &amp; Bed Mgmt'!$D$5:$D$428&lt;&gt;"")*--(('Client DB &amp; Bed Mgmt'!$M$5:$M$428="")+NOT(ISNUMBER('Client DB &amp; Bed Mgmt'!$M$5:$M$428))+IFERROR('Client DB &amp; Bed Mgmt'!$M$5:$M$428&lt;=EOMONTH(B122,0),FALSE)&gt;0)*--(('Client DB &amp; Bed Mgmt'!$N$5:$N$428="")+NOT(ISNUMBER('Client DB &amp; Bed Mgmt'!$N$5:$N$428))+IFERROR('Client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</row>
    <row r="123" hidden="1" ht="14.25" customHeight="1" s="83">
      <c r="A123" s="103" t="inlineStr">
        <is>
          <t>Dorm 2</t>
        </is>
      </c>
      <c r="B123" s="125">
        <f>DATE(YEAR(StartDate),MONTH(StartDate),1)</f>
        <v/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Mgmt'!$B:$B,C123,'Client DB &amp; Bed Mgmt'!$E:$E,"Occupied"),0)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Mgmt'!$M:$M,"&lt;="&amp;EOMONTH($B123,0),'Client DB &amp; Bed Mgmt'!$N:$N,"&gt;="&amp;DATE(YEAR($B123),MONTH($B123),1))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29">
        <f>IFERROR(J123*SUMPRODUCT(('Client DB &amp; Bed Mgmt'!$A$5:$A$428=A123)*('Client DB &amp; Bed Mgmt'!$B$5:$B$428=C123)*('Client DB &amp; Bed Mgmt'!$D$5:$D$428&lt;&gt;"")*--(('Client DB &amp; Bed Mgmt'!$M$5:$M$428="")+NOT(ISNUMBER('Client DB &amp; Bed Mgmt'!$M$5:$M$428))+IFERROR('Client DB &amp; Bed Mgmt'!$M$5:$M$428&lt;=EOMONTH(B123,0),FALSE)&gt;0)*--(('Client DB &amp; Bed Mgmt'!$N$5:$N$428="")+NOT(ISNUMBER('Client DB &amp; Bed Mgmt'!$N$5:$N$428))+IFERROR('Client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  <c r="V123" s="130">
        <f>IFERROR(T123*SUMPRODUCT(('Client DB &amp; Bed Mgmt'!$A$5:$A$428=K123)*('Client DB &amp; Bed Mgmt'!$B$5:$B$428=L123)*('Client DB &amp; Bed Mgmt'!$D$5:$D$428&lt;&gt;"")*--(('Client DB &amp; Bed Mgmt'!$M$5:$M$428="")+NOT(ISNUMBER('Client DB &amp; Bed Mgmt'!$M$5:$M$428))+IFERROR('Client DB &amp; Bed Mgmt'!$M$5:$M$428&lt;=EOMONTH(B123,0),FALSE)&gt;0)*--(('Client DB &amp; Bed Mgmt'!$N$5:$N$428="")+NOT(ISNUMBER('Client DB &amp; Bed Mgmt'!$N$5:$N$428))+IFERROR('Client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</row>
    <row r="124" hidden="1" ht="14.25" customHeight="1" s="83">
      <c r="A124" s="103" t="inlineStr">
        <is>
          <t>Dorm 2</t>
        </is>
      </c>
      <c r="B124" s="125">
        <f>DATE(YEAR(StartDate),MONTH(StartDate),1)</f>
        <v/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Mgmt'!$B:$B,C124,'Client DB &amp; Bed Mgmt'!$E:$E,"Occupied"),0)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Mgmt'!$M:$M,"&lt;="&amp;EOMONTH($B124,0),'Client DB &amp; Bed Mgmt'!$N:$N,"&gt;="&amp;DATE(YEAR($B124),MONTH($B124),1))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29">
        <f>IFERROR(J124*SUMPRODUCT(('Client DB &amp; Bed Mgmt'!$A$5:$A$428=A124)*('Client DB &amp; Bed Mgmt'!$B$5:$B$428=C124)*('Client DB &amp; Bed Mgmt'!$D$5:$D$428&lt;&gt;"")*--(('Client DB &amp; Bed Mgmt'!$M$5:$M$428="")+NOT(ISNUMBER('Client DB &amp; Bed Mgmt'!$M$5:$M$428))+IFERROR('Client DB &amp; Bed Mgmt'!$M$5:$M$428&lt;=EOMONTH(B124,0),FALSE)&gt;0)*--(('Client DB &amp; Bed Mgmt'!$N$5:$N$428="")+NOT(ISNUMBER('Client DB &amp; Bed Mgmt'!$N$5:$N$428))+IFERROR('Client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  <c r="V124" s="130">
        <f>IFERROR(T124*SUMPRODUCT(('Client DB &amp; Bed Mgmt'!$A$5:$A$428=K124)*('Client DB &amp; Bed Mgmt'!$B$5:$B$428=L124)*('Client DB &amp; Bed Mgmt'!$D$5:$D$428&lt;&gt;"")*--(('Client DB &amp; Bed Mgmt'!$M$5:$M$428="")+NOT(ISNUMBER('Client DB &amp; Bed Mgmt'!$M$5:$M$428))+IFERROR('Client DB &amp; Bed Mgmt'!$M$5:$M$428&lt;=EOMONTH(B124,0),FALSE)&gt;0)*--(('Client DB &amp; Bed Mgmt'!$N$5:$N$428="")+NOT(ISNUMBER('Client DB &amp; Bed Mgmt'!$N$5:$N$428))+IFERROR('Client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</row>
    <row r="125" hidden="1" ht="14.25" customHeight="1" s="83">
      <c r="A125" s="103" t="inlineStr">
        <is>
          <t>Dorm 2</t>
        </is>
      </c>
      <c r="B125" s="125">
        <f>DATE(YEAR(StartDate),MONTH(StartDate),1)</f>
        <v/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Mgmt'!$B:$B,C125,'Client DB &amp; Bed Mgmt'!$E:$E,"Occupied"),0)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Mgmt'!$M:$M,"&lt;="&amp;EOMONTH($B125,0),'Client DB &amp; Bed Mgmt'!$N:$N,"&gt;="&amp;DATE(YEAR($B125),MONTH($B125),1))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29">
        <f>IFERROR(J125*SUMPRODUCT(('Client DB &amp; Bed Mgmt'!$A$5:$A$428=A125)*('Client DB &amp; Bed Mgmt'!$B$5:$B$428=C125)*('Client DB &amp; Bed Mgmt'!$D$5:$D$428&lt;&gt;"")*--(('Client DB &amp; Bed Mgmt'!$M$5:$M$428="")+NOT(ISNUMBER('Client DB &amp; Bed Mgmt'!$M$5:$M$428))+IFERROR('Client DB &amp; Bed Mgmt'!$M$5:$M$428&lt;=EOMONTH(B125,0),FALSE)&gt;0)*--(('Client DB &amp; Bed Mgmt'!$N$5:$N$428="")+NOT(ISNUMBER('Client DB &amp; Bed Mgmt'!$N$5:$N$428))+IFERROR('Client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  <c r="V125" s="130">
        <f>IFERROR(T125*SUMPRODUCT(('Client DB &amp; Bed Mgmt'!$A$5:$A$428=K125)*('Client DB &amp; Bed Mgmt'!$B$5:$B$428=L125)*('Client DB &amp; Bed Mgmt'!$D$5:$D$428&lt;&gt;"")*--(('Client DB &amp; Bed Mgmt'!$M$5:$M$428="")+NOT(ISNUMBER('Client DB &amp; Bed Mgmt'!$M$5:$M$428))+IFERROR('Client DB &amp; Bed Mgmt'!$M$5:$M$428&lt;=EOMONTH(B125,0),FALSE)&gt;0)*--(('Client DB &amp; Bed Mgmt'!$N$5:$N$428="")+NOT(ISNUMBER('Client DB &amp; Bed Mgmt'!$N$5:$N$428))+IFERROR('Client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</row>
    <row r="126" hidden="1" ht="14.25" customHeight="1" s="83">
      <c r="A126" s="103" t="inlineStr">
        <is>
          <t>Dorm 2</t>
        </is>
      </c>
      <c r="B126" s="125">
        <f>DATE(YEAR(StartDate),MONTH(StartDate),1)</f>
        <v/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Mgmt'!$B:$B,C126,'Client DB &amp; Bed Mgmt'!$E:$E,"Occupied"),0)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Mgmt'!$M:$M,"&lt;="&amp;EOMONTH($B126,0),'Client DB &amp; Bed Mgmt'!$N:$N,"&gt;="&amp;DATE(YEAR($B126),MONTH($B126),1))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29">
        <f>IFERROR(J126*SUMPRODUCT(('Client DB &amp; Bed Mgmt'!$A$5:$A$428=A126)*('Client DB &amp; Bed Mgmt'!$B$5:$B$428=C126)*('Client DB &amp; Bed Mgmt'!$D$5:$D$428&lt;&gt;"")*--(('Client DB &amp; Bed Mgmt'!$M$5:$M$428="")+NOT(ISNUMBER('Client DB &amp; Bed Mgmt'!$M$5:$M$428))+IFERROR('Client DB &amp; Bed Mgmt'!$M$5:$M$428&lt;=EOMONTH(B126,0),FALSE)&gt;0)*--(('Client DB &amp; Bed Mgmt'!$N$5:$N$428="")+NOT(ISNUMBER('Client DB &amp; Bed Mgmt'!$N$5:$N$428))+IFERROR('Client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  <c r="V126" s="130">
        <f>IFERROR(T126*SUMPRODUCT(('Client DB &amp; Bed Mgmt'!$A$5:$A$428=K126)*('Client DB &amp; Bed Mgmt'!$B$5:$B$428=L126)*('Client DB &amp; Bed Mgmt'!$D$5:$D$428&lt;&gt;"")*--(('Client DB &amp; Bed Mgmt'!$M$5:$M$428="")+NOT(ISNUMBER('Client DB &amp; Bed Mgmt'!$M$5:$M$428))+IFERROR('Client DB &amp; Bed Mgmt'!$M$5:$M$428&lt;=EOMONTH(B126,0),FALSE)&gt;0)*--(('Client DB &amp; Bed Mgmt'!$N$5:$N$428="")+NOT(ISNUMBER('Client DB &amp; Bed Mgmt'!$N$5:$N$428))+IFERROR('Client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</row>
    <row r="127" hidden="1" ht="14.25" customHeight="1" s="83">
      <c r="A127" s="103" t="inlineStr">
        <is>
          <t>Dorm 2</t>
        </is>
      </c>
      <c r="B127" s="125">
        <f>DATE(YEAR(StartDate),MONTH(StartDate),1)</f>
        <v/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Mgmt'!$B:$B,C127,'Client DB &amp; Bed Mgmt'!$E:$E,"Occupied"),0)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Mgmt'!$M:$M,"&lt;="&amp;EOMONTH($B127,0),'Client DB &amp; Bed Mgmt'!$N:$N,"&gt;="&amp;DATE(YEAR($B127),MONTH($B127),1))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29">
        <f>IFERROR(J127*SUMPRODUCT(('Client DB &amp; Bed Mgmt'!$A$5:$A$428=A127)*('Client DB &amp; Bed Mgmt'!$B$5:$B$428=C127)*('Client DB &amp; Bed Mgmt'!$D$5:$D$428&lt;&gt;"")*--(('Client DB &amp; Bed Mgmt'!$M$5:$M$428="")+NOT(ISNUMBER('Client DB &amp; Bed Mgmt'!$M$5:$M$428))+IFERROR('Client DB &amp; Bed Mgmt'!$M$5:$M$428&lt;=EOMONTH(B127,0),FALSE)&gt;0)*--(('Client DB &amp; Bed Mgmt'!$N$5:$N$428="")+NOT(ISNUMBER('Client DB &amp; Bed Mgmt'!$N$5:$N$428))+IFERROR('Client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  <c r="V127" s="130">
        <f>IFERROR(T127*SUMPRODUCT(('Client DB &amp; Bed Mgmt'!$A$5:$A$428=K127)*('Client DB &amp; Bed Mgmt'!$B$5:$B$428=L127)*('Client DB &amp; Bed Mgmt'!$D$5:$D$428&lt;&gt;"")*--(('Client DB &amp; Bed Mgmt'!$M$5:$M$428="")+NOT(ISNUMBER('Client DB &amp; Bed Mgmt'!$M$5:$M$428))+IFERROR('Client DB &amp; Bed Mgmt'!$M$5:$M$428&lt;=EOMONTH(B127,0),FALSE)&gt;0)*--(('Client DB &amp; Bed Mgmt'!$N$5:$N$428="")+NOT(ISNUMBER('Client DB &amp; Bed Mgmt'!$N$5:$N$428))+IFERROR('Client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</row>
    <row r="128" hidden="1" ht="14.25" customHeight="1" s="83">
      <c r="A128" s="103" t="inlineStr">
        <is>
          <t>Dorm 2</t>
        </is>
      </c>
      <c r="B128" s="125">
        <f>DATE(YEAR(StartDate),MONTH(StartDate),1)</f>
        <v/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Mgmt'!$B:$B,C128,'Client DB &amp; Bed Mgmt'!$E:$E,"Occupied"),0)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Mgmt'!$M:$M,"&lt;="&amp;EOMONTH($B128,0),'Client DB &amp; Bed Mgmt'!$N:$N,"&gt;="&amp;DATE(YEAR($B128),MONTH($B128),1))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29">
        <f>IFERROR(J128*SUMPRODUCT(('Client DB &amp; Bed Mgmt'!$A$5:$A$428=A128)*('Client DB &amp; Bed Mgmt'!$B$5:$B$428=C128)*('Client DB &amp; Bed Mgmt'!$D$5:$D$428&lt;&gt;"")*--(('Client DB &amp; Bed Mgmt'!$M$5:$M$428="")+NOT(ISNUMBER('Client DB &amp; Bed Mgmt'!$M$5:$M$428))+IFERROR('Client DB &amp; Bed Mgmt'!$M$5:$M$428&lt;=EOMONTH(B128,0),FALSE)&gt;0)*--(('Client DB &amp; Bed Mgmt'!$N$5:$N$428="")+NOT(ISNUMBER('Client DB &amp; Bed Mgmt'!$N$5:$N$428))+IFERROR('Client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  <c r="V128" s="130">
        <f>IFERROR(T128*SUMPRODUCT(('Client DB &amp; Bed Mgmt'!$A$5:$A$428=K128)*('Client DB &amp; Bed Mgmt'!$B$5:$B$428=L128)*('Client DB &amp; Bed Mgmt'!$D$5:$D$428&lt;&gt;"")*--(('Client DB &amp; Bed Mgmt'!$M$5:$M$428="")+NOT(ISNUMBER('Client DB &amp; Bed Mgmt'!$M$5:$M$428))+IFERROR('Client DB &amp; Bed Mgmt'!$M$5:$M$428&lt;=EOMONTH(B128,0),FALSE)&gt;0)*--(('Client DB &amp; Bed Mgmt'!$N$5:$N$428="")+NOT(ISNUMBER('Client DB &amp; Bed Mgmt'!$N$5:$N$428))+IFERROR('Client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</row>
    <row r="129" hidden="1" ht="14.25" customHeight="1" s="83">
      <c r="A129" s="103" t="inlineStr">
        <is>
          <t>Dorm 2</t>
        </is>
      </c>
      <c r="B129" s="125">
        <f>DATE(YEAR(StartDate),MONTH(StartDate),1)</f>
        <v/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Mgmt'!$B:$B,C129,'Client DB &amp; Bed Mgmt'!$E:$E,"Occupied"),0)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Mgmt'!$M:$M,"&lt;="&amp;EOMONTH($B129,0),'Client DB &amp; Bed Mgmt'!$N:$N,"&gt;="&amp;DATE(YEAR($B129),MONTH($B129),1))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29">
        <f>IFERROR(J129*SUMPRODUCT(('Client DB &amp; Bed Mgmt'!$A$5:$A$428=A129)*('Client DB &amp; Bed Mgmt'!$B$5:$B$428=C129)*('Client DB &amp; Bed Mgmt'!$D$5:$D$428&lt;&gt;"")*--(('Client DB &amp; Bed Mgmt'!$M$5:$M$428="")+NOT(ISNUMBER('Client DB &amp; Bed Mgmt'!$M$5:$M$428))+IFERROR('Client DB &amp; Bed Mgmt'!$M$5:$M$428&lt;=EOMONTH(B129,0),FALSE)&gt;0)*--(('Client DB &amp; Bed Mgmt'!$N$5:$N$428="")+NOT(ISNUMBER('Client DB &amp; Bed Mgmt'!$N$5:$N$428))+IFERROR('Client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  <c r="V129" s="130">
        <f>IFERROR(T129*SUMPRODUCT(('Client DB &amp; Bed Mgmt'!$A$5:$A$428=K129)*('Client DB &amp; Bed Mgmt'!$B$5:$B$428=L129)*('Client DB &amp; Bed Mgmt'!$D$5:$D$428&lt;&gt;"")*--(('Client DB &amp; Bed Mgmt'!$M$5:$M$428="")+NOT(ISNUMBER('Client DB &amp; Bed Mgmt'!$M$5:$M$428))+IFERROR('Client DB &amp; Bed Mgmt'!$M$5:$M$428&lt;=EOMONTH(B129,0),FALSE)&gt;0)*--(('Client DB &amp; Bed Mgmt'!$N$5:$N$428="")+NOT(ISNUMBER('Client DB &amp; Bed Mgmt'!$N$5:$N$428))+IFERROR('Client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</row>
    <row r="130" hidden="1" ht="14.25" customHeight="1" s="83">
      <c r="A130" s="103" t="inlineStr">
        <is>
          <t>Dorm 2</t>
        </is>
      </c>
      <c r="B130" s="125">
        <f>DATE(YEAR(StartDate),MONTH(StartDate),1)</f>
        <v/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Mgmt'!$B:$B,C130,'Client DB &amp; Bed Mgmt'!$E:$E,"Occupied"),0)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Mgmt'!$M:$M,"&lt;="&amp;EOMONTH($B130,0),'Client DB &amp; Bed Mgmt'!$N:$N,"&gt;="&amp;DATE(YEAR($B130),MONTH($B130),1))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29">
        <f>IFERROR(J130*SUMPRODUCT(('Client DB &amp; Bed Mgmt'!$A$5:$A$428=A130)*('Client DB &amp; Bed Mgmt'!$B$5:$B$428=C130)*('Client DB &amp; Bed Mgmt'!$D$5:$D$428&lt;&gt;"")*--(('Client DB &amp; Bed Mgmt'!$M$5:$M$428="")+NOT(ISNUMBER('Client DB &amp; Bed Mgmt'!$M$5:$M$428))+IFERROR('Client DB &amp; Bed Mgmt'!$M$5:$M$428&lt;=EOMONTH(B130,0),FALSE)&gt;0)*--(('Client DB &amp; Bed Mgmt'!$N$5:$N$428="")+NOT(ISNUMBER('Client DB &amp; Bed Mgmt'!$N$5:$N$428))+IFERROR('Client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  <c r="V130" s="130">
        <f>IFERROR(T130*SUMPRODUCT(('Client DB &amp; Bed Mgmt'!$A$5:$A$428=K130)*('Client DB &amp; Bed Mgmt'!$B$5:$B$428=L130)*('Client DB &amp; Bed Mgmt'!$D$5:$D$428&lt;&gt;"")*--(('Client DB &amp; Bed Mgmt'!$M$5:$M$428="")+NOT(ISNUMBER('Client DB &amp; Bed Mgmt'!$M$5:$M$428))+IFERROR('Client DB &amp; Bed Mgmt'!$M$5:$M$428&lt;=EOMONTH(B130,0),FALSE)&gt;0)*--(('Client DB &amp; Bed Mgmt'!$N$5:$N$428="")+NOT(ISNUMBER('Client DB &amp; Bed Mgmt'!$N$5:$N$428))+IFERROR('Client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</row>
    <row r="131" hidden="1" ht="14.25" customHeight="1" s="83">
      <c r="A131" s="103" t="inlineStr">
        <is>
          <t>Dorm 2</t>
        </is>
      </c>
      <c r="B131" s="125">
        <f>DATE(YEAR(StartDate),MONTH(StartDate),1)</f>
        <v/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Mgmt'!$B:$B,C131,'Client DB &amp; Bed Mgmt'!$E:$E,"Occupied"),0)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Mgmt'!$M:$M,"&lt;="&amp;EOMONTH($B131,0),'Client DB &amp; Bed Mgmt'!$N:$N,"&gt;="&amp;DATE(YEAR($B131),MONTH($B131),1))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29">
        <f>IFERROR(J131*SUMPRODUCT(('Client DB &amp; Bed Mgmt'!$A$5:$A$428=A131)*('Client DB &amp; Bed Mgmt'!$B$5:$B$428=C131)*('Client DB &amp; Bed Mgmt'!$D$5:$D$428&lt;&gt;"")*--(('Client DB &amp; Bed Mgmt'!$M$5:$M$428="")+NOT(ISNUMBER('Client DB &amp; Bed Mgmt'!$M$5:$M$428))+IFERROR('Client DB &amp; Bed Mgmt'!$M$5:$M$428&lt;=EOMONTH(B131,0),FALSE)&gt;0)*--(('Client DB &amp; Bed Mgmt'!$N$5:$N$428="")+NOT(ISNUMBER('Client DB &amp; Bed Mgmt'!$N$5:$N$428))+IFERROR('Client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  <c r="V131" s="130">
        <f>IFERROR(T131*SUMPRODUCT(('Client DB &amp; Bed Mgmt'!$A$5:$A$428=K131)*('Client DB &amp; Bed Mgmt'!$B$5:$B$428=L131)*('Client DB &amp; Bed Mgmt'!$D$5:$D$428&lt;&gt;"")*--(('Client DB &amp; Bed Mgmt'!$M$5:$M$428="")+NOT(ISNUMBER('Client DB &amp; Bed Mgmt'!$M$5:$M$428))+IFERROR('Client DB &amp; Bed Mgmt'!$M$5:$M$428&lt;=EOMONTH(B131,0),FALSE)&gt;0)*--(('Client DB &amp; Bed Mgmt'!$N$5:$N$428="")+NOT(ISNUMBER('Client DB &amp; Bed Mgmt'!$N$5:$N$428))+IFERROR('Client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</row>
    <row r="132" hidden="1" ht="14.25" customHeight="1" s="83">
      <c r="A132" s="103" t="inlineStr">
        <is>
          <t>Dorm 2</t>
        </is>
      </c>
      <c r="B132" s="125">
        <f>DATE(YEAR(StartDate),MONTH(StartDate),1)</f>
        <v/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Mgmt'!$B:$B,C132,'Client DB &amp; Bed Mgmt'!$E:$E,"Occupied"),0)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Mgmt'!$M:$M,"&lt;="&amp;EOMONTH($B132,0),'Client DB &amp; Bed Mgmt'!$N:$N,"&gt;="&amp;DATE(YEAR($B132),MONTH($B132),1))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29">
        <f>IFERROR(J132*SUMPRODUCT(('Client DB &amp; Bed Mgmt'!$A$5:$A$428=A132)*('Client DB &amp; Bed Mgmt'!$B$5:$B$428=C132)*('Client DB &amp; Bed Mgmt'!$D$5:$D$428&lt;&gt;"")*--(('Client DB &amp; Bed Mgmt'!$M$5:$M$428="")+NOT(ISNUMBER('Client DB &amp; Bed Mgmt'!$M$5:$M$428))+IFERROR('Client DB &amp; Bed Mgmt'!$M$5:$M$428&lt;=EOMONTH(B132,0),FALSE)&gt;0)*--(('Client DB &amp; Bed Mgmt'!$N$5:$N$428="")+NOT(ISNUMBER('Client DB &amp; Bed Mgmt'!$N$5:$N$428))+IFERROR('Client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  <c r="V132" s="130">
        <f>IFERROR(T132*SUMPRODUCT(('Client DB &amp; Bed Mgmt'!$A$5:$A$428=K132)*('Client DB &amp; Bed Mgmt'!$B$5:$B$428=L132)*('Client DB &amp; Bed Mgmt'!$D$5:$D$428&lt;&gt;"")*--(('Client DB &amp; Bed Mgmt'!$M$5:$M$428="")+NOT(ISNUMBER('Client DB &amp; Bed Mgmt'!$M$5:$M$428))+IFERROR('Client DB &amp; Bed Mgmt'!$M$5:$M$428&lt;=EOMONTH(B132,0),FALSE)&gt;0)*--(('Client DB &amp; Bed Mgmt'!$N$5:$N$428="")+NOT(ISNUMBER('Client DB &amp; Bed Mgmt'!$N$5:$N$428))+IFERROR('Client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</row>
    <row r="133" hidden="1" ht="14.25" customHeight="1" s="83">
      <c r="A133" s="103" t="inlineStr">
        <is>
          <t>Dorm 2</t>
        </is>
      </c>
      <c r="B133" s="125">
        <f>DATE(YEAR(StartDate),MONTH(StartDate),1)</f>
        <v/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Mgmt'!$B:$B,C133,'Client DB &amp; Bed Mgmt'!$E:$E,"Occupied"),0)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Mgmt'!$M:$M,"&lt;="&amp;EOMONTH($B133,0),'Client DB &amp; Bed Mgmt'!$N:$N,"&gt;="&amp;DATE(YEAR($B133),MONTH($B133),1))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29">
        <f>IFERROR(J133*SUMPRODUCT(('Client DB &amp; Bed Mgmt'!$A$5:$A$428=A133)*('Client DB &amp; Bed Mgmt'!$B$5:$B$428=C133)*('Client DB &amp; Bed Mgmt'!$D$5:$D$428&lt;&gt;"")*--(('Client DB &amp; Bed Mgmt'!$M$5:$M$428="")+NOT(ISNUMBER('Client DB &amp; Bed Mgmt'!$M$5:$M$428))+IFERROR('Client DB &amp; Bed Mgmt'!$M$5:$M$428&lt;=EOMONTH(B133,0),FALSE)&gt;0)*--(('Client DB &amp; Bed Mgmt'!$N$5:$N$428="")+NOT(ISNUMBER('Client DB &amp; Bed Mgmt'!$N$5:$N$428))+IFERROR('Client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  <c r="V133" s="130">
        <f>IFERROR(T133*SUMPRODUCT(('Client DB &amp; Bed Mgmt'!$A$5:$A$428=K133)*('Client DB &amp; Bed Mgmt'!$B$5:$B$428=L133)*('Client DB &amp; Bed Mgmt'!$D$5:$D$428&lt;&gt;"")*--(('Client DB &amp; Bed Mgmt'!$M$5:$M$428="")+NOT(ISNUMBER('Client DB &amp; Bed Mgmt'!$M$5:$M$428))+IFERROR('Client DB &amp; Bed Mgmt'!$M$5:$M$428&lt;=EOMONTH(B133,0),FALSE)&gt;0)*--(('Client DB &amp; Bed Mgmt'!$N$5:$N$428="")+NOT(ISNUMBER('Client DB &amp; Bed Mgmt'!$N$5:$N$428))+IFERROR('Client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</row>
    <row r="134" hidden="1" ht="14.25" customHeight="1" s="83">
      <c r="A134" s="103" t="inlineStr">
        <is>
          <t>Dorm 2</t>
        </is>
      </c>
      <c r="B134" s="125">
        <f>DATE(YEAR(StartDate),MONTH(StartDate),1)</f>
        <v/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Mgmt'!$B:$B,C134,'Client DB &amp; Bed Mgmt'!$E:$E,"Occupied"),0)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Mgmt'!$M:$M,"&lt;="&amp;EOMONTH($B134,0),'Client DB &amp; Bed Mgmt'!$N:$N,"&gt;="&amp;DATE(YEAR($B134),MONTH($B134),1))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29">
        <f>IFERROR(J134*SUMPRODUCT(('Client DB &amp; Bed Mgmt'!$A$5:$A$428=A134)*('Client DB &amp; Bed Mgmt'!$B$5:$B$428=C134)*('Client DB &amp; Bed Mgmt'!$D$5:$D$428&lt;&gt;"")*--(('Client DB &amp; Bed Mgmt'!$M$5:$M$428="")+NOT(ISNUMBER('Client DB &amp; Bed Mgmt'!$M$5:$M$428))+IFERROR('Client DB &amp; Bed Mgmt'!$M$5:$M$428&lt;=EOMONTH(B134,0),FALSE)&gt;0)*--(('Client DB &amp; Bed Mgmt'!$N$5:$N$428="")+NOT(ISNUMBER('Client DB &amp; Bed Mgmt'!$N$5:$N$428))+IFERROR('Client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  <c r="V134" s="130">
        <f>IFERROR(T134*SUMPRODUCT(('Client DB &amp; Bed Mgmt'!$A$5:$A$428=K134)*('Client DB &amp; Bed Mgmt'!$B$5:$B$428=L134)*('Client DB &amp; Bed Mgmt'!$D$5:$D$428&lt;&gt;"")*--(('Client DB &amp; Bed Mgmt'!$M$5:$M$428="")+NOT(ISNUMBER('Client DB &amp; Bed Mgmt'!$M$5:$M$428))+IFERROR('Client DB &amp; Bed Mgmt'!$M$5:$M$428&lt;=EOMONTH(B134,0),FALSE)&gt;0)*--(('Client DB &amp; Bed Mgmt'!$N$5:$N$428="")+NOT(ISNUMBER('Client DB &amp; Bed Mgmt'!$N$5:$N$428))+IFERROR('Client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</row>
    <row r="135" hidden="1" ht="14.25" customHeight="1" s="83">
      <c r="A135" s="103" t="inlineStr">
        <is>
          <t>Dorm 2</t>
        </is>
      </c>
      <c r="B135" s="125">
        <f>DATE(YEAR(StartDate),MONTH(StartDate),1)</f>
        <v/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Mgmt'!$B:$B,C135,'Client DB &amp; Bed Mgmt'!$E:$E,"Occupied"),0)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Mgmt'!$M:$M,"&lt;="&amp;EOMONTH($B135,0),'Client DB &amp; Bed Mgmt'!$N:$N,"&gt;="&amp;DATE(YEAR($B135),MONTH($B135),1))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29">
        <f>IFERROR(J135*SUMPRODUCT(('Client DB &amp; Bed Mgmt'!$A$5:$A$428=A135)*('Client DB &amp; Bed Mgmt'!$B$5:$B$428=C135)*('Client DB &amp; Bed Mgmt'!$D$5:$D$428&lt;&gt;"")*--(('Client DB &amp; Bed Mgmt'!$M$5:$M$428="")+NOT(ISNUMBER('Client DB &amp; Bed Mgmt'!$M$5:$M$428))+IFERROR('Client DB &amp; Bed Mgmt'!$M$5:$M$428&lt;=EOMONTH(B135,0),FALSE)&gt;0)*--(('Client DB &amp; Bed Mgmt'!$N$5:$N$428="")+NOT(ISNUMBER('Client DB &amp; Bed Mgmt'!$N$5:$N$428))+IFERROR('Client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  <c r="V135" s="130">
        <f>IFERROR(T135*SUMPRODUCT(('Client DB &amp; Bed Mgmt'!$A$5:$A$428=K135)*('Client DB &amp; Bed Mgmt'!$B$5:$B$428=L135)*('Client DB &amp; Bed Mgmt'!$D$5:$D$428&lt;&gt;"")*--(('Client DB &amp; Bed Mgmt'!$M$5:$M$428="")+NOT(ISNUMBER('Client DB &amp; Bed Mgmt'!$M$5:$M$428))+IFERROR('Client DB &amp; Bed Mgmt'!$M$5:$M$428&lt;=EOMONTH(B135,0),FALSE)&gt;0)*--(('Client DB &amp; Bed Mgmt'!$N$5:$N$428="")+NOT(ISNUMBER('Client DB &amp; Bed Mgmt'!$N$5:$N$428))+IFERROR('Client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</row>
    <row r="136" hidden="1" ht="14.25" customHeight="1" s="83">
      <c r="A136" s="103" t="inlineStr">
        <is>
          <t>Dorm 2</t>
        </is>
      </c>
      <c r="B136" s="125">
        <f>DATE(YEAR(StartDate),MONTH(StartDate),1)</f>
        <v/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Mgmt'!$B:$B,C136,'Client DB &amp; Bed Mgmt'!$E:$E,"Occupied"),0)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Mgmt'!$M:$M,"&lt;="&amp;EOMONTH($B136,0),'Client DB &amp; Bed Mgmt'!$N:$N,"&gt;="&amp;DATE(YEAR($B136),MONTH($B136),1))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29">
        <f>IFERROR(J136*SUMPRODUCT(('Client DB &amp; Bed Mgmt'!$A$5:$A$428=A136)*('Client DB &amp; Bed Mgmt'!$B$5:$B$428=C136)*('Client DB &amp; Bed Mgmt'!$D$5:$D$428&lt;&gt;"")*--(('Client DB &amp; Bed Mgmt'!$M$5:$M$428="")+NOT(ISNUMBER('Client DB &amp; Bed Mgmt'!$M$5:$M$428))+IFERROR('Client DB &amp; Bed Mgmt'!$M$5:$M$428&lt;=EOMONTH(B136,0),FALSE)&gt;0)*--(('Client DB &amp; Bed Mgmt'!$N$5:$N$428="")+NOT(ISNUMBER('Client DB &amp; Bed Mgmt'!$N$5:$N$428))+IFERROR('Client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  <c r="V136" s="130">
        <f>IFERROR(T136*SUMPRODUCT(('Client DB &amp; Bed Mgmt'!$A$5:$A$428=K136)*('Client DB &amp; Bed Mgmt'!$B$5:$B$428=L136)*('Client DB &amp; Bed Mgmt'!$D$5:$D$428&lt;&gt;"")*--(('Client DB &amp; Bed Mgmt'!$M$5:$M$428="")+NOT(ISNUMBER('Client DB &amp; Bed Mgmt'!$M$5:$M$428))+IFERROR('Client DB &amp; Bed Mgmt'!$M$5:$M$428&lt;=EOMONTH(B136,0),FALSE)&gt;0)*--(('Client DB &amp; Bed Mgmt'!$N$5:$N$428="")+NOT(ISNUMBER('Client DB &amp; Bed Mgmt'!$N$5:$N$428))+IFERROR('Client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</row>
    <row r="137" hidden="1" ht="14.25" customHeight="1" s="83">
      <c r="A137" s="103" t="inlineStr">
        <is>
          <t>Dorm 2</t>
        </is>
      </c>
      <c r="B137" s="125">
        <f>DATE(YEAR(StartDate),MONTH(StartDate),1)</f>
        <v/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Mgmt'!$B:$B,C137,'Client DB &amp; Bed Mgmt'!$E:$E,"Occupied"),0)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Mgmt'!$M:$M,"&lt;="&amp;EOMONTH($B137,0),'Client DB &amp; Bed Mgmt'!$N:$N,"&gt;="&amp;DATE(YEAR($B137),MONTH($B137),1))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29">
        <f>IFERROR(J137*SUMPRODUCT(('Client DB &amp; Bed Mgmt'!$A$5:$A$428=A137)*('Client DB &amp; Bed Mgmt'!$B$5:$B$428=C137)*('Client DB &amp; Bed Mgmt'!$D$5:$D$428&lt;&gt;"")*--(('Client DB &amp; Bed Mgmt'!$M$5:$M$428="")+NOT(ISNUMBER('Client DB &amp; Bed Mgmt'!$M$5:$M$428))+IFERROR('Client DB &amp; Bed Mgmt'!$M$5:$M$428&lt;=EOMONTH(B137,0),FALSE)&gt;0)*--(('Client DB &amp; Bed Mgmt'!$N$5:$N$428="")+NOT(ISNUMBER('Client DB &amp; Bed Mgmt'!$N$5:$N$428))+IFERROR('Client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  <c r="V137" s="130">
        <f>IFERROR(T137*SUMPRODUCT(('Client DB &amp; Bed Mgmt'!$A$5:$A$428=K137)*('Client DB &amp; Bed Mgmt'!$B$5:$B$428=L137)*('Client DB &amp; Bed Mgmt'!$D$5:$D$428&lt;&gt;"")*--(('Client DB &amp; Bed Mgmt'!$M$5:$M$428="")+NOT(ISNUMBER('Client DB &amp; Bed Mgmt'!$M$5:$M$428))+IFERROR('Client DB &amp; Bed Mgmt'!$M$5:$M$428&lt;=EOMONTH(B137,0),FALSE)&gt;0)*--(('Client DB &amp; Bed Mgmt'!$N$5:$N$428="")+NOT(ISNUMBER('Client DB &amp; Bed Mgmt'!$N$5:$N$428))+IFERROR('Client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</row>
    <row r="138" hidden="1" ht="14.25" customHeight="1" s="83">
      <c r="A138" s="103" t="inlineStr">
        <is>
          <t>Dorm 2</t>
        </is>
      </c>
      <c r="B138" s="125">
        <f>DATE(YEAR(StartDate),MONTH(StartDate),1)</f>
        <v/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Mgmt'!$B:$B,C138,'Client DB &amp; Bed Mgmt'!$E:$E,"Occupied"),0)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Mgmt'!$M:$M,"&lt;="&amp;EOMONTH($B138,0),'Client DB &amp; Bed Mgmt'!$N:$N,"&gt;="&amp;DATE(YEAR($B138),MONTH($B138),1))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29">
        <f>IFERROR(J138*SUMPRODUCT(('Client DB &amp; Bed Mgmt'!$A$5:$A$428=A138)*('Client DB &amp; Bed Mgmt'!$B$5:$B$428=C138)*('Client DB &amp; Bed Mgmt'!$D$5:$D$428&lt;&gt;"")*--(('Client DB &amp; Bed Mgmt'!$M$5:$M$428="")+NOT(ISNUMBER('Client DB &amp; Bed Mgmt'!$M$5:$M$428))+IFERROR('Client DB &amp; Bed Mgmt'!$M$5:$M$428&lt;=EOMONTH(B138,0),FALSE)&gt;0)*--(('Client DB &amp; Bed Mgmt'!$N$5:$N$428="")+NOT(ISNUMBER('Client DB &amp; Bed Mgmt'!$N$5:$N$428))+IFERROR('Client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  <c r="V138" s="130">
        <f>IFERROR(T138*SUMPRODUCT(('Client DB &amp; Bed Mgmt'!$A$5:$A$428=K138)*('Client DB &amp; Bed Mgmt'!$B$5:$B$428=L138)*('Client DB &amp; Bed Mgmt'!$D$5:$D$428&lt;&gt;"")*--(('Client DB &amp; Bed Mgmt'!$M$5:$M$428="")+NOT(ISNUMBER('Client DB &amp; Bed Mgmt'!$M$5:$M$428))+IFERROR('Client DB &amp; Bed Mgmt'!$M$5:$M$428&lt;=EOMONTH(B138,0),FALSE)&gt;0)*--(('Client DB &amp; Bed Mgmt'!$N$5:$N$428="")+NOT(ISNUMBER('Client DB &amp; Bed Mgmt'!$N$5:$N$428))+IFERROR('Client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</row>
    <row r="139" hidden="1" ht="14.25" customHeight="1" s="83">
      <c r="A139" s="103" t="inlineStr">
        <is>
          <t>Dorm 2</t>
        </is>
      </c>
      <c r="B139" s="125">
        <f>DATE(YEAR(StartDate),MONTH(StartDate),1)</f>
        <v/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Mgmt'!$B:$B,C139,'Client DB &amp; Bed Mgmt'!$E:$E,"Occupied"),0)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Mgmt'!$M:$M,"&lt;="&amp;EOMONTH($B139,0),'Client DB &amp; Bed Mgmt'!$N:$N,"&gt;="&amp;DATE(YEAR($B139),MONTH($B139),1))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29">
        <f>IFERROR(J139*SUMPRODUCT(('Client DB &amp; Bed Mgmt'!$A$5:$A$428=A139)*('Client DB &amp; Bed Mgmt'!$B$5:$B$428=C139)*('Client DB &amp; Bed Mgmt'!$D$5:$D$428&lt;&gt;"")*--(('Client DB &amp; Bed Mgmt'!$M$5:$M$428="")+NOT(ISNUMBER('Client DB &amp; Bed Mgmt'!$M$5:$M$428))+IFERROR('Client DB &amp; Bed Mgmt'!$M$5:$M$428&lt;=EOMONTH(B139,0),FALSE)&gt;0)*--(('Client DB &amp; Bed Mgmt'!$N$5:$N$428="")+NOT(ISNUMBER('Client DB &amp; Bed Mgmt'!$N$5:$N$428))+IFERROR('Client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  <c r="V139" s="130">
        <f>IFERROR(T139*SUMPRODUCT(('Client DB &amp; Bed Mgmt'!$A$5:$A$428=K139)*('Client DB &amp; Bed Mgmt'!$B$5:$B$428=L139)*('Client DB &amp; Bed Mgmt'!$D$5:$D$428&lt;&gt;"")*--(('Client DB &amp; Bed Mgmt'!$M$5:$M$428="")+NOT(ISNUMBER('Client DB &amp; Bed Mgmt'!$M$5:$M$428))+IFERROR('Client DB &amp; Bed Mgmt'!$M$5:$M$428&lt;=EOMONTH(B139,0),FALSE)&gt;0)*--(('Client DB &amp; Bed Mgmt'!$N$5:$N$428="")+NOT(ISNUMBER('Client DB &amp; Bed Mgmt'!$N$5:$N$428))+IFERROR('Client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</row>
    <row r="140" hidden="1" ht="14.25" customHeight="1" s="83">
      <c r="A140" s="103" t="inlineStr">
        <is>
          <t>Dorm 2</t>
        </is>
      </c>
      <c r="B140" s="125">
        <f>DATE(YEAR(StartDate),MONTH(StartDate),1)</f>
        <v/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Mgmt'!$B:$B,C140,'Client DB &amp; Bed Mgmt'!$E:$E,"Occupied"),0)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Mgmt'!$M:$M,"&lt;="&amp;EOMONTH($B140,0),'Client DB &amp; Bed Mgmt'!$N:$N,"&gt;="&amp;DATE(YEAR($B140),MONTH($B140),1))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29">
        <f>IFERROR(J140*SUMPRODUCT(('Client DB &amp; Bed Mgmt'!$A$5:$A$428=A140)*('Client DB &amp; Bed Mgmt'!$B$5:$B$428=C140)*('Client DB &amp; Bed Mgmt'!$D$5:$D$428&lt;&gt;"")*--(('Client DB &amp; Bed Mgmt'!$M$5:$M$428="")+NOT(ISNUMBER('Client DB &amp; Bed Mgmt'!$M$5:$M$428))+IFERROR('Client DB &amp; Bed Mgmt'!$M$5:$M$428&lt;=EOMONTH(B140,0),FALSE)&gt;0)*--(('Client DB &amp; Bed Mgmt'!$N$5:$N$428="")+NOT(ISNUMBER('Client DB &amp; Bed Mgmt'!$N$5:$N$428))+IFERROR('Client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  <c r="V140" s="130">
        <f>IFERROR(T140*SUMPRODUCT(('Client DB &amp; Bed Mgmt'!$A$5:$A$428=K140)*('Client DB &amp; Bed Mgmt'!$B$5:$B$428=L140)*('Client DB &amp; Bed Mgmt'!$D$5:$D$428&lt;&gt;"")*--(('Client DB &amp; Bed Mgmt'!$M$5:$M$428="")+NOT(ISNUMBER('Client DB &amp; Bed Mgmt'!$M$5:$M$428))+IFERROR('Client DB &amp; Bed Mgmt'!$M$5:$M$428&lt;=EOMONTH(B140,0),FALSE)&gt;0)*--(('Client DB &amp; Bed Mgmt'!$N$5:$N$428="")+NOT(ISNUMBER('Client DB &amp; Bed Mgmt'!$N$5:$N$428))+IFERROR('Client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</row>
    <row r="141" hidden="1" ht="14.25" customHeight="1" s="83">
      <c r="A141" s="103" t="inlineStr">
        <is>
          <t>Dorm 2</t>
        </is>
      </c>
      <c r="B141" s="125">
        <f>DATE(YEAR(StartDate),MONTH(StartDate),1)</f>
        <v/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Mgmt'!$B:$B,C141,'Client DB &amp; Bed Mgmt'!$E:$E,"Occupied"),0)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Mgmt'!$M:$M,"&lt;="&amp;EOMONTH($B141,0),'Client DB &amp; Bed Mgmt'!$N:$N,"&gt;="&amp;DATE(YEAR($B141),MONTH($B141),1))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29">
        <f>IFERROR(J141*SUMPRODUCT(('Client DB &amp; Bed Mgmt'!$A$5:$A$428=A141)*('Client DB &amp; Bed Mgmt'!$B$5:$B$428=C141)*('Client DB &amp; Bed Mgmt'!$D$5:$D$428&lt;&gt;"")*--(('Client DB &amp; Bed Mgmt'!$M$5:$M$428="")+NOT(ISNUMBER('Client DB &amp; Bed Mgmt'!$M$5:$M$428))+IFERROR('Client DB &amp; Bed Mgmt'!$M$5:$M$428&lt;=EOMONTH(B141,0),FALSE)&gt;0)*--(('Client DB &amp; Bed Mgmt'!$N$5:$N$428="")+NOT(ISNUMBER('Client DB &amp; Bed Mgmt'!$N$5:$N$428))+IFERROR('Client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  <c r="V141" s="130">
        <f>IFERROR(T141*SUMPRODUCT(('Client DB &amp; Bed Mgmt'!$A$5:$A$428=K141)*('Client DB &amp; Bed Mgmt'!$B$5:$B$428=L141)*('Client DB &amp; Bed Mgmt'!$D$5:$D$428&lt;&gt;"")*--(('Client DB &amp; Bed Mgmt'!$M$5:$M$428="")+NOT(ISNUMBER('Client DB &amp; Bed Mgmt'!$M$5:$M$428))+IFERROR('Client DB &amp; Bed Mgmt'!$M$5:$M$428&lt;=EOMONTH(B141,0),FALSE)&gt;0)*--(('Client DB &amp; Bed Mgmt'!$N$5:$N$428="")+NOT(ISNUMBER('Client DB &amp; Bed Mgmt'!$N$5:$N$428))+IFERROR('Client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</row>
    <row r="142" hidden="1" ht="14.25" customHeight="1" s="83">
      <c r="A142" s="103" t="inlineStr">
        <is>
          <t>Dorm 2</t>
        </is>
      </c>
      <c r="B142" s="125">
        <f>DATE(YEAR(StartDate),MONTH(StartDate),1)</f>
        <v/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Mgmt'!$B:$B,C142,'Client DB &amp; Bed Mgmt'!$E:$E,"Occupied"),0)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Mgmt'!$M:$M,"&lt;="&amp;EOMONTH($B142,0),'Client DB &amp; Bed Mgmt'!$N:$N,"&gt;="&amp;DATE(YEAR($B142),MONTH($B142),1))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29">
        <f>IFERROR(J142*SUMPRODUCT(('Client DB &amp; Bed Mgmt'!$A$5:$A$428=A142)*('Client DB &amp; Bed Mgmt'!$B$5:$B$428=C142)*('Client DB &amp; Bed Mgmt'!$D$5:$D$428&lt;&gt;"")*--(('Client DB &amp; Bed Mgmt'!$M$5:$M$428="")+NOT(ISNUMBER('Client DB &amp; Bed Mgmt'!$M$5:$M$428))+IFERROR('Client DB &amp; Bed Mgmt'!$M$5:$M$428&lt;=EOMONTH(B142,0),FALSE)&gt;0)*--(('Client DB &amp; Bed Mgmt'!$N$5:$N$428="")+NOT(ISNUMBER('Client DB &amp; Bed Mgmt'!$N$5:$N$428))+IFERROR('Client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  <c r="V142" s="130">
        <f>IFERROR(T142*SUMPRODUCT(('Client DB &amp; Bed Mgmt'!$A$5:$A$428=K142)*('Client DB &amp; Bed Mgmt'!$B$5:$B$428=L142)*('Client DB &amp; Bed Mgmt'!$D$5:$D$428&lt;&gt;"")*--(('Client DB &amp; Bed Mgmt'!$M$5:$M$428="")+NOT(ISNUMBER('Client DB &amp; Bed Mgmt'!$M$5:$M$428))+IFERROR('Client DB &amp; Bed Mgmt'!$M$5:$M$428&lt;=EOMONTH(B142,0),FALSE)&gt;0)*--(('Client DB &amp; Bed Mgmt'!$N$5:$N$428="")+NOT(ISNUMBER('Client DB &amp; Bed Mgmt'!$N$5:$N$428))+IFERROR('Client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</row>
    <row r="143" hidden="1" ht="14.25" customHeight="1" s="83">
      <c r="A143" s="103" t="inlineStr">
        <is>
          <t>Dorm 2</t>
        </is>
      </c>
      <c r="B143" s="125">
        <f>DATE(YEAR(StartDate),MONTH(StartDate),1)</f>
        <v/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Mgmt'!$B:$B,C143,'Client DB &amp; Bed Mgmt'!$E:$E,"Occupied"),0)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Mgmt'!$M:$M,"&lt;="&amp;EOMONTH($B143,0),'Client DB &amp; Bed Mgmt'!$N:$N,"&gt;="&amp;DATE(YEAR($B143),MONTH($B143),1))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29">
        <f>IFERROR(J143*SUMPRODUCT(('Client DB &amp; Bed Mgmt'!$A$5:$A$428=A143)*('Client DB &amp; Bed Mgmt'!$B$5:$B$428=C143)*('Client DB &amp; Bed Mgmt'!$D$5:$D$428&lt;&gt;"")*--(('Client DB &amp; Bed Mgmt'!$M$5:$M$428="")+NOT(ISNUMBER('Client DB &amp; Bed Mgmt'!$M$5:$M$428))+IFERROR('Client DB &amp; Bed Mgmt'!$M$5:$M$428&lt;=EOMONTH(B143,0),FALSE)&gt;0)*--(('Client DB &amp; Bed Mgmt'!$N$5:$N$428="")+NOT(ISNUMBER('Client DB &amp; Bed Mgmt'!$N$5:$N$428))+IFERROR('Client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  <c r="V143" s="130">
        <f>IFERROR(T143*SUMPRODUCT(('Client DB &amp; Bed Mgmt'!$A$5:$A$428=K143)*('Client DB &amp; Bed Mgmt'!$B$5:$B$428=L143)*('Client DB &amp; Bed Mgmt'!$D$5:$D$428&lt;&gt;"")*--(('Client DB &amp; Bed Mgmt'!$M$5:$M$428="")+NOT(ISNUMBER('Client DB &amp; Bed Mgmt'!$M$5:$M$428))+IFERROR('Client DB &amp; Bed Mgmt'!$M$5:$M$428&lt;=EOMONTH(B143,0),FALSE)&gt;0)*--(('Client DB &amp; Bed Mgmt'!$N$5:$N$428="")+NOT(ISNUMBER('Client DB &amp; Bed Mgmt'!$N$5:$N$428))+IFERROR('Client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</row>
    <row r="144" hidden="1" ht="14.25" customHeight="1" s="83">
      <c r="A144" s="103" t="inlineStr">
        <is>
          <t>Dorm 2</t>
        </is>
      </c>
      <c r="B144" s="125">
        <f>DATE(YEAR(StartDate),MONTH(StartDate),1)</f>
        <v/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Mgmt'!$B:$B,C144,'Client DB &amp; Bed Mgmt'!$E:$E,"Occupied"),0)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Mgmt'!$M:$M,"&lt;="&amp;EOMONTH($B144,0),'Client DB &amp; Bed Mgmt'!$N:$N,"&gt;="&amp;DATE(YEAR($B144),MONTH($B144),1))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29">
        <f>IFERROR(J144*SUMPRODUCT(('Client DB &amp; Bed Mgmt'!$A$5:$A$428=A144)*('Client DB &amp; Bed Mgmt'!$B$5:$B$428=C144)*('Client DB &amp; Bed Mgmt'!$D$5:$D$428&lt;&gt;"")*--(('Client DB &amp; Bed Mgmt'!$M$5:$M$428="")+NOT(ISNUMBER('Client DB &amp; Bed Mgmt'!$M$5:$M$428))+IFERROR('Client DB &amp; Bed Mgmt'!$M$5:$M$428&lt;=EOMONTH(B144,0),FALSE)&gt;0)*--(('Client DB &amp; Bed Mgmt'!$N$5:$N$428="")+NOT(ISNUMBER('Client DB &amp; Bed Mgmt'!$N$5:$N$428))+IFERROR('Client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  <c r="V144" s="130">
        <f>IFERROR(T144*SUMPRODUCT(('Client DB &amp; Bed Mgmt'!$A$5:$A$428=K144)*('Client DB &amp; Bed Mgmt'!$B$5:$B$428=L144)*('Client DB &amp; Bed Mgmt'!$D$5:$D$428&lt;&gt;"")*--(('Client DB &amp; Bed Mgmt'!$M$5:$M$428="")+NOT(ISNUMBER('Client DB &amp; Bed Mgmt'!$M$5:$M$428))+IFERROR('Client DB &amp; Bed Mgmt'!$M$5:$M$428&lt;=EOMONTH(B144,0),FALSE)&gt;0)*--(('Client DB &amp; Bed Mgmt'!$N$5:$N$428="")+NOT(ISNUMBER('Client DB &amp; Bed Mgmt'!$N$5:$N$428))+IFERROR('Client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</row>
    <row r="145" hidden="1" ht="14.25" customHeight="1" s="83">
      <c r="A145" s="103" t="inlineStr">
        <is>
          <t>Dorm 2</t>
        </is>
      </c>
      <c r="B145" s="125">
        <f>DATE(YEAR(StartDate),MONTH(StartDate),1)</f>
        <v/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Mgmt'!$B:$B,C145,'Client DB &amp; Bed Mgmt'!$E:$E,"Occupied"),0)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Mgmt'!$M:$M,"&lt;="&amp;EOMONTH($B145,0),'Client DB &amp; Bed Mgmt'!$N:$N,"&gt;="&amp;DATE(YEAR($B145),MONTH($B145),1))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29">
        <f>IFERROR(J145*SUMPRODUCT(('Client DB &amp; Bed Mgmt'!$A$5:$A$428=A145)*('Client DB &amp; Bed Mgmt'!$B$5:$B$428=C145)*('Client DB &amp; Bed Mgmt'!$D$5:$D$428&lt;&gt;"")*--(('Client DB &amp; Bed Mgmt'!$M$5:$M$428="")+NOT(ISNUMBER('Client DB &amp; Bed Mgmt'!$M$5:$M$428))+IFERROR('Client DB &amp; Bed Mgmt'!$M$5:$M$428&lt;=EOMONTH(B145,0),FALSE)&gt;0)*--(('Client DB &amp; Bed Mgmt'!$N$5:$N$428="")+NOT(ISNUMBER('Client DB &amp; Bed Mgmt'!$N$5:$N$428))+IFERROR('Client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  <c r="V145" s="130">
        <f>IFERROR(T145*SUMPRODUCT(('Client DB &amp; Bed Mgmt'!$A$5:$A$428=K145)*('Client DB &amp; Bed Mgmt'!$B$5:$B$428=L145)*('Client DB &amp; Bed Mgmt'!$D$5:$D$428&lt;&gt;"")*--(('Client DB &amp; Bed Mgmt'!$M$5:$M$428="")+NOT(ISNUMBER('Client DB &amp; Bed Mgmt'!$M$5:$M$428))+IFERROR('Client DB &amp; Bed Mgmt'!$M$5:$M$428&lt;=EOMONTH(B145,0),FALSE)&gt;0)*--(('Client DB &amp; Bed Mgmt'!$N$5:$N$428="")+NOT(ISNUMBER('Client DB &amp; Bed Mgmt'!$N$5:$N$428))+IFERROR('Client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</row>
    <row r="146" hidden="1" ht="14.25" customHeight="1" s="83">
      <c r="A146" s="103" t="inlineStr">
        <is>
          <t>Dorm 2</t>
        </is>
      </c>
      <c r="B146" s="125">
        <f>DATE(YEAR(StartDate),MONTH(StartDate),1)</f>
        <v/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Mgmt'!$B:$B,C146,'Client DB &amp; Bed Mgmt'!$E:$E,"Occupied"),0)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Mgmt'!$M:$M,"&lt;="&amp;EOMONTH($B146,0),'Client DB &amp; Bed Mgmt'!$N:$N,"&gt;="&amp;DATE(YEAR($B146),MONTH($B146),1))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29">
        <f>IFERROR(J146*SUMPRODUCT(('Client DB &amp; Bed Mgmt'!$A$5:$A$428=A146)*('Client DB &amp; Bed Mgmt'!$B$5:$B$428=C146)*('Client DB &amp; Bed Mgmt'!$D$5:$D$428&lt;&gt;"")*--(('Client DB &amp; Bed Mgmt'!$M$5:$M$428="")+NOT(ISNUMBER('Client DB &amp; Bed Mgmt'!$M$5:$M$428))+IFERROR('Client DB &amp; Bed Mgmt'!$M$5:$M$428&lt;=EOMONTH(B146,0),FALSE)&gt;0)*--(('Client DB &amp; Bed Mgmt'!$N$5:$N$428="")+NOT(ISNUMBER('Client DB &amp; Bed Mgmt'!$N$5:$N$428))+IFERROR('Client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  <c r="V146" s="130">
        <f>IFERROR(T146*SUMPRODUCT(('Client DB &amp; Bed Mgmt'!$A$5:$A$428=K146)*('Client DB &amp; Bed Mgmt'!$B$5:$B$428=L146)*('Client DB &amp; Bed Mgmt'!$D$5:$D$428&lt;&gt;"")*--(('Client DB &amp; Bed Mgmt'!$M$5:$M$428="")+NOT(ISNUMBER('Client DB &amp; Bed Mgmt'!$M$5:$M$428))+IFERROR('Client DB &amp; Bed Mgmt'!$M$5:$M$428&lt;=EOMONTH(B146,0),FALSE)&gt;0)*--(('Client DB &amp; Bed Mgmt'!$N$5:$N$428="")+NOT(ISNUMBER('Client DB &amp; Bed Mgmt'!$N$5:$N$428))+IFERROR('Client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</row>
    <row r="147" hidden="1" ht="14.25" customHeight="1" s="83">
      <c r="A147" s="103" t="inlineStr">
        <is>
          <t>Dorm 2</t>
        </is>
      </c>
      <c r="B147" s="125">
        <f>DATE(YEAR(StartDate),MONTH(StartDate),1)</f>
        <v/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Mgmt'!$B:$B,C147,'Client DB &amp; Bed Mgmt'!$E:$E,"Occupied"),0)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Mgmt'!$M:$M,"&lt;="&amp;EOMONTH($B147,0),'Client DB &amp; Bed Mgmt'!$N:$N,"&gt;="&amp;DATE(YEAR($B147),MONTH($B147),1))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29">
        <f>IFERROR(J147*SUMPRODUCT(('Client DB &amp; Bed Mgmt'!$A$5:$A$428=A147)*('Client DB &amp; Bed Mgmt'!$B$5:$B$428=C147)*('Client DB &amp; Bed Mgmt'!$D$5:$D$428&lt;&gt;"")*--(('Client DB &amp; Bed Mgmt'!$M$5:$M$428="")+NOT(ISNUMBER('Client DB &amp; Bed Mgmt'!$M$5:$M$428))+IFERROR('Client DB &amp; Bed Mgmt'!$M$5:$M$428&lt;=EOMONTH(B147,0),FALSE)&gt;0)*--(('Client DB &amp; Bed Mgmt'!$N$5:$N$428="")+NOT(ISNUMBER('Client DB &amp; Bed Mgmt'!$N$5:$N$428))+IFERROR('Client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  <c r="V147" s="130">
        <f>IFERROR(T147*SUMPRODUCT(('Client DB &amp; Bed Mgmt'!$A$5:$A$428=K147)*('Client DB &amp; Bed Mgmt'!$B$5:$B$428=L147)*('Client DB &amp; Bed Mgmt'!$D$5:$D$428&lt;&gt;"")*--(('Client DB &amp; Bed Mgmt'!$M$5:$M$428="")+NOT(ISNUMBER('Client DB &amp; Bed Mgmt'!$M$5:$M$428))+IFERROR('Client DB &amp; Bed Mgmt'!$M$5:$M$428&lt;=EOMONTH(B147,0),FALSE)&gt;0)*--(('Client DB &amp; Bed Mgmt'!$N$5:$N$428="")+NOT(ISNUMBER('Client DB &amp; Bed Mgmt'!$N$5:$N$428))+IFERROR('Client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</row>
    <row r="148" hidden="1" ht="14.25" customHeight="1" s="83">
      <c r="A148" s="103" t="inlineStr">
        <is>
          <t>Dorm 2</t>
        </is>
      </c>
      <c r="B148" s="125">
        <f>DATE(YEAR(StartDate),MONTH(StartDate),1)</f>
        <v/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Mgmt'!$B:$B,C148,'Client DB &amp; Bed Mgmt'!$E:$E,"Occupied"),0)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Mgmt'!$M:$M,"&lt;="&amp;EOMONTH($B148,0),'Client DB &amp; Bed Mgmt'!$N:$N,"&gt;="&amp;DATE(YEAR($B148),MONTH($B148),1))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29">
        <f>IFERROR(J148*SUMPRODUCT(('Client DB &amp; Bed Mgmt'!$A$5:$A$428=A148)*('Client DB &amp; Bed Mgmt'!$B$5:$B$428=C148)*('Client DB &amp; Bed Mgmt'!$D$5:$D$428&lt;&gt;"")*--(('Client DB &amp; Bed Mgmt'!$M$5:$M$428="")+NOT(ISNUMBER('Client DB &amp; Bed Mgmt'!$M$5:$M$428))+IFERROR('Client DB &amp; Bed Mgmt'!$M$5:$M$428&lt;=EOMONTH(B148,0),FALSE)&gt;0)*--(('Client DB &amp; Bed Mgmt'!$N$5:$N$428="")+NOT(ISNUMBER('Client DB &amp; Bed Mgmt'!$N$5:$N$428))+IFERROR('Client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  <c r="V148" s="130">
        <f>IFERROR(T148*SUMPRODUCT(('Client DB &amp; Bed Mgmt'!$A$5:$A$428=K148)*('Client DB &amp; Bed Mgmt'!$B$5:$B$428=L148)*('Client DB &amp; Bed Mgmt'!$D$5:$D$428&lt;&gt;"")*--(('Client DB &amp; Bed Mgmt'!$M$5:$M$428="")+NOT(ISNUMBER('Client DB &amp; Bed Mgmt'!$M$5:$M$428))+IFERROR('Client DB &amp; Bed Mgmt'!$M$5:$M$428&lt;=EOMONTH(B148,0),FALSE)&gt;0)*--(('Client DB &amp; Bed Mgmt'!$N$5:$N$428="")+NOT(ISNUMBER('Client DB &amp; Bed Mgmt'!$N$5:$N$428))+IFERROR('Client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</row>
    <row r="149" hidden="1" ht="14.25" customHeight="1" s="83">
      <c r="A149" s="103" t="inlineStr">
        <is>
          <t>Dorm 2</t>
        </is>
      </c>
      <c r="B149" s="125">
        <f>DATE(YEAR(StartDate),MONTH(StartDate),1)</f>
        <v/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Mgmt'!$B:$B,C149,'Client DB &amp; Bed Mgmt'!$E:$E,"Occupied"),0)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Mgmt'!$M:$M,"&lt;="&amp;EOMONTH($B149,0),'Client DB &amp; Bed Mgmt'!$N:$N,"&gt;="&amp;DATE(YEAR($B149),MONTH($B149),1))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29">
        <f>IFERROR(J149*SUMPRODUCT(('Client DB &amp; Bed Mgmt'!$A$5:$A$428=A149)*('Client DB &amp; Bed Mgmt'!$B$5:$B$428=C149)*('Client DB &amp; Bed Mgmt'!$D$5:$D$428&lt;&gt;"")*--(('Client DB &amp; Bed Mgmt'!$M$5:$M$428="")+NOT(ISNUMBER('Client DB &amp; Bed Mgmt'!$M$5:$M$428))+IFERROR('Client DB &amp; Bed Mgmt'!$M$5:$M$428&lt;=EOMONTH(B149,0),FALSE)&gt;0)*--(('Client DB &amp; Bed Mgmt'!$N$5:$N$428="")+NOT(ISNUMBER('Client DB &amp; Bed Mgmt'!$N$5:$N$428))+IFERROR('Client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  <c r="V149" s="130">
        <f>IFERROR(T149*SUMPRODUCT(('Client DB &amp; Bed Mgmt'!$A$5:$A$428=K149)*('Client DB &amp; Bed Mgmt'!$B$5:$B$428=L149)*('Client DB &amp; Bed Mgmt'!$D$5:$D$428&lt;&gt;"")*--(('Client DB &amp; Bed Mgmt'!$M$5:$M$428="")+NOT(ISNUMBER('Client DB &amp; Bed Mgmt'!$M$5:$M$428))+IFERROR('Client DB &amp; Bed Mgmt'!$M$5:$M$428&lt;=EOMONTH(B149,0),FALSE)&gt;0)*--(('Client DB &amp; Bed Mgmt'!$N$5:$N$428="")+NOT(ISNUMBER('Client DB &amp; Bed Mgmt'!$N$5:$N$428))+IFERROR('Client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</row>
    <row r="150" hidden="1" ht="14.25" customHeight="1" s="83">
      <c r="A150" s="103" t="inlineStr">
        <is>
          <t>Dorm 3</t>
        </is>
      </c>
      <c r="B150" s="125">
        <f>DATE(YEAR(StartDate),MONTH(StartDate),1)</f>
        <v/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Mgmt'!$B:$B,C150,'Client DB &amp; Bed Mgmt'!$E:$E,"Occupied"),0)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Mgmt'!$M:$M,"&lt;="&amp;EOMONTH($B150,0),'Client DB &amp; Bed Mgmt'!$N:$N,"&gt;="&amp;DATE(YEAR($B150),MONTH($B150),1))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29">
        <f>IFERROR(J150*SUMPRODUCT(('Client DB &amp; Bed Mgmt'!$A$5:$A$428=A150)*('Client DB &amp; Bed Mgmt'!$B$5:$B$428=C150)*('Client DB &amp; Bed Mgmt'!$D$5:$D$428&lt;&gt;"")*--(('Client DB &amp; Bed Mgmt'!$M$5:$M$428="")+NOT(ISNUMBER('Client DB &amp; Bed Mgmt'!$M$5:$M$428))+IFERROR('Client DB &amp; Bed Mgmt'!$M$5:$M$428&lt;=EOMONTH(B150,0),FALSE)&gt;0)*--(('Client DB &amp; Bed Mgmt'!$N$5:$N$428="")+NOT(ISNUMBER('Client DB &amp; Bed Mgmt'!$N$5:$N$428))+IFERROR('Client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  <c r="V150" s="130">
        <f>IFERROR(T150*SUMPRODUCT(('Client DB &amp; Bed Mgmt'!$A$5:$A$428=K150)*('Client DB &amp; Bed Mgmt'!$B$5:$B$428=L150)*('Client DB &amp; Bed Mgmt'!$D$5:$D$428&lt;&gt;"")*--(('Client DB &amp; Bed Mgmt'!$M$5:$M$428="")+NOT(ISNUMBER('Client DB &amp; Bed Mgmt'!$M$5:$M$428))+IFERROR('Client DB &amp; Bed Mgmt'!$M$5:$M$428&lt;=EOMONTH(B150,0),FALSE)&gt;0)*--(('Client DB &amp; Bed Mgmt'!$N$5:$N$428="")+NOT(ISNUMBER('Client DB &amp; Bed Mgmt'!$N$5:$N$428))+IFERROR('Client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</row>
    <row r="151" hidden="1" ht="14.25" customHeight="1" s="83">
      <c r="A151" s="103" t="inlineStr">
        <is>
          <t>Dorm 3</t>
        </is>
      </c>
      <c r="B151" s="125">
        <f>DATE(YEAR(StartDate),MONTH(StartDate),1)</f>
        <v/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Mgmt'!$B:$B,C151,'Client DB &amp; Bed Mgmt'!$E:$E,"Occupied"),0)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Mgmt'!$M:$M,"&lt;="&amp;EOMONTH($B151,0),'Client DB &amp; Bed Mgmt'!$N:$N,"&gt;="&amp;DATE(YEAR($B151),MONTH($B151),1))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29">
        <f>IFERROR(J151*SUMPRODUCT(('Client DB &amp; Bed Mgmt'!$A$5:$A$428=A151)*('Client DB &amp; Bed Mgmt'!$B$5:$B$428=C151)*('Client DB &amp; Bed Mgmt'!$D$5:$D$428&lt;&gt;"")*--(('Client DB &amp; Bed Mgmt'!$M$5:$M$428="")+NOT(ISNUMBER('Client DB &amp; Bed Mgmt'!$M$5:$M$428))+IFERROR('Client DB &amp; Bed Mgmt'!$M$5:$M$428&lt;=EOMONTH(B151,0),FALSE)&gt;0)*--(('Client DB &amp; Bed Mgmt'!$N$5:$N$428="")+NOT(ISNUMBER('Client DB &amp; Bed Mgmt'!$N$5:$N$428))+IFERROR('Client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  <c r="V151" s="130">
        <f>IFERROR(T151*SUMPRODUCT(('Client DB &amp; Bed Mgmt'!$A$5:$A$428=K151)*('Client DB &amp; Bed Mgmt'!$B$5:$B$428=L151)*('Client DB &amp; Bed Mgmt'!$D$5:$D$428&lt;&gt;"")*--(('Client DB &amp; Bed Mgmt'!$M$5:$M$428="")+NOT(ISNUMBER('Client DB &amp; Bed Mgmt'!$M$5:$M$428))+IFERROR('Client DB &amp; Bed Mgmt'!$M$5:$M$428&lt;=EOMONTH(B151,0),FALSE)&gt;0)*--(('Client DB &amp; Bed Mgmt'!$N$5:$N$428="")+NOT(ISNUMBER('Client DB &amp; Bed Mgmt'!$N$5:$N$428))+IFERROR('Client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</row>
    <row r="152" hidden="1" ht="14.25" customHeight="1" s="83">
      <c r="A152" s="103" t="inlineStr">
        <is>
          <t>Dorm 3</t>
        </is>
      </c>
      <c r="B152" s="125">
        <f>DATE(YEAR(StartDate),MONTH(StartDate),1)</f>
        <v/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Mgmt'!$B:$B,C152,'Client DB &amp; Bed Mgmt'!$E:$E,"Occupied"),0)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Mgmt'!$M:$M,"&lt;="&amp;EOMONTH($B152,0),'Client DB &amp; Bed Mgmt'!$N:$N,"&gt;="&amp;DATE(YEAR($B152),MONTH($B152),1))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29">
        <f>IFERROR(J152*SUMPRODUCT(('Client DB &amp; Bed Mgmt'!$A$5:$A$428=A152)*('Client DB &amp; Bed Mgmt'!$B$5:$B$428=C152)*('Client DB &amp; Bed Mgmt'!$D$5:$D$428&lt;&gt;"")*--(('Client DB &amp; Bed Mgmt'!$M$5:$M$428="")+NOT(ISNUMBER('Client DB &amp; Bed Mgmt'!$M$5:$M$428))+IFERROR('Client DB &amp; Bed Mgmt'!$M$5:$M$428&lt;=EOMONTH(B152,0),FALSE)&gt;0)*--(('Client DB &amp; Bed Mgmt'!$N$5:$N$428="")+NOT(ISNUMBER('Client DB &amp; Bed Mgmt'!$N$5:$N$428))+IFERROR('Client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  <c r="V152" s="130">
        <f>IFERROR(T152*SUMPRODUCT(('Client DB &amp; Bed Mgmt'!$A$5:$A$428=K152)*('Client DB &amp; Bed Mgmt'!$B$5:$B$428=L152)*('Client DB &amp; Bed Mgmt'!$D$5:$D$428&lt;&gt;"")*--(('Client DB &amp; Bed Mgmt'!$M$5:$M$428="")+NOT(ISNUMBER('Client DB &amp; Bed Mgmt'!$M$5:$M$428))+IFERROR('Client DB &amp; Bed Mgmt'!$M$5:$M$428&lt;=EOMONTH(B152,0),FALSE)&gt;0)*--(('Client DB &amp; Bed Mgmt'!$N$5:$N$428="")+NOT(ISNUMBER('Client DB &amp; Bed Mgmt'!$N$5:$N$428))+IFERROR('Client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</row>
    <row r="153" hidden="1" ht="14.25" customHeight="1" s="83">
      <c r="A153" s="103" t="inlineStr">
        <is>
          <t>Dorm 3</t>
        </is>
      </c>
      <c r="B153" s="125">
        <f>DATE(YEAR(StartDate),MONTH(StartDate),1)</f>
        <v/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Mgmt'!$B:$B,C153,'Client DB &amp; Bed Mgmt'!$E:$E,"Occupied"),0)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Mgmt'!$M:$M,"&lt;="&amp;EOMONTH($B153,0),'Client DB &amp; Bed Mgmt'!$N:$N,"&gt;="&amp;DATE(YEAR($B153),MONTH($B153),1))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29">
        <f>IFERROR(J153*SUMPRODUCT(('Client DB &amp; Bed Mgmt'!$A$5:$A$428=A153)*('Client DB &amp; Bed Mgmt'!$B$5:$B$428=C153)*('Client DB &amp; Bed Mgmt'!$D$5:$D$428&lt;&gt;"")*--(('Client DB &amp; Bed Mgmt'!$M$5:$M$428="")+NOT(ISNUMBER('Client DB &amp; Bed Mgmt'!$M$5:$M$428))+IFERROR('Client DB &amp; Bed Mgmt'!$M$5:$M$428&lt;=EOMONTH(B153,0),FALSE)&gt;0)*--(('Client DB &amp; Bed Mgmt'!$N$5:$N$428="")+NOT(ISNUMBER('Client DB &amp; Bed Mgmt'!$N$5:$N$428))+IFERROR('Client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  <c r="V153" s="130">
        <f>IFERROR(T153*SUMPRODUCT(('Client DB &amp; Bed Mgmt'!$A$5:$A$428=K153)*('Client DB &amp; Bed Mgmt'!$B$5:$B$428=L153)*('Client DB &amp; Bed Mgmt'!$D$5:$D$428&lt;&gt;"")*--(('Client DB &amp; Bed Mgmt'!$M$5:$M$428="")+NOT(ISNUMBER('Client DB &amp; Bed Mgmt'!$M$5:$M$428))+IFERROR('Client DB &amp; Bed Mgmt'!$M$5:$M$428&lt;=EOMONTH(B153,0),FALSE)&gt;0)*--(('Client DB &amp; Bed Mgmt'!$N$5:$N$428="")+NOT(ISNUMBER('Client DB &amp; Bed Mgmt'!$N$5:$N$428))+IFERROR('Client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</row>
    <row r="154" hidden="1" ht="14.25" customHeight="1" s="83">
      <c r="A154" s="103" t="inlineStr">
        <is>
          <t>Dorm 3</t>
        </is>
      </c>
      <c r="B154" s="125">
        <f>DATE(YEAR(StartDate),MONTH(StartDate),1)</f>
        <v/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Mgmt'!$B:$B,C154,'Client DB &amp; Bed Mgmt'!$E:$E,"Occupied"),0)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Mgmt'!$M:$M,"&lt;="&amp;EOMONTH($B154,0),'Client DB &amp; Bed Mgmt'!$N:$N,"&gt;="&amp;DATE(YEAR($B154),MONTH($B154),1))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29">
        <f>IFERROR(J154*SUMPRODUCT(('Client DB &amp; Bed Mgmt'!$A$5:$A$428=A154)*('Client DB &amp; Bed Mgmt'!$B$5:$B$428=C154)*('Client DB &amp; Bed Mgmt'!$D$5:$D$428&lt;&gt;"")*--(('Client DB &amp; Bed Mgmt'!$M$5:$M$428="")+NOT(ISNUMBER('Client DB &amp; Bed Mgmt'!$M$5:$M$428))+IFERROR('Client DB &amp; Bed Mgmt'!$M$5:$M$428&lt;=EOMONTH(B154,0),FALSE)&gt;0)*--(('Client DB &amp; Bed Mgmt'!$N$5:$N$428="")+NOT(ISNUMBER('Client DB &amp; Bed Mgmt'!$N$5:$N$428))+IFERROR('Client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  <c r="V154" s="130">
        <f>IFERROR(T154*SUMPRODUCT(('Client DB &amp; Bed Mgmt'!$A$5:$A$428=K154)*('Client DB &amp; Bed Mgmt'!$B$5:$B$428=L154)*('Client DB &amp; Bed Mgmt'!$D$5:$D$428&lt;&gt;"")*--(('Client DB &amp; Bed Mgmt'!$M$5:$M$428="")+NOT(ISNUMBER('Client DB &amp; Bed Mgmt'!$M$5:$M$428))+IFERROR('Client DB &amp; Bed Mgmt'!$M$5:$M$428&lt;=EOMONTH(B154,0),FALSE)&gt;0)*--(('Client DB &amp; Bed Mgmt'!$N$5:$N$428="")+NOT(ISNUMBER('Client DB &amp; Bed Mgmt'!$N$5:$N$428))+IFERROR('Client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</row>
    <row r="155" hidden="1" ht="14.25" customHeight="1" s="83">
      <c r="A155" s="103" t="inlineStr">
        <is>
          <t>Dorm 3</t>
        </is>
      </c>
      <c r="B155" s="125">
        <f>DATE(YEAR(StartDate),MONTH(StartDate),1)</f>
        <v/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Mgmt'!$B:$B,C155,'Client DB &amp; Bed Mgmt'!$E:$E,"Occupied"),0)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Mgmt'!$M:$M,"&lt;="&amp;EOMONTH($B155,0),'Client DB &amp; Bed Mgmt'!$N:$N,"&gt;="&amp;DATE(YEAR($B155),MONTH($B155),1))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29">
        <f>IFERROR(J155*SUMPRODUCT(('Client DB &amp; Bed Mgmt'!$A$5:$A$428=A155)*('Client DB &amp; Bed Mgmt'!$B$5:$B$428=C155)*('Client DB &amp; Bed Mgmt'!$D$5:$D$428&lt;&gt;"")*--(('Client DB &amp; Bed Mgmt'!$M$5:$M$428="")+NOT(ISNUMBER('Client DB &amp; Bed Mgmt'!$M$5:$M$428))+IFERROR('Client DB &amp; Bed Mgmt'!$M$5:$M$428&lt;=EOMONTH(B155,0),FALSE)&gt;0)*--(('Client DB &amp; Bed Mgmt'!$N$5:$N$428="")+NOT(ISNUMBER('Client DB &amp; Bed Mgmt'!$N$5:$N$428))+IFERROR('Client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  <c r="V155" s="130">
        <f>IFERROR(T155*SUMPRODUCT(('Client DB &amp; Bed Mgmt'!$A$5:$A$428=K155)*('Client DB &amp; Bed Mgmt'!$B$5:$B$428=L155)*('Client DB &amp; Bed Mgmt'!$D$5:$D$428&lt;&gt;"")*--(('Client DB &amp; Bed Mgmt'!$M$5:$M$428="")+NOT(ISNUMBER('Client DB &amp; Bed Mgmt'!$M$5:$M$428))+IFERROR('Client DB &amp; Bed Mgmt'!$M$5:$M$428&lt;=EOMONTH(B155,0),FALSE)&gt;0)*--(('Client DB &amp; Bed Mgmt'!$N$5:$N$428="")+NOT(ISNUMBER('Client DB &amp; Bed Mgmt'!$N$5:$N$428))+IFERROR('Client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</row>
    <row r="156" hidden="1" ht="14.25" customHeight="1" s="83">
      <c r="A156" s="103" t="inlineStr">
        <is>
          <t>Dorm 3</t>
        </is>
      </c>
      <c r="B156" s="125">
        <f>DATE(YEAR(StartDate),MONTH(StartDate),1)</f>
        <v/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Mgmt'!$B:$B,C156,'Client DB &amp; Bed Mgmt'!$E:$E,"Occupied"),0)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Mgmt'!$M:$M,"&lt;="&amp;EOMONTH($B156,0),'Client DB &amp; Bed Mgmt'!$N:$N,"&gt;="&amp;DATE(YEAR($B156),MONTH($B156),1))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29">
        <f>IFERROR(J156*SUMPRODUCT(('Client DB &amp; Bed Mgmt'!$A$5:$A$428=A156)*('Client DB &amp; Bed Mgmt'!$B$5:$B$428=C156)*('Client DB &amp; Bed Mgmt'!$D$5:$D$428&lt;&gt;"")*--(('Client DB &amp; Bed Mgmt'!$M$5:$M$428="")+NOT(ISNUMBER('Client DB &amp; Bed Mgmt'!$M$5:$M$428))+IFERROR('Client DB &amp; Bed Mgmt'!$M$5:$M$428&lt;=EOMONTH(B156,0),FALSE)&gt;0)*--(('Client DB &amp; Bed Mgmt'!$N$5:$N$428="")+NOT(ISNUMBER('Client DB &amp; Bed Mgmt'!$N$5:$N$428))+IFERROR('Client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  <c r="V156" s="130">
        <f>IFERROR(T156*SUMPRODUCT(('Client DB &amp; Bed Mgmt'!$A$5:$A$428=K156)*('Client DB &amp; Bed Mgmt'!$B$5:$B$428=L156)*('Client DB &amp; Bed Mgmt'!$D$5:$D$428&lt;&gt;"")*--(('Client DB &amp; Bed Mgmt'!$M$5:$M$428="")+NOT(ISNUMBER('Client DB &amp; Bed Mgmt'!$M$5:$M$428))+IFERROR('Client DB &amp; Bed Mgmt'!$M$5:$M$428&lt;=EOMONTH(B156,0),FALSE)&gt;0)*--(('Client DB &amp; Bed Mgmt'!$N$5:$N$428="")+NOT(ISNUMBER('Client DB &amp; Bed Mgmt'!$N$5:$N$428))+IFERROR('Client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</row>
    <row r="157" hidden="1" ht="14.25" customHeight="1" s="83">
      <c r="A157" s="103" t="inlineStr">
        <is>
          <t>Dorm 3</t>
        </is>
      </c>
      <c r="B157" s="125">
        <f>DATE(YEAR(StartDate),MONTH(StartDate),1)</f>
        <v/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Mgmt'!$B:$B,C157,'Client DB &amp; Bed Mgmt'!$E:$E,"Occupied"),0)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Mgmt'!$M:$M,"&lt;="&amp;EOMONTH($B157,0),'Client DB &amp; Bed Mgmt'!$N:$N,"&gt;="&amp;DATE(YEAR($B157),MONTH($B157),1))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29">
        <f>IFERROR(J157*SUMPRODUCT(('Client DB &amp; Bed Mgmt'!$A$5:$A$428=A157)*('Client DB &amp; Bed Mgmt'!$B$5:$B$428=C157)*('Client DB &amp; Bed Mgmt'!$D$5:$D$428&lt;&gt;"")*--(('Client DB &amp; Bed Mgmt'!$M$5:$M$428="")+NOT(ISNUMBER('Client DB &amp; Bed Mgmt'!$M$5:$M$428))+IFERROR('Client DB &amp; Bed Mgmt'!$M$5:$M$428&lt;=EOMONTH(B157,0),FALSE)&gt;0)*--(('Client DB &amp; Bed Mgmt'!$N$5:$N$428="")+NOT(ISNUMBER('Client DB &amp; Bed Mgmt'!$N$5:$N$428))+IFERROR('Client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  <c r="V157" s="130">
        <f>IFERROR(T157*SUMPRODUCT(('Client DB &amp; Bed Mgmt'!$A$5:$A$428=K157)*('Client DB &amp; Bed Mgmt'!$B$5:$B$428=L157)*('Client DB &amp; Bed Mgmt'!$D$5:$D$428&lt;&gt;"")*--(('Client DB &amp; Bed Mgmt'!$M$5:$M$428="")+NOT(ISNUMBER('Client DB &amp; Bed Mgmt'!$M$5:$M$428))+IFERROR('Client DB &amp; Bed Mgmt'!$M$5:$M$428&lt;=EOMONTH(B157,0),FALSE)&gt;0)*--(('Client DB &amp; Bed Mgmt'!$N$5:$N$428="")+NOT(ISNUMBER('Client DB &amp; Bed Mgmt'!$N$5:$N$428))+IFERROR('Client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</row>
    <row r="158" hidden="1" ht="14.25" customHeight="1" s="83">
      <c r="A158" s="103" t="inlineStr">
        <is>
          <t>Dorm 3</t>
        </is>
      </c>
      <c r="B158" s="125">
        <f>DATE(YEAR(StartDate),MONTH(StartDate),1)</f>
        <v/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Mgmt'!$B:$B,C158,'Client DB &amp; Bed Mgmt'!$E:$E,"Occupied"),0)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Mgmt'!$M:$M,"&lt;="&amp;EOMONTH($B158,0),'Client DB &amp; Bed Mgmt'!$N:$N,"&gt;="&amp;DATE(YEAR($B158),MONTH($B158),1))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29">
        <f>IFERROR(J158*SUMPRODUCT(('Client DB &amp; Bed Mgmt'!$A$5:$A$428=A158)*('Client DB &amp; Bed Mgmt'!$B$5:$B$428=C158)*('Client DB &amp; Bed Mgmt'!$D$5:$D$428&lt;&gt;"")*--(('Client DB &amp; Bed Mgmt'!$M$5:$M$428="")+NOT(ISNUMBER('Client DB &amp; Bed Mgmt'!$M$5:$M$428))+IFERROR('Client DB &amp; Bed Mgmt'!$M$5:$M$428&lt;=EOMONTH(B158,0),FALSE)&gt;0)*--(('Client DB &amp; Bed Mgmt'!$N$5:$N$428="")+NOT(ISNUMBER('Client DB &amp; Bed Mgmt'!$N$5:$N$428))+IFERROR('Client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  <c r="V158" s="130">
        <f>IFERROR(T158*SUMPRODUCT(('Client DB &amp; Bed Mgmt'!$A$5:$A$428=K158)*('Client DB &amp; Bed Mgmt'!$B$5:$B$428=L158)*('Client DB &amp; Bed Mgmt'!$D$5:$D$428&lt;&gt;"")*--(('Client DB &amp; Bed Mgmt'!$M$5:$M$428="")+NOT(ISNUMBER('Client DB &amp; Bed Mgmt'!$M$5:$M$428))+IFERROR('Client DB &amp; Bed Mgmt'!$M$5:$M$428&lt;=EOMONTH(B158,0),FALSE)&gt;0)*--(('Client DB &amp; Bed Mgmt'!$N$5:$N$428="")+NOT(ISNUMBER('Client DB &amp; Bed Mgmt'!$N$5:$N$428))+IFERROR('Client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</row>
    <row r="159" hidden="1" ht="14.25" customHeight="1" s="83">
      <c r="A159" s="103" t="inlineStr">
        <is>
          <t>Dorm 3</t>
        </is>
      </c>
      <c r="B159" s="125">
        <f>DATE(YEAR(StartDate),MONTH(StartDate),1)</f>
        <v/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Mgmt'!$B:$B,C159,'Client DB &amp; Bed Mgmt'!$E:$E,"Occupied"),0)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Mgmt'!$M:$M,"&lt;="&amp;EOMONTH($B159,0),'Client DB &amp; Bed Mgmt'!$N:$N,"&gt;="&amp;DATE(YEAR($B159),MONTH($B159),1))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29">
        <f>IFERROR(J159*SUMPRODUCT(('Client DB &amp; Bed Mgmt'!$A$5:$A$428=A159)*('Client DB &amp; Bed Mgmt'!$B$5:$B$428=C159)*('Client DB &amp; Bed Mgmt'!$D$5:$D$428&lt;&gt;"")*--(('Client DB &amp; Bed Mgmt'!$M$5:$M$428="")+NOT(ISNUMBER('Client DB &amp; Bed Mgmt'!$M$5:$M$428))+IFERROR('Client DB &amp; Bed Mgmt'!$M$5:$M$428&lt;=EOMONTH(B159,0),FALSE)&gt;0)*--(('Client DB &amp; Bed Mgmt'!$N$5:$N$428="")+NOT(ISNUMBER('Client DB &amp; Bed Mgmt'!$N$5:$N$428))+IFERROR('Client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  <c r="V159" s="130">
        <f>IFERROR(T159*SUMPRODUCT(('Client DB &amp; Bed Mgmt'!$A$5:$A$428=K159)*('Client DB &amp; Bed Mgmt'!$B$5:$B$428=L159)*('Client DB &amp; Bed Mgmt'!$D$5:$D$428&lt;&gt;"")*--(('Client DB &amp; Bed Mgmt'!$M$5:$M$428="")+NOT(ISNUMBER('Client DB &amp; Bed Mgmt'!$M$5:$M$428))+IFERROR('Client DB &amp; Bed Mgmt'!$M$5:$M$428&lt;=EOMONTH(B159,0),FALSE)&gt;0)*--(('Client DB &amp; Bed Mgmt'!$N$5:$N$428="")+NOT(ISNUMBER('Client DB &amp; Bed Mgmt'!$N$5:$N$428))+IFERROR('Client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</row>
    <row r="160" hidden="1" ht="14.25" customHeight="1" s="83">
      <c r="A160" s="103" t="inlineStr">
        <is>
          <t>Dorm 3</t>
        </is>
      </c>
      <c r="B160" s="125">
        <f>DATE(YEAR(StartDate),MONTH(StartDate),1)</f>
        <v/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Mgmt'!$B:$B,C160,'Client DB &amp; Bed Mgmt'!$E:$E,"Occupied"),0)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Mgmt'!$M:$M,"&lt;="&amp;EOMONTH($B160,0),'Client DB &amp; Bed Mgmt'!$N:$N,"&gt;="&amp;DATE(YEAR($B160),MONTH($B160),1))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29">
        <f>IFERROR(J160*SUMPRODUCT(('Client DB &amp; Bed Mgmt'!$A$5:$A$428=A160)*('Client DB &amp; Bed Mgmt'!$B$5:$B$428=C160)*('Client DB &amp; Bed Mgmt'!$D$5:$D$428&lt;&gt;"")*--(('Client DB &amp; Bed Mgmt'!$M$5:$M$428="")+NOT(ISNUMBER('Client DB &amp; Bed Mgmt'!$M$5:$M$428))+IFERROR('Client DB &amp; Bed Mgmt'!$M$5:$M$428&lt;=EOMONTH(B160,0),FALSE)&gt;0)*--(('Client DB &amp; Bed Mgmt'!$N$5:$N$428="")+NOT(ISNUMBER('Client DB &amp; Bed Mgmt'!$N$5:$N$428))+IFERROR('Client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  <c r="V160" s="130">
        <f>IFERROR(T160*SUMPRODUCT(('Client DB &amp; Bed Mgmt'!$A$5:$A$428=K160)*('Client DB &amp; Bed Mgmt'!$B$5:$B$428=L160)*('Client DB &amp; Bed Mgmt'!$D$5:$D$428&lt;&gt;"")*--(('Client DB &amp; Bed Mgmt'!$M$5:$M$428="")+NOT(ISNUMBER('Client DB &amp; Bed Mgmt'!$M$5:$M$428))+IFERROR('Client DB &amp; Bed Mgmt'!$M$5:$M$428&lt;=EOMONTH(B160,0),FALSE)&gt;0)*--(('Client DB &amp; Bed Mgmt'!$N$5:$N$428="")+NOT(ISNUMBER('Client DB &amp; Bed Mgmt'!$N$5:$N$428))+IFERROR('Client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</row>
    <row r="161" hidden="1" ht="14.25" customHeight="1" s="83">
      <c r="A161" s="103" t="inlineStr">
        <is>
          <t>Dorm 3</t>
        </is>
      </c>
      <c r="B161" s="125">
        <f>DATE(YEAR(StartDate),MONTH(StartDate),1)</f>
        <v/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Mgmt'!$B:$B,C161,'Client DB &amp; Bed Mgmt'!$E:$E,"Occupied"),0)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Mgmt'!$M:$M,"&lt;="&amp;EOMONTH($B161,0),'Client DB &amp; Bed Mgmt'!$N:$N,"&gt;="&amp;DATE(YEAR($B161),MONTH($B161),1))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29">
        <f>IFERROR(J161*SUMPRODUCT(('Client DB &amp; Bed Mgmt'!$A$5:$A$428=A161)*('Client DB &amp; Bed Mgmt'!$B$5:$B$428=C161)*('Client DB &amp; Bed Mgmt'!$D$5:$D$428&lt;&gt;"")*--(('Client DB &amp; Bed Mgmt'!$M$5:$M$428="")+NOT(ISNUMBER('Client DB &amp; Bed Mgmt'!$M$5:$M$428))+IFERROR('Client DB &amp; Bed Mgmt'!$M$5:$M$428&lt;=EOMONTH(B161,0),FALSE)&gt;0)*--(('Client DB &amp; Bed Mgmt'!$N$5:$N$428="")+NOT(ISNUMBER('Client DB &amp; Bed Mgmt'!$N$5:$N$428))+IFERROR('Client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  <c r="V161" s="130">
        <f>IFERROR(T161*SUMPRODUCT(('Client DB &amp; Bed Mgmt'!$A$5:$A$428=K161)*('Client DB &amp; Bed Mgmt'!$B$5:$B$428=L161)*('Client DB &amp; Bed Mgmt'!$D$5:$D$428&lt;&gt;"")*--(('Client DB &amp; Bed Mgmt'!$M$5:$M$428="")+NOT(ISNUMBER('Client DB &amp; Bed Mgmt'!$M$5:$M$428))+IFERROR('Client DB &amp; Bed Mgmt'!$M$5:$M$428&lt;=EOMONTH(B161,0),FALSE)&gt;0)*--(('Client DB &amp; Bed Mgmt'!$N$5:$N$428="")+NOT(ISNUMBER('Client DB &amp; Bed Mgmt'!$N$5:$N$428))+IFERROR('Client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</row>
    <row r="162" hidden="1" ht="14.25" customHeight="1" s="83">
      <c r="A162" s="103" t="inlineStr">
        <is>
          <t>Dorm 3</t>
        </is>
      </c>
      <c r="B162" s="125">
        <f>DATE(YEAR(StartDate),MONTH(StartDate),1)</f>
        <v/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Mgmt'!$B:$B,C162,'Client DB &amp; Bed Mgmt'!$E:$E,"Occupied"),0)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Mgmt'!$M:$M,"&lt;="&amp;EOMONTH($B162,0),'Client DB &amp; Bed Mgmt'!$N:$N,"&gt;="&amp;DATE(YEAR($B162),MONTH($B162),1))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29">
        <f>IFERROR(J162*SUMPRODUCT(('Client DB &amp; Bed Mgmt'!$A$5:$A$428=A162)*('Client DB &amp; Bed Mgmt'!$B$5:$B$428=C162)*('Client DB &amp; Bed Mgmt'!$D$5:$D$428&lt;&gt;"")*--(('Client DB &amp; Bed Mgmt'!$M$5:$M$428="")+NOT(ISNUMBER('Client DB &amp; Bed Mgmt'!$M$5:$M$428))+IFERROR('Client DB &amp; Bed Mgmt'!$M$5:$M$428&lt;=EOMONTH(B162,0),FALSE)&gt;0)*--(('Client DB &amp; Bed Mgmt'!$N$5:$N$428="")+NOT(ISNUMBER('Client DB &amp; Bed Mgmt'!$N$5:$N$428))+IFERROR('Client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  <c r="V162" s="130">
        <f>IFERROR(T162*SUMPRODUCT(('Client DB &amp; Bed Mgmt'!$A$5:$A$428=K162)*('Client DB &amp; Bed Mgmt'!$B$5:$B$428=L162)*('Client DB &amp; Bed Mgmt'!$D$5:$D$428&lt;&gt;"")*--(('Client DB &amp; Bed Mgmt'!$M$5:$M$428="")+NOT(ISNUMBER('Client DB &amp; Bed Mgmt'!$M$5:$M$428))+IFERROR('Client DB &amp; Bed Mgmt'!$M$5:$M$428&lt;=EOMONTH(B162,0),FALSE)&gt;0)*--(('Client DB &amp; Bed Mgmt'!$N$5:$N$428="")+NOT(ISNUMBER('Client DB &amp; Bed Mgmt'!$N$5:$N$428))+IFERROR('Client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</row>
    <row r="163" hidden="1" ht="14.25" customHeight="1" s="83">
      <c r="A163" s="103" t="inlineStr">
        <is>
          <t>Dorm 3</t>
        </is>
      </c>
      <c r="B163" s="125">
        <f>DATE(YEAR(StartDate),MONTH(StartDate),1)</f>
        <v/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Mgmt'!$B:$B,C163,'Client DB &amp; Bed Mgmt'!$E:$E,"Occupied"),0)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Mgmt'!$M:$M,"&lt;="&amp;EOMONTH($B163,0),'Client DB &amp; Bed Mgmt'!$N:$N,"&gt;="&amp;DATE(YEAR($B163),MONTH($B163),1))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29">
        <f>IFERROR(J163*SUMPRODUCT(('Client DB &amp; Bed Mgmt'!$A$5:$A$428=A163)*('Client DB &amp; Bed Mgmt'!$B$5:$B$428=C163)*('Client DB &amp; Bed Mgmt'!$D$5:$D$428&lt;&gt;"")*--(('Client DB &amp; Bed Mgmt'!$M$5:$M$428="")+NOT(ISNUMBER('Client DB &amp; Bed Mgmt'!$M$5:$M$428))+IFERROR('Client DB &amp; Bed Mgmt'!$M$5:$M$428&lt;=EOMONTH(B163,0),FALSE)&gt;0)*--(('Client DB &amp; Bed Mgmt'!$N$5:$N$428="")+NOT(ISNUMBER('Client DB &amp; Bed Mgmt'!$N$5:$N$428))+IFERROR('Client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  <c r="V163" s="130">
        <f>IFERROR(T163*SUMPRODUCT(('Client DB &amp; Bed Mgmt'!$A$5:$A$428=K163)*('Client DB &amp; Bed Mgmt'!$B$5:$B$428=L163)*('Client DB &amp; Bed Mgmt'!$D$5:$D$428&lt;&gt;"")*--(('Client DB &amp; Bed Mgmt'!$M$5:$M$428="")+NOT(ISNUMBER('Client DB &amp; Bed Mgmt'!$M$5:$M$428))+IFERROR('Client DB &amp; Bed Mgmt'!$M$5:$M$428&lt;=EOMONTH(B163,0),FALSE)&gt;0)*--(('Client DB &amp; Bed Mgmt'!$N$5:$N$428="")+NOT(ISNUMBER('Client DB &amp; Bed Mgmt'!$N$5:$N$428))+IFERROR('Client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</row>
    <row r="164" hidden="1" ht="14.25" customHeight="1" s="83">
      <c r="A164" s="103" t="inlineStr">
        <is>
          <t>Dorm 3</t>
        </is>
      </c>
      <c r="B164" s="125">
        <f>DATE(YEAR(StartDate),MONTH(StartDate),1)</f>
        <v/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Mgmt'!$B:$B,C164,'Client DB &amp; Bed Mgmt'!$E:$E,"Occupied"),0)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Mgmt'!$M:$M,"&lt;="&amp;EOMONTH($B164,0),'Client DB &amp; Bed Mgmt'!$N:$N,"&gt;="&amp;DATE(YEAR($B164),MONTH($B164),1))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29">
        <f>IFERROR(J164*SUMPRODUCT(('Client DB &amp; Bed Mgmt'!$A$5:$A$428=A164)*('Client DB &amp; Bed Mgmt'!$B$5:$B$428=C164)*('Client DB &amp; Bed Mgmt'!$D$5:$D$428&lt;&gt;"")*--(('Client DB &amp; Bed Mgmt'!$M$5:$M$428="")+NOT(ISNUMBER('Client DB &amp; Bed Mgmt'!$M$5:$M$428))+IFERROR('Client DB &amp; Bed Mgmt'!$M$5:$M$428&lt;=EOMONTH(B164,0),FALSE)&gt;0)*--(('Client DB &amp; Bed Mgmt'!$N$5:$N$428="")+NOT(ISNUMBER('Client DB &amp; Bed Mgmt'!$N$5:$N$428))+IFERROR('Client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  <c r="V164" s="130">
        <f>IFERROR(T164*SUMPRODUCT(('Client DB &amp; Bed Mgmt'!$A$5:$A$428=K164)*('Client DB &amp; Bed Mgmt'!$B$5:$B$428=L164)*('Client DB &amp; Bed Mgmt'!$D$5:$D$428&lt;&gt;"")*--(('Client DB &amp; Bed Mgmt'!$M$5:$M$428="")+NOT(ISNUMBER('Client DB &amp; Bed Mgmt'!$M$5:$M$428))+IFERROR('Client DB &amp; Bed Mgmt'!$M$5:$M$428&lt;=EOMONTH(B164,0),FALSE)&gt;0)*--(('Client DB &amp; Bed Mgmt'!$N$5:$N$428="")+NOT(ISNUMBER('Client DB &amp; Bed Mgmt'!$N$5:$N$428))+IFERROR('Client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</row>
    <row r="165" hidden="1" ht="14.25" customHeight="1" s="83">
      <c r="A165" s="103" t="inlineStr">
        <is>
          <t>Dorm 3</t>
        </is>
      </c>
      <c r="B165" s="125">
        <f>DATE(YEAR(StartDate),MONTH(StartDate),1)</f>
        <v/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Mgmt'!$B:$B,C165,'Client DB &amp; Bed Mgmt'!$E:$E,"Occupied"),0)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Mgmt'!$M:$M,"&lt;="&amp;EOMONTH($B165,0),'Client DB &amp; Bed Mgmt'!$N:$N,"&gt;="&amp;DATE(YEAR($B165),MONTH($B165),1))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29">
        <f>IFERROR(J165*SUMPRODUCT(('Client DB &amp; Bed Mgmt'!$A$5:$A$428=A165)*('Client DB &amp; Bed Mgmt'!$B$5:$B$428=C165)*('Client DB &amp; Bed Mgmt'!$D$5:$D$428&lt;&gt;"")*--(('Client DB &amp; Bed Mgmt'!$M$5:$M$428="")+NOT(ISNUMBER('Client DB &amp; Bed Mgmt'!$M$5:$M$428))+IFERROR('Client DB &amp; Bed Mgmt'!$M$5:$M$428&lt;=EOMONTH(B165,0),FALSE)&gt;0)*--(('Client DB &amp; Bed Mgmt'!$N$5:$N$428="")+NOT(ISNUMBER('Client DB &amp; Bed Mgmt'!$N$5:$N$428))+IFERROR('Client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  <c r="V165" s="130">
        <f>IFERROR(T165*SUMPRODUCT(('Client DB &amp; Bed Mgmt'!$A$5:$A$428=K165)*('Client DB &amp; Bed Mgmt'!$B$5:$B$428=L165)*('Client DB &amp; Bed Mgmt'!$D$5:$D$428&lt;&gt;"")*--(('Client DB &amp; Bed Mgmt'!$M$5:$M$428="")+NOT(ISNUMBER('Client DB &amp; Bed Mgmt'!$M$5:$M$428))+IFERROR('Client DB &amp; Bed Mgmt'!$M$5:$M$428&lt;=EOMONTH(B165,0),FALSE)&gt;0)*--(('Client DB &amp; Bed Mgmt'!$N$5:$N$428="")+NOT(ISNUMBER('Client DB &amp; Bed Mgmt'!$N$5:$N$428))+IFERROR('Client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</row>
    <row r="166" hidden="1" ht="14.25" customHeight="1" s="83">
      <c r="A166" s="103" t="inlineStr">
        <is>
          <t>Dorm 3</t>
        </is>
      </c>
      <c r="B166" s="125">
        <f>DATE(YEAR(StartDate),MONTH(StartDate),1)</f>
        <v/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Mgmt'!$B:$B,C166,'Client DB &amp; Bed Mgmt'!$E:$E,"Occupied"),0)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Mgmt'!$M:$M,"&lt;="&amp;EOMONTH($B166,0),'Client DB &amp; Bed Mgmt'!$N:$N,"&gt;="&amp;DATE(YEAR($B166),MONTH($B166),1))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29">
        <f>IFERROR(J166*SUMPRODUCT(('Client DB &amp; Bed Mgmt'!$A$5:$A$428=A166)*('Client DB &amp; Bed Mgmt'!$B$5:$B$428=C166)*('Client DB &amp; Bed Mgmt'!$D$5:$D$428&lt;&gt;"")*--(('Client DB &amp; Bed Mgmt'!$M$5:$M$428="")+NOT(ISNUMBER('Client DB &amp; Bed Mgmt'!$M$5:$M$428))+IFERROR('Client DB &amp; Bed Mgmt'!$M$5:$M$428&lt;=EOMONTH(B166,0),FALSE)&gt;0)*--(('Client DB &amp; Bed Mgmt'!$N$5:$N$428="")+NOT(ISNUMBER('Client DB &amp; Bed Mgmt'!$N$5:$N$428))+IFERROR('Client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  <c r="V166" s="130">
        <f>IFERROR(T166*SUMPRODUCT(('Client DB &amp; Bed Mgmt'!$A$5:$A$428=K166)*('Client DB &amp; Bed Mgmt'!$B$5:$B$428=L166)*('Client DB &amp; Bed Mgmt'!$D$5:$D$428&lt;&gt;"")*--(('Client DB &amp; Bed Mgmt'!$M$5:$M$428="")+NOT(ISNUMBER('Client DB &amp; Bed Mgmt'!$M$5:$M$428))+IFERROR('Client DB &amp; Bed Mgmt'!$M$5:$M$428&lt;=EOMONTH(B166,0),FALSE)&gt;0)*--(('Client DB &amp; Bed Mgmt'!$N$5:$N$428="")+NOT(ISNUMBER('Client DB &amp; Bed Mgmt'!$N$5:$N$428))+IFERROR('Client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</row>
    <row r="167" hidden="1" ht="14.25" customHeight="1" s="83">
      <c r="A167" s="103" t="inlineStr">
        <is>
          <t>Dorm 3</t>
        </is>
      </c>
      <c r="B167" s="125">
        <f>DATE(YEAR(StartDate),MONTH(StartDate),1)</f>
        <v/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Mgmt'!$B:$B,C167,'Client DB &amp; Bed Mgmt'!$E:$E,"Occupied"),0)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Mgmt'!$M:$M,"&lt;="&amp;EOMONTH($B167,0),'Client DB &amp; Bed Mgmt'!$N:$N,"&gt;="&amp;DATE(YEAR($B167),MONTH($B167),1))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29">
        <f>IFERROR(J167*SUMPRODUCT(('Client DB &amp; Bed Mgmt'!$A$5:$A$428=A167)*('Client DB &amp; Bed Mgmt'!$B$5:$B$428=C167)*('Client DB &amp; Bed Mgmt'!$D$5:$D$428&lt;&gt;"")*--(('Client DB &amp; Bed Mgmt'!$M$5:$M$428="")+NOT(ISNUMBER('Client DB &amp; Bed Mgmt'!$M$5:$M$428))+IFERROR('Client DB &amp; Bed Mgmt'!$M$5:$M$428&lt;=EOMONTH(B167,0),FALSE)&gt;0)*--(('Client DB &amp; Bed Mgmt'!$N$5:$N$428="")+NOT(ISNUMBER('Client DB &amp; Bed Mgmt'!$N$5:$N$428))+IFERROR('Client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  <c r="V167" s="130">
        <f>IFERROR(T167*SUMPRODUCT(('Client DB &amp; Bed Mgmt'!$A$5:$A$428=K167)*('Client DB &amp; Bed Mgmt'!$B$5:$B$428=L167)*('Client DB &amp; Bed Mgmt'!$D$5:$D$428&lt;&gt;"")*--(('Client DB &amp; Bed Mgmt'!$M$5:$M$428="")+NOT(ISNUMBER('Client DB &amp; Bed Mgmt'!$M$5:$M$428))+IFERROR('Client DB &amp; Bed Mgmt'!$M$5:$M$428&lt;=EOMONTH(B167,0),FALSE)&gt;0)*--(('Client DB &amp; Bed Mgmt'!$N$5:$N$428="")+NOT(ISNUMBER('Client DB &amp; Bed Mgmt'!$N$5:$N$428))+IFERROR('Client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</row>
    <row r="168" hidden="1" ht="14.25" customHeight="1" s="83">
      <c r="A168" s="103" t="inlineStr">
        <is>
          <t>Dorm 3</t>
        </is>
      </c>
      <c r="B168" s="125">
        <f>DATE(YEAR(StartDate),MONTH(StartDate),1)</f>
        <v/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Mgmt'!$B:$B,C168,'Client DB &amp; Bed Mgmt'!$E:$E,"Occupied"),0)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Mgmt'!$M:$M,"&lt;="&amp;EOMONTH($B168,0),'Client DB &amp; Bed Mgmt'!$N:$N,"&gt;="&amp;DATE(YEAR($B168),MONTH($B168),1))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29">
        <f>IFERROR(J168*SUMPRODUCT(('Client DB &amp; Bed Mgmt'!$A$5:$A$428=A168)*('Client DB &amp; Bed Mgmt'!$B$5:$B$428=C168)*('Client DB &amp; Bed Mgmt'!$D$5:$D$428&lt;&gt;"")*--(('Client DB &amp; Bed Mgmt'!$M$5:$M$428="")+NOT(ISNUMBER('Client DB &amp; Bed Mgmt'!$M$5:$M$428))+IFERROR('Client DB &amp; Bed Mgmt'!$M$5:$M$428&lt;=EOMONTH(B168,0),FALSE)&gt;0)*--(('Client DB &amp; Bed Mgmt'!$N$5:$N$428="")+NOT(ISNUMBER('Client DB &amp; Bed Mgmt'!$N$5:$N$428))+IFERROR('Client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  <c r="V168" s="130">
        <f>IFERROR(T168*SUMPRODUCT(('Client DB &amp; Bed Mgmt'!$A$5:$A$428=K168)*('Client DB &amp; Bed Mgmt'!$B$5:$B$428=L168)*('Client DB &amp; Bed Mgmt'!$D$5:$D$428&lt;&gt;"")*--(('Client DB &amp; Bed Mgmt'!$M$5:$M$428="")+NOT(ISNUMBER('Client DB &amp; Bed Mgmt'!$M$5:$M$428))+IFERROR('Client DB &amp; Bed Mgmt'!$M$5:$M$428&lt;=EOMONTH(B168,0),FALSE)&gt;0)*--(('Client DB &amp; Bed Mgmt'!$N$5:$N$428="")+NOT(ISNUMBER('Client DB &amp; Bed Mgmt'!$N$5:$N$428))+IFERROR('Client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</row>
    <row r="169" hidden="1" ht="14.25" customHeight="1" s="83">
      <c r="A169" s="103" t="inlineStr">
        <is>
          <t>Dorm 3</t>
        </is>
      </c>
      <c r="B169" s="125">
        <f>DATE(YEAR(StartDate),MONTH(StartDate),1)</f>
        <v/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Mgmt'!$B:$B,C169,'Client DB &amp; Bed Mgmt'!$E:$E,"Occupied"),0)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Mgmt'!$M:$M,"&lt;="&amp;EOMONTH($B169,0),'Client DB &amp; Bed Mgmt'!$N:$N,"&gt;="&amp;DATE(YEAR($B169),MONTH($B169),1))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29">
        <f>IFERROR(J169*SUMPRODUCT(('Client DB &amp; Bed Mgmt'!$A$5:$A$428=A169)*('Client DB &amp; Bed Mgmt'!$B$5:$B$428=C169)*('Client DB &amp; Bed Mgmt'!$D$5:$D$428&lt;&gt;"")*--(('Client DB &amp; Bed Mgmt'!$M$5:$M$428="")+NOT(ISNUMBER('Client DB &amp; Bed Mgmt'!$M$5:$M$428))+IFERROR('Client DB &amp; Bed Mgmt'!$M$5:$M$428&lt;=EOMONTH(B169,0),FALSE)&gt;0)*--(('Client DB &amp; Bed Mgmt'!$N$5:$N$428="")+NOT(ISNUMBER('Client DB &amp; Bed Mgmt'!$N$5:$N$428))+IFERROR('Client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  <c r="V169" s="130">
        <f>IFERROR(T169*SUMPRODUCT(('Client DB &amp; Bed Mgmt'!$A$5:$A$428=K169)*('Client DB &amp; Bed Mgmt'!$B$5:$B$428=L169)*('Client DB &amp; Bed Mgmt'!$D$5:$D$428&lt;&gt;"")*--(('Client DB &amp; Bed Mgmt'!$M$5:$M$428="")+NOT(ISNUMBER('Client DB &amp; Bed Mgmt'!$M$5:$M$428))+IFERROR('Client DB &amp; Bed Mgmt'!$M$5:$M$428&lt;=EOMONTH(B169,0),FALSE)&gt;0)*--(('Client DB &amp; Bed Mgmt'!$N$5:$N$428="")+NOT(ISNUMBER('Client DB &amp; Bed Mgmt'!$N$5:$N$428))+IFERROR('Client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</row>
    <row r="170" hidden="1" ht="14.25" customHeight="1" s="83">
      <c r="A170" s="103" t="inlineStr">
        <is>
          <t>Dorm 3</t>
        </is>
      </c>
      <c r="B170" s="125">
        <f>DATE(YEAR(StartDate),MONTH(StartDate),1)</f>
        <v/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Mgmt'!$B:$B,C170,'Client DB &amp; Bed Mgmt'!$E:$E,"Occupied"),0)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Mgmt'!$M:$M,"&lt;="&amp;EOMONTH($B170,0),'Client DB &amp; Bed Mgmt'!$N:$N,"&gt;="&amp;DATE(YEAR($B170),MONTH($B170),1))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29">
        <f>IFERROR(J170*SUMPRODUCT(('Client DB &amp; Bed Mgmt'!$A$5:$A$428=A170)*('Client DB &amp; Bed Mgmt'!$B$5:$B$428=C170)*('Client DB &amp; Bed Mgmt'!$D$5:$D$428&lt;&gt;"")*--(('Client DB &amp; Bed Mgmt'!$M$5:$M$428="")+NOT(ISNUMBER('Client DB &amp; Bed Mgmt'!$M$5:$M$428))+IFERROR('Client DB &amp; Bed Mgmt'!$M$5:$M$428&lt;=EOMONTH(B170,0),FALSE)&gt;0)*--(('Client DB &amp; Bed Mgmt'!$N$5:$N$428="")+NOT(ISNUMBER('Client DB &amp; Bed Mgmt'!$N$5:$N$428))+IFERROR('Client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  <c r="V170" s="130">
        <f>IFERROR(T170*SUMPRODUCT(('Client DB &amp; Bed Mgmt'!$A$5:$A$428=K170)*('Client DB &amp; Bed Mgmt'!$B$5:$B$428=L170)*('Client DB &amp; Bed Mgmt'!$D$5:$D$428&lt;&gt;"")*--(('Client DB &amp; Bed Mgmt'!$M$5:$M$428="")+NOT(ISNUMBER('Client DB &amp; Bed Mgmt'!$M$5:$M$428))+IFERROR('Client DB &amp; Bed Mgmt'!$M$5:$M$428&lt;=EOMONTH(B170,0),FALSE)&gt;0)*--(('Client DB &amp; Bed Mgmt'!$N$5:$N$428="")+NOT(ISNUMBER('Client DB &amp; Bed Mgmt'!$N$5:$N$428))+IFERROR('Client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</row>
    <row r="171" hidden="1" ht="14.25" customHeight="1" s="83">
      <c r="A171" s="103" t="inlineStr">
        <is>
          <t>Dorm 3</t>
        </is>
      </c>
      <c r="B171" s="125">
        <f>DATE(YEAR(StartDate),MONTH(StartDate),1)</f>
        <v/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Mgmt'!$B:$B,C171,'Client DB &amp; Bed Mgmt'!$E:$E,"Occupied"),0)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Mgmt'!$M:$M,"&lt;="&amp;EOMONTH($B171,0),'Client DB &amp; Bed Mgmt'!$N:$N,"&gt;="&amp;DATE(YEAR($B171),MONTH($B171),1))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29">
        <f>IFERROR(J171*SUMPRODUCT(('Client DB &amp; Bed Mgmt'!$A$5:$A$428=A171)*('Client DB &amp; Bed Mgmt'!$B$5:$B$428=C171)*('Client DB &amp; Bed Mgmt'!$D$5:$D$428&lt;&gt;"")*--(('Client DB &amp; Bed Mgmt'!$M$5:$M$428="")+NOT(ISNUMBER('Client DB &amp; Bed Mgmt'!$M$5:$M$428))+IFERROR('Client DB &amp; Bed Mgmt'!$M$5:$M$428&lt;=EOMONTH(B171,0),FALSE)&gt;0)*--(('Client DB &amp; Bed Mgmt'!$N$5:$N$428="")+NOT(ISNUMBER('Client DB &amp; Bed Mgmt'!$N$5:$N$428))+IFERROR('Client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  <c r="V171" s="130">
        <f>IFERROR(T171*SUMPRODUCT(('Client DB &amp; Bed Mgmt'!$A$5:$A$428=K171)*('Client DB &amp; Bed Mgmt'!$B$5:$B$428=L171)*('Client DB &amp; Bed Mgmt'!$D$5:$D$428&lt;&gt;"")*--(('Client DB &amp; Bed Mgmt'!$M$5:$M$428="")+NOT(ISNUMBER('Client DB &amp; Bed Mgmt'!$M$5:$M$428))+IFERROR('Client DB &amp; Bed Mgmt'!$M$5:$M$428&lt;=EOMONTH(B171,0),FALSE)&gt;0)*--(('Client DB &amp; Bed Mgmt'!$N$5:$N$428="")+NOT(ISNUMBER('Client DB &amp; Bed Mgmt'!$N$5:$N$428))+IFERROR('Client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</row>
    <row r="172" hidden="1" ht="14.25" customHeight="1" s="83">
      <c r="A172" s="103" t="inlineStr">
        <is>
          <t>Dorm 3</t>
        </is>
      </c>
      <c r="B172" s="125">
        <f>DATE(YEAR(StartDate),MONTH(StartDate),1)</f>
        <v/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Mgmt'!$B:$B,C172,'Client DB &amp; Bed Mgmt'!$E:$E,"Occupied"),0)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Mgmt'!$M:$M,"&lt;="&amp;EOMONTH($B172,0),'Client DB &amp; Bed Mgmt'!$N:$N,"&gt;="&amp;DATE(YEAR($B172),MONTH($B172),1))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29">
        <f>IFERROR(J172*SUMPRODUCT(('Client DB &amp; Bed Mgmt'!$A$5:$A$428=A172)*('Client DB &amp; Bed Mgmt'!$B$5:$B$428=C172)*('Client DB &amp; Bed Mgmt'!$D$5:$D$428&lt;&gt;"")*--(('Client DB &amp; Bed Mgmt'!$M$5:$M$428="")+NOT(ISNUMBER('Client DB &amp; Bed Mgmt'!$M$5:$M$428))+IFERROR('Client DB &amp; Bed Mgmt'!$M$5:$M$428&lt;=EOMONTH(B172,0),FALSE)&gt;0)*--(('Client DB &amp; Bed Mgmt'!$N$5:$N$428="")+NOT(ISNUMBER('Client DB &amp; Bed Mgmt'!$N$5:$N$428))+IFERROR('Client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  <c r="V172" s="130">
        <f>IFERROR(T172*SUMPRODUCT(('Client DB &amp; Bed Mgmt'!$A$5:$A$428=K172)*('Client DB &amp; Bed Mgmt'!$B$5:$B$428=L172)*('Client DB &amp; Bed Mgmt'!$D$5:$D$428&lt;&gt;"")*--(('Client DB &amp; Bed Mgmt'!$M$5:$M$428="")+NOT(ISNUMBER('Client DB &amp; Bed Mgmt'!$M$5:$M$428))+IFERROR('Client DB &amp; Bed Mgmt'!$M$5:$M$428&lt;=EOMONTH(B172,0),FALSE)&gt;0)*--(('Client DB &amp; Bed Mgmt'!$N$5:$N$428="")+NOT(ISNUMBER('Client DB &amp; Bed Mgmt'!$N$5:$N$428))+IFERROR('Client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</row>
    <row r="173" hidden="1" ht="14.25" customHeight="1" s="83">
      <c r="A173" s="103" t="inlineStr">
        <is>
          <t>Dorm 3</t>
        </is>
      </c>
      <c r="B173" s="125">
        <f>DATE(YEAR(StartDate),MONTH(StartDate),1)</f>
        <v/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Mgmt'!$B:$B,C173,'Client DB &amp; Bed Mgmt'!$E:$E,"Occupied"),0)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Mgmt'!$M:$M,"&lt;="&amp;EOMONTH($B173,0),'Client DB &amp; Bed Mgmt'!$N:$N,"&gt;="&amp;DATE(YEAR($B173),MONTH($B173),1))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29">
        <f>IFERROR(J173*SUMPRODUCT(('Client DB &amp; Bed Mgmt'!$A$5:$A$428=A173)*('Client DB &amp; Bed Mgmt'!$B$5:$B$428=C173)*('Client DB &amp; Bed Mgmt'!$D$5:$D$428&lt;&gt;"")*--(('Client DB &amp; Bed Mgmt'!$M$5:$M$428="")+NOT(ISNUMBER('Client DB &amp; Bed Mgmt'!$M$5:$M$428))+IFERROR('Client DB &amp; Bed Mgmt'!$M$5:$M$428&lt;=EOMONTH(B173,0),FALSE)&gt;0)*--(('Client DB &amp; Bed Mgmt'!$N$5:$N$428="")+NOT(ISNUMBER('Client DB &amp; Bed Mgmt'!$N$5:$N$428))+IFERROR('Client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  <c r="V173" s="130">
        <f>IFERROR(T173*SUMPRODUCT(('Client DB &amp; Bed Mgmt'!$A$5:$A$428=K173)*('Client DB &amp; Bed Mgmt'!$B$5:$B$428=L173)*('Client DB &amp; Bed Mgmt'!$D$5:$D$428&lt;&gt;"")*--(('Client DB &amp; Bed Mgmt'!$M$5:$M$428="")+NOT(ISNUMBER('Client DB &amp; Bed Mgmt'!$M$5:$M$428))+IFERROR('Client DB &amp; Bed Mgmt'!$M$5:$M$428&lt;=EOMONTH(B173,0),FALSE)&gt;0)*--(('Client DB &amp; Bed Mgmt'!$N$5:$N$428="")+NOT(ISNUMBER('Client DB &amp; Bed Mgmt'!$N$5:$N$428))+IFERROR('Client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</row>
    <row r="174" hidden="1" ht="14.25" customHeight="1" s="83">
      <c r="A174" s="103" t="inlineStr">
        <is>
          <t>Dorm 3</t>
        </is>
      </c>
      <c r="B174" s="125">
        <f>DATE(YEAR(StartDate),MONTH(StartDate),1)</f>
        <v/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Mgmt'!$B:$B,C174,'Client DB &amp; Bed Mgmt'!$E:$E,"Occupied"),0)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Mgmt'!$M:$M,"&lt;="&amp;EOMONTH($B174,0),'Client DB &amp; Bed Mgmt'!$N:$N,"&gt;="&amp;DATE(YEAR($B174),MONTH($B174),1))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29">
        <f>IFERROR(J174*SUMPRODUCT(('Client DB &amp; Bed Mgmt'!$A$5:$A$428=A174)*('Client DB &amp; Bed Mgmt'!$B$5:$B$428=C174)*('Client DB &amp; Bed Mgmt'!$D$5:$D$428&lt;&gt;"")*--(('Client DB &amp; Bed Mgmt'!$M$5:$M$428="")+NOT(ISNUMBER('Client DB &amp; Bed Mgmt'!$M$5:$M$428))+IFERROR('Client DB &amp; Bed Mgmt'!$M$5:$M$428&lt;=EOMONTH(B174,0),FALSE)&gt;0)*--(('Client DB &amp; Bed Mgmt'!$N$5:$N$428="")+NOT(ISNUMBER('Client DB &amp; Bed Mgmt'!$N$5:$N$428))+IFERROR('Client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  <c r="V174" s="130">
        <f>IFERROR(T174*SUMPRODUCT(('Client DB &amp; Bed Mgmt'!$A$5:$A$428=K174)*('Client DB &amp; Bed Mgmt'!$B$5:$B$428=L174)*('Client DB &amp; Bed Mgmt'!$D$5:$D$428&lt;&gt;"")*--(('Client DB &amp; Bed Mgmt'!$M$5:$M$428="")+NOT(ISNUMBER('Client DB &amp; Bed Mgmt'!$M$5:$M$428))+IFERROR('Client DB &amp; Bed Mgmt'!$M$5:$M$428&lt;=EOMONTH(B174,0),FALSE)&gt;0)*--(('Client DB &amp; Bed Mgmt'!$N$5:$N$428="")+NOT(ISNUMBER('Client DB &amp; Bed Mgmt'!$N$5:$N$428))+IFERROR('Client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</row>
    <row r="175" hidden="1" ht="14.25" customHeight="1" s="83">
      <c r="A175" s="103" t="inlineStr">
        <is>
          <t>Dorm 3</t>
        </is>
      </c>
      <c r="B175" s="125">
        <f>DATE(YEAR(StartDate),MONTH(StartDate),1)</f>
        <v/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Mgmt'!$B:$B,C175,'Client DB &amp; Bed Mgmt'!$E:$E,"Occupied"),0)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Mgmt'!$M:$M,"&lt;="&amp;EOMONTH($B175,0),'Client DB &amp; Bed Mgmt'!$N:$N,"&gt;="&amp;DATE(YEAR($B175),MONTH($B175),1))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29">
        <f>IFERROR(J175*SUMPRODUCT(('Client DB &amp; Bed Mgmt'!$A$5:$A$428=A175)*('Client DB &amp; Bed Mgmt'!$B$5:$B$428=C175)*('Client DB &amp; Bed Mgmt'!$D$5:$D$428&lt;&gt;"")*--(('Client DB &amp; Bed Mgmt'!$M$5:$M$428="")+NOT(ISNUMBER('Client DB &amp; Bed Mgmt'!$M$5:$M$428))+IFERROR('Client DB &amp; Bed Mgmt'!$M$5:$M$428&lt;=EOMONTH(B175,0),FALSE)&gt;0)*--(('Client DB &amp; Bed Mgmt'!$N$5:$N$428="")+NOT(ISNUMBER('Client DB &amp; Bed Mgmt'!$N$5:$N$428))+IFERROR('Client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  <c r="V175" s="130">
        <f>IFERROR(T175*SUMPRODUCT(('Client DB &amp; Bed Mgmt'!$A$5:$A$428=K175)*('Client DB &amp; Bed Mgmt'!$B$5:$B$428=L175)*('Client DB &amp; Bed Mgmt'!$D$5:$D$428&lt;&gt;"")*--(('Client DB &amp; Bed Mgmt'!$M$5:$M$428="")+NOT(ISNUMBER('Client DB &amp; Bed Mgmt'!$M$5:$M$428))+IFERROR('Client DB &amp; Bed Mgmt'!$M$5:$M$428&lt;=EOMONTH(B175,0),FALSE)&gt;0)*--(('Client DB &amp; Bed Mgmt'!$N$5:$N$428="")+NOT(ISNUMBER('Client DB &amp; Bed Mgmt'!$N$5:$N$428))+IFERROR('Client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</row>
    <row r="176" hidden="1" ht="14.25" customHeight="1" s="83">
      <c r="A176" s="103" t="inlineStr">
        <is>
          <t>Dorm 3</t>
        </is>
      </c>
      <c r="B176" s="125">
        <f>DATE(YEAR(StartDate),MONTH(StartDate),1)</f>
        <v/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Mgmt'!$B:$B,C176,'Client DB &amp; Bed Mgmt'!$E:$E,"Occupied"),0)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Mgmt'!$M:$M,"&lt;="&amp;EOMONTH($B176,0),'Client DB &amp; Bed Mgmt'!$N:$N,"&gt;="&amp;DATE(YEAR($B176),MONTH($B176),1))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29">
        <f>IFERROR(J176*SUMPRODUCT(('Client DB &amp; Bed Mgmt'!$A$5:$A$428=A176)*('Client DB &amp; Bed Mgmt'!$B$5:$B$428=C176)*('Client DB &amp; Bed Mgmt'!$D$5:$D$428&lt;&gt;"")*--(('Client DB &amp; Bed Mgmt'!$M$5:$M$428="")+NOT(ISNUMBER('Client DB &amp; Bed Mgmt'!$M$5:$M$428))+IFERROR('Client DB &amp; Bed Mgmt'!$M$5:$M$428&lt;=EOMONTH(B176,0),FALSE)&gt;0)*--(('Client DB &amp; Bed Mgmt'!$N$5:$N$428="")+NOT(ISNUMBER('Client DB &amp; Bed Mgmt'!$N$5:$N$428))+IFERROR('Client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  <c r="V176" s="130">
        <f>IFERROR(T176*SUMPRODUCT(('Client DB &amp; Bed Mgmt'!$A$5:$A$428=K176)*('Client DB &amp; Bed Mgmt'!$B$5:$B$428=L176)*('Client DB &amp; Bed Mgmt'!$D$5:$D$428&lt;&gt;"")*--(('Client DB &amp; Bed Mgmt'!$M$5:$M$428="")+NOT(ISNUMBER('Client DB &amp; Bed Mgmt'!$M$5:$M$428))+IFERROR('Client DB &amp; Bed Mgmt'!$M$5:$M$428&lt;=EOMONTH(B176,0),FALSE)&gt;0)*--(('Client DB &amp; Bed Mgmt'!$N$5:$N$428="")+NOT(ISNUMBER('Client DB &amp; Bed Mgmt'!$N$5:$N$428))+IFERROR('Client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</row>
    <row r="177" hidden="1" ht="14.25" customHeight="1" s="83">
      <c r="A177" s="103" t="inlineStr">
        <is>
          <t>Dorm 3</t>
        </is>
      </c>
      <c r="B177" s="125">
        <f>DATE(YEAR(StartDate),MONTH(StartDate),1)</f>
        <v/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Mgmt'!$B:$B,C177,'Client DB &amp; Bed Mgmt'!$E:$E,"Occupied"),0)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Mgmt'!$M:$M,"&lt;="&amp;EOMONTH($B177,0),'Client DB &amp; Bed Mgmt'!$N:$N,"&gt;="&amp;DATE(YEAR($B177),MONTH($B177),1))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29">
        <f>IFERROR(J177*SUMPRODUCT(('Client DB &amp; Bed Mgmt'!$A$5:$A$428=A177)*('Client DB &amp; Bed Mgmt'!$B$5:$B$428=C177)*('Client DB &amp; Bed Mgmt'!$D$5:$D$428&lt;&gt;"")*--(('Client DB &amp; Bed Mgmt'!$M$5:$M$428="")+NOT(ISNUMBER('Client DB &amp; Bed Mgmt'!$M$5:$M$428))+IFERROR('Client DB &amp; Bed Mgmt'!$M$5:$M$428&lt;=EOMONTH(B177,0),FALSE)&gt;0)*--(('Client DB &amp; Bed Mgmt'!$N$5:$N$428="")+NOT(ISNUMBER('Client DB &amp; Bed Mgmt'!$N$5:$N$428))+IFERROR('Client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  <c r="V177" s="130">
        <f>IFERROR(T177*SUMPRODUCT(('Client DB &amp; Bed Mgmt'!$A$5:$A$428=K177)*('Client DB &amp; Bed Mgmt'!$B$5:$B$428=L177)*('Client DB &amp; Bed Mgmt'!$D$5:$D$428&lt;&gt;"")*--(('Client DB &amp; Bed Mgmt'!$M$5:$M$428="")+NOT(ISNUMBER('Client DB &amp; Bed Mgmt'!$M$5:$M$428))+IFERROR('Client DB &amp; Bed Mgmt'!$M$5:$M$428&lt;=EOMONTH(B177,0),FALSE)&gt;0)*--(('Client DB &amp; Bed Mgmt'!$N$5:$N$428="")+NOT(ISNUMBER('Client DB &amp; Bed Mgmt'!$N$5:$N$428))+IFERROR('Client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</row>
    <row r="178" hidden="1" ht="14.25" customHeight="1" s="83">
      <c r="A178" s="103" t="inlineStr">
        <is>
          <t>Dorm 3</t>
        </is>
      </c>
      <c r="B178" s="125">
        <f>DATE(YEAR(StartDate),MONTH(StartDate),1)</f>
        <v/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Mgmt'!$B:$B,C178,'Client DB &amp; Bed Mgmt'!$E:$E,"Occupied"),0)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Mgmt'!$M:$M,"&lt;="&amp;EOMONTH($B178,0),'Client DB &amp; Bed Mgmt'!$N:$N,"&gt;="&amp;DATE(YEAR($B178),MONTH($B178),1))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29">
        <f>IFERROR(J178*SUMPRODUCT(('Client DB &amp; Bed Mgmt'!$A$5:$A$428=A178)*('Client DB &amp; Bed Mgmt'!$B$5:$B$428=C178)*('Client DB &amp; Bed Mgmt'!$D$5:$D$428&lt;&gt;"")*--(('Client DB &amp; Bed Mgmt'!$M$5:$M$428="")+NOT(ISNUMBER('Client DB &amp; Bed Mgmt'!$M$5:$M$428))+IFERROR('Client DB &amp; Bed Mgmt'!$M$5:$M$428&lt;=EOMONTH(B178,0),FALSE)&gt;0)*--(('Client DB &amp; Bed Mgmt'!$N$5:$N$428="")+NOT(ISNUMBER('Client DB &amp; Bed Mgmt'!$N$5:$N$428))+IFERROR('Client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  <c r="V178" s="130">
        <f>IFERROR(T178*SUMPRODUCT(('Client DB &amp; Bed Mgmt'!$A$5:$A$428=K178)*('Client DB &amp; Bed Mgmt'!$B$5:$B$428=L178)*('Client DB &amp; Bed Mgmt'!$D$5:$D$428&lt;&gt;"")*--(('Client DB &amp; Bed Mgmt'!$M$5:$M$428="")+NOT(ISNUMBER('Client DB &amp; Bed Mgmt'!$M$5:$M$428))+IFERROR('Client DB &amp; Bed Mgmt'!$M$5:$M$428&lt;=EOMONTH(B178,0),FALSE)&gt;0)*--(('Client DB &amp; Bed Mgmt'!$N$5:$N$428="")+NOT(ISNUMBER('Client DB &amp; Bed Mgmt'!$N$5:$N$428))+IFERROR('Client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</row>
    <row r="179" hidden="1" ht="14.25" customHeight="1" s="83">
      <c r="A179" s="103" t="inlineStr">
        <is>
          <t>Dorm 3</t>
        </is>
      </c>
      <c r="B179" s="125">
        <f>DATE(YEAR(StartDate),MONTH(StartDate),1)</f>
        <v/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Mgmt'!$B:$B,C179,'Client DB &amp; Bed Mgmt'!$E:$E,"Occupied"),0)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Mgmt'!$M:$M,"&lt;="&amp;EOMONTH($B179,0),'Client DB &amp; Bed Mgmt'!$N:$N,"&gt;="&amp;DATE(YEAR($B179),MONTH($B179),1))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29">
        <f>IFERROR(J179*SUMPRODUCT(('Client DB &amp; Bed Mgmt'!$A$5:$A$428=A179)*('Client DB &amp; Bed Mgmt'!$B$5:$B$428=C179)*('Client DB &amp; Bed Mgmt'!$D$5:$D$428&lt;&gt;"")*--(('Client DB &amp; Bed Mgmt'!$M$5:$M$428="")+NOT(ISNUMBER('Client DB &amp; Bed Mgmt'!$M$5:$M$428))+IFERROR('Client DB &amp; Bed Mgmt'!$M$5:$M$428&lt;=EOMONTH(B179,0),FALSE)&gt;0)*--(('Client DB &amp; Bed Mgmt'!$N$5:$N$428="")+NOT(ISNUMBER('Client DB &amp; Bed Mgmt'!$N$5:$N$428))+IFERROR('Client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  <c r="V179" s="130">
        <f>IFERROR(T179*SUMPRODUCT(('Client DB &amp; Bed Mgmt'!$A$5:$A$428=K179)*('Client DB &amp; Bed Mgmt'!$B$5:$B$428=L179)*('Client DB &amp; Bed Mgmt'!$D$5:$D$428&lt;&gt;"")*--(('Client DB &amp; Bed Mgmt'!$M$5:$M$428="")+NOT(ISNUMBER('Client DB &amp; Bed Mgmt'!$M$5:$M$428))+IFERROR('Client DB &amp; Bed Mgmt'!$M$5:$M$428&lt;=EOMONTH(B179,0),FALSE)&gt;0)*--(('Client DB &amp; Bed Mgmt'!$N$5:$N$428="")+NOT(ISNUMBER('Client DB &amp; Bed Mgmt'!$N$5:$N$428))+IFERROR('Client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</row>
    <row r="180" hidden="1" ht="14.25" customHeight="1" s="83">
      <c r="A180" s="103" t="inlineStr">
        <is>
          <t>Dorm 3</t>
        </is>
      </c>
      <c r="B180" s="125">
        <f>DATE(YEAR(StartDate),MONTH(StartDate),1)</f>
        <v/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Mgmt'!$B:$B,C180,'Client DB &amp; Bed Mgmt'!$E:$E,"Occupied"),0)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Mgmt'!$M:$M,"&lt;="&amp;EOMONTH($B180,0),'Client DB &amp; Bed Mgmt'!$N:$N,"&gt;="&amp;DATE(YEAR($B180),MONTH($B180),1))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29">
        <f>IFERROR(J180*SUMPRODUCT(('Client DB &amp; Bed Mgmt'!$A$5:$A$428=A180)*('Client DB &amp; Bed Mgmt'!$B$5:$B$428=C180)*('Client DB &amp; Bed Mgmt'!$D$5:$D$428&lt;&gt;"")*--(('Client DB &amp; Bed Mgmt'!$M$5:$M$428="")+NOT(ISNUMBER('Client DB &amp; Bed Mgmt'!$M$5:$M$428))+IFERROR('Client DB &amp; Bed Mgmt'!$M$5:$M$428&lt;=EOMONTH(B180,0),FALSE)&gt;0)*--(('Client DB &amp; Bed Mgmt'!$N$5:$N$428="")+NOT(ISNUMBER('Client DB &amp; Bed Mgmt'!$N$5:$N$428))+IFERROR('Client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  <c r="V180" s="130">
        <f>IFERROR(T180*SUMPRODUCT(('Client DB &amp; Bed Mgmt'!$A$5:$A$428=K180)*('Client DB &amp; Bed Mgmt'!$B$5:$B$428=L180)*('Client DB &amp; Bed Mgmt'!$D$5:$D$428&lt;&gt;"")*--(('Client DB &amp; Bed Mgmt'!$M$5:$M$428="")+NOT(ISNUMBER('Client DB &amp; Bed Mgmt'!$M$5:$M$428))+IFERROR('Client DB &amp; Bed Mgmt'!$M$5:$M$428&lt;=EOMONTH(B180,0),FALSE)&gt;0)*--(('Client DB &amp; Bed Mgmt'!$N$5:$N$428="")+NOT(ISNUMBER('Client DB &amp; Bed Mgmt'!$N$5:$N$428))+IFERROR('Client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</row>
    <row r="181" hidden="1" ht="14.25" customHeight="1" s="83">
      <c r="A181" s="103" t="inlineStr">
        <is>
          <t>Dorm 3</t>
        </is>
      </c>
      <c r="B181" s="125">
        <f>DATE(YEAR(StartDate),MONTH(StartDate),1)</f>
        <v/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Mgmt'!$B:$B,C181,'Client DB &amp; Bed Mgmt'!$E:$E,"Occupied"),0)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Mgmt'!$M:$M,"&lt;="&amp;EOMONTH($B181,0),'Client DB &amp; Bed Mgmt'!$N:$N,"&gt;="&amp;DATE(YEAR($B181),MONTH($B181),1))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29">
        <f>IFERROR(J181*SUMPRODUCT(('Client DB &amp; Bed Mgmt'!$A$5:$A$428=A181)*('Client DB &amp; Bed Mgmt'!$B$5:$B$428=C181)*('Client DB &amp; Bed Mgmt'!$D$5:$D$428&lt;&gt;"")*--(('Client DB &amp; Bed Mgmt'!$M$5:$M$428="")+NOT(ISNUMBER('Client DB &amp; Bed Mgmt'!$M$5:$M$428))+IFERROR('Client DB &amp; Bed Mgmt'!$M$5:$M$428&lt;=EOMONTH(B181,0),FALSE)&gt;0)*--(('Client DB &amp; Bed Mgmt'!$N$5:$N$428="")+NOT(ISNUMBER('Client DB &amp; Bed Mgmt'!$N$5:$N$428))+IFERROR('Client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  <c r="V181" s="130">
        <f>IFERROR(T181*SUMPRODUCT(('Client DB &amp; Bed Mgmt'!$A$5:$A$428=K181)*('Client DB &amp; Bed Mgmt'!$B$5:$B$428=L181)*('Client DB &amp; Bed Mgmt'!$D$5:$D$428&lt;&gt;"")*--(('Client DB &amp; Bed Mgmt'!$M$5:$M$428="")+NOT(ISNUMBER('Client DB &amp; Bed Mgmt'!$M$5:$M$428))+IFERROR('Client DB &amp; Bed Mgmt'!$M$5:$M$428&lt;=EOMONTH(B181,0),FALSE)&gt;0)*--(('Client DB &amp; Bed Mgmt'!$N$5:$N$428="")+NOT(ISNUMBER('Client DB &amp; Bed Mgmt'!$N$5:$N$428))+IFERROR('Client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</row>
    <row r="182" hidden="1" ht="14.25" customHeight="1" s="83">
      <c r="A182" s="103" t="inlineStr">
        <is>
          <t>Dorm 3</t>
        </is>
      </c>
      <c r="B182" s="125">
        <f>DATE(YEAR(StartDate),MONTH(StartDate),1)</f>
        <v/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Mgmt'!$B:$B,C182,'Client DB &amp; Bed Mgmt'!$E:$E,"Occupied"),0)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Mgmt'!$M:$M,"&lt;="&amp;EOMONTH($B182,0),'Client DB &amp; Bed Mgmt'!$N:$N,"&gt;="&amp;DATE(YEAR($B182),MONTH($B182),1))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29">
        <f>IFERROR(J182*SUMPRODUCT(('Client DB &amp; Bed Mgmt'!$A$5:$A$428=A182)*('Client DB &amp; Bed Mgmt'!$B$5:$B$428=C182)*('Client DB &amp; Bed Mgmt'!$D$5:$D$428&lt;&gt;"")*--(('Client DB &amp; Bed Mgmt'!$M$5:$M$428="")+NOT(ISNUMBER('Client DB &amp; Bed Mgmt'!$M$5:$M$428))+IFERROR('Client DB &amp; Bed Mgmt'!$M$5:$M$428&lt;=EOMONTH(B182,0),FALSE)&gt;0)*--(('Client DB &amp; Bed Mgmt'!$N$5:$N$428="")+NOT(ISNUMBER('Client DB &amp; Bed Mgmt'!$N$5:$N$428))+IFERROR('Client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  <c r="V182" s="130">
        <f>IFERROR(T182*SUMPRODUCT(('Client DB &amp; Bed Mgmt'!$A$5:$A$428=K182)*('Client DB &amp; Bed Mgmt'!$B$5:$B$428=L182)*('Client DB &amp; Bed Mgmt'!$D$5:$D$428&lt;&gt;"")*--(('Client DB &amp; Bed Mgmt'!$M$5:$M$428="")+NOT(ISNUMBER('Client DB &amp; Bed Mgmt'!$M$5:$M$428))+IFERROR('Client DB &amp; Bed Mgmt'!$M$5:$M$428&lt;=EOMONTH(B182,0),FALSE)&gt;0)*--(('Client DB &amp; Bed Mgmt'!$N$5:$N$428="")+NOT(ISNUMBER('Client DB &amp; Bed Mgmt'!$N$5:$N$428))+IFERROR('Client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</row>
    <row r="183" hidden="1" ht="14.25" customHeight="1" s="83">
      <c r="A183" s="103" t="inlineStr">
        <is>
          <t>Dorm 3</t>
        </is>
      </c>
      <c r="B183" s="125">
        <f>DATE(YEAR(StartDate),MONTH(StartDate),1)</f>
        <v/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Mgmt'!$B:$B,C183,'Client DB &amp; Bed Mgmt'!$E:$E,"Occupied"),0)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Mgmt'!$M:$M,"&lt;="&amp;EOMONTH($B183,0),'Client DB &amp; Bed Mgmt'!$N:$N,"&gt;="&amp;DATE(YEAR($B183),MONTH($B183),1))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29">
        <f>IFERROR(J183*SUMPRODUCT(('Client DB &amp; Bed Mgmt'!$A$5:$A$428=A183)*('Client DB &amp; Bed Mgmt'!$B$5:$B$428=C183)*('Client DB &amp; Bed Mgmt'!$D$5:$D$428&lt;&gt;"")*--(('Client DB &amp; Bed Mgmt'!$M$5:$M$428="")+NOT(ISNUMBER('Client DB &amp; Bed Mgmt'!$M$5:$M$428))+IFERROR('Client DB &amp; Bed Mgmt'!$M$5:$M$428&lt;=EOMONTH(B183,0),FALSE)&gt;0)*--(('Client DB &amp; Bed Mgmt'!$N$5:$N$428="")+NOT(ISNUMBER('Client DB &amp; Bed Mgmt'!$N$5:$N$428))+IFERROR('Client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  <c r="V183" s="130">
        <f>IFERROR(T183*SUMPRODUCT(('Client DB &amp; Bed Mgmt'!$A$5:$A$428=K183)*('Client DB &amp; Bed Mgmt'!$B$5:$B$428=L183)*('Client DB &amp; Bed Mgmt'!$D$5:$D$428&lt;&gt;"")*--(('Client DB &amp; Bed Mgmt'!$M$5:$M$428="")+NOT(ISNUMBER('Client DB &amp; Bed Mgmt'!$M$5:$M$428))+IFERROR('Client DB &amp; Bed Mgmt'!$M$5:$M$428&lt;=EOMONTH(B183,0),FALSE)&gt;0)*--(('Client DB &amp; Bed Mgmt'!$N$5:$N$428="")+NOT(ISNUMBER('Client DB &amp; Bed Mgmt'!$N$5:$N$428))+IFERROR('Client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</row>
    <row r="184" hidden="1" ht="14.25" customHeight="1" s="83">
      <c r="A184" s="103" t="inlineStr">
        <is>
          <t>Dorm 3</t>
        </is>
      </c>
      <c r="B184" s="125">
        <f>DATE(YEAR(StartDate),MONTH(StartDate),1)</f>
        <v/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Mgmt'!$B:$B,C184,'Client DB &amp; Bed Mgmt'!$E:$E,"Occupied"),0)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Mgmt'!$M:$M,"&lt;="&amp;EOMONTH($B184,0),'Client DB &amp; Bed Mgmt'!$N:$N,"&gt;="&amp;DATE(YEAR($B184),MONTH($B184),1))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29">
        <f>IFERROR(J184*SUMPRODUCT(('Client DB &amp; Bed Mgmt'!$A$5:$A$428=A184)*('Client DB &amp; Bed Mgmt'!$B$5:$B$428=C184)*('Client DB &amp; Bed Mgmt'!$D$5:$D$428&lt;&gt;"")*--(('Client DB &amp; Bed Mgmt'!$M$5:$M$428="")+NOT(ISNUMBER('Client DB &amp; Bed Mgmt'!$M$5:$M$428))+IFERROR('Client DB &amp; Bed Mgmt'!$M$5:$M$428&lt;=EOMONTH(B184,0),FALSE)&gt;0)*--(('Client DB &amp; Bed Mgmt'!$N$5:$N$428="")+NOT(ISNUMBER('Client DB &amp; Bed Mgmt'!$N$5:$N$428))+IFERROR('Client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  <c r="V184" s="130">
        <f>IFERROR(T184*SUMPRODUCT(('Client DB &amp; Bed Mgmt'!$A$5:$A$428=K184)*('Client DB &amp; Bed Mgmt'!$B$5:$B$428=L184)*('Client DB &amp; Bed Mgmt'!$D$5:$D$428&lt;&gt;"")*--(('Client DB &amp; Bed Mgmt'!$M$5:$M$428="")+NOT(ISNUMBER('Client DB &amp; Bed Mgmt'!$M$5:$M$428))+IFERROR('Client DB &amp; Bed Mgmt'!$M$5:$M$428&lt;=EOMONTH(B184,0),FALSE)&gt;0)*--(('Client DB &amp; Bed Mgmt'!$N$5:$N$428="")+NOT(ISNUMBER('Client DB &amp; Bed Mgmt'!$N$5:$N$428))+IFERROR('Client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</row>
    <row r="185" hidden="1" ht="14.25" customHeight="1" s="83">
      <c r="A185" s="103" t="inlineStr">
        <is>
          <t>Dorm 3</t>
        </is>
      </c>
      <c r="B185" s="125">
        <f>DATE(YEAR(StartDate),MONTH(StartDate),1)</f>
        <v/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Mgmt'!$B:$B,C185,'Client DB &amp; Bed Mgmt'!$E:$E,"Occupied"),0)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Mgmt'!$M:$M,"&lt;="&amp;EOMONTH($B185,0),'Client DB &amp; Bed Mgmt'!$N:$N,"&gt;="&amp;DATE(YEAR($B185),MONTH($B185),1))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29">
        <f>IFERROR(J185*SUMPRODUCT(('Client DB &amp; Bed Mgmt'!$A$5:$A$428=A185)*('Client DB &amp; Bed Mgmt'!$B$5:$B$428=C185)*('Client DB &amp; Bed Mgmt'!$D$5:$D$428&lt;&gt;"")*--(('Client DB &amp; Bed Mgmt'!$M$5:$M$428="")+NOT(ISNUMBER('Client DB &amp; Bed Mgmt'!$M$5:$M$428))+IFERROR('Client DB &amp; Bed Mgmt'!$M$5:$M$428&lt;=EOMONTH(B185,0),FALSE)&gt;0)*--(('Client DB &amp; Bed Mgmt'!$N$5:$N$428="")+NOT(ISNUMBER('Client DB &amp; Bed Mgmt'!$N$5:$N$428))+IFERROR('Client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  <c r="V185" s="130">
        <f>IFERROR(T185*SUMPRODUCT(('Client DB &amp; Bed Mgmt'!$A$5:$A$428=K185)*('Client DB &amp; Bed Mgmt'!$B$5:$B$428=L185)*('Client DB &amp; Bed Mgmt'!$D$5:$D$428&lt;&gt;"")*--(('Client DB &amp; Bed Mgmt'!$M$5:$M$428="")+NOT(ISNUMBER('Client DB &amp; Bed Mgmt'!$M$5:$M$428))+IFERROR('Client DB &amp; Bed Mgmt'!$M$5:$M$428&lt;=EOMONTH(B185,0),FALSE)&gt;0)*--(('Client DB &amp; Bed Mgmt'!$N$5:$N$428="")+NOT(ISNUMBER('Client DB &amp; Bed Mgmt'!$N$5:$N$428))+IFERROR('Client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</row>
    <row r="186" hidden="1" ht="14.25" customHeight="1" s="83">
      <c r="A186" s="103" t="inlineStr">
        <is>
          <t>Dorm 3</t>
        </is>
      </c>
      <c r="B186" s="125">
        <f>DATE(YEAR(StartDate),MONTH(StartDate),1)</f>
        <v/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Mgmt'!$B:$B,C186,'Client DB &amp; Bed Mgmt'!$E:$E,"Occupied"),0)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Mgmt'!$M:$M,"&lt;="&amp;EOMONTH($B186,0),'Client DB &amp; Bed Mgmt'!$N:$N,"&gt;="&amp;DATE(YEAR($B186),MONTH($B186),1))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29">
        <f>IFERROR(J186*SUMPRODUCT(('Client DB &amp; Bed Mgmt'!$A$5:$A$428=A186)*('Client DB &amp; Bed Mgmt'!$B$5:$B$428=C186)*('Client DB &amp; Bed Mgmt'!$D$5:$D$428&lt;&gt;"")*--(('Client DB &amp; Bed Mgmt'!$M$5:$M$428="")+NOT(ISNUMBER('Client DB &amp; Bed Mgmt'!$M$5:$M$428))+IFERROR('Client DB &amp; Bed Mgmt'!$M$5:$M$428&lt;=EOMONTH(B186,0),FALSE)&gt;0)*--(('Client DB &amp; Bed Mgmt'!$N$5:$N$428="")+NOT(ISNUMBER('Client DB &amp; Bed Mgmt'!$N$5:$N$428))+IFERROR('Client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  <c r="V186" s="130">
        <f>IFERROR(T186*SUMPRODUCT(('Client DB &amp; Bed Mgmt'!$A$5:$A$428=K186)*('Client DB &amp; Bed Mgmt'!$B$5:$B$428=L186)*('Client DB &amp; Bed Mgmt'!$D$5:$D$428&lt;&gt;"")*--(('Client DB &amp; Bed Mgmt'!$M$5:$M$428="")+NOT(ISNUMBER('Client DB &amp; Bed Mgmt'!$M$5:$M$428))+IFERROR('Client DB &amp; Bed Mgmt'!$M$5:$M$428&lt;=EOMONTH(B186,0),FALSE)&gt;0)*--(('Client DB &amp; Bed Mgmt'!$N$5:$N$428="")+NOT(ISNUMBER('Client DB &amp; Bed Mgmt'!$N$5:$N$428))+IFERROR('Client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</row>
    <row r="187" hidden="1" ht="14.25" customHeight="1" s="83">
      <c r="A187" s="103" t="inlineStr">
        <is>
          <t>Dorm 3</t>
        </is>
      </c>
      <c r="B187" s="125">
        <f>DATE(YEAR(StartDate),MONTH(StartDate),1)</f>
        <v/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Mgmt'!$B:$B,C187,'Client DB &amp; Bed Mgmt'!$E:$E,"Occupied"),0)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Mgmt'!$M:$M,"&lt;="&amp;EOMONTH($B187,0),'Client DB &amp; Bed Mgmt'!$N:$N,"&gt;="&amp;DATE(YEAR($B187),MONTH($B187),1))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29">
        <f>IFERROR(J187*SUMPRODUCT(('Client DB &amp; Bed Mgmt'!$A$5:$A$428=A187)*('Client DB &amp; Bed Mgmt'!$B$5:$B$428=C187)*('Client DB &amp; Bed Mgmt'!$D$5:$D$428&lt;&gt;"")*--(('Client DB &amp; Bed Mgmt'!$M$5:$M$428="")+NOT(ISNUMBER('Client DB &amp; Bed Mgmt'!$M$5:$M$428))+IFERROR('Client DB &amp; Bed Mgmt'!$M$5:$M$428&lt;=EOMONTH(B187,0),FALSE)&gt;0)*--(('Client DB &amp; Bed Mgmt'!$N$5:$N$428="")+NOT(ISNUMBER('Client DB &amp; Bed Mgmt'!$N$5:$N$428))+IFERROR('Client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  <c r="V187" s="130">
        <f>IFERROR(T187*SUMPRODUCT(('Client DB &amp; Bed Mgmt'!$A$5:$A$428=K187)*('Client DB &amp; Bed Mgmt'!$B$5:$B$428=L187)*('Client DB &amp; Bed Mgmt'!$D$5:$D$428&lt;&gt;"")*--(('Client DB &amp; Bed Mgmt'!$M$5:$M$428="")+NOT(ISNUMBER('Client DB &amp; Bed Mgmt'!$M$5:$M$428))+IFERROR('Client DB &amp; Bed Mgmt'!$M$5:$M$428&lt;=EOMONTH(B187,0),FALSE)&gt;0)*--(('Client DB &amp; Bed Mgmt'!$N$5:$N$428="")+NOT(ISNUMBER('Client DB &amp; Bed Mgmt'!$N$5:$N$428))+IFERROR('Client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</row>
    <row r="188" hidden="1" ht="14.25" customHeight="1" s="83">
      <c r="A188" s="103" t="inlineStr">
        <is>
          <t>Dorm 3</t>
        </is>
      </c>
      <c r="B188" s="125">
        <f>DATE(YEAR(StartDate),MONTH(StartDate),1)</f>
        <v/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Mgmt'!$B:$B,C188,'Client DB &amp; Bed Mgmt'!$E:$E,"Occupied"),0)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Mgmt'!$M:$M,"&lt;="&amp;EOMONTH($B188,0),'Client DB &amp; Bed Mgmt'!$N:$N,"&gt;="&amp;DATE(YEAR($B188),MONTH($B188),1))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29">
        <f>IFERROR(J188*SUMPRODUCT(('Client DB &amp; Bed Mgmt'!$A$5:$A$428=A188)*('Client DB &amp; Bed Mgmt'!$B$5:$B$428=C188)*('Client DB &amp; Bed Mgmt'!$D$5:$D$428&lt;&gt;"")*--(('Client DB &amp; Bed Mgmt'!$M$5:$M$428="")+NOT(ISNUMBER('Client DB &amp; Bed Mgmt'!$M$5:$M$428))+IFERROR('Client DB &amp; Bed Mgmt'!$M$5:$M$428&lt;=EOMONTH(B188,0),FALSE)&gt;0)*--(('Client DB &amp; Bed Mgmt'!$N$5:$N$428="")+NOT(ISNUMBER('Client DB &amp; Bed Mgmt'!$N$5:$N$428))+IFERROR('Client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  <c r="V188" s="130">
        <f>IFERROR(T188*SUMPRODUCT(('Client DB &amp; Bed Mgmt'!$A$5:$A$428=K188)*('Client DB &amp; Bed Mgmt'!$B$5:$B$428=L188)*('Client DB &amp; Bed Mgmt'!$D$5:$D$428&lt;&gt;"")*--(('Client DB &amp; Bed Mgmt'!$M$5:$M$428="")+NOT(ISNUMBER('Client DB &amp; Bed Mgmt'!$M$5:$M$428))+IFERROR('Client DB &amp; Bed Mgmt'!$M$5:$M$428&lt;=EOMONTH(B188,0),FALSE)&gt;0)*--(('Client DB &amp; Bed Mgmt'!$N$5:$N$428="")+NOT(ISNUMBER('Client DB &amp; Bed Mgmt'!$N$5:$N$428))+IFERROR('Client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</row>
    <row r="189" hidden="1" ht="14.25" customHeight="1" s="83">
      <c r="A189" s="103" t="inlineStr">
        <is>
          <t>Dorm 3</t>
        </is>
      </c>
      <c r="B189" s="125">
        <f>DATE(YEAR(StartDate),MONTH(StartDate),1)</f>
        <v/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Mgmt'!$B:$B,C189,'Client DB &amp; Bed Mgmt'!$E:$E,"Occupied"),0)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Mgmt'!$M:$M,"&lt;="&amp;EOMONTH($B189,0),'Client DB &amp; Bed Mgmt'!$N:$N,"&gt;="&amp;DATE(YEAR($B189),MONTH($B189),1))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29">
        <f>IFERROR(J189*SUMPRODUCT(('Client DB &amp; Bed Mgmt'!$A$5:$A$428=A189)*('Client DB &amp; Bed Mgmt'!$B$5:$B$428=C189)*('Client DB &amp; Bed Mgmt'!$D$5:$D$428&lt;&gt;"")*--(('Client DB &amp; Bed Mgmt'!$M$5:$M$428="")+NOT(ISNUMBER('Client DB &amp; Bed Mgmt'!$M$5:$M$428))+IFERROR('Client DB &amp; Bed Mgmt'!$M$5:$M$428&lt;=EOMONTH(B189,0),FALSE)&gt;0)*--(('Client DB &amp; Bed Mgmt'!$N$5:$N$428="")+NOT(ISNUMBER('Client DB &amp; Bed Mgmt'!$N$5:$N$428))+IFERROR('Client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  <c r="V189" s="130">
        <f>IFERROR(T189*SUMPRODUCT(('Client DB &amp; Bed Mgmt'!$A$5:$A$428=K189)*('Client DB &amp; Bed Mgmt'!$B$5:$B$428=L189)*('Client DB &amp; Bed Mgmt'!$D$5:$D$428&lt;&gt;"")*--(('Client DB &amp; Bed Mgmt'!$M$5:$M$428="")+NOT(ISNUMBER('Client DB &amp; Bed Mgmt'!$M$5:$M$428))+IFERROR('Client DB &amp; Bed Mgmt'!$M$5:$M$428&lt;=EOMONTH(B189,0),FALSE)&gt;0)*--(('Client DB &amp; Bed Mgmt'!$N$5:$N$428="")+NOT(ISNUMBER('Client DB &amp; Bed Mgmt'!$N$5:$N$428))+IFERROR('Client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</row>
    <row r="190" hidden="1" ht="14.25" customHeight="1" s="83">
      <c r="A190" s="103" t="inlineStr">
        <is>
          <t>Dorm 3</t>
        </is>
      </c>
      <c r="B190" s="125">
        <f>DATE(YEAR(StartDate),MONTH(StartDate),1)</f>
        <v/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Mgmt'!$B:$B,C190,'Client DB &amp; Bed Mgmt'!$E:$E,"Occupied"),0)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Mgmt'!$M:$M,"&lt;="&amp;EOMONTH($B190,0),'Client DB &amp; Bed Mgmt'!$N:$N,"&gt;="&amp;DATE(YEAR($B190),MONTH($B190),1))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29">
        <f>IFERROR(J190*SUMPRODUCT(('Client DB &amp; Bed Mgmt'!$A$5:$A$428=A190)*('Client DB &amp; Bed Mgmt'!$B$5:$B$428=C190)*('Client DB &amp; Bed Mgmt'!$D$5:$D$428&lt;&gt;"")*--(('Client DB &amp; Bed Mgmt'!$M$5:$M$428="")+NOT(ISNUMBER('Client DB &amp; Bed Mgmt'!$M$5:$M$428))+IFERROR('Client DB &amp; Bed Mgmt'!$M$5:$M$428&lt;=EOMONTH(B190,0),FALSE)&gt;0)*--(('Client DB &amp; Bed Mgmt'!$N$5:$N$428="")+NOT(ISNUMBER('Client DB &amp; Bed Mgmt'!$N$5:$N$428))+IFERROR('Client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  <c r="V190" s="130">
        <f>IFERROR(T190*SUMPRODUCT(('Client DB &amp; Bed Mgmt'!$A$5:$A$428=K190)*('Client DB &amp; Bed Mgmt'!$B$5:$B$428=L190)*('Client DB &amp; Bed Mgmt'!$D$5:$D$428&lt;&gt;"")*--(('Client DB &amp; Bed Mgmt'!$M$5:$M$428="")+NOT(ISNUMBER('Client DB &amp; Bed Mgmt'!$M$5:$M$428))+IFERROR('Client DB &amp; Bed Mgmt'!$M$5:$M$428&lt;=EOMONTH(B190,0),FALSE)&gt;0)*--(('Client DB &amp; Bed Mgmt'!$N$5:$N$428="")+NOT(ISNUMBER('Client DB &amp; Bed Mgmt'!$N$5:$N$428))+IFERROR('Client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</row>
    <row r="191" hidden="1" ht="14.25" customHeight="1" s="83">
      <c r="A191" s="103" t="inlineStr">
        <is>
          <t>Dorm 3</t>
        </is>
      </c>
      <c r="B191" s="125">
        <f>DATE(YEAR(StartDate),MONTH(StartDate),1)</f>
        <v/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Mgmt'!$B:$B,C191,'Client DB &amp; Bed Mgmt'!$E:$E,"Occupied"),0)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Mgmt'!$M:$M,"&lt;="&amp;EOMONTH($B191,0),'Client DB &amp; Bed Mgmt'!$N:$N,"&gt;="&amp;DATE(YEAR($B191),MONTH($B191),1))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29">
        <f>IFERROR(J191*SUMPRODUCT(('Client DB &amp; Bed Mgmt'!$A$5:$A$428=A191)*('Client DB &amp; Bed Mgmt'!$B$5:$B$428=C191)*('Client DB &amp; Bed Mgmt'!$D$5:$D$428&lt;&gt;"")*--(('Client DB &amp; Bed Mgmt'!$M$5:$M$428="")+NOT(ISNUMBER('Client DB &amp; Bed Mgmt'!$M$5:$M$428))+IFERROR('Client DB &amp; Bed Mgmt'!$M$5:$M$428&lt;=EOMONTH(B191,0),FALSE)&gt;0)*--(('Client DB &amp; Bed Mgmt'!$N$5:$N$428="")+NOT(ISNUMBER('Client DB &amp; Bed Mgmt'!$N$5:$N$428))+IFERROR('Client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  <c r="V191" s="130">
        <f>IFERROR(T191*SUMPRODUCT(('Client DB &amp; Bed Mgmt'!$A$5:$A$428=K191)*('Client DB &amp; Bed Mgmt'!$B$5:$B$428=L191)*('Client DB &amp; Bed Mgmt'!$D$5:$D$428&lt;&gt;"")*--(('Client DB &amp; Bed Mgmt'!$M$5:$M$428="")+NOT(ISNUMBER('Client DB &amp; Bed Mgmt'!$M$5:$M$428))+IFERROR('Client DB &amp; Bed Mgmt'!$M$5:$M$428&lt;=EOMONTH(B191,0),FALSE)&gt;0)*--(('Client DB &amp; Bed Mgmt'!$N$5:$N$428="")+NOT(ISNUMBER('Client DB &amp; Bed Mgmt'!$N$5:$N$428))+IFERROR('Client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</row>
    <row r="192" hidden="1" ht="14.25" customHeight="1" s="83">
      <c r="A192" s="103" t="inlineStr">
        <is>
          <t>Dorm 3</t>
        </is>
      </c>
      <c r="B192" s="125">
        <f>DATE(YEAR(StartDate),MONTH(StartDate),1)</f>
        <v/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Mgmt'!$B:$B,C192,'Client DB &amp; Bed Mgmt'!$E:$E,"Occupied"),0)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Mgmt'!$M:$M,"&lt;="&amp;EOMONTH($B192,0),'Client DB &amp; Bed Mgmt'!$N:$N,"&gt;="&amp;DATE(YEAR($B192),MONTH($B192),1))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29">
        <f>IFERROR(J192*SUMPRODUCT(('Client DB &amp; Bed Mgmt'!$A$5:$A$428=A192)*('Client DB &amp; Bed Mgmt'!$B$5:$B$428=C192)*('Client DB &amp; Bed Mgmt'!$D$5:$D$428&lt;&gt;"")*--(('Client DB &amp; Bed Mgmt'!$M$5:$M$428="")+NOT(ISNUMBER('Client DB &amp; Bed Mgmt'!$M$5:$M$428))+IFERROR('Client DB &amp; Bed Mgmt'!$M$5:$M$428&lt;=EOMONTH(B192,0),FALSE)&gt;0)*--(('Client DB &amp; Bed Mgmt'!$N$5:$N$428="")+NOT(ISNUMBER('Client DB &amp; Bed Mgmt'!$N$5:$N$428))+IFERROR('Client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  <c r="V192" s="130">
        <f>IFERROR(T192*SUMPRODUCT(('Client DB &amp; Bed Mgmt'!$A$5:$A$428=K192)*('Client DB &amp; Bed Mgmt'!$B$5:$B$428=L192)*('Client DB &amp; Bed Mgmt'!$D$5:$D$428&lt;&gt;"")*--(('Client DB &amp; Bed Mgmt'!$M$5:$M$428="")+NOT(ISNUMBER('Client DB &amp; Bed Mgmt'!$M$5:$M$428))+IFERROR('Client DB &amp; Bed Mgmt'!$M$5:$M$428&lt;=EOMONTH(B192,0),FALSE)&gt;0)*--(('Client DB &amp; Bed Mgmt'!$N$5:$N$428="")+NOT(ISNUMBER('Client DB &amp; Bed Mgmt'!$N$5:$N$428))+IFERROR('Client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</row>
    <row r="193" hidden="1" ht="14.25" customHeight="1" s="83">
      <c r="A193" s="103" t="inlineStr">
        <is>
          <t>Dorm 3</t>
        </is>
      </c>
      <c r="B193" s="125">
        <f>DATE(YEAR(StartDate),MONTH(StartDate),1)</f>
        <v/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Mgmt'!$B:$B,C193,'Client DB &amp; Bed Mgmt'!$E:$E,"Occupied"),0)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Mgmt'!$M:$M,"&lt;="&amp;EOMONTH($B193,0),'Client DB &amp; Bed Mgmt'!$N:$N,"&gt;="&amp;DATE(YEAR($B193),MONTH($B193),1))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29">
        <f>IFERROR(J193*SUMPRODUCT(('Client DB &amp; Bed Mgmt'!$A$5:$A$428=A193)*('Client DB &amp; Bed Mgmt'!$B$5:$B$428=C193)*('Client DB &amp; Bed Mgmt'!$D$5:$D$428&lt;&gt;"")*--(('Client DB &amp; Bed Mgmt'!$M$5:$M$428="")+NOT(ISNUMBER('Client DB &amp; Bed Mgmt'!$M$5:$M$428))+IFERROR('Client DB &amp; Bed Mgmt'!$M$5:$M$428&lt;=EOMONTH(B193,0),FALSE)&gt;0)*--(('Client DB &amp; Bed Mgmt'!$N$5:$N$428="")+NOT(ISNUMBER('Client DB &amp; Bed Mgmt'!$N$5:$N$428))+IFERROR('Client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  <c r="V193" s="130">
        <f>IFERROR(T193*SUMPRODUCT(('Client DB &amp; Bed Mgmt'!$A$5:$A$428=K193)*('Client DB &amp; Bed Mgmt'!$B$5:$B$428=L193)*('Client DB &amp; Bed Mgmt'!$D$5:$D$428&lt;&gt;"")*--(('Client DB &amp; Bed Mgmt'!$M$5:$M$428="")+NOT(ISNUMBER('Client DB &amp; Bed Mgmt'!$M$5:$M$428))+IFERROR('Client DB &amp; Bed Mgmt'!$M$5:$M$428&lt;=EOMONTH(B193,0),FALSE)&gt;0)*--(('Client DB &amp; Bed Mgmt'!$N$5:$N$428="")+NOT(ISNUMBER('Client DB &amp; Bed Mgmt'!$N$5:$N$428))+IFERROR('Client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</row>
    <row r="194" hidden="1" ht="14.25" customHeight="1" s="83">
      <c r="A194" s="103" t="inlineStr">
        <is>
          <t>Dorm 3</t>
        </is>
      </c>
      <c r="B194" s="125">
        <f>DATE(YEAR(StartDate),MONTH(StartDate),1)</f>
        <v/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Mgmt'!$B:$B,C194,'Client DB &amp; Bed Mgmt'!$E:$E,"Occupied"),0)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Mgmt'!$M:$M,"&lt;="&amp;EOMONTH($B194,0),'Client DB &amp; Bed Mgmt'!$N:$N,"&gt;="&amp;DATE(YEAR($B194),MONTH($B194),1))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29">
        <f>IFERROR(J194*SUMPRODUCT(('Client DB &amp; Bed Mgmt'!$A$5:$A$428=A194)*('Client DB &amp; Bed Mgmt'!$B$5:$B$428=C194)*('Client DB &amp; Bed Mgmt'!$D$5:$D$428&lt;&gt;"")*--(('Client DB &amp; Bed Mgmt'!$M$5:$M$428="")+NOT(ISNUMBER('Client DB &amp; Bed Mgmt'!$M$5:$M$428))+IFERROR('Client DB &amp; Bed Mgmt'!$M$5:$M$428&lt;=EOMONTH(B194,0),FALSE)&gt;0)*--(('Client DB &amp; Bed Mgmt'!$N$5:$N$428="")+NOT(ISNUMBER('Client DB &amp; Bed Mgmt'!$N$5:$N$428))+IFERROR('Client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  <c r="V194" s="130">
        <f>IFERROR(T194*SUMPRODUCT(('Client DB &amp; Bed Mgmt'!$A$5:$A$428=K194)*('Client DB &amp; Bed Mgmt'!$B$5:$B$428=L194)*('Client DB &amp; Bed Mgmt'!$D$5:$D$428&lt;&gt;"")*--(('Client DB &amp; Bed Mgmt'!$M$5:$M$428="")+NOT(ISNUMBER('Client DB &amp; Bed Mgmt'!$M$5:$M$428))+IFERROR('Client DB &amp; Bed Mgmt'!$M$5:$M$428&lt;=EOMONTH(B194,0),FALSE)&gt;0)*--(('Client DB &amp; Bed Mgmt'!$N$5:$N$428="")+NOT(ISNUMBER('Client DB &amp; Bed Mgmt'!$N$5:$N$428))+IFERROR('Client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</row>
    <row r="195" hidden="1" ht="14.25" customHeight="1" s="83">
      <c r="A195" s="103" t="inlineStr">
        <is>
          <t>Dorm 3</t>
        </is>
      </c>
      <c r="B195" s="125">
        <f>DATE(YEAR(StartDate),MONTH(StartDate),1)</f>
        <v/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Mgmt'!$B:$B,C195,'Client DB &amp; Bed Mgmt'!$E:$E,"Occupied"),0)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Mgmt'!$M:$M,"&lt;="&amp;EOMONTH($B195,0),'Client DB &amp; Bed Mgmt'!$N:$N,"&gt;="&amp;DATE(YEAR($B195),MONTH($B195),1))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29">
        <f>IFERROR(J195*SUMPRODUCT(('Client DB &amp; Bed Mgmt'!$A$5:$A$428=A195)*('Client DB &amp; Bed Mgmt'!$B$5:$B$428=C195)*('Client DB &amp; Bed Mgmt'!$D$5:$D$428&lt;&gt;"")*--(('Client DB &amp; Bed Mgmt'!$M$5:$M$428="")+NOT(ISNUMBER('Client DB &amp; Bed Mgmt'!$M$5:$M$428))+IFERROR('Client DB &amp; Bed Mgmt'!$M$5:$M$428&lt;=EOMONTH(B195,0),FALSE)&gt;0)*--(('Client DB &amp; Bed Mgmt'!$N$5:$N$428="")+NOT(ISNUMBER('Client DB &amp; Bed Mgmt'!$N$5:$N$428))+IFERROR('Client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  <c r="V195" s="130">
        <f>IFERROR(T195*SUMPRODUCT(('Client DB &amp; Bed Mgmt'!$A$5:$A$428=K195)*('Client DB &amp; Bed Mgmt'!$B$5:$B$428=L195)*('Client DB &amp; Bed Mgmt'!$D$5:$D$428&lt;&gt;"")*--(('Client DB &amp; Bed Mgmt'!$M$5:$M$428="")+NOT(ISNUMBER('Client DB &amp; Bed Mgmt'!$M$5:$M$428))+IFERROR('Client DB &amp; Bed Mgmt'!$M$5:$M$428&lt;=EOMONTH(B195,0),FALSE)&gt;0)*--(('Client DB &amp; Bed Mgmt'!$N$5:$N$428="")+NOT(ISNUMBER('Client DB &amp; Bed Mgmt'!$N$5:$N$428))+IFERROR('Client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</row>
    <row r="196" hidden="1" ht="14.25" customHeight="1" s="83">
      <c r="A196" s="103" t="inlineStr">
        <is>
          <t>Dorm 3</t>
        </is>
      </c>
      <c r="B196" s="125">
        <f>DATE(YEAR(StartDate),MONTH(StartDate),1)</f>
        <v/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Mgmt'!$B:$B,C196,'Client DB &amp; Bed Mgmt'!$E:$E,"Occupied"),0)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Mgmt'!$M:$M,"&lt;="&amp;EOMONTH($B196,0),'Client DB &amp; Bed Mgmt'!$N:$N,"&gt;="&amp;DATE(YEAR($B196),MONTH($B196),1))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29">
        <f>IFERROR(J196*SUMPRODUCT(('Client DB &amp; Bed Mgmt'!$A$5:$A$428=A196)*('Client DB &amp; Bed Mgmt'!$B$5:$B$428=C196)*('Client DB &amp; Bed Mgmt'!$D$5:$D$428&lt;&gt;"")*--(('Client DB &amp; Bed Mgmt'!$M$5:$M$428="")+NOT(ISNUMBER('Client DB &amp; Bed Mgmt'!$M$5:$M$428))+IFERROR('Client DB &amp; Bed Mgmt'!$M$5:$M$428&lt;=EOMONTH(B196,0),FALSE)&gt;0)*--(('Client DB &amp; Bed Mgmt'!$N$5:$N$428="")+NOT(ISNUMBER('Client DB &amp; Bed Mgmt'!$N$5:$N$428))+IFERROR('Client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  <c r="V196" s="130">
        <f>IFERROR(T196*SUMPRODUCT(('Client DB &amp; Bed Mgmt'!$A$5:$A$428=K196)*('Client DB &amp; Bed Mgmt'!$B$5:$B$428=L196)*('Client DB &amp; Bed Mgmt'!$D$5:$D$428&lt;&gt;"")*--(('Client DB &amp; Bed Mgmt'!$M$5:$M$428="")+NOT(ISNUMBER('Client DB &amp; Bed Mgmt'!$M$5:$M$428))+IFERROR('Client DB &amp; Bed Mgmt'!$M$5:$M$428&lt;=EOMONTH(B196,0),FALSE)&gt;0)*--(('Client DB &amp; Bed Mgmt'!$N$5:$N$428="")+NOT(ISNUMBER('Client DB &amp; Bed Mgmt'!$N$5:$N$428))+IFERROR('Client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</row>
    <row r="197" hidden="1" ht="14.25" customHeight="1" s="83">
      <c r="A197" s="103" t="inlineStr">
        <is>
          <t>Dorm 3</t>
        </is>
      </c>
      <c r="B197" s="125">
        <f>DATE(YEAR(StartDate),MONTH(StartDate),1)</f>
        <v/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Mgmt'!$B:$B,C197,'Client DB &amp; Bed Mgmt'!$E:$E,"Occupied"),0)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Mgmt'!$M:$M,"&lt;="&amp;EOMONTH($B197,0),'Client DB &amp; Bed Mgmt'!$N:$N,"&gt;="&amp;DATE(YEAR($B197),MONTH($B197),1))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29">
        <f>IFERROR(J197*SUMPRODUCT(('Client DB &amp; Bed Mgmt'!$A$5:$A$428=A197)*('Client DB &amp; Bed Mgmt'!$B$5:$B$428=C197)*('Client DB &amp; Bed Mgmt'!$D$5:$D$428&lt;&gt;"")*--(('Client DB &amp; Bed Mgmt'!$M$5:$M$428="")+NOT(ISNUMBER('Client DB &amp; Bed Mgmt'!$M$5:$M$428))+IFERROR('Client DB &amp; Bed Mgmt'!$M$5:$M$428&lt;=EOMONTH(B197,0),FALSE)&gt;0)*--(('Client DB &amp; Bed Mgmt'!$N$5:$N$428="")+NOT(ISNUMBER('Client DB &amp; Bed Mgmt'!$N$5:$N$428))+IFERROR('Client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  <c r="V197" s="130">
        <f>IFERROR(T197*SUMPRODUCT(('Client DB &amp; Bed Mgmt'!$A$5:$A$428=K197)*('Client DB &amp; Bed Mgmt'!$B$5:$B$428=L197)*('Client DB &amp; Bed Mgmt'!$D$5:$D$428&lt;&gt;"")*--(('Client DB &amp; Bed Mgmt'!$M$5:$M$428="")+NOT(ISNUMBER('Client DB &amp; Bed Mgmt'!$M$5:$M$428))+IFERROR('Client DB &amp; Bed Mgmt'!$M$5:$M$428&lt;=EOMONTH(B197,0),FALSE)&gt;0)*--(('Client DB &amp; Bed Mgmt'!$N$5:$N$428="")+NOT(ISNUMBER('Client DB &amp; Bed Mgmt'!$N$5:$N$428))+IFERROR('Client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</row>
    <row r="198" hidden="1" ht="14.25" customHeight="1" s="83">
      <c r="A198" s="103" t="inlineStr">
        <is>
          <t>Dorm 3</t>
        </is>
      </c>
      <c r="B198" s="125">
        <f>DATE(YEAR(StartDate),MONTH(StartDate),1)</f>
        <v/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Mgmt'!$B:$B,C198,'Client DB &amp; Bed Mgmt'!$E:$E,"Occupied"),0)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Mgmt'!$M:$M,"&lt;="&amp;EOMONTH($B198,0),'Client DB &amp; Bed Mgmt'!$N:$N,"&gt;="&amp;DATE(YEAR($B198),MONTH($B198),1))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29">
        <f>IFERROR(J198*SUMPRODUCT(('Client DB &amp; Bed Mgmt'!$A$5:$A$428=A198)*('Client DB &amp; Bed Mgmt'!$B$5:$B$428=C198)*('Client DB &amp; Bed Mgmt'!$D$5:$D$428&lt;&gt;"")*--(('Client DB &amp; Bed Mgmt'!$M$5:$M$428="")+NOT(ISNUMBER('Client DB &amp; Bed Mgmt'!$M$5:$M$428))+IFERROR('Client DB &amp; Bed Mgmt'!$M$5:$M$428&lt;=EOMONTH(B198,0),FALSE)&gt;0)*--(('Client DB &amp; Bed Mgmt'!$N$5:$N$428="")+NOT(ISNUMBER('Client DB &amp; Bed Mgmt'!$N$5:$N$428))+IFERROR('Client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  <c r="V198" s="130">
        <f>IFERROR(T198*SUMPRODUCT(('Client DB &amp; Bed Mgmt'!$A$5:$A$428=K198)*('Client DB &amp; Bed Mgmt'!$B$5:$B$428=L198)*('Client DB &amp; Bed Mgmt'!$D$5:$D$428&lt;&gt;"")*--(('Client DB &amp; Bed Mgmt'!$M$5:$M$428="")+NOT(ISNUMBER('Client DB &amp; Bed Mgmt'!$M$5:$M$428))+IFERROR('Client DB &amp; Bed Mgmt'!$M$5:$M$428&lt;=EOMONTH(B198,0),FALSE)&gt;0)*--(('Client DB &amp; Bed Mgmt'!$N$5:$N$428="")+NOT(ISNUMBER('Client DB &amp; Bed Mgmt'!$N$5:$N$428))+IFERROR('Client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</row>
    <row r="199" hidden="1" ht="14.25" customHeight="1" s="83">
      <c r="A199" s="103" t="inlineStr">
        <is>
          <t>Dorm 3</t>
        </is>
      </c>
      <c r="B199" s="125">
        <f>DATE(YEAR(StartDate),MONTH(StartDate),1)</f>
        <v/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Mgmt'!$B:$B,C199,'Client DB &amp; Bed Mgmt'!$E:$E,"Occupied"),0)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Mgmt'!$M:$M,"&lt;="&amp;EOMONTH($B199,0),'Client DB &amp; Bed Mgmt'!$N:$N,"&gt;="&amp;DATE(YEAR($B199),MONTH($B199),1))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29">
        <f>IFERROR(J199*SUMPRODUCT(('Client DB &amp; Bed Mgmt'!$A$5:$A$428=A199)*('Client DB &amp; Bed Mgmt'!$B$5:$B$428=C199)*('Client DB &amp; Bed Mgmt'!$D$5:$D$428&lt;&gt;"")*--(('Client DB &amp; Bed Mgmt'!$M$5:$M$428="")+NOT(ISNUMBER('Client DB &amp; Bed Mgmt'!$M$5:$M$428))+IFERROR('Client DB &amp; Bed Mgmt'!$M$5:$M$428&lt;=EOMONTH(B199,0),FALSE)&gt;0)*--(('Client DB &amp; Bed Mgmt'!$N$5:$N$428="")+NOT(ISNUMBER('Client DB &amp; Bed Mgmt'!$N$5:$N$428))+IFERROR('Client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  <c r="V199" s="130">
        <f>IFERROR(T199*SUMPRODUCT(('Client DB &amp; Bed Mgmt'!$A$5:$A$428=K199)*('Client DB &amp; Bed Mgmt'!$B$5:$B$428=L199)*('Client DB &amp; Bed Mgmt'!$D$5:$D$428&lt;&gt;"")*--(('Client DB &amp; Bed Mgmt'!$M$5:$M$428="")+NOT(ISNUMBER('Client DB &amp; Bed Mgmt'!$M$5:$M$428))+IFERROR('Client DB &amp; Bed Mgmt'!$M$5:$M$428&lt;=EOMONTH(B199,0),FALSE)&gt;0)*--(('Client DB &amp; Bed Mgmt'!$N$5:$N$428="")+NOT(ISNUMBER('Client DB &amp; Bed Mgmt'!$N$5:$N$428))+IFERROR('Client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</row>
    <row r="200" hidden="1" ht="14.25" customHeight="1" s="83">
      <c r="A200" s="103" t="inlineStr">
        <is>
          <t>Dorm 3</t>
        </is>
      </c>
      <c r="B200" s="125">
        <f>DATE(YEAR(StartDate),MONTH(StartDate),1)</f>
        <v/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Mgmt'!$B:$B,C200,'Client DB &amp; Bed Mgmt'!$E:$E,"Occupied"),0)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Mgmt'!$M:$M,"&lt;="&amp;EOMONTH($B200,0),'Client DB &amp; Bed Mgmt'!$N:$N,"&gt;="&amp;DATE(YEAR($B200),MONTH($B200),1))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29">
        <f>IFERROR(J200*SUMPRODUCT(('Client DB &amp; Bed Mgmt'!$A$5:$A$428=A200)*('Client DB &amp; Bed Mgmt'!$B$5:$B$428=C200)*('Client DB &amp; Bed Mgmt'!$D$5:$D$428&lt;&gt;"")*--(('Client DB &amp; Bed Mgmt'!$M$5:$M$428="")+NOT(ISNUMBER('Client DB &amp; Bed Mgmt'!$M$5:$M$428))+IFERROR('Client DB &amp; Bed Mgmt'!$M$5:$M$428&lt;=EOMONTH(B200,0),FALSE)&gt;0)*--(('Client DB &amp; Bed Mgmt'!$N$5:$N$428="")+NOT(ISNUMBER('Client DB &amp; Bed Mgmt'!$N$5:$N$428))+IFERROR('Client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  <c r="V200" s="130">
        <f>IFERROR(T200*SUMPRODUCT(('Client DB &amp; Bed Mgmt'!$A$5:$A$428=K200)*('Client DB &amp; Bed Mgmt'!$B$5:$B$428=L200)*('Client DB &amp; Bed Mgmt'!$D$5:$D$428&lt;&gt;"")*--(('Client DB &amp; Bed Mgmt'!$M$5:$M$428="")+NOT(ISNUMBER('Client DB &amp; Bed Mgmt'!$M$5:$M$428))+IFERROR('Client DB &amp; Bed Mgmt'!$M$5:$M$428&lt;=EOMONTH(B200,0),FALSE)&gt;0)*--(('Client DB &amp; Bed Mgmt'!$N$5:$N$428="")+NOT(ISNUMBER('Client DB &amp; Bed Mgmt'!$N$5:$N$428))+IFERROR('Client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</row>
    <row r="201" hidden="1" ht="14.25" customHeight="1" s="83">
      <c r="A201" s="103" t="inlineStr">
        <is>
          <t>Dorm 3</t>
        </is>
      </c>
      <c r="B201" s="125">
        <f>DATE(YEAR(StartDate),MONTH(StartDate),1)</f>
        <v/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Mgmt'!$B:$B,C201,'Client DB &amp; Bed Mgmt'!$E:$E,"Occupied"),0)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Mgmt'!$M:$M,"&lt;="&amp;EOMONTH($B201,0),'Client DB &amp; Bed Mgmt'!$N:$N,"&gt;="&amp;DATE(YEAR($B201),MONTH($B201),1))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29">
        <f>IFERROR(J201*SUMPRODUCT(('Client DB &amp; Bed Mgmt'!$A$5:$A$428=A201)*('Client DB &amp; Bed Mgmt'!$B$5:$B$428=C201)*('Client DB &amp; Bed Mgmt'!$D$5:$D$428&lt;&gt;"")*--(('Client DB &amp; Bed Mgmt'!$M$5:$M$428="")+NOT(ISNUMBER('Client DB &amp; Bed Mgmt'!$M$5:$M$428))+IFERROR('Client DB &amp; Bed Mgmt'!$M$5:$M$428&lt;=EOMONTH(B201,0),FALSE)&gt;0)*--(('Client DB &amp; Bed Mgmt'!$N$5:$N$428="")+NOT(ISNUMBER('Client DB &amp; Bed Mgmt'!$N$5:$N$428))+IFERROR('Client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  <c r="V201" s="130">
        <f>IFERROR(T201*SUMPRODUCT(('Client DB &amp; Bed Mgmt'!$A$5:$A$428=K201)*('Client DB &amp; Bed Mgmt'!$B$5:$B$428=L201)*('Client DB &amp; Bed Mgmt'!$D$5:$D$428&lt;&gt;"")*--(('Client DB &amp; Bed Mgmt'!$M$5:$M$428="")+NOT(ISNUMBER('Client DB &amp; Bed Mgmt'!$M$5:$M$428))+IFERROR('Client DB &amp; Bed Mgmt'!$M$5:$M$428&lt;=EOMONTH(B201,0),FALSE)&gt;0)*--(('Client DB &amp; Bed Mgmt'!$N$5:$N$428="")+NOT(ISNUMBER('Client DB &amp; Bed Mgmt'!$N$5:$N$428))+IFERROR('Client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</row>
    <row r="202" hidden="1" ht="14.25" customHeight="1" s="83">
      <c r="A202" s="103" t="inlineStr">
        <is>
          <t>Dorm 3</t>
        </is>
      </c>
      <c r="B202" s="125">
        <f>DATE(YEAR(StartDate),MONTH(StartDate),1)</f>
        <v/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Mgmt'!$B:$B,C202,'Client DB &amp; Bed Mgmt'!$E:$E,"Occupied"),0)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Mgmt'!$M:$M,"&lt;="&amp;EOMONTH($B202,0),'Client DB &amp; Bed Mgmt'!$N:$N,"&gt;="&amp;DATE(YEAR($B202),MONTH($B202),1))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29">
        <f>IFERROR(J202*SUMPRODUCT(('Client DB &amp; Bed Mgmt'!$A$5:$A$428=A202)*('Client DB &amp; Bed Mgmt'!$B$5:$B$428=C202)*('Client DB &amp; Bed Mgmt'!$D$5:$D$428&lt;&gt;"")*--(('Client DB &amp; Bed Mgmt'!$M$5:$M$428="")+NOT(ISNUMBER('Client DB &amp; Bed Mgmt'!$M$5:$M$428))+IFERROR('Client DB &amp; Bed Mgmt'!$M$5:$M$428&lt;=EOMONTH(B202,0),FALSE)&gt;0)*--(('Client DB &amp; Bed Mgmt'!$N$5:$N$428="")+NOT(ISNUMBER('Client DB &amp; Bed Mgmt'!$N$5:$N$428))+IFERROR('Client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  <c r="V202" s="130">
        <f>IFERROR(T202*SUMPRODUCT(('Client DB &amp; Bed Mgmt'!$A$5:$A$428=K202)*('Client DB &amp; Bed Mgmt'!$B$5:$B$428=L202)*('Client DB &amp; Bed Mgmt'!$D$5:$D$428&lt;&gt;"")*--(('Client DB &amp; Bed Mgmt'!$M$5:$M$428="")+NOT(ISNUMBER('Client DB &amp; Bed Mgmt'!$M$5:$M$428))+IFERROR('Client DB &amp; Bed Mgmt'!$M$5:$M$428&lt;=EOMONTH(B202,0),FALSE)&gt;0)*--(('Client DB &amp; Bed Mgmt'!$N$5:$N$428="")+NOT(ISNUMBER('Client DB &amp; Bed Mgmt'!$N$5:$N$428))+IFERROR('Client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</row>
    <row r="203" hidden="1" ht="14.25" customHeight="1" s="83">
      <c r="A203" s="103" t="inlineStr">
        <is>
          <t>Dorm 3</t>
        </is>
      </c>
      <c r="B203" s="125">
        <f>DATE(YEAR(StartDate),MONTH(StartDate),1)</f>
        <v/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Mgmt'!$B:$B,C203,'Client DB &amp; Bed Mgmt'!$E:$E,"Occupied"),0)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Mgmt'!$M:$M,"&lt;="&amp;EOMONTH($B203,0),'Client DB &amp; Bed Mgmt'!$N:$N,"&gt;="&amp;DATE(YEAR($B203),MONTH($B203),1))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29">
        <f>IFERROR(J203*SUMPRODUCT(('Client DB &amp; Bed Mgmt'!$A$5:$A$428=A203)*('Client DB &amp; Bed Mgmt'!$B$5:$B$428=C203)*('Client DB &amp; Bed Mgmt'!$D$5:$D$428&lt;&gt;"")*--(('Client DB &amp; Bed Mgmt'!$M$5:$M$428="")+NOT(ISNUMBER('Client DB &amp; Bed Mgmt'!$M$5:$M$428))+IFERROR('Client DB &amp; Bed Mgmt'!$M$5:$M$428&lt;=EOMONTH(B203,0),FALSE)&gt;0)*--(('Client DB &amp; Bed Mgmt'!$N$5:$N$428="")+NOT(ISNUMBER('Client DB &amp; Bed Mgmt'!$N$5:$N$428))+IFERROR('Client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  <c r="V203" s="130">
        <f>IFERROR(T203*SUMPRODUCT(('Client DB &amp; Bed Mgmt'!$A$5:$A$428=K203)*('Client DB &amp; Bed Mgmt'!$B$5:$B$428=L203)*('Client DB &amp; Bed Mgmt'!$D$5:$D$428&lt;&gt;"")*--(('Client DB &amp; Bed Mgmt'!$M$5:$M$428="")+NOT(ISNUMBER('Client DB &amp; Bed Mgmt'!$M$5:$M$428))+IFERROR('Client DB &amp; Bed Mgmt'!$M$5:$M$428&lt;=EOMONTH(B203,0),FALSE)&gt;0)*--(('Client DB &amp; Bed Mgmt'!$N$5:$N$428="")+NOT(ISNUMBER('Client DB &amp; Bed Mgmt'!$N$5:$N$428))+IFERROR('Client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</row>
    <row r="204" hidden="1" ht="14.25" customHeight="1" s="83">
      <c r="A204" s="103" t="inlineStr">
        <is>
          <t>Dorm 3</t>
        </is>
      </c>
      <c r="B204" s="125">
        <f>DATE(YEAR(StartDate),MONTH(StartDate),1)</f>
        <v/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Mgmt'!$B:$B,C204,'Client DB &amp; Bed Mgmt'!$E:$E,"Occupied"),0)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Mgmt'!$M:$M,"&lt;="&amp;EOMONTH($B204,0),'Client DB &amp; Bed Mgmt'!$N:$N,"&gt;="&amp;DATE(YEAR($B204),MONTH($B204),1))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29">
        <f>IFERROR(J204*SUMPRODUCT(('Client DB &amp; Bed Mgmt'!$A$5:$A$428=A204)*('Client DB &amp; Bed Mgmt'!$B$5:$B$428=C204)*('Client DB &amp; Bed Mgmt'!$D$5:$D$428&lt;&gt;"")*--(('Client DB &amp; Bed Mgmt'!$M$5:$M$428="")+NOT(ISNUMBER('Client DB &amp; Bed Mgmt'!$M$5:$M$428))+IFERROR('Client DB &amp; Bed Mgmt'!$M$5:$M$428&lt;=EOMONTH(B204,0),FALSE)&gt;0)*--(('Client DB &amp; Bed Mgmt'!$N$5:$N$428="")+NOT(ISNUMBER('Client DB &amp; Bed Mgmt'!$N$5:$N$428))+IFERROR('Client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  <c r="V204" s="130">
        <f>IFERROR(T204*SUMPRODUCT(('Client DB &amp; Bed Mgmt'!$A$5:$A$428=K204)*('Client DB &amp; Bed Mgmt'!$B$5:$B$428=L204)*('Client DB &amp; Bed Mgmt'!$D$5:$D$428&lt;&gt;"")*--(('Client DB &amp; Bed Mgmt'!$M$5:$M$428="")+NOT(ISNUMBER('Client DB &amp; Bed Mgmt'!$M$5:$M$428))+IFERROR('Client DB &amp; Bed Mgmt'!$M$5:$M$428&lt;=EOMONTH(B204,0),FALSE)&gt;0)*--(('Client DB &amp; Bed Mgmt'!$N$5:$N$428="")+NOT(ISNUMBER('Client DB &amp; Bed Mgmt'!$N$5:$N$428))+IFERROR('Client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</row>
    <row r="205" hidden="1" ht="14.25" customHeight="1" s="83">
      <c r="A205" s="103" t="inlineStr">
        <is>
          <t>Dorm 3</t>
        </is>
      </c>
      <c r="B205" s="125">
        <f>DATE(YEAR(StartDate),MONTH(StartDate),1)</f>
        <v/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Mgmt'!$B:$B,C205,'Client DB &amp; Bed Mgmt'!$E:$E,"Occupied"),0)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Mgmt'!$M:$M,"&lt;="&amp;EOMONTH($B205,0),'Client DB &amp; Bed Mgmt'!$N:$N,"&gt;="&amp;DATE(YEAR($B205),MONTH($B205),1))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29">
        <f>IFERROR(J205*SUMPRODUCT(('Client DB &amp; Bed Mgmt'!$A$5:$A$428=A205)*('Client DB &amp; Bed Mgmt'!$B$5:$B$428=C205)*('Client DB &amp; Bed Mgmt'!$D$5:$D$428&lt;&gt;"")*--(('Client DB &amp; Bed Mgmt'!$M$5:$M$428="")+NOT(ISNUMBER('Client DB &amp; Bed Mgmt'!$M$5:$M$428))+IFERROR('Client DB &amp; Bed Mgmt'!$M$5:$M$428&lt;=EOMONTH(B205,0),FALSE)&gt;0)*--(('Client DB &amp; Bed Mgmt'!$N$5:$N$428="")+NOT(ISNUMBER('Client DB &amp; Bed Mgmt'!$N$5:$N$428))+IFERROR('Client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  <c r="V205" s="130">
        <f>IFERROR(T205*SUMPRODUCT(('Client DB &amp; Bed Mgmt'!$A$5:$A$428=K205)*('Client DB &amp; Bed Mgmt'!$B$5:$B$428=L205)*('Client DB &amp; Bed Mgmt'!$D$5:$D$428&lt;&gt;"")*--(('Client DB &amp; Bed Mgmt'!$M$5:$M$428="")+NOT(ISNUMBER('Client DB &amp; Bed Mgmt'!$M$5:$M$428))+IFERROR('Client DB &amp; Bed Mgmt'!$M$5:$M$428&lt;=EOMONTH(B205,0),FALSE)&gt;0)*--(('Client DB &amp; Bed Mgmt'!$N$5:$N$428="")+NOT(ISNUMBER('Client DB &amp; Bed Mgmt'!$N$5:$N$428))+IFERROR('Client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</row>
    <row r="206" hidden="1" ht="14.25" customHeight="1" s="83">
      <c r="A206" s="103" t="inlineStr">
        <is>
          <t>Dorm 3</t>
        </is>
      </c>
      <c r="B206" s="125">
        <f>DATE(YEAR(StartDate),MONTH(StartDate),1)</f>
        <v/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Mgmt'!$B:$B,C206,'Client DB &amp; Bed Mgmt'!$E:$E,"Occupied"),0)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Mgmt'!$M:$M,"&lt;="&amp;EOMONTH($B206,0),'Client DB &amp; Bed Mgmt'!$N:$N,"&gt;="&amp;DATE(YEAR($B206),MONTH($B206),1))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29">
        <f>IFERROR(J206*SUMPRODUCT(('Client DB &amp; Bed Mgmt'!$A$5:$A$428=A206)*('Client DB &amp; Bed Mgmt'!$B$5:$B$428=C206)*('Client DB &amp; Bed Mgmt'!$D$5:$D$428&lt;&gt;"")*--(('Client DB &amp; Bed Mgmt'!$M$5:$M$428="")+NOT(ISNUMBER('Client DB &amp; Bed Mgmt'!$M$5:$M$428))+IFERROR('Client DB &amp; Bed Mgmt'!$M$5:$M$428&lt;=EOMONTH(B206,0),FALSE)&gt;0)*--(('Client DB &amp; Bed Mgmt'!$N$5:$N$428="")+NOT(ISNUMBER('Client DB &amp; Bed Mgmt'!$N$5:$N$428))+IFERROR('Client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  <c r="V206" s="130">
        <f>IFERROR(T206*SUMPRODUCT(('Client DB &amp; Bed Mgmt'!$A$5:$A$428=K206)*('Client DB &amp; Bed Mgmt'!$B$5:$B$428=L206)*('Client DB &amp; Bed Mgmt'!$D$5:$D$428&lt;&gt;"")*--(('Client DB &amp; Bed Mgmt'!$M$5:$M$428="")+NOT(ISNUMBER('Client DB &amp; Bed Mgmt'!$M$5:$M$428))+IFERROR('Client DB &amp; Bed Mgmt'!$M$5:$M$428&lt;=EOMONTH(B206,0),FALSE)&gt;0)*--(('Client DB &amp; Bed Mgmt'!$N$5:$N$428="")+NOT(ISNUMBER('Client DB &amp; Bed Mgmt'!$N$5:$N$428))+IFERROR('Client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</row>
    <row r="207" hidden="1" ht="14.25" customHeight="1" s="83">
      <c r="A207" s="103" t="inlineStr">
        <is>
          <t>Dorm 3</t>
        </is>
      </c>
      <c r="B207" s="125">
        <f>DATE(YEAR(StartDate),MONTH(StartDate),1)</f>
        <v/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Mgmt'!$B:$B,C207,'Client DB &amp; Bed Mgmt'!$E:$E,"Occupied"),0)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Mgmt'!$M:$M,"&lt;="&amp;EOMONTH($B207,0),'Client DB &amp; Bed Mgmt'!$N:$N,"&gt;="&amp;DATE(YEAR($B207),MONTH($B207),1))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29">
        <f>IFERROR(J207*SUMPRODUCT(('Client DB &amp; Bed Mgmt'!$A$5:$A$428=A207)*('Client DB &amp; Bed Mgmt'!$B$5:$B$428=C207)*('Client DB &amp; Bed Mgmt'!$D$5:$D$428&lt;&gt;"")*--(('Client DB &amp; Bed Mgmt'!$M$5:$M$428="")+NOT(ISNUMBER('Client DB &amp; Bed Mgmt'!$M$5:$M$428))+IFERROR('Client DB &amp; Bed Mgmt'!$M$5:$M$428&lt;=EOMONTH(B207,0),FALSE)&gt;0)*--(('Client DB &amp; Bed Mgmt'!$N$5:$N$428="")+NOT(ISNUMBER('Client DB &amp; Bed Mgmt'!$N$5:$N$428))+IFERROR('Client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  <c r="V207" s="130">
        <f>IFERROR(T207*SUMPRODUCT(('Client DB &amp; Bed Mgmt'!$A$5:$A$428=K207)*('Client DB &amp; Bed Mgmt'!$B$5:$B$428=L207)*('Client DB &amp; Bed Mgmt'!$D$5:$D$428&lt;&gt;"")*--(('Client DB &amp; Bed Mgmt'!$M$5:$M$428="")+NOT(ISNUMBER('Client DB &amp; Bed Mgmt'!$M$5:$M$428))+IFERROR('Client DB &amp; Bed Mgmt'!$M$5:$M$428&lt;=EOMONTH(B207,0),FALSE)&gt;0)*--(('Client DB &amp; Bed Mgmt'!$N$5:$N$428="")+NOT(ISNUMBER('Client DB &amp; Bed Mgmt'!$N$5:$N$428))+IFERROR('Client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</row>
    <row r="208" hidden="1" ht="14.25" customHeight="1" s="83">
      <c r="A208" s="103" t="inlineStr">
        <is>
          <t>Dorm 3</t>
        </is>
      </c>
      <c r="B208" s="125">
        <f>DATE(YEAR(StartDate),MONTH(StartDate),1)</f>
        <v/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Mgmt'!$B:$B,C208,'Client DB &amp; Bed Mgmt'!$E:$E,"Occupied"),0)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Mgmt'!$M:$M,"&lt;="&amp;EOMONTH($B208,0),'Client DB &amp; Bed Mgmt'!$N:$N,"&gt;="&amp;DATE(YEAR($B208),MONTH($B208),1))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29">
        <f>IFERROR(J208*SUMPRODUCT(('Client DB &amp; Bed Mgmt'!$A$5:$A$428=A208)*('Client DB &amp; Bed Mgmt'!$B$5:$B$428=C208)*('Client DB &amp; Bed Mgmt'!$D$5:$D$428&lt;&gt;"")*--(('Client DB &amp; Bed Mgmt'!$M$5:$M$428="")+NOT(ISNUMBER('Client DB &amp; Bed Mgmt'!$M$5:$M$428))+IFERROR('Client DB &amp; Bed Mgmt'!$M$5:$M$428&lt;=EOMONTH(B208,0),FALSE)&gt;0)*--(('Client DB &amp; Bed Mgmt'!$N$5:$N$428="")+NOT(ISNUMBER('Client DB &amp; Bed Mgmt'!$N$5:$N$428))+IFERROR('Client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  <c r="V208" s="130">
        <f>IFERROR(T208*SUMPRODUCT(('Client DB &amp; Bed Mgmt'!$A$5:$A$428=K208)*('Client DB &amp; Bed Mgmt'!$B$5:$B$428=L208)*('Client DB &amp; Bed Mgmt'!$D$5:$D$428&lt;&gt;"")*--(('Client DB &amp; Bed Mgmt'!$M$5:$M$428="")+NOT(ISNUMBER('Client DB &amp; Bed Mgmt'!$M$5:$M$428))+IFERROR('Client DB &amp; Bed Mgmt'!$M$5:$M$428&lt;=EOMONTH(B208,0),FALSE)&gt;0)*--(('Client DB &amp; Bed Mgmt'!$N$5:$N$428="")+NOT(ISNUMBER('Client DB &amp; Bed Mgmt'!$N$5:$N$428))+IFERROR('Client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</row>
    <row r="209" hidden="1" ht="14.25" customHeight="1" s="83">
      <c r="A209" s="103" t="inlineStr">
        <is>
          <t>Dorm 3</t>
        </is>
      </c>
      <c r="B209" s="125">
        <f>DATE(YEAR(StartDate),MONTH(StartDate),1)</f>
        <v/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Mgmt'!$B:$B,C209,'Client DB &amp; Bed Mgmt'!$E:$E,"Occupied"),0)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Mgmt'!$M:$M,"&lt;="&amp;EOMONTH($B209,0),'Client DB &amp; Bed Mgmt'!$N:$N,"&gt;="&amp;DATE(YEAR($B209),MONTH($B209),1))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29">
        <f>IFERROR(J209*SUMPRODUCT(('Client DB &amp; Bed Mgmt'!$A$5:$A$428=A209)*('Client DB &amp; Bed Mgmt'!$B$5:$B$428=C209)*('Client DB &amp; Bed Mgmt'!$D$5:$D$428&lt;&gt;"")*--(('Client DB &amp; Bed Mgmt'!$M$5:$M$428="")+NOT(ISNUMBER('Client DB &amp; Bed Mgmt'!$M$5:$M$428))+IFERROR('Client DB &amp; Bed Mgmt'!$M$5:$M$428&lt;=EOMONTH(B209,0),FALSE)&gt;0)*--(('Client DB &amp; Bed Mgmt'!$N$5:$N$428="")+NOT(ISNUMBER('Client DB &amp; Bed Mgmt'!$N$5:$N$428))+IFERROR('Client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  <c r="V209" s="130">
        <f>IFERROR(T209*SUMPRODUCT(('Client DB &amp; Bed Mgmt'!$A$5:$A$428=K209)*('Client DB &amp; Bed Mgmt'!$B$5:$B$428=L209)*('Client DB &amp; Bed Mgmt'!$D$5:$D$428&lt;&gt;"")*--(('Client DB &amp; Bed Mgmt'!$M$5:$M$428="")+NOT(ISNUMBER('Client DB &amp; Bed Mgmt'!$M$5:$M$428))+IFERROR('Client DB &amp; Bed Mgmt'!$M$5:$M$428&lt;=EOMONTH(B209,0),FALSE)&gt;0)*--(('Client DB &amp; Bed Mgmt'!$N$5:$N$428="")+NOT(ISNUMBER('Client DB &amp; Bed Mgmt'!$N$5:$N$428))+IFERROR('Client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</row>
    <row r="210" hidden="1" ht="14.25" customHeight="1" s="83">
      <c r="A210" s="103" t="inlineStr">
        <is>
          <t>Dorm 3</t>
        </is>
      </c>
      <c r="B210" s="125">
        <f>DATE(YEAR(StartDate),MONTH(StartDate),1)</f>
        <v/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Mgmt'!$B:$B,C210,'Client DB &amp; Bed Mgmt'!$E:$E,"Occupied"),0)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Mgmt'!$M:$M,"&lt;="&amp;EOMONTH($B210,0),'Client DB &amp; Bed Mgmt'!$N:$N,"&gt;="&amp;DATE(YEAR($B210),MONTH($B210),1))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29">
        <f>IFERROR(J210*SUMPRODUCT(('Client DB &amp; Bed Mgmt'!$A$5:$A$428=A210)*('Client DB &amp; Bed Mgmt'!$B$5:$B$428=C210)*('Client DB &amp; Bed Mgmt'!$D$5:$D$428&lt;&gt;"")*--(('Client DB &amp; Bed Mgmt'!$M$5:$M$428="")+NOT(ISNUMBER('Client DB &amp; Bed Mgmt'!$M$5:$M$428))+IFERROR('Client DB &amp; Bed Mgmt'!$M$5:$M$428&lt;=EOMONTH(B210,0),FALSE)&gt;0)*--(('Client DB &amp; Bed Mgmt'!$N$5:$N$428="")+NOT(ISNUMBER('Client DB &amp; Bed Mgmt'!$N$5:$N$428))+IFERROR('Client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  <c r="V210" s="130">
        <f>IFERROR(T210*SUMPRODUCT(('Client DB &amp; Bed Mgmt'!$A$5:$A$428=K210)*('Client DB &amp; Bed Mgmt'!$B$5:$B$428=L210)*('Client DB &amp; Bed Mgmt'!$D$5:$D$428&lt;&gt;"")*--(('Client DB &amp; Bed Mgmt'!$M$5:$M$428="")+NOT(ISNUMBER('Client DB &amp; Bed Mgmt'!$M$5:$M$428))+IFERROR('Client DB &amp; Bed Mgmt'!$M$5:$M$428&lt;=EOMONTH(B210,0),FALSE)&gt;0)*--(('Client DB &amp; Bed Mgmt'!$N$5:$N$428="")+NOT(ISNUMBER('Client DB &amp; Bed Mgmt'!$N$5:$N$428))+IFERROR('Client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</row>
    <row r="211" hidden="1" ht="14.25" customHeight="1" s="83">
      <c r="A211" s="103" t="inlineStr">
        <is>
          <t>Dorm 3</t>
        </is>
      </c>
      <c r="B211" s="125">
        <f>DATE(YEAR(StartDate),MONTH(StartDate),1)</f>
        <v/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Mgmt'!$B:$B,C211,'Client DB &amp; Bed Mgmt'!$E:$E,"Occupied"),0)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Mgmt'!$M:$M,"&lt;="&amp;EOMONTH($B211,0),'Client DB &amp; Bed Mgmt'!$N:$N,"&gt;="&amp;DATE(YEAR($B211),MONTH($B211),1))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29">
        <f>IFERROR(J211*SUMPRODUCT(('Client DB &amp; Bed Mgmt'!$A$5:$A$428=A211)*('Client DB &amp; Bed Mgmt'!$B$5:$B$428=C211)*('Client DB &amp; Bed Mgmt'!$D$5:$D$428&lt;&gt;"")*--(('Client DB &amp; Bed Mgmt'!$M$5:$M$428="")+NOT(ISNUMBER('Client DB &amp; Bed Mgmt'!$M$5:$M$428))+IFERROR('Client DB &amp; Bed Mgmt'!$M$5:$M$428&lt;=EOMONTH(B211,0),FALSE)&gt;0)*--(('Client DB &amp; Bed Mgmt'!$N$5:$N$428="")+NOT(ISNUMBER('Client DB &amp; Bed Mgmt'!$N$5:$N$428))+IFERROR('Client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  <c r="V211" s="130">
        <f>IFERROR(T211*SUMPRODUCT(('Client DB &amp; Bed Mgmt'!$A$5:$A$428=K211)*('Client DB &amp; Bed Mgmt'!$B$5:$B$428=L211)*('Client DB &amp; Bed Mgmt'!$D$5:$D$428&lt;&gt;"")*--(('Client DB &amp; Bed Mgmt'!$M$5:$M$428="")+NOT(ISNUMBER('Client DB &amp; Bed Mgmt'!$M$5:$M$428))+IFERROR('Client DB &amp; Bed Mgmt'!$M$5:$M$428&lt;=EOMONTH(B211,0),FALSE)&gt;0)*--(('Client DB &amp; Bed Mgmt'!$N$5:$N$428="")+NOT(ISNUMBER('Client DB &amp; Bed Mgmt'!$N$5:$N$428))+IFERROR('Client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</row>
    <row r="212" hidden="1" ht="14.25" customHeight="1" s="83">
      <c r="A212" s="103" t="inlineStr">
        <is>
          <t>Dorm 3</t>
        </is>
      </c>
      <c r="B212" s="125">
        <f>DATE(YEAR(StartDate),MONTH(StartDate),1)</f>
        <v/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Mgmt'!$B:$B,C212,'Client DB &amp; Bed Mgmt'!$E:$E,"Occupied"),0)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Mgmt'!$M:$M,"&lt;="&amp;EOMONTH($B212,0),'Client DB &amp; Bed Mgmt'!$N:$N,"&gt;="&amp;DATE(YEAR($B212),MONTH($B212),1))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29">
        <f>IFERROR(J212*SUMPRODUCT(('Client DB &amp; Bed Mgmt'!$A$5:$A$428=A212)*('Client DB &amp; Bed Mgmt'!$B$5:$B$428=C212)*('Client DB &amp; Bed Mgmt'!$D$5:$D$428&lt;&gt;"")*--(('Client DB &amp; Bed Mgmt'!$M$5:$M$428="")+NOT(ISNUMBER('Client DB &amp; Bed Mgmt'!$M$5:$M$428))+IFERROR('Client DB &amp; Bed Mgmt'!$M$5:$M$428&lt;=EOMONTH(B212,0),FALSE)&gt;0)*--(('Client DB &amp; Bed Mgmt'!$N$5:$N$428="")+NOT(ISNUMBER('Client DB &amp; Bed Mgmt'!$N$5:$N$428))+IFERROR('Client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  <c r="V212" s="130">
        <f>IFERROR(T212*SUMPRODUCT(('Client DB &amp; Bed Mgmt'!$A$5:$A$428=K212)*('Client DB &amp; Bed Mgmt'!$B$5:$B$428=L212)*('Client DB &amp; Bed Mgmt'!$D$5:$D$428&lt;&gt;"")*--(('Client DB &amp; Bed Mgmt'!$M$5:$M$428="")+NOT(ISNUMBER('Client DB &amp; Bed Mgmt'!$M$5:$M$428))+IFERROR('Client DB &amp; Bed Mgmt'!$M$5:$M$428&lt;=EOMONTH(B212,0),FALSE)&gt;0)*--(('Client DB &amp; Bed Mgmt'!$N$5:$N$428="")+NOT(ISNUMBER('Client DB &amp; Bed Mgmt'!$N$5:$N$428))+IFERROR('Client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</row>
    <row r="213" hidden="1" ht="14.25" customHeight="1" s="83">
      <c r="A213" s="103" t="inlineStr">
        <is>
          <t>Dorm 3</t>
        </is>
      </c>
      <c r="B213" s="125">
        <f>DATE(YEAR(StartDate),MONTH(StartDate),1)</f>
        <v/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Mgmt'!$B:$B,C213,'Client DB &amp; Bed Mgmt'!$E:$E,"Occupied"),0)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Mgmt'!$M:$M,"&lt;="&amp;EOMONTH($B213,0),'Client DB &amp; Bed Mgmt'!$N:$N,"&gt;="&amp;DATE(YEAR($B213),MONTH($B213),1))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29">
        <f>IFERROR(J213*SUMPRODUCT(('Client DB &amp; Bed Mgmt'!$A$5:$A$428=A213)*('Client DB &amp; Bed Mgmt'!$B$5:$B$428=C213)*('Client DB &amp; Bed Mgmt'!$D$5:$D$428&lt;&gt;"")*--(('Client DB &amp; Bed Mgmt'!$M$5:$M$428="")+NOT(ISNUMBER('Client DB &amp; Bed Mgmt'!$M$5:$M$428))+IFERROR('Client DB &amp; Bed Mgmt'!$M$5:$M$428&lt;=EOMONTH(B213,0),FALSE)&gt;0)*--(('Client DB &amp; Bed Mgmt'!$N$5:$N$428="")+NOT(ISNUMBER('Client DB &amp; Bed Mgmt'!$N$5:$N$428))+IFERROR('Client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  <c r="V213" s="130">
        <f>IFERROR(T213*SUMPRODUCT(('Client DB &amp; Bed Mgmt'!$A$5:$A$428=K213)*('Client DB &amp; Bed Mgmt'!$B$5:$B$428=L213)*('Client DB &amp; Bed Mgmt'!$D$5:$D$428&lt;&gt;"")*--(('Client DB &amp; Bed Mgmt'!$M$5:$M$428="")+NOT(ISNUMBER('Client DB &amp; Bed Mgmt'!$M$5:$M$428))+IFERROR('Client DB &amp; Bed Mgmt'!$M$5:$M$428&lt;=EOMONTH(B213,0),FALSE)&gt;0)*--(('Client DB &amp; Bed Mgmt'!$N$5:$N$428="")+NOT(ISNUMBER('Client DB &amp; Bed Mgmt'!$N$5:$N$428))+IFERROR('Client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</row>
    <row r="214" hidden="1" ht="14.25" customHeight="1" s="83">
      <c r="A214" s="103" t="inlineStr">
        <is>
          <t>Dorm 3</t>
        </is>
      </c>
      <c r="B214" s="125">
        <f>DATE(YEAR(StartDate),MONTH(StartDate),1)</f>
        <v/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Mgmt'!$B:$B,C214,'Client DB &amp; Bed Mgmt'!$E:$E,"Occupied"),0)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Mgmt'!$M:$M,"&lt;="&amp;EOMONTH($B214,0),'Client DB &amp; Bed Mgmt'!$N:$N,"&gt;="&amp;DATE(YEAR($B214),MONTH($B214),1))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29">
        <f>IFERROR(J214*SUMPRODUCT(('Client DB &amp; Bed Mgmt'!$A$5:$A$428=A214)*('Client DB &amp; Bed Mgmt'!$B$5:$B$428=C214)*('Client DB &amp; Bed Mgmt'!$D$5:$D$428&lt;&gt;"")*--(('Client DB &amp; Bed Mgmt'!$M$5:$M$428="")+NOT(ISNUMBER('Client DB &amp; Bed Mgmt'!$M$5:$M$428))+IFERROR('Client DB &amp; Bed Mgmt'!$M$5:$M$428&lt;=EOMONTH(B214,0),FALSE)&gt;0)*--(('Client DB &amp; Bed Mgmt'!$N$5:$N$428="")+NOT(ISNUMBER('Client DB &amp; Bed Mgmt'!$N$5:$N$428))+IFERROR('Client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  <c r="V214" s="130">
        <f>IFERROR(T214*SUMPRODUCT(('Client DB &amp; Bed Mgmt'!$A$5:$A$428=K214)*('Client DB &amp; Bed Mgmt'!$B$5:$B$428=L214)*('Client DB &amp; Bed Mgmt'!$D$5:$D$428&lt;&gt;"")*--(('Client DB &amp; Bed Mgmt'!$M$5:$M$428="")+NOT(ISNUMBER('Client DB &amp; Bed Mgmt'!$M$5:$M$428))+IFERROR('Client DB &amp; Bed Mgmt'!$M$5:$M$428&lt;=EOMONTH(B214,0),FALSE)&gt;0)*--(('Client DB &amp; Bed Mgmt'!$N$5:$N$428="")+NOT(ISNUMBER('Client DB &amp; Bed Mgmt'!$N$5:$N$428))+IFERROR('Client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</row>
    <row r="215" hidden="1" ht="14.25" customHeight="1" s="83">
      <c r="A215" s="103" t="inlineStr">
        <is>
          <t>Dorm 3</t>
        </is>
      </c>
      <c r="B215" s="125">
        <f>DATE(YEAR(StartDate),MONTH(StartDate),1)</f>
        <v/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Mgmt'!$B:$B,C215,'Client DB &amp; Bed Mgmt'!$E:$E,"Occupied"),0)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Mgmt'!$M:$M,"&lt;="&amp;EOMONTH($B215,0),'Client DB &amp; Bed Mgmt'!$N:$N,"&gt;="&amp;DATE(YEAR($B215),MONTH($B215),1))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29">
        <f>IFERROR(J215*SUMPRODUCT(('Client DB &amp; Bed Mgmt'!$A$5:$A$428=A215)*('Client DB &amp; Bed Mgmt'!$B$5:$B$428=C215)*('Client DB &amp; Bed Mgmt'!$D$5:$D$428&lt;&gt;"")*--(('Client DB &amp; Bed Mgmt'!$M$5:$M$428="")+NOT(ISNUMBER('Client DB &amp; Bed Mgmt'!$M$5:$M$428))+IFERROR('Client DB &amp; Bed Mgmt'!$M$5:$M$428&lt;=EOMONTH(B215,0),FALSE)&gt;0)*--(('Client DB &amp; Bed Mgmt'!$N$5:$N$428="")+NOT(ISNUMBER('Client DB &amp; Bed Mgmt'!$N$5:$N$428))+IFERROR('Client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  <c r="V215" s="130">
        <f>IFERROR(T215*SUMPRODUCT(('Client DB &amp; Bed Mgmt'!$A$5:$A$428=K215)*('Client DB &amp; Bed Mgmt'!$B$5:$B$428=L215)*('Client DB &amp; Bed Mgmt'!$D$5:$D$428&lt;&gt;"")*--(('Client DB &amp; Bed Mgmt'!$M$5:$M$428="")+NOT(ISNUMBER('Client DB &amp; Bed Mgmt'!$M$5:$M$428))+IFERROR('Client DB &amp; Bed Mgmt'!$M$5:$M$428&lt;=EOMONTH(B215,0),FALSE)&gt;0)*--(('Client DB &amp; Bed Mgmt'!$N$5:$N$428="")+NOT(ISNUMBER('Client DB &amp; Bed Mgmt'!$N$5:$N$428))+IFERROR('Client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</row>
    <row r="216" hidden="1" ht="14.25" customHeight="1" s="83">
      <c r="A216" s="103" t="inlineStr">
        <is>
          <t>Dorm 3</t>
        </is>
      </c>
      <c r="B216" s="125">
        <f>DATE(YEAR(StartDate),MONTH(StartDate),1)</f>
        <v/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Mgmt'!$B:$B,C216,'Client DB &amp; Bed Mgmt'!$E:$E,"Occupied"),0)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Mgmt'!$M:$M,"&lt;="&amp;EOMONTH($B216,0),'Client DB &amp; Bed Mgmt'!$N:$N,"&gt;="&amp;DATE(YEAR($B216),MONTH($B216),1))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29">
        <f>IFERROR(J216*SUMPRODUCT(('Client DB &amp; Bed Mgmt'!$A$5:$A$428=A216)*('Client DB &amp; Bed Mgmt'!$B$5:$B$428=C216)*('Client DB &amp; Bed Mgmt'!$D$5:$D$428&lt;&gt;"")*--(('Client DB &amp; Bed Mgmt'!$M$5:$M$428="")+NOT(ISNUMBER('Client DB &amp; Bed Mgmt'!$M$5:$M$428))+IFERROR('Client DB &amp; Bed Mgmt'!$M$5:$M$428&lt;=EOMONTH(B216,0),FALSE)&gt;0)*--(('Client DB &amp; Bed Mgmt'!$N$5:$N$428="")+NOT(ISNUMBER('Client DB &amp; Bed Mgmt'!$N$5:$N$428))+IFERROR('Client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  <c r="V216" s="130">
        <f>IFERROR(T216*SUMPRODUCT(('Client DB &amp; Bed Mgmt'!$A$5:$A$428=K216)*('Client DB &amp; Bed Mgmt'!$B$5:$B$428=L216)*('Client DB &amp; Bed Mgmt'!$D$5:$D$428&lt;&gt;"")*--(('Client DB &amp; Bed Mgmt'!$M$5:$M$428="")+NOT(ISNUMBER('Client DB &amp; Bed Mgmt'!$M$5:$M$428))+IFERROR('Client DB &amp; Bed Mgmt'!$M$5:$M$428&lt;=EOMONTH(B216,0),FALSE)&gt;0)*--(('Client DB &amp; Bed Mgmt'!$N$5:$N$428="")+NOT(ISNUMBER('Client DB &amp; Bed Mgmt'!$N$5:$N$428))+IFERROR('Client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</row>
    <row r="217" hidden="1" ht="14.25" customHeight="1" s="83">
      <c r="A217" s="103" t="inlineStr">
        <is>
          <t>Dorm 3</t>
        </is>
      </c>
      <c r="B217" s="125">
        <f>DATE(YEAR(StartDate),MONTH(StartDate),1)</f>
        <v/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Mgmt'!$B:$B,C217,'Client DB &amp; Bed Mgmt'!$E:$E,"Occupied"),0)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Mgmt'!$M:$M,"&lt;="&amp;EOMONTH($B217,0),'Client DB &amp; Bed Mgmt'!$N:$N,"&gt;="&amp;DATE(YEAR($B217),MONTH($B217),1))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29">
        <f>IFERROR(J217*SUMPRODUCT(('Client DB &amp; Bed Mgmt'!$A$5:$A$428=A217)*('Client DB &amp; Bed Mgmt'!$B$5:$B$428=C217)*('Client DB &amp; Bed Mgmt'!$D$5:$D$428&lt;&gt;"")*--(('Client DB &amp; Bed Mgmt'!$M$5:$M$428="")+NOT(ISNUMBER('Client DB &amp; Bed Mgmt'!$M$5:$M$428))+IFERROR('Client DB &amp; Bed Mgmt'!$M$5:$M$428&lt;=EOMONTH(B217,0),FALSE)&gt;0)*--(('Client DB &amp; Bed Mgmt'!$N$5:$N$428="")+NOT(ISNUMBER('Client DB &amp; Bed Mgmt'!$N$5:$N$428))+IFERROR('Client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  <c r="V217" s="130">
        <f>IFERROR(T217*SUMPRODUCT(('Client DB &amp; Bed Mgmt'!$A$5:$A$428=K217)*('Client DB &amp; Bed Mgmt'!$B$5:$B$428=L217)*('Client DB &amp; Bed Mgmt'!$D$5:$D$428&lt;&gt;"")*--(('Client DB &amp; Bed Mgmt'!$M$5:$M$428="")+NOT(ISNUMBER('Client DB &amp; Bed Mgmt'!$M$5:$M$428))+IFERROR('Client DB &amp; Bed Mgmt'!$M$5:$M$428&lt;=EOMONTH(B217,0),FALSE)&gt;0)*--(('Client DB &amp; Bed Mgmt'!$N$5:$N$428="")+NOT(ISNUMBER('Client DB &amp; Bed Mgmt'!$N$5:$N$428))+IFERROR('Client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</row>
    <row r="218" hidden="1" ht="14.25" customHeight="1" s="83">
      <c r="A218" s="103" t="inlineStr">
        <is>
          <t>Dorm 3</t>
        </is>
      </c>
      <c r="B218" s="125">
        <f>DATE(YEAR(StartDate),MONTH(StartDate),1)</f>
        <v/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Mgmt'!$B:$B,C218,'Client DB &amp; Bed Mgmt'!$E:$E,"Occupied"),0)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Mgmt'!$M:$M,"&lt;="&amp;EOMONTH($B218,0),'Client DB &amp; Bed Mgmt'!$N:$N,"&gt;="&amp;DATE(YEAR($B218),MONTH($B218),1))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29">
        <f>IFERROR(J218*SUMPRODUCT(('Client DB &amp; Bed Mgmt'!$A$5:$A$428=A218)*('Client DB &amp; Bed Mgmt'!$B$5:$B$428=C218)*('Client DB &amp; Bed Mgmt'!$D$5:$D$428&lt;&gt;"")*--(('Client DB &amp; Bed Mgmt'!$M$5:$M$428="")+NOT(ISNUMBER('Client DB &amp; Bed Mgmt'!$M$5:$M$428))+IFERROR('Client DB &amp; Bed Mgmt'!$M$5:$M$428&lt;=EOMONTH(B218,0),FALSE)&gt;0)*--(('Client DB &amp; Bed Mgmt'!$N$5:$N$428="")+NOT(ISNUMBER('Client DB &amp; Bed Mgmt'!$N$5:$N$428))+IFERROR('Client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  <c r="V218" s="130">
        <f>IFERROR(T218*SUMPRODUCT(('Client DB &amp; Bed Mgmt'!$A$5:$A$428=K218)*('Client DB &amp; Bed Mgmt'!$B$5:$B$428=L218)*('Client DB &amp; Bed Mgmt'!$D$5:$D$428&lt;&gt;"")*--(('Client DB &amp; Bed Mgmt'!$M$5:$M$428="")+NOT(ISNUMBER('Client DB &amp; Bed Mgmt'!$M$5:$M$428))+IFERROR('Client DB &amp; Bed Mgmt'!$M$5:$M$428&lt;=EOMONTH(B218,0),FALSE)&gt;0)*--(('Client DB &amp; Bed Mgmt'!$N$5:$N$428="")+NOT(ISNUMBER('Client DB &amp; Bed Mgmt'!$N$5:$N$428))+IFERROR('Client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</row>
    <row r="219" hidden="1" ht="14.25" customHeight="1" s="83">
      <c r="A219" s="103" t="inlineStr">
        <is>
          <t>Dorm 3</t>
        </is>
      </c>
      <c r="B219" s="125">
        <f>DATE(YEAR(StartDate),MONTH(StartDate),1)</f>
        <v/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Mgmt'!$B:$B,C219,'Client DB &amp; Bed Mgmt'!$E:$E,"Occupied"),0)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Mgmt'!$M:$M,"&lt;="&amp;EOMONTH($B219,0),'Client DB &amp; Bed Mgmt'!$N:$N,"&gt;="&amp;DATE(YEAR($B219),MONTH($B219),1))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29">
        <f>IFERROR(J219*SUMPRODUCT(('Client DB &amp; Bed Mgmt'!$A$5:$A$428=A219)*('Client DB &amp; Bed Mgmt'!$B$5:$B$428=C219)*('Client DB &amp; Bed Mgmt'!$D$5:$D$428&lt;&gt;"")*--(('Client DB &amp; Bed Mgmt'!$M$5:$M$428="")+NOT(ISNUMBER('Client DB &amp; Bed Mgmt'!$M$5:$M$428))+IFERROR('Client DB &amp; Bed Mgmt'!$M$5:$M$428&lt;=EOMONTH(B219,0),FALSE)&gt;0)*--(('Client DB &amp; Bed Mgmt'!$N$5:$N$428="")+NOT(ISNUMBER('Client DB &amp; Bed Mgmt'!$N$5:$N$428))+IFERROR('Client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  <c r="V219" s="130">
        <f>IFERROR(T219*SUMPRODUCT(('Client DB &amp; Bed Mgmt'!$A$5:$A$428=K219)*('Client DB &amp; Bed Mgmt'!$B$5:$B$428=L219)*('Client DB &amp; Bed Mgmt'!$D$5:$D$428&lt;&gt;"")*--(('Client DB &amp; Bed Mgmt'!$M$5:$M$428="")+NOT(ISNUMBER('Client DB &amp; Bed Mgmt'!$M$5:$M$428))+IFERROR('Client DB &amp; Bed Mgmt'!$M$5:$M$428&lt;=EOMONTH(B219,0),FALSE)&gt;0)*--(('Client DB &amp; Bed Mgmt'!$N$5:$N$428="")+NOT(ISNUMBER('Client DB &amp; Bed Mgmt'!$N$5:$N$428))+IFERROR('Client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</row>
    <row r="220" hidden="1" ht="14.25" customHeight="1" s="83">
      <c r="A220" s="103" t="inlineStr">
        <is>
          <t>Dorm 3</t>
        </is>
      </c>
      <c r="B220" s="125">
        <f>DATE(YEAR(StartDate),MONTH(StartDate),1)</f>
        <v/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Mgmt'!$B:$B,C220,'Client DB &amp; Bed Mgmt'!$E:$E,"Occupied"),0)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Mgmt'!$M:$M,"&lt;="&amp;EOMONTH($B220,0),'Client DB &amp; Bed Mgmt'!$N:$N,"&gt;="&amp;DATE(YEAR($B220),MONTH($B220),1))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29">
        <f>IFERROR(J220*SUMPRODUCT(('Client DB &amp; Bed Mgmt'!$A$5:$A$428=A220)*('Client DB &amp; Bed Mgmt'!$B$5:$B$428=C220)*('Client DB &amp; Bed Mgmt'!$D$5:$D$428&lt;&gt;"")*--(('Client DB &amp; Bed Mgmt'!$M$5:$M$428="")+NOT(ISNUMBER('Client DB &amp; Bed Mgmt'!$M$5:$M$428))+IFERROR('Client DB &amp; Bed Mgmt'!$M$5:$M$428&lt;=EOMONTH(B220,0),FALSE)&gt;0)*--(('Client DB &amp; Bed Mgmt'!$N$5:$N$428="")+NOT(ISNUMBER('Client DB &amp; Bed Mgmt'!$N$5:$N$428))+IFERROR('Client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  <c r="V220" s="130">
        <f>IFERROR(T220*SUMPRODUCT(('Client DB &amp; Bed Mgmt'!$A$5:$A$428=K220)*('Client DB &amp; Bed Mgmt'!$B$5:$B$428=L220)*('Client DB &amp; Bed Mgmt'!$D$5:$D$428&lt;&gt;"")*--(('Client DB &amp; Bed Mgmt'!$M$5:$M$428="")+NOT(ISNUMBER('Client DB &amp; Bed Mgmt'!$M$5:$M$428))+IFERROR('Client DB &amp; Bed Mgmt'!$M$5:$M$428&lt;=EOMONTH(B220,0),FALSE)&gt;0)*--(('Client DB &amp; Bed Mgmt'!$N$5:$N$428="")+NOT(ISNUMBER('Client DB &amp; Bed Mgmt'!$N$5:$N$428))+IFERROR('Client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</row>
    <row r="221" hidden="1" ht="14.25" customHeight="1" s="83">
      <c r="A221" s="103" t="inlineStr">
        <is>
          <t>Dorm 3</t>
        </is>
      </c>
      <c r="B221" s="125">
        <f>DATE(YEAR(StartDate),MONTH(StartDate),1)</f>
        <v/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Mgmt'!$B:$B,C221,'Client DB &amp; Bed Mgmt'!$E:$E,"Occupied"),0)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Mgmt'!$M:$M,"&lt;="&amp;EOMONTH($B221,0),'Client DB &amp; Bed Mgmt'!$N:$N,"&gt;="&amp;DATE(YEAR($B221),MONTH($B221),1))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29">
        <f>IFERROR(J221*SUMPRODUCT(('Client DB &amp; Bed Mgmt'!$A$5:$A$428=A221)*('Client DB &amp; Bed Mgmt'!$B$5:$B$428=C221)*('Client DB &amp; Bed Mgmt'!$D$5:$D$428&lt;&gt;"")*--(('Client DB &amp; Bed Mgmt'!$M$5:$M$428="")+NOT(ISNUMBER('Client DB &amp; Bed Mgmt'!$M$5:$M$428))+IFERROR('Client DB &amp; Bed Mgmt'!$M$5:$M$428&lt;=EOMONTH(B221,0),FALSE)&gt;0)*--(('Client DB &amp; Bed Mgmt'!$N$5:$N$428="")+NOT(ISNUMBER('Client DB &amp; Bed Mgmt'!$N$5:$N$428))+IFERROR('Client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  <c r="V221" s="130">
        <f>IFERROR(T221*SUMPRODUCT(('Client DB &amp; Bed Mgmt'!$A$5:$A$428=K221)*('Client DB &amp; Bed Mgmt'!$B$5:$B$428=L221)*('Client DB &amp; Bed Mgmt'!$D$5:$D$428&lt;&gt;"")*--(('Client DB &amp; Bed Mgmt'!$M$5:$M$428="")+NOT(ISNUMBER('Client DB &amp; Bed Mgmt'!$M$5:$M$428))+IFERROR('Client DB &amp; Bed Mgmt'!$M$5:$M$428&lt;=EOMONTH(B221,0),FALSE)&gt;0)*--(('Client DB &amp; Bed Mgmt'!$N$5:$N$428="")+NOT(ISNUMBER('Client DB &amp; Bed Mgmt'!$N$5:$N$428))+IFERROR('Client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</row>
    <row r="222" hidden="1" ht="14.25" customHeight="1" s="83">
      <c r="A222" s="103" t="n"/>
      <c r="B222" s="125">
        <f>DATE(YEAR(StartDate),MONTH(StartDate),1)</f>
        <v/>
      </c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Mgmt'!$B:$B,C222,'Client DB &amp; Bed Mgmt'!$E:$E,"Occupied"),0)</f>
        <v/>
      </c>
      <c r="K222" s="103" t="n"/>
      <c r="L222" s="103" t="n"/>
      <c r="M222" s="103">
        <f>COUNTIFS('Client DB &amp; Bed Mgmt'!$A:$A,$K222,'Client DB &amp; Bed Mgmt'!$B:$B,$L222,'Client DB &amp; Bed Mgmt'!$M:$M,"&lt;="&amp;EOMONTH($B222,0),'Client DB &amp; Bed Mgmt'!$N:$N,"&gt;="&amp;DATE(YEAR($B222),MONTH($B222),1))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>
        <f>IFERROR(J222*SUMPRODUCT(('Client DB &amp; Bed Mgmt'!$A$5:$A$428=A222)*('Client DB &amp; Bed Mgmt'!$B$5:$B$428=C222)*('Client DB &amp; Bed Mgmt'!$D$5:$D$428&lt;&gt;"")*--(('Client DB &amp; Bed Mgmt'!$M$5:$M$428="")+NOT(ISNUMBER('Client DB &amp; Bed Mgmt'!$M$5:$M$428))+IFERROR('Client DB &amp; Bed Mgmt'!$M$5:$M$428&lt;=EOMONTH(B222,0),FALSE)&gt;0)*--(('Client DB &amp; Bed Mgmt'!$N$5:$N$428="")+NOT(ISNUMBER('Client DB &amp; Bed Mgmt'!$N$5:$N$428))+IFERROR('Client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  <c r="V222" s="130">
        <f>IFERROR(T222*SUMPRODUCT(('Client DB &amp; Bed Mgmt'!$A$5:$A$428=K222)*('Client DB &amp; Bed Mgmt'!$B$5:$B$428=L222)*('Client DB &amp; Bed Mgmt'!$D$5:$D$428&lt;&gt;"")*--(('Client DB &amp; Bed Mgmt'!$M$5:$M$428="")+NOT(ISNUMBER('Client DB &amp; Bed Mgmt'!$M$5:$M$428))+IFERROR('Client DB &amp; Bed Mgmt'!$M$5:$M$428&lt;=EOMONTH(B222,0),FALSE)&gt;0)*--(('Client DB &amp; Bed Mgmt'!$N$5:$N$428="")+NOT(ISNUMBER('Client DB &amp; Bed Mgmt'!$N$5:$N$428))+IFERROR('Client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</row>
    <row r="223" hidden="1" ht="14.25" customHeight="1" s="83">
      <c r="A223" s="103" t="n"/>
      <c r="B223" s="125">
        <f>DATE(YEAR(StartDate),MONTH(StartDate),1)</f>
        <v/>
      </c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Mgmt'!$B:$B,C223,'Client DB &amp; Bed Mgmt'!$E:$E,"Occupied"),0)</f>
        <v/>
      </c>
      <c r="K223" s="103" t="n"/>
      <c r="L223" s="103" t="n"/>
      <c r="M223" s="103">
        <f>COUNTIFS('Client DB &amp; Bed Mgmt'!$A:$A,$K223,'Client DB &amp; Bed Mgmt'!$B:$B,$L223,'Client DB &amp; Bed Mgmt'!$M:$M,"&lt;="&amp;EOMONTH($B223,0),'Client DB &amp; Bed Mgmt'!$N:$N,"&gt;="&amp;DATE(YEAR($B223),MONTH($B223),1))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>
        <f>IFERROR(J223*SUMPRODUCT(('Client DB &amp; Bed Mgmt'!$A$5:$A$428=A223)*('Client DB &amp; Bed Mgmt'!$B$5:$B$428=C223)*('Client DB &amp; Bed Mgmt'!$D$5:$D$428&lt;&gt;"")*--(('Client DB &amp; Bed Mgmt'!$M$5:$M$428="")+NOT(ISNUMBER('Client DB &amp; Bed Mgmt'!$M$5:$M$428))+IFERROR('Client DB &amp; Bed Mgmt'!$M$5:$M$428&lt;=EOMONTH(B223,0),FALSE)&gt;0)*--(('Client DB &amp; Bed Mgmt'!$N$5:$N$428="")+NOT(ISNUMBER('Client DB &amp; Bed Mgmt'!$N$5:$N$428))+IFERROR('Client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  <c r="V223" s="130">
        <f>IFERROR(T223*SUMPRODUCT(('Client DB &amp; Bed Mgmt'!$A$5:$A$428=K223)*('Client DB &amp; Bed Mgmt'!$B$5:$B$428=L223)*('Client DB &amp; Bed Mgmt'!$D$5:$D$428&lt;&gt;"")*--(('Client DB &amp; Bed Mgmt'!$M$5:$M$428="")+NOT(ISNUMBER('Client DB &amp; Bed Mgmt'!$M$5:$M$428))+IFERROR('Client DB &amp; Bed Mgmt'!$M$5:$M$428&lt;=EOMONTH(B223,0),FALSE)&gt;0)*--(('Client DB &amp; Bed Mgmt'!$N$5:$N$428="")+NOT(ISNUMBER('Client DB &amp; Bed Mgmt'!$N$5:$N$428))+IFERROR('Client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</row>
    <row r="224" hidden="1" ht="14.25" customHeight="1" s="83">
      <c r="A224" s="103" t="n"/>
      <c r="B224" s="125">
        <f>DATE(YEAR(StartDate),MONTH(StartDate),1)</f>
        <v/>
      </c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Mgmt'!$B:$B,C224,'Client DB &amp; Bed Mgmt'!$E:$E,"Occupied"),0)</f>
        <v/>
      </c>
      <c r="K224" s="103" t="n"/>
      <c r="L224" s="103" t="n"/>
      <c r="M224" s="103">
        <f>COUNTIFS('Client DB &amp; Bed Mgmt'!$A:$A,$K224,'Client DB &amp; Bed Mgmt'!$B:$B,$L224,'Client DB &amp; Bed Mgmt'!$M:$M,"&lt;="&amp;EOMONTH($B224,0),'Client DB &amp; Bed Mgmt'!$N:$N,"&gt;="&amp;DATE(YEAR($B224),MONTH($B224),1))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>
        <f>IFERROR(J224*SUMPRODUCT(('Client DB &amp; Bed Mgmt'!$A$5:$A$428=A224)*('Client DB &amp; Bed Mgmt'!$B$5:$B$428=C224)*('Client DB &amp; Bed Mgmt'!$D$5:$D$428&lt;&gt;"")*--(('Client DB &amp; Bed Mgmt'!$M$5:$M$428="")+NOT(ISNUMBER('Client DB &amp; Bed Mgmt'!$M$5:$M$428))+IFERROR('Client DB &amp; Bed Mgmt'!$M$5:$M$428&lt;=EOMONTH(B224,0),FALSE)&gt;0)*--(('Client DB &amp; Bed Mgmt'!$N$5:$N$428="")+NOT(ISNUMBER('Client DB &amp; Bed Mgmt'!$N$5:$N$428))+IFERROR('Client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  <c r="V224" s="130">
        <f>IFERROR(T224*SUMPRODUCT(('Client DB &amp; Bed Mgmt'!$A$5:$A$428=K224)*('Client DB &amp; Bed Mgmt'!$B$5:$B$428=L224)*('Client DB &amp; Bed Mgmt'!$D$5:$D$428&lt;&gt;"")*--(('Client DB &amp; Bed Mgmt'!$M$5:$M$428="")+NOT(ISNUMBER('Client DB &amp; Bed Mgmt'!$M$5:$M$428))+IFERROR('Client DB &amp; Bed Mgmt'!$M$5:$M$428&lt;=EOMONTH(B224,0),FALSE)&gt;0)*--(('Client DB &amp; Bed Mgmt'!$N$5:$N$428="")+NOT(ISNUMBER('Client DB &amp; Bed Mgmt'!$N$5:$N$428))+IFERROR('Client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</row>
    <row r="225" hidden="1" ht="14.25" customHeight="1" s="83">
      <c r="A225" s="103" t="n"/>
      <c r="B225" s="125">
        <f>DATE(YEAR(StartDate),MONTH(StartDate),1)</f>
        <v/>
      </c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Mgmt'!$B:$B,C225,'Client DB &amp; Bed Mgmt'!$E:$E,"Occupied"),0)</f>
        <v/>
      </c>
      <c r="K225" s="103" t="n"/>
      <c r="L225" s="103" t="n"/>
      <c r="M225" s="103">
        <f>COUNTIFS('Client DB &amp; Bed Mgmt'!$A:$A,$K225,'Client DB &amp; Bed Mgmt'!$B:$B,$L225,'Client DB &amp; Bed Mgmt'!$M:$M,"&lt;="&amp;EOMONTH($B225,0),'Client DB &amp; Bed Mgmt'!$N:$N,"&gt;="&amp;DATE(YEAR($B225),MONTH($B225),1))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>
        <f>IFERROR(J225*SUMPRODUCT(('Client DB &amp; Bed Mgmt'!$A$5:$A$428=A225)*('Client DB &amp; Bed Mgmt'!$B$5:$B$428=C225)*('Client DB &amp; Bed Mgmt'!$D$5:$D$428&lt;&gt;"")*--(('Client DB &amp; Bed Mgmt'!$M$5:$M$428="")+NOT(ISNUMBER('Client DB &amp; Bed Mgmt'!$M$5:$M$428))+IFERROR('Client DB &amp; Bed Mgmt'!$M$5:$M$428&lt;=EOMONTH(B225,0),FALSE)&gt;0)*--(('Client DB &amp; Bed Mgmt'!$N$5:$N$428="")+NOT(ISNUMBER('Client DB &amp; Bed Mgmt'!$N$5:$N$428))+IFERROR('Client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  <c r="V225" s="130">
        <f>IFERROR(T225*SUMPRODUCT(('Client DB &amp; Bed Mgmt'!$A$5:$A$428=K225)*('Client DB &amp; Bed Mgmt'!$B$5:$B$428=L225)*('Client DB &amp; Bed Mgmt'!$D$5:$D$428&lt;&gt;"")*--(('Client DB &amp; Bed Mgmt'!$M$5:$M$428="")+NOT(ISNUMBER('Client DB &amp; Bed Mgmt'!$M$5:$M$428))+IFERROR('Client DB &amp; Bed Mgmt'!$M$5:$M$428&lt;=EOMONTH(B225,0),FALSE)&gt;0)*--(('Client DB &amp; Bed Mgmt'!$N$5:$N$428="")+NOT(ISNUMBER('Client DB &amp; Bed Mgmt'!$N$5:$N$428))+IFERROR('Client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</row>
    <row r="226" hidden="1" ht="14.25" customHeight="1" s="83">
      <c r="A226" s="103" t="n"/>
      <c r="B226" s="125">
        <f>DATE(YEAR(StartDate),MONTH(StartDate),1)</f>
        <v/>
      </c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Mgmt'!$B:$B,C226,'Client DB &amp; Bed Mgmt'!$E:$E,"Occupied"),0)</f>
        <v/>
      </c>
      <c r="K226" s="103" t="n"/>
      <c r="L226" s="103" t="n"/>
      <c r="M226" s="103">
        <f>COUNTIFS('Client DB &amp; Bed Mgmt'!$A:$A,$K226,'Client DB &amp; Bed Mgmt'!$B:$B,$L226,'Client DB &amp; Bed Mgmt'!$M:$M,"&lt;="&amp;EOMONTH($B226,0),'Client DB &amp; Bed Mgmt'!$N:$N,"&gt;="&amp;DATE(YEAR($B226),MONTH($B226),1))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>
        <f>IFERROR(J226*SUMPRODUCT(('Client DB &amp; Bed Mgmt'!$A$5:$A$428=A226)*('Client DB &amp; Bed Mgmt'!$B$5:$B$428=C226)*('Client DB &amp; Bed Mgmt'!$D$5:$D$428&lt;&gt;"")*--(('Client DB &amp; Bed Mgmt'!$M$5:$M$428="")+NOT(ISNUMBER('Client DB &amp; Bed Mgmt'!$M$5:$M$428))+IFERROR('Client DB &amp; Bed Mgmt'!$M$5:$M$428&lt;=EOMONTH(B226,0),FALSE)&gt;0)*--(('Client DB &amp; Bed Mgmt'!$N$5:$N$428="")+NOT(ISNUMBER('Client DB &amp; Bed Mgmt'!$N$5:$N$428))+IFERROR('Client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  <c r="V226" s="130">
        <f>IFERROR(T226*SUMPRODUCT(('Client DB &amp; Bed Mgmt'!$A$5:$A$428=K226)*('Client DB &amp; Bed Mgmt'!$B$5:$B$428=L226)*('Client DB &amp; Bed Mgmt'!$D$5:$D$428&lt;&gt;"")*--(('Client DB &amp; Bed Mgmt'!$M$5:$M$428="")+NOT(ISNUMBER('Client DB &amp; Bed Mgmt'!$M$5:$M$428))+IFERROR('Client DB &amp; Bed Mgmt'!$M$5:$M$428&lt;=EOMONTH(B226,0),FALSE)&gt;0)*--(('Client DB &amp; Bed Mgmt'!$N$5:$N$428="")+NOT(ISNUMBER('Client DB &amp; Bed Mgmt'!$N$5:$N$428))+IFERROR('Client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</row>
    <row r="227" hidden="1" ht="14.25" customHeight="1" s="83">
      <c r="A227" s="103" t="n"/>
      <c r="B227" s="125">
        <f>DATE(YEAR(StartDate),MONTH(StartDate),1)</f>
        <v/>
      </c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Mgmt'!$B:$B,C227,'Client DB &amp; Bed Mgmt'!$E:$E,"Occupied"),0)</f>
        <v/>
      </c>
      <c r="K227" s="103" t="n"/>
      <c r="L227" s="103" t="n"/>
      <c r="M227" s="103">
        <f>COUNTIFS('Client DB &amp; Bed Mgmt'!$A:$A,$K227,'Client DB &amp; Bed Mgmt'!$B:$B,$L227,'Client DB &amp; Bed Mgmt'!$M:$M,"&lt;="&amp;EOMONTH($B227,0),'Client DB &amp; Bed Mgmt'!$N:$N,"&gt;="&amp;DATE(YEAR($B227),MONTH($B227),1))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>
        <f>IFERROR(J227*SUMPRODUCT(('Client DB &amp; Bed Mgmt'!$A$5:$A$428=A227)*('Client DB &amp; Bed Mgmt'!$B$5:$B$428=C227)*('Client DB &amp; Bed Mgmt'!$D$5:$D$428&lt;&gt;"")*--(('Client DB &amp; Bed Mgmt'!$M$5:$M$428="")+NOT(ISNUMBER('Client DB &amp; Bed Mgmt'!$M$5:$M$428))+IFERROR('Client DB &amp; Bed Mgmt'!$M$5:$M$428&lt;=EOMONTH(B227,0),FALSE)&gt;0)*--(('Client DB &amp; Bed Mgmt'!$N$5:$N$428="")+NOT(ISNUMBER('Client DB &amp; Bed Mgmt'!$N$5:$N$428))+IFERROR('Client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  <c r="V227" s="130">
        <f>IFERROR(T227*SUMPRODUCT(('Client DB &amp; Bed Mgmt'!$A$5:$A$428=K227)*('Client DB &amp; Bed Mgmt'!$B$5:$B$428=L227)*('Client DB &amp; Bed Mgmt'!$D$5:$D$428&lt;&gt;"")*--(('Client DB &amp; Bed Mgmt'!$M$5:$M$428="")+NOT(ISNUMBER('Client DB &amp; Bed Mgmt'!$M$5:$M$428))+IFERROR('Client DB &amp; Bed Mgmt'!$M$5:$M$428&lt;=EOMONTH(B227,0),FALSE)&gt;0)*--(('Client DB &amp; Bed Mgmt'!$N$5:$N$428="")+NOT(ISNUMBER('Client DB &amp; Bed Mgmt'!$N$5:$N$428))+IFERROR('Client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</row>
    <row r="228" hidden="1" ht="14.25" customHeight="1" s="83">
      <c r="A228" s="103" t="n"/>
      <c r="B228" s="125">
        <f>DATE(YEAR(StartDate),MONTH(StartDate),1)</f>
        <v/>
      </c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Mgmt'!$B:$B,C228,'Client DB &amp; Bed Mgmt'!$E:$E,"Occupied"),0)</f>
        <v/>
      </c>
      <c r="K228" s="103" t="n"/>
      <c r="L228" s="103" t="n"/>
      <c r="M228" s="103">
        <f>COUNTIFS('Client DB &amp; Bed Mgmt'!$A:$A,$K228,'Client DB &amp; Bed Mgmt'!$B:$B,$L228,'Client DB &amp; Bed Mgmt'!$M:$M,"&lt;="&amp;EOMONTH($B228,0),'Client DB &amp; Bed Mgmt'!$N:$N,"&gt;="&amp;DATE(YEAR($B228),MONTH($B228),1))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>
        <f>IFERROR(J228*SUMPRODUCT(('Client DB &amp; Bed Mgmt'!$A$5:$A$428=A228)*('Client DB &amp; Bed Mgmt'!$B$5:$B$428=C228)*('Client DB &amp; Bed Mgmt'!$D$5:$D$428&lt;&gt;"")*--(('Client DB &amp; Bed Mgmt'!$M$5:$M$428="")+NOT(ISNUMBER('Client DB &amp; Bed Mgmt'!$M$5:$M$428))+IFERROR('Client DB &amp; Bed Mgmt'!$M$5:$M$428&lt;=EOMONTH(B228,0),FALSE)&gt;0)*--(('Client DB &amp; Bed Mgmt'!$N$5:$N$428="")+NOT(ISNUMBER('Client DB &amp; Bed Mgmt'!$N$5:$N$428))+IFERROR('Client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  <c r="V228" s="130">
        <f>IFERROR(T228*SUMPRODUCT(('Client DB &amp; Bed Mgmt'!$A$5:$A$428=K228)*('Client DB &amp; Bed Mgmt'!$B$5:$B$428=L228)*('Client DB &amp; Bed Mgmt'!$D$5:$D$428&lt;&gt;"")*--(('Client DB &amp; Bed Mgmt'!$M$5:$M$428="")+NOT(ISNUMBER('Client DB &amp; Bed Mgmt'!$M$5:$M$428))+IFERROR('Client DB &amp; Bed Mgmt'!$M$5:$M$428&lt;=EOMONTH(B228,0),FALSE)&gt;0)*--(('Client DB &amp; Bed Mgmt'!$N$5:$N$428="")+NOT(ISNUMBER('Client DB &amp; Bed Mgmt'!$N$5:$N$428))+IFERROR('Client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</row>
    <row r="229" hidden="1" ht="14.25" customHeight="1" s="83">
      <c r="A229" s="103" t="n"/>
      <c r="B229" s="125">
        <f>DATE(YEAR(StartDate),MONTH(StartDate),1)</f>
        <v/>
      </c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Mgmt'!$B:$B,C229,'Client DB &amp; Bed Mgmt'!$E:$E,"Occupied"),0)</f>
        <v/>
      </c>
      <c r="K229" s="103" t="n"/>
      <c r="L229" s="103" t="n"/>
      <c r="M229" s="103">
        <f>COUNTIFS('Client DB &amp; Bed Mgmt'!$A:$A,$K229,'Client DB &amp; Bed Mgmt'!$B:$B,$L229,'Client DB &amp; Bed Mgmt'!$M:$M,"&lt;="&amp;EOMONTH($B229,0),'Client DB &amp; Bed Mgmt'!$N:$N,"&gt;="&amp;DATE(YEAR($B229),MONTH($B229),1))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>
        <f>IFERROR(J229*SUMPRODUCT(('Client DB &amp; Bed Mgmt'!$A$5:$A$428=A229)*('Client DB &amp; Bed Mgmt'!$B$5:$B$428=C229)*('Client DB &amp; Bed Mgmt'!$D$5:$D$428&lt;&gt;"")*--(('Client DB &amp; Bed Mgmt'!$M$5:$M$428="")+NOT(ISNUMBER('Client DB &amp; Bed Mgmt'!$M$5:$M$428))+IFERROR('Client DB &amp; Bed Mgmt'!$M$5:$M$428&lt;=EOMONTH(B229,0),FALSE)&gt;0)*--(('Client DB &amp; Bed Mgmt'!$N$5:$N$428="")+NOT(ISNUMBER('Client DB &amp; Bed Mgmt'!$N$5:$N$428))+IFERROR('Client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  <c r="V229" s="130">
        <f>IFERROR(T229*SUMPRODUCT(('Client DB &amp; Bed Mgmt'!$A$5:$A$428=K229)*('Client DB &amp; Bed Mgmt'!$B$5:$B$428=L229)*('Client DB &amp; Bed Mgmt'!$D$5:$D$428&lt;&gt;"")*--(('Client DB &amp; Bed Mgmt'!$M$5:$M$428="")+NOT(ISNUMBER('Client DB &amp; Bed Mgmt'!$M$5:$M$428))+IFERROR('Client DB &amp; Bed Mgmt'!$M$5:$M$428&lt;=EOMONTH(B229,0),FALSE)&gt;0)*--(('Client DB &amp; Bed Mgmt'!$N$5:$N$428="")+NOT(ISNUMBER('Client DB &amp; Bed Mgmt'!$N$5:$N$428))+IFERROR('Client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</row>
    <row r="230" hidden="1" ht="14.25" customHeight="1" s="83">
      <c r="A230" s="103" t="n"/>
      <c r="B230" s="125">
        <f>DATE(YEAR(StartDate),MONTH(StartDate),1)</f>
        <v/>
      </c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Mgmt'!$B:$B,C230,'Client DB &amp; Bed Mgmt'!$E:$E,"Occupied"),0)</f>
        <v/>
      </c>
      <c r="K230" s="103" t="n"/>
      <c r="L230" s="103" t="n"/>
      <c r="M230" s="103">
        <f>COUNTIFS('Client DB &amp; Bed Mgmt'!$A:$A,$K230,'Client DB &amp; Bed Mgmt'!$B:$B,$L230,'Client DB &amp; Bed Mgmt'!$M:$M,"&lt;="&amp;EOMONTH($B230,0),'Client DB &amp; Bed Mgmt'!$N:$N,"&gt;="&amp;DATE(YEAR($B230),MONTH($B230),1))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>
        <f>IFERROR(J230*SUMPRODUCT(('Client DB &amp; Bed Mgmt'!$A$5:$A$428=A230)*('Client DB &amp; Bed Mgmt'!$B$5:$B$428=C230)*('Client DB &amp; Bed Mgmt'!$D$5:$D$428&lt;&gt;"")*--(('Client DB &amp; Bed Mgmt'!$M$5:$M$428="")+NOT(ISNUMBER('Client DB &amp; Bed Mgmt'!$M$5:$M$428))+IFERROR('Client DB &amp; Bed Mgmt'!$M$5:$M$428&lt;=EOMONTH(B230,0),FALSE)&gt;0)*--(('Client DB &amp; Bed Mgmt'!$N$5:$N$428="")+NOT(ISNUMBER('Client DB &amp; Bed Mgmt'!$N$5:$N$428))+IFERROR('Client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  <c r="V230" s="130">
        <f>IFERROR(T230*SUMPRODUCT(('Client DB &amp; Bed Mgmt'!$A$5:$A$428=K230)*('Client DB &amp; Bed Mgmt'!$B$5:$B$428=L230)*('Client DB &amp; Bed Mgmt'!$D$5:$D$428&lt;&gt;"")*--(('Client DB &amp; Bed Mgmt'!$M$5:$M$428="")+NOT(ISNUMBER('Client DB &amp; Bed Mgmt'!$M$5:$M$428))+IFERROR('Client DB &amp; Bed Mgmt'!$M$5:$M$428&lt;=EOMONTH(B230,0),FALSE)&gt;0)*--(('Client DB &amp; Bed Mgmt'!$N$5:$N$428="")+NOT(ISNUMBER('Client DB &amp; Bed Mgmt'!$N$5:$N$428))+IFERROR('Client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</row>
    <row r="231" hidden="1" ht="14.25" customHeight="1" s="83">
      <c r="A231" s="103" t="n"/>
      <c r="B231" s="125">
        <f>DATE(YEAR(StartDate),MONTH(StartDate),1)</f>
        <v/>
      </c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Mgmt'!$B:$B,C231,'Client DB &amp; Bed Mgmt'!$E:$E,"Occupied"),0)</f>
        <v/>
      </c>
      <c r="K231" s="103" t="n"/>
      <c r="L231" s="103" t="n"/>
      <c r="M231" s="103">
        <f>COUNTIFS('Client DB &amp; Bed Mgmt'!$A:$A,$K231,'Client DB &amp; Bed Mgmt'!$B:$B,$L231,'Client DB &amp; Bed Mgmt'!$M:$M,"&lt;="&amp;EOMONTH($B231,0),'Client DB &amp; Bed Mgmt'!$N:$N,"&gt;="&amp;DATE(YEAR($B231),MONTH($B231),1))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>
        <f>IFERROR(J231*SUMPRODUCT(('Client DB &amp; Bed Mgmt'!$A$5:$A$428=A231)*('Client DB &amp; Bed Mgmt'!$B$5:$B$428=C231)*('Client DB &amp; Bed Mgmt'!$D$5:$D$428&lt;&gt;"")*--(('Client DB &amp; Bed Mgmt'!$M$5:$M$428="")+NOT(ISNUMBER('Client DB &amp; Bed Mgmt'!$M$5:$M$428))+IFERROR('Client DB &amp; Bed Mgmt'!$M$5:$M$428&lt;=EOMONTH(B231,0),FALSE)&gt;0)*--(('Client DB &amp; Bed Mgmt'!$N$5:$N$428="")+NOT(ISNUMBER('Client DB &amp; Bed Mgmt'!$N$5:$N$428))+IFERROR('Client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  <c r="V231" s="130">
        <f>IFERROR(T231*SUMPRODUCT(('Client DB &amp; Bed Mgmt'!$A$5:$A$428=K231)*('Client DB &amp; Bed Mgmt'!$B$5:$B$428=L231)*('Client DB &amp; Bed Mgmt'!$D$5:$D$428&lt;&gt;"")*--(('Client DB &amp; Bed Mgmt'!$M$5:$M$428="")+NOT(ISNUMBER('Client DB &amp; Bed Mgmt'!$M$5:$M$428))+IFERROR('Client DB &amp; Bed Mgmt'!$M$5:$M$428&lt;=EOMONTH(B231,0),FALSE)&gt;0)*--(('Client DB &amp; Bed Mgmt'!$N$5:$N$428="")+NOT(ISNUMBER('Client DB &amp; Bed Mgmt'!$N$5:$N$428))+IFERROR('Client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</row>
    <row r="232" hidden="1" ht="14.25" customHeight="1" s="83">
      <c r="A232" s="103" t="n"/>
      <c r="B232" s="125">
        <f>DATE(YEAR(StartDate),MONTH(StartDate),1)</f>
        <v/>
      </c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Mgmt'!$B:$B,C232,'Client DB &amp; Bed Mgmt'!$E:$E,"Occupied"),0)</f>
        <v/>
      </c>
      <c r="K232" s="103" t="n"/>
      <c r="L232" s="103" t="n"/>
      <c r="M232" s="103">
        <f>COUNTIFS('Client DB &amp; Bed Mgmt'!$A:$A,$K232,'Client DB &amp; Bed Mgmt'!$B:$B,$L232,'Client DB &amp; Bed Mgmt'!$M:$M,"&lt;="&amp;EOMONTH($B232,0),'Client DB &amp; Bed Mgmt'!$N:$N,"&gt;="&amp;DATE(YEAR($B232),MONTH($B232),1))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>
        <f>IFERROR(J232*SUMPRODUCT(('Client DB &amp; Bed Mgmt'!$A$5:$A$428=A232)*('Client DB &amp; Bed Mgmt'!$B$5:$B$428=C232)*('Client DB &amp; Bed Mgmt'!$D$5:$D$428&lt;&gt;"")*--(('Client DB &amp; Bed Mgmt'!$M$5:$M$428="")+NOT(ISNUMBER('Client DB &amp; Bed Mgmt'!$M$5:$M$428))+IFERROR('Client DB &amp; Bed Mgmt'!$M$5:$M$428&lt;=EOMONTH(B232,0),FALSE)&gt;0)*--(('Client DB &amp; Bed Mgmt'!$N$5:$N$428="")+NOT(ISNUMBER('Client DB &amp; Bed Mgmt'!$N$5:$N$428))+IFERROR('Client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  <c r="V232" s="130">
        <f>IFERROR(T232*SUMPRODUCT(('Client DB &amp; Bed Mgmt'!$A$5:$A$428=K232)*('Client DB &amp; Bed Mgmt'!$B$5:$B$428=L232)*('Client DB &amp; Bed Mgmt'!$D$5:$D$428&lt;&gt;"")*--(('Client DB &amp; Bed Mgmt'!$M$5:$M$428="")+NOT(ISNUMBER('Client DB &amp; Bed Mgmt'!$M$5:$M$428))+IFERROR('Client DB &amp; Bed Mgmt'!$M$5:$M$428&lt;=EOMONTH(B232,0),FALSE)&gt;0)*--(('Client DB &amp; Bed Mgmt'!$N$5:$N$428="")+NOT(ISNUMBER('Client DB &amp; Bed Mgmt'!$N$5:$N$428))+IFERROR('Client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</row>
    <row r="233" hidden="1" ht="14.25" customHeight="1" s="83">
      <c r="A233" s="103" t="n"/>
      <c r="B233" s="125">
        <f>DATE(YEAR(StartDate),MONTH(StartDate),1)</f>
        <v/>
      </c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Mgmt'!$B:$B,C233,'Client DB &amp; Bed Mgmt'!$E:$E,"Occupied"),0)</f>
        <v/>
      </c>
      <c r="K233" s="103" t="n"/>
      <c r="L233" s="103" t="n"/>
      <c r="M233" s="103">
        <f>COUNTIFS('Client DB &amp; Bed Mgmt'!$A:$A,$K233,'Client DB &amp; Bed Mgmt'!$B:$B,$L233,'Client DB &amp; Bed Mgmt'!$M:$M,"&lt;="&amp;EOMONTH($B233,0),'Client DB &amp; Bed Mgmt'!$N:$N,"&gt;="&amp;DATE(YEAR($B233),MONTH($B233),1))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>
        <f>IFERROR(J233*SUMPRODUCT(('Client DB &amp; Bed Mgmt'!$A$5:$A$428=A233)*('Client DB &amp; Bed Mgmt'!$B$5:$B$428=C233)*('Client DB &amp; Bed Mgmt'!$D$5:$D$428&lt;&gt;"")*--(('Client DB &amp; Bed Mgmt'!$M$5:$M$428="")+NOT(ISNUMBER('Client DB &amp; Bed Mgmt'!$M$5:$M$428))+IFERROR('Client DB &amp; Bed Mgmt'!$M$5:$M$428&lt;=EOMONTH(B233,0),FALSE)&gt;0)*--(('Client DB &amp; Bed Mgmt'!$N$5:$N$428="")+NOT(ISNUMBER('Client DB &amp; Bed Mgmt'!$N$5:$N$428))+IFERROR('Client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  <c r="V233" s="130">
        <f>IFERROR(T233*SUMPRODUCT(('Client DB &amp; Bed Mgmt'!$A$5:$A$428=K233)*('Client DB &amp; Bed Mgmt'!$B$5:$B$428=L233)*('Client DB &amp; Bed Mgmt'!$D$5:$D$428&lt;&gt;"")*--(('Client DB &amp; Bed Mgmt'!$M$5:$M$428="")+NOT(ISNUMBER('Client DB &amp; Bed Mgmt'!$M$5:$M$428))+IFERROR('Client DB &amp; Bed Mgmt'!$M$5:$M$428&lt;=EOMONTH(B233,0),FALSE)&gt;0)*--(('Client DB &amp; Bed Mgmt'!$N$5:$N$428="")+NOT(ISNUMBER('Client DB &amp; Bed Mgmt'!$N$5:$N$428))+IFERROR('Client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</row>
    <row r="234" hidden="1" ht="14.25" customHeight="1" s="83">
      <c r="A234" s="103" t="n"/>
      <c r="B234" s="125">
        <f>DATE(YEAR(StartDate),MONTH(StartDate),1)</f>
        <v/>
      </c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Mgmt'!$B:$B,C234,'Client DB &amp; Bed Mgmt'!$E:$E,"Occupied"),0)</f>
        <v/>
      </c>
      <c r="K234" s="103" t="n"/>
      <c r="L234" s="103" t="n"/>
      <c r="M234" s="103">
        <f>COUNTIFS('Client DB &amp; Bed Mgmt'!$A:$A,$K234,'Client DB &amp; Bed Mgmt'!$B:$B,$L234,'Client DB &amp; Bed Mgmt'!$M:$M,"&lt;="&amp;EOMONTH($B234,0),'Client DB &amp; Bed Mgmt'!$N:$N,"&gt;="&amp;DATE(YEAR($B234),MONTH($B234),1))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>
        <f>IFERROR(J234*SUMPRODUCT(('Client DB &amp; Bed Mgmt'!$A$5:$A$428=A234)*('Client DB &amp; Bed Mgmt'!$B$5:$B$428=C234)*('Client DB &amp; Bed Mgmt'!$D$5:$D$428&lt;&gt;"")*--(('Client DB &amp; Bed Mgmt'!$M$5:$M$428="")+NOT(ISNUMBER('Client DB &amp; Bed Mgmt'!$M$5:$M$428))+IFERROR('Client DB &amp; Bed Mgmt'!$M$5:$M$428&lt;=EOMONTH(B234,0),FALSE)&gt;0)*--(('Client DB &amp; Bed Mgmt'!$N$5:$N$428="")+NOT(ISNUMBER('Client DB &amp; Bed Mgmt'!$N$5:$N$428))+IFERROR('Client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  <c r="V234" s="130">
        <f>IFERROR(T234*SUMPRODUCT(('Client DB &amp; Bed Mgmt'!$A$5:$A$428=K234)*('Client DB &amp; Bed Mgmt'!$B$5:$B$428=L234)*('Client DB &amp; Bed Mgmt'!$D$5:$D$428&lt;&gt;"")*--(('Client DB &amp; Bed Mgmt'!$M$5:$M$428="")+NOT(ISNUMBER('Client DB &amp; Bed Mgmt'!$M$5:$M$428))+IFERROR('Client DB &amp; Bed Mgmt'!$M$5:$M$428&lt;=EOMONTH(B234,0),FALSE)&gt;0)*--(('Client DB &amp; Bed Mgmt'!$N$5:$N$428="")+NOT(ISNUMBER('Client DB &amp; Bed Mgmt'!$N$5:$N$428))+IFERROR('Client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</row>
    <row r="235" hidden="1" ht="14.25" customHeight="1" s="83">
      <c r="A235" s="103" t="n"/>
      <c r="B235" s="125">
        <f>DATE(YEAR(StartDate),MONTH(StartDate),1)</f>
        <v/>
      </c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Mgmt'!$B:$B,C235,'Client DB &amp; Bed Mgmt'!$E:$E,"Occupied"),0)</f>
        <v/>
      </c>
      <c r="K235" s="103" t="n"/>
      <c r="L235" s="103" t="n"/>
      <c r="M235" s="103">
        <f>COUNTIFS('Client DB &amp; Bed Mgmt'!$A:$A,$K235,'Client DB &amp; Bed Mgmt'!$B:$B,$L235,'Client DB &amp; Bed Mgmt'!$M:$M,"&lt;="&amp;EOMONTH($B235,0),'Client DB &amp; Bed Mgmt'!$N:$N,"&gt;="&amp;DATE(YEAR($B235),MONTH($B235),1))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>
        <f>IFERROR(J235*SUMPRODUCT(('Client DB &amp; Bed Mgmt'!$A$5:$A$428=A235)*('Client DB &amp; Bed Mgmt'!$B$5:$B$428=C235)*('Client DB &amp; Bed Mgmt'!$D$5:$D$428&lt;&gt;"")*--(('Client DB &amp; Bed Mgmt'!$M$5:$M$428="")+NOT(ISNUMBER('Client DB &amp; Bed Mgmt'!$M$5:$M$428))+IFERROR('Client DB &amp; Bed Mgmt'!$M$5:$M$428&lt;=EOMONTH(B235,0),FALSE)&gt;0)*--(('Client DB &amp; Bed Mgmt'!$N$5:$N$428="")+NOT(ISNUMBER('Client DB &amp; Bed Mgmt'!$N$5:$N$428))+IFERROR('Client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  <c r="V235" s="130">
        <f>IFERROR(T235*SUMPRODUCT(('Client DB &amp; Bed Mgmt'!$A$5:$A$428=K235)*('Client DB &amp; Bed Mgmt'!$B$5:$B$428=L235)*('Client DB &amp; Bed Mgmt'!$D$5:$D$428&lt;&gt;"")*--(('Client DB &amp; Bed Mgmt'!$M$5:$M$428="")+NOT(ISNUMBER('Client DB &amp; Bed Mgmt'!$M$5:$M$428))+IFERROR('Client DB &amp; Bed Mgmt'!$M$5:$M$428&lt;=EOMONTH(B235,0),FALSE)&gt;0)*--(('Client DB &amp; Bed Mgmt'!$N$5:$N$428="")+NOT(ISNUMBER('Client DB &amp; Bed Mgmt'!$N$5:$N$428))+IFERROR('Client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</row>
    <row r="236" hidden="1" ht="14.25" customHeight="1" s="83">
      <c r="A236" s="103" t="n"/>
      <c r="B236" s="125">
        <f>DATE(YEAR(StartDate),MONTH(StartDate),1)</f>
        <v/>
      </c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Mgmt'!$B:$B,C236,'Client DB &amp; Bed Mgmt'!$E:$E,"Occupied"),0)</f>
        <v/>
      </c>
      <c r="K236" s="103" t="n"/>
      <c r="L236" s="103" t="n"/>
      <c r="M236" s="103">
        <f>COUNTIFS('Client DB &amp; Bed Mgmt'!$A:$A,$K236,'Client DB &amp; Bed Mgmt'!$B:$B,$L236,'Client DB &amp; Bed Mgmt'!$M:$M,"&lt;="&amp;EOMONTH($B236,0),'Client DB &amp; Bed Mgmt'!$N:$N,"&gt;="&amp;DATE(YEAR($B236),MONTH($B236),1))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>
        <f>IFERROR(J236*SUMPRODUCT(('Client DB &amp; Bed Mgmt'!$A$5:$A$428=A236)*('Client DB &amp; Bed Mgmt'!$B$5:$B$428=C236)*('Client DB &amp; Bed Mgmt'!$D$5:$D$428&lt;&gt;"")*--(('Client DB &amp; Bed Mgmt'!$M$5:$M$428="")+NOT(ISNUMBER('Client DB &amp; Bed Mgmt'!$M$5:$M$428))+IFERROR('Client DB &amp; Bed Mgmt'!$M$5:$M$428&lt;=EOMONTH(B236,0),FALSE)&gt;0)*--(('Client DB &amp; Bed Mgmt'!$N$5:$N$428="")+NOT(ISNUMBER('Client DB &amp; Bed Mgmt'!$N$5:$N$428))+IFERROR('Client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  <c r="V236" s="130">
        <f>IFERROR(T236*SUMPRODUCT(('Client DB &amp; Bed Mgmt'!$A$5:$A$428=K236)*('Client DB &amp; Bed Mgmt'!$B$5:$B$428=L236)*('Client DB &amp; Bed Mgmt'!$D$5:$D$428&lt;&gt;"")*--(('Client DB &amp; Bed Mgmt'!$M$5:$M$428="")+NOT(ISNUMBER('Client DB &amp; Bed Mgmt'!$M$5:$M$428))+IFERROR('Client DB &amp; Bed Mgmt'!$M$5:$M$428&lt;=EOMONTH(B236,0),FALSE)&gt;0)*--(('Client DB &amp; Bed Mgmt'!$N$5:$N$428="")+NOT(ISNUMBER('Client DB &amp; Bed Mgmt'!$N$5:$N$428))+IFERROR('Client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</row>
    <row r="237" hidden="1" ht="14.25" customHeight="1" s="83">
      <c r="A237" s="103" t="n"/>
      <c r="B237" s="125">
        <f>DATE(YEAR(StartDate),MONTH(StartDate),1)</f>
        <v/>
      </c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Mgmt'!$B:$B,C237,'Client DB &amp; Bed Mgmt'!$E:$E,"Occupied"),0)</f>
        <v/>
      </c>
      <c r="K237" s="103" t="n"/>
      <c r="L237" s="103" t="n"/>
      <c r="M237" s="103">
        <f>COUNTIFS('Client DB &amp; Bed Mgmt'!$A:$A,$K237,'Client DB &amp; Bed Mgmt'!$B:$B,$L237,'Client DB &amp; Bed Mgmt'!$M:$M,"&lt;="&amp;EOMONTH($B237,0),'Client DB &amp; Bed Mgmt'!$N:$N,"&gt;="&amp;DATE(YEAR($B237),MONTH($B237),1))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>
        <f>IFERROR(J237*SUMPRODUCT(('Client DB &amp; Bed Mgmt'!$A$5:$A$428=A237)*('Client DB &amp; Bed Mgmt'!$B$5:$B$428=C237)*('Client DB &amp; Bed Mgmt'!$D$5:$D$428&lt;&gt;"")*--(('Client DB &amp; Bed Mgmt'!$M$5:$M$428="")+NOT(ISNUMBER('Client DB &amp; Bed Mgmt'!$M$5:$M$428))+IFERROR('Client DB &amp; Bed Mgmt'!$M$5:$M$428&lt;=EOMONTH(B237,0),FALSE)&gt;0)*--(('Client DB &amp; Bed Mgmt'!$N$5:$N$428="")+NOT(ISNUMBER('Client DB &amp; Bed Mgmt'!$N$5:$N$428))+IFERROR('Client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  <c r="V237" s="130">
        <f>IFERROR(T237*SUMPRODUCT(('Client DB &amp; Bed Mgmt'!$A$5:$A$428=K237)*('Client DB &amp; Bed Mgmt'!$B$5:$B$428=L237)*('Client DB &amp; Bed Mgmt'!$D$5:$D$428&lt;&gt;"")*--(('Client DB &amp; Bed Mgmt'!$M$5:$M$428="")+NOT(ISNUMBER('Client DB &amp; Bed Mgmt'!$M$5:$M$428))+IFERROR('Client DB &amp; Bed Mgmt'!$M$5:$M$428&lt;=EOMONTH(B237,0),FALSE)&gt;0)*--(('Client DB &amp; Bed Mgmt'!$N$5:$N$428="")+NOT(ISNUMBER('Client DB &amp; Bed Mgmt'!$N$5:$N$428))+IFERROR('Client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</row>
    <row r="238" hidden="1" ht="14.25" customHeight="1" s="83">
      <c r="A238" s="103" t="n"/>
      <c r="B238" s="125">
        <f>DATE(YEAR(StartDate),MONTH(StartDate),1)</f>
        <v/>
      </c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Mgmt'!$B:$B,C238,'Client DB &amp; Bed Mgmt'!$E:$E,"Occupied"),0)</f>
        <v/>
      </c>
      <c r="K238" s="103" t="n"/>
      <c r="L238" s="103" t="n"/>
      <c r="M238" s="103">
        <f>COUNTIFS('Client DB &amp; Bed Mgmt'!$A:$A,$K238,'Client DB &amp; Bed Mgmt'!$B:$B,$L238,'Client DB &amp; Bed Mgmt'!$M:$M,"&lt;="&amp;EOMONTH($B238,0),'Client DB &amp; Bed Mgmt'!$N:$N,"&gt;="&amp;DATE(YEAR($B238),MONTH($B238),1))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>
        <f>IFERROR(J238*SUMPRODUCT(('Client DB &amp; Bed Mgmt'!$A$5:$A$428=A238)*('Client DB &amp; Bed Mgmt'!$B$5:$B$428=C238)*('Client DB &amp; Bed Mgmt'!$D$5:$D$428&lt;&gt;"")*--(('Client DB &amp; Bed Mgmt'!$M$5:$M$428="")+NOT(ISNUMBER('Client DB &amp; Bed Mgmt'!$M$5:$M$428))+IFERROR('Client DB &amp; Bed Mgmt'!$M$5:$M$428&lt;=EOMONTH(B238,0),FALSE)&gt;0)*--(('Client DB &amp; Bed Mgmt'!$N$5:$N$428="")+NOT(ISNUMBER('Client DB &amp; Bed Mgmt'!$N$5:$N$428))+IFERROR('Client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  <c r="V238" s="130">
        <f>IFERROR(T238*SUMPRODUCT(('Client DB &amp; Bed Mgmt'!$A$5:$A$428=K238)*('Client DB &amp; Bed Mgmt'!$B$5:$B$428=L238)*('Client DB &amp; Bed Mgmt'!$D$5:$D$428&lt;&gt;"")*--(('Client DB &amp; Bed Mgmt'!$M$5:$M$428="")+NOT(ISNUMBER('Client DB &amp; Bed Mgmt'!$M$5:$M$428))+IFERROR('Client DB &amp; Bed Mgmt'!$M$5:$M$428&lt;=EOMONTH(B238,0),FALSE)&gt;0)*--(('Client DB &amp; Bed Mgmt'!$N$5:$N$428="")+NOT(ISNUMBER('Client DB &amp; Bed Mgmt'!$N$5:$N$428))+IFERROR('Client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</row>
    <row r="239" hidden="1" ht="14.25" customHeight="1" s="83">
      <c r="A239" s="103" t="n"/>
      <c r="B239" s="125">
        <f>DATE(YEAR(StartDate),MONTH(StartDate),1)</f>
        <v/>
      </c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Mgmt'!$B:$B,C239,'Client DB &amp; Bed Mgmt'!$E:$E,"Occupied"),0)</f>
        <v/>
      </c>
      <c r="K239" s="103" t="n"/>
      <c r="L239" s="103" t="n"/>
      <c r="M239" s="103">
        <f>COUNTIFS('Client DB &amp; Bed Mgmt'!$A:$A,$K239,'Client DB &amp; Bed Mgmt'!$B:$B,$L239,'Client DB &amp; Bed Mgmt'!$M:$M,"&lt;="&amp;EOMONTH($B239,0),'Client DB &amp; Bed Mgmt'!$N:$N,"&gt;="&amp;DATE(YEAR($B239),MONTH($B239),1))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>
        <f>IFERROR(J239*SUMPRODUCT(('Client DB &amp; Bed Mgmt'!$A$5:$A$428=A239)*('Client DB &amp; Bed Mgmt'!$B$5:$B$428=C239)*('Client DB &amp; Bed Mgmt'!$D$5:$D$428&lt;&gt;"")*--(('Client DB &amp; Bed Mgmt'!$M$5:$M$428="")+NOT(ISNUMBER('Client DB &amp; Bed Mgmt'!$M$5:$M$428))+IFERROR('Client DB &amp; Bed Mgmt'!$M$5:$M$428&lt;=EOMONTH(B239,0),FALSE)&gt;0)*--(('Client DB &amp; Bed Mgmt'!$N$5:$N$428="")+NOT(ISNUMBER('Client DB &amp; Bed Mgmt'!$N$5:$N$428))+IFERROR('Client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  <c r="V239" s="130">
        <f>IFERROR(T239*SUMPRODUCT(('Client DB &amp; Bed Mgmt'!$A$5:$A$428=K239)*('Client DB &amp; Bed Mgmt'!$B$5:$B$428=L239)*('Client DB &amp; Bed Mgmt'!$D$5:$D$428&lt;&gt;"")*--(('Client DB &amp; Bed Mgmt'!$M$5:$M$428="")+NOT(ISNUMBER('Client DB &amp; Bed Mgmt'!$M$5:$M$428))+IFERROR('Client DB &amp; Bed Mgmt'!$M$5:$M$428&lt;=EOMONTH(B239,0),FALSE)&gt;0)*--(('Client DB &amp; Bed Mgmt'!$N$5:$N$428="")+NOT(ISNUMBER('Client DB &amp; Bed Mgmt'!$N$5:$N$428))+IFERROR('Client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</row>
    <row r="240" hidden="1" ht="14.25" customHeight="1" s="83">
      <c r="A240" s="103" t="n"/>
      <c r="B240" s="125">
        <f>DATE(YEAR(StartDate),MONTH(StartDate),1)</f>
        <v/>
      </c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Mgmt'!$B:$B,C240,'Client DB &amp; Bed Mgmt'!$E:$E,"Occupied"),0)</f>
        <v/>
      </c>
      <c r="K240" s="103" t="n"/>
      <c r="L240" s="103" t="n"/>
      <c r="M240" s="103">
        <f>COUNTIFS('Client DB &amp; Bed Mgmt'!$A:$A,$K240,'Client DB &amp; Bed Mgmt'!$B:$B,$L240,'Client DB &amp; Bed Mgmt'!$M:$M,"&lt;="&amp;EOMONTH($B240,0),'Client DB &amp; Bed Mgmt'!$N:$N,"&gt;="&amp;DATE(YEAR($B240),MONTH($B240),1))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>
        <f>IFERROR(J240*SUMPRODUCT(('Client DB &amp; Bed Mgmt'!$A$5:$A$428=A240)*('Client DB &amp; Bed Mgmt'!$B$5:$B$428=C240)*('Client DB &amp; Bed Mgmt'!$D$5:$D$428&lt;&gt;"")*--(('Client DB &amp; Bed Mgmt'!$M$5:$M$428="")+NOT(ISNUMBER('Client DB &amp; Bed Mgmt'!$M$5:$M$428))+IFERROR('Client DB &amp; Bed Mgmt'!$M$5:$M$428&lt;=EOMONTH(B240,0),FALSE)&gt;0)*--(('Client DB &amp; Bed Mgmt'!$N$5:$N$428="")+NOT(ISNUMBER('Client DB &amp; Bed Mgmt'!$N$5:$N$428))+IFERROR('Client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  <c r="V240" s="130">
        <f>IFERROR(T240*SUMPRODUCT(('Client DB &amp; Bed Mgmt'!$A$5:$A$428=K240)*('Client DB &amp; Bed Mgmt'!$B$5:$B$428=L240)*('Client DB &amp; Bed Mgmt'!$D$5:$D$428&lt;&gt;"")*--(('Client DB &amp; Bed Mgmt'!$M$5:$M$428="")+NOT(ISNUMBER('Client DB &amp; Bed Mgmt'!$M$5:$M$428))+IFERROR('Client DB &amp; Bed Mgmt'!$M$5:$M$428&lt;=EOMONTH(B240,0),FALSE)&gt;0)*--(('Client DB &amp; Bed Mgmt'!$N$5:$N$428="")+NOT(ISNUMBER('Client DB &amp; Bed Mgmt'!$N$5:$N$428))+IFERROR('Client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</row>
    <row r="241" hidden="1" ht="14.25" customHeight="1" s="83">
      <c r="A241" s="103" t="n"/>
      <c r="B241" s="125">
        <f>DATE(YEAR(StartDate),MONTH(StartDate),1)</f>
        <v/>
      </c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Mgmt'!$B:$B,C241,'Client DB &amp; Bed Mgmt'!$E:$E,"Occupied"),0)</f>
        <v/>
      </c>
      <c r="K241" s="103" t="n"/>
      <c r="L241" s="103" t="n"/>
      <c r="M241" s="103">
        <f>COUNTIFS('Client DB &amp; Bed Mgmt'!$A:$A,$K241,'Client DB &amp; Bed Mgmt'!$B:$B,$L241,'Client DB &amp; Bed Mgmt'!$M:$M,"&lt;="&amp;EOMONTH($B241,0),'Client DB &amp; Bed Mgmt'!$N:$N,"&gt;="&amp;DATE(YEAR($B241),MONTH($B241),1))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>
        <f>IFERROR(J241*SUMPRODUCT(('Client DB &amp; Bed Mgmt'!$A$5:$A$428=A241)*('Client DB &amp; Bed Mgmt'!$B$5:$B$428=C241)*('Client DB &amp; Bed Mgmt'!$D$5:$D$428&lt;&gt;"")*--(('Client DB &amp; Bed Mgmt'!$M$5:$M$428="")+NOT(ISNUMBER('Client DB &amp; Bed Mgmt'!$M$5:$M$428))+IFERROR('Client DB &amp; Bed Mgmt'!$M$5:$M$428&lt;=EOMONTH(B241,0),FALSE)&gt;0)*--(('Client DB &amp; Bed Mgmt'!$N$5:$N$428="")+NOT(ISNUMBER('Client DB &amp; Bed Mgmt'!$N$5:$N$428))+IFERROR('Client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  <c r="V241" s="130">
        <f>IFERROR(T241*SUMPRODUCT(('Client DB &amp; Bed Mgmt'!$A$5:$A$428=K241)*('Client DB &amp; Bed Mgmt'!$B$5:$B$428=L241)*('Client DB &amp; Bed Mgmt'!$D$5:$D$428&lt;&gt;"")*--(('Client DB &amp; Bed Mgmt'!$M$5:$M$428="")+NOT(ISNUMBER('Client DB &amp; Bed Mgmt'!$M$5:$M$428))+IFERROR('Client DB &amp; Bed Mgmt'!$M$5:$M$428&lt;=EOMONTH(B241,0),FALSE)&gt;0)*--(('Client DB &amp; Bed Mgmt'!$N$5:$N$428="")+NOT(ISNUMBER('Client DB &amp; Bed Mgmt'!$N$5:$N$428))+IFERROR('Client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</row>
    <row r="242" hidden="1" ht="14.25" customHeight="1" s="83">
      <c r="A242" s="103" t="n"/>
      <c r="B242" s="125">
        <f>DATE(YEAR(StartDate),MONTH(StartDate),1)</f>
        <v/>
      </c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Mgmt'!$B:$B,C242,'Client DB &amp; Bed Mgmt'!$E:$E,"Occupied"),0)</f>
        <v/>
      </c>
      <c r="K242" s="103" t="n"/>
      <c r="L242" s="103" t="n"/>
      <c r="M242" s="103">
        <f>COUNTIFS('Client DB &amp; Bed Mgmt'!$A:$A,$K242,'Client DB &amp; Bed Mgmt'!$B:$B,$L242,'Client DB &amp; Bed Mgmt'!$M:$M,"&lt;="&amp;EOMONTH($B242,0),'Client DB &amp; Bed Mgmt'!$N:$N,"&gt;="&amp;DATE(YEAR($B242),MONTH($B242),1))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>
        <f>IFERROR(J242*SUMPRODUCT(('Client DB &amp; Bed Mgmt'!$A$5:$A$428=A242)*('Client DB &amp; Bed Mgmt'!$B$5:$B$428=C242)*('Client DB &amp; Bed Mgmt'!$D$5:$D$428&lt;&gt;"")*--(('Client DB &amp; Bed Mgmt'!$M$5:$M$428="")+NOT(ISNUMBER('Client DB &amp; Bed Mgmt'!$M$5:$M$428))+IFERROR('Client DB &amp; Bed Mgmt'!$M$5:$M$428&lt;=EOMONTH(B242,0),FALSE)&gt;0)*--(('Client DB &amp; Bed Mgmt'!$N$5:$N$428="")+NOT(ISNUMBER('Client DB &amp; Bed Mgmt'!$N$5:$N$428))+IFERROR('Client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  <c r="V242" s="130">
        <f>IFERROR(T242*SUMPRODUCT(('Client DB &amp; Bed Mgmt'!$A$5:$A$428=K242)*('Client DB &amp; Bed Mgmt'!$B$5:$B$428=L242)*('Client DB &amp; Bed Mgmt'!$D$5:$D$428&lt;&gt;"")*--(('Client DB &amp; Bed Mgmt'!$M$5:$M$428="")+NOT(ISNUMBER('Client DB &amp; Bed Mgmt'!$M$5:$M$428))+IFERROR('Client DB &amp; Bed Mgmt'!$M$5:$M$428&lt;=EOMONTH(B242,0),FALSE)&gt;0)*--(('Client DB &amp; Bed Mgmt'!$N$5:$N$428="")+NOT(ISNUMBER('Client DB &amp; Bed Mgmt'!$N$5:$N$428))+IFERROR('Client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</row>
    <row r="243" hidden="1" ht="14.25" customHeight="1" s="83">
      <c r="A243" s="103" t="n"/>
      <c r="B243" s="125">
        <f>DATE(YEAR(StartDate),MONTH(StartDate),1)</f>
        <v/>
      </c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Mgmt'!$B:$B,C243,'Client DB &amp; Bed Mgmt'!$E:$E,"Occupied"),0)</f>
        <v/>
      </c>
      <c r="K243" s="103" t="n"/>
      <c r="L243" s="103" t="n"/>
      <c r="M243" s="103">
        <f>COUNTIFS('Client DB &amp; Bed Mgmt'!$A:$A,$K243,'Client DB &amp; Bed Mgmt'!$B:$B,$L243,'Client DB &amp; Bed Mgmt'!$M:$M,"&lt;="&amp;EOMONTH($B243,0),'Client DB &amp; Bed Mgmt'!$N:$N,"&gt;="&amp;DATE(YEAR($B243),MONTH($B243),1))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>
        <f>IFERROR(J243*SUMPRODUCT(('Client DB &amp; Bed Mgmt'!$A$5:$A$428=A243)*('Client DB &amp; Bed Mgmt'!$B$5:$B$428=C243)*('Client DB &amp; Bed Mgmt'!$D$5:$D$428&lt;&gt;"")*--(('Client DB &amp; Bed Mgmt'!$M$5:$M$428="")+NOT(ISNUMBER('Client DB &amp; Bed Mgmt'!$M$5:$M$428))+IFERROR('Client DB &amp; Bed Mgmt'!$M$5:$M$428&lt;=EOMONTH(B243,0),FALSE)&gt;0)*--(('Client DB &amp; Bed Mgmt'!$N$5:$N$428="")+NOT(ISNUMBER('Client DB &amp; Bed Mgmt'!$N$5:$N$428))+IFERROR('Client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  <c r="V243" s="130">
        <f>IFERROR(T243*SUMPRODUCT(('Client DB &amp; Bed Mgmt'!$A$5:$A$428=K243)*('Client DB &amp; Bed Mgmt'!$B$5:$B$428=L243)*('Client DB &amp; Bed Mgmt'!$D$5:$D$428&lt;&gt;"")*--(('Client DB &amp; Bed Mgmt'!$M$5:$M$428="")+NOT(ISNUMBER('Client DB &amp; Bed Mgmt'!$M$5:$M$428))+IFERROR('Client DB &amp; Bed Mgmt'!$M$5:$M$428&lt;=EOMONTH(B243,0),FALSE)&gt;0)*--(('Client DB &amp; Bed Mgmt'!$N$5:$N$428="")+NOT(ISNUMBER('Client DB &amp; Bed Mgmt'!$N$5:$N$428))+IFERROR('Client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</row>
    <row r="244" hidden="1" ht="14.25" customHeight="1" s="83">
      <c r="A244" s="103" t="n"/>
      <c r="B244" s="125">
        <f>DATE(YEAR(StartDate),MONTH(StartDate),1)</f>
        <v/>
      </c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Mgmt'!$B:$B,C244,'Client DB &amp; Bed Mgmt'!$E:$E,"Occupied"),0)</f>
        <v/>
      </c>
      <c r="K244" s="103" t="n"/>
      <c r="L244" s="103" t="n"/>
      <c r="M244" s="103">
        <f>COUNTIFS('Client DB &amp; Bed Mgmt'!$A:$A,$K244,'Client DB &amp; Bed Mgmt'!$B:$B,$L244,'Client DB &amp; Bed Mgmt'!$M:$M,"&lt;="&amp;EOMONTH($B244,0),'Client DB &amp; Bed Mgmt'!$N:$N,"&gt;="&amp;DATE(YEAR($B244),MONTH($B244),1))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>
        <f>IFERROR(J244*SUMPRODUCT(('Client DB &amp; Bed Mgmt'!$A$5:$A$428=A244)*('Client DB &amp; Bed Mgmt'!$B$5:$B$428=C244)*('Client DB &amp; Bed Mgmt'!$D$5:$D$428&lt;&gt;"")*--(('Client DB &amp; Bed Mgmt'!$M$5:$M$428="")+NOT(ISNUMBER('Client DB &amp; Bed Mgmt'!$M$5:$M$428))+IFERROR('Client DB &amp; Bed Mgmt'!$M$5:$M$428&lt;=EOMONTH(B244,0),FALSE)&gt;0)*--(('Client DB &amp; Bed Mgmt'!$N$5:$N$428="")+NOT(ISNUMBER('Client DB &amp; Bed Mgmt'!$N$5:$N$428))+IFERROR('Client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  <c r="V244" s="130">
        <f>IFERROR(T244*SUMPRODUCT(('Client DB &amp; Bed Mgmt'!$A$5:$A$428=K244)*('Client DB &amp; Bed Mgmt'!$B$5:$B$428=L244)*('Client DB &amp; Bed Mgmt'!$D$5:$D$428&lt;&gt;"")*--(('Client DB &amp; Bed Mgmt'!$M$5:$M$428="")+NOT(ISNUMBER('Client DB &amp; Bed Mgmt'!$M$5:$M$428))+IFERROR('Client DB &amp; Bed Mgmt'!$M$5:$M$428&lt;=EOMONTH(B244,0),FALSE)&gt;0)*--(('Client DB &amp; Bed Mgmt'!$N$5:$N$428="")+NOT(ISNUMBER('Client DB &amp; Bed Mgmt'!$N$5:$N$428))+IFERROR('Client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</row>
    <row r="245" hidden="1" ht="14.25" customHeight="1" s="83">
      <c r="A245" s="103" t="n"/>
      <c r="B245" s="125">
        <f>DATE(YEAR(StartDate),MONTH(StartDate),1)</f>
        <v/>
      </c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Mgmt'!$B:$B,C245,'Client DB &amp; Bed Mgmt'!$E:$E,"Occupied"),0)</f>
        <v/>
      </c>
      <c r="K245" s="103" t="n"/>
      <c r="L245" s="103" t="n"/>
      <c r="M245" s="103">
        <f>COUNTIFS('Client DB &amp; Bed Mgmt'!$A:$A,$K245,'Client DB &amp; Bed Mgmt'!$B:$B,$L245,'Client DB &amp; Bed Mgmt'!$M:$M,"&lt;="&amp;EOMONTH($B245,0),'Client DB &amp; Bed Mgmt'!$N:$N,"&gt;="&amp;DATE(YEAR($B245),MONTH($B245),1))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>
        <f>IFERROR(J245*SUMPRODUCT(('Client DB &amp; Bed Mgmt'!$A$5:$A$428=A245)*('Client DB &amp; Bed Mgmt'!$B$5:$B$428=C245)*('Client DB &amp; Bed Mgmt'!$D$5:$D$428&lt;&gt;"")*--(('Client DB &amp; Bed Mgmt'!$M$5:$M$428="")+NOT(ISNUMBER('Client DB &amp; Bed Mgmt'!$M$5:$M$428))+IFERROR('Client DB &amp; Bed Mgmt'!$M$5:$M$428&lt;=EOMONTH(B245,0),FALSE)&gt;0)*--(('Client DB &amp; Bed Mgmt'!$N$5:$N$428="")+NOT(ISNUMBER('Client DB &amp; Bed Mgmt'!$N$5:$N$428))+IFERROR('Client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  <c r="V245" s="130">
        <f>IFERROR(T245*SUMPRODUCT(('Client DB &amp; Bed Mgmt'!$A$5:$A$428=K245)*('Client DB &amp; Bed Mgmt'!$B$5:$B$428=L245)*('Client DB &amp; Bed Mgmt'!$D$5:$D$428&lt;&gt;"")*--(('Client DB &amp; Bed Mgmt'!$M$5:$M$428="")+NOT(ISNUMBER('Client DB &amp; Bed Mgmt'!$M$5:$M$428))+IFERROR('Client DB &amp; Bed Mgmt'!$M$5:$M$428&lt;=EOMONTH(B245,0),FALSE)&gt;0)*--(('Client DB &amp; Bed Mgmt'!$N$5:$N$428="")+NOT(ISNUMBER('Client DB &amp; Bed Mgmt'!$N$5:$N$428))+IFERROR('Client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</row>
    <row r="246" hidden="1" ht="14.25" customHeight="1" s="83">
      <c r="A246" s="103" t="n"/>
      <c r="B246" s="125">
        <f>DATE(YEAR(StartDate),MONTH(StartDate),1)</f>
        <v/>
      </c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Mgmt'!$B:$B,C246,'Client DB &amp; Bed Mgmt'!$E:$E,"Occupied"),0)</f>
        <v/>
      </c>
      <c r="K246" s="103" t="n"/>
      <c r="L246" s="103" t="n"/>
      <c r="M246" s="103">
        <f>COUNTIFS('Client DB &amp; Bed Mgmt'!$A:$A,$K246,'Client DB &amp; Bed Mgmt'!$B:$B,$L246,'Client DB &amp; Bed Mgmt'!$M:$M,"&lt;="&amp;EOMONTH($B246,0),'Client DB &amp; Bed Mgmt'!$N:$N,"&gt;="&amp;DATE(YEAR($B246),MONTH($B246),1))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>
        <f>IFERROR(J246*SUMPRODUCT(('Client DB &amp; Bed Mgmt'!$A$5:$A$428=A246)*('Client DB &amp; Bed Mgmt'!$B$5:$B$428=C246)*('Client DB &amp; Bed Mgmt'!$D$5:$D$428&lt;&gt;"")*--(('Client DB &amp; Bed Mgmt'!$M$5:$M$428="")+NOT(ISNUMBER('Client DB &amp; Bed Mgmt'!$M$5:$M$428))+IFERROR('Client DB &amp; Bed Mgmt'!$M$5:$M$428&lt;=EOMONTH(B246,0),FALSE)&gt;0)*--(('Client DB &amp; Bed Mgmt'!$N$5:$N$428="")+NOT(ISNUMBER('Client DB &amp; Bed Mgmt'!$N$5:$N$428))+IFERROR('Client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  <c r="V246" s="130">
        <f>IFERROR(T246*SUMPRODUCT(('Client DB &amp; Bed Mgmt'!$A$5:$A$428=K246)*('Client DB &amp; Bed Mgmt'!$B$5:$B$428=L246)*('Client DB &amp; Bed Mgmt'!$D$5:$D$428&lt;&gt;"")*--(('Client DB &amp; Bed Mgmt'!$M$5:$M$428="")+NOT(ISNUMBER('Client DB &amp; Bed Mgmt'!$M$5:$M$428))+IFERROR('Client DB &amp; Bed Mgmt'!$M$5:$M$428&lt;=EOMONTH(B246,0),FALSE)&gt;0)*--(('Client DB &amp; Bed Mgmt'!$N$5:$N$428="")+NOT(ISNUMBER('Client DB &amp; Bed Mgmt'!$N$5:$N$428))+IFERROR('Client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</row>
    <row r="247" hidden="1" ht="14.25" customHeight="1" s="83">
      <c r="A247" s="103" t="n"/>
      <c r="B247" s="125">
        <f>DATE(YEAR(StartDate),MONTH(StartDate),1)</f>
        <v/>
      </c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Mgmt'!$B:$B,C247,'Client DB &amp; Bed Mgmt'!$E:$E,"Occupied"),0)</f>
        <v/>
      </c>
      <c r="K247" s="103" t="n"/>
      <c r="L247" s="103" t="n"/>
      <c r="M247" s="103">
        <f>COUNTIFS('Client DB &amp; Bed Mgmt'!$A:$A,$K247,'Client DB &amp; Bed Mgmt'!$B:$B,$L247,'Client DB &amp; Bed Mgmt'!$M:$M,"&lt;="&amp;EOMONTH($B247,0),'Client DB &amp; Bed Mgmt'!$N:$N,"&gt;="&amp;DATE(YEAR($B247),MONTH($B247),1))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>
        <f>IFERROR(J247*SUMPRODUCT(('Client DB &amp; Bed Mgmt'!$A$5:$A$428=A247)*('Client DB &amp; Bed Mgmt'!$B$5:$B$428=C247)*('Client DB &amp; Bed Mgmt'!$D$5:$D$428&lt;&gt;"")*--(('Client DB &amp; Bed Mgmt'!$M$5:$M$428="")+NOT(ISNUMBER('Client DB &amp; Bed Mgmt'!$M$5:$M$428))+IFERROR('Client DB &amp; Bed Mgmt'!$M$5:$M$428&lt;=EOMONTH(B247,0),FALSE)&gt;0)*--(('Client DB &amp; Bed Mgmt'!$N$5:$N$428="")+NOT(ISNUMBER('Client DB &amp; Bed Mgmt'!$N$5:$N$428))+IFERROR('Client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  <c r="V247" s="130">
        <f>IFERROR(T247*SUMPRODUCT(('Client DB &amp; Bed Mgmt'!$A$5:$A$428=K247)*('Client DB &amp; Bed Mgmt'!$B$5:$B$428=L247)*('Client DB &amp; Bed Mgmt'!$D$5:$D$428&lt;&gt;"")*--(('Client DB &amp; Bed Mgmt'!$M$5:$M$428="")+NOT(ISNUMBER('Client DB &amp; Bed Mgmt'!$M$5:$M$428))+IFERROR('Client DB &amp; Bed Mgmt'!$M$5:$M$428&lt;=EOMONTH(B247,0),FALSE)&gt;0)*--(('Client DB &amp; Bed Mgmt'!$N$5:$N$428="")+NOT(ISNUMBER('Client DB &amp; Bed Mgmt'!$N$5:$N$428))+IFERROR('Client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</row>
    <row r="248" hidden="1" ht="14.25" customHeight="1" s="83">
      <c r="A248" s="103" t="n"/>
      <c r="B248" s="125">
        <f>DATE(YEAR(StartDate),MONTH(StartDate),1)</f>
        <v/>
      </c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Mgmt'!$B:$B,C248,'Client DB &amp; Bed Mgmt'!$E:$E,"Occupied"),0)</f>
        <v/>
      </c>
      <c r="K248" s="103" t="n"/>
      <c r="L248" s="103" t="n"/>
      <c r="M248" s="103">
        <f>COUNTIFS('Client DB &amp; Bed Mgmt'!$A:$A,$K248,'Client DB &amp; Bed Mgmt'!$B:$B,$L248,'Client DB &amp; Bed Mgmt'!$M:$M,"&lt;="&amp;EOMONTH($B248,0),'Client DB &amp; Bed Mgmt'!$N:$N,"&gt;="&amp;DATE(YEAR($B248),MONTH($B248),1))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>
        <f>IFERROR(J248*SUMPRODUCT(('Client DB &amp; Bed Mgmt'!$A$5:$A$428=A248)*('Client DB &amp; Bed Mgmt'!$B$5:$B$428=C248)*('Client DB &amp; Bed Mgmt'!$D$5:$D$428&lt;&gt;"")*--(('Client DB &amp; Bed Mgmt'!$M$5:$M$428="")+NOT(ISNUMBER('Client DB &amp; Bed Mgmt'!$M$5:$M$428))+IFERROR('Client DB &amp; Bed Mgmt'!$M$5:$M$428&lt;=EOMONTH(B248,0),FALSE)&gt;0)*--(('Client DB &amp; Bed Mgmt'!$N$5:$N$428="")+NOT(ISNUMBER('Client DB &amp; Bed Mgmt'!$N$5:$N$428))+IFERROR('Client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  <c r="V248" s="130">
        <f>IFERROR(T248*SUMPRODUCT(('Client DB &amp; Bed Mgmt'!$A$5:$A$428=K248)*('Client DB &amp; Bed Mgmt'!$B$5:$B$428=L248)*('Client DB &amp; Bed Mgmt'!$D$5:$D$428&lt;&gt;"")*--(('Client DB &amp; Bed Mgmt'!$M$5:$M$428="")+NOT(ISNUMBER('Client DB &amp; Bed Mgmt'!$M$5:$M$428))+IFERROR('Client DB &amp; Bed Mgmt'!$M$5:$M$428&lt;=EOMONTH(B248,0),FALSE)&gt;0)*--(('Client DB &amp; Bed Mgmt'!$N$5:$N$428="")+NOT(ISNUMBER('Client DB &amp; Bed Mgmt'!$N$5:$N$428))+IFERROR('Client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</row>
    <row r="249" hidden="1" ht="14.25" customHeight="1" s="83">
      <c r="A249" s="103" t="n"/>
      <c r="B249" s="125">
        <f>DATE(YEAR(StartDate),MONTH(StartDate),1)</f>
        <v/>
      </c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Mgmt'!$B:$B,C249,'Client DB &amp; Bed Mgmt'!$E:$E,"Occupied"),0)</f>
        <v/>
      </c>
      <c r="K249" s="103" t="n"/>
      <c r="L249" s="103" t="n"/>
      <c r="M249" s="103">
        <f>COUNTIFS('Client DB &amp; Bed Mgmt'!$A:$A,$K249,'Client DB &amp; Bed Mgmt'!$B:$B,$L249,'Client DB &amp; Bed Mgmt'!$M:$M,"&lt;="&amp;EOMONTH($B249,0),'Client DB &amp; Bed Mgmt'!$N:$N,"&gt;="&amp;DATE(YEAR($B249),MONTH($B249),1))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>
        <f>IFERROR(J249*SUMPRODUCT(('Client DB &amp; Bed Mgmt'!$A$5:$A$428=A249)*('Client DB &amp; Bed Mgmt'!$B$5:$B$428=C249)*('Client DB &amp; Bed Mgmt'!$D$5:$D$428&lt;&gt;"")*--(('Client DB &amp; Bed Mgmt'!$M$5:$M$428="")+NOT(ISNUMBER('Client DB &amp; Bed Mgmt'!$M$5:$M$428))+IFERROR('Client DB &amp; Bed Mgmt'!$M$5:$M$428&lt;=EOMONTH(B249,0),FALSE)&gt;0)*--(('Client DB &amp; Bed Mgmt'!$N$5:$N$428="")+NOT(ISNUMBER('Client DB &amp; Bed Mgmt'!$N$5:$N$428))+IFERROR('Client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  <c r="V249" s="130">
        <f>IFERROR(T249*SUMPRODUCT(('Client DB &amp; Bed Mgmt'!$A$5:$A$428=K249)*('Client DB &amp; Bed Mgmt'!$B$5:$B$428=L249)*('Client DB &amp; Bed Mgmt'!$D$5:$D$428&lt;&gt;"")*--(('Client DB &amp; Bed Mgmt'!$M$5:$M$428="")+NOT(ISNUMBER('Client DB &amp; Bed Mgmt'!$M$5:$M$428))+IFERROR('Client DB &amp; Bed Mgmt'!$M$5:$M$428&lt;=EOMONTH(B249,0),FALSE)&gt;0)*--(('Client DB &amp; Bed Mgmt'!$N$5:$N$428="")+NOT(ISNUMBER('Client DB &amp; Bed Mgmt'!$N$5:$N$428))+IFERROR('Client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</row>
    <row r="250" hidden="1" ht="14.25" customHeight="1" s="83">
      <c r="A250" s="103" t="n"/>
      <c r="B250" s="125">
        <f>DATE(YEAR(StartDate),MONTH(StartDate),1)</f>
        <v/>
      </c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Mgmt'!$B:$B,C250,'Client DB &amp; Bed Mgmt'!$E:$E,"Occupied"),0)</f>
        <v/>
      </c>
      <c r="K250" s="103" t="n"/>
      <c r="L250" s="103" t="n"/>
      <c r="M250" s="103">
        <f>COUNTIFS('Client DB &amp; Bed Mgmt'!$A:$A,$K250,'Client DB &amp; Bed Mgmt'!$B:$B,$L250,'Client DB &amp; Bed Mgmt'!$M:$M,"&lt;="&amp;EOMONTH($B250,0),'Client DB &amp; Bed Mgmt'!$N:$N,"&gt;="&amp;DATE(YEAR($B250),MONTH($B250),1))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>
        <f>IFERROR(J250*SUMPRODUCT(('Client DB &amp; Bed Mgmt'!$A$5:$A$428=A250)*('Client DB &amp; Bed Mgmt'!$B$5:$B$428=C250)*('Client DB &amp; Bed Mgmt'!$D$5:$D$428&lt;&gt;"")*--(('Client DB &amp; Bed Mgmt'!$M$5:$M$428="")+NOT(ISNUMBER('Client DB &amp; Bed Mgmt'!$M$5:$M$428))+IFERROR('Client DB &amp; Bed Mgmt'!$M$5:$M$428&lt;=EOMONTH(B250,0),FALSE)&gt;0)*--(('Client DB &amp; Bed Mgmt'!$N$5:$N$428="")+NOT(ISNUMBER('Client DB &amp; Bed Mgmt'!$N$5:$N$428))+IFERROR('Client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  <c r="V250" s="130">
        <f>IFERROR(T250*SUMPRODUCT(('Client DB &amp; Bed Mgmt'!$A$5:$A$428=K250)*('Client DB &amp; Bed Mgmt'!$B$5:$B$428=L250)*('Client DB &amp; Bed Mgmt'!$D$5:$D$428&lt;&gt;"")*--(('Client DB &amp; Bed Mgmt'!$M$5:$M$428="")+NOT(ISNUMBER('Client DB &amp; Bed Mgmt'!$M$5:$M$428))+IFERROR('Client DB &amp; Bed Mgmt'!$M$5:$M$428&lt;=EOMONTH(B250,0),FALSE)&gt;0)*--(('Client DB &amp; Bed Mgmt'!$N$5:$N$428="")+NOT(ISNUMBER('Client DB &amp; Bed Mgmt'!$N$5:$N$428))+IFERROR('Client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</row>
    <row r="251" hidden="1" ht="14.25" customHeight="1" s="83">
      <c r="A251" s="103" t="n"/>
      <c r="B251" s="125">
        <f>DATE(YEAR(StartDate),MONTH(StartDate),1)</f>
        <v/>
      </c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Mgmt'!$B:$B,C251,'Client DB &amp; Bed Mgmt'!$E:$E,"Occupied"),0)</f>
        <v/>
      </c>
      <c r="K251" s="103" t="n"/>
      <c r="L251" s="103" t="n"/>
      <c r="M251" s="103">
        <f>COUNTIFS('Client DB &amp; Bed Mgmt'!$A:$A,$K251,'Client DB &amp; Bed Mgmt'!$B:$B,$L251,'Client DB &amp; Bed Mgmt'!$M:$M,"&lt;="&amp;EOMONTH($B251,0),'Client DB &amp; Bed Mgmt'!$N:$N,"&gt;="&amp;DATE(YEAR($B251),MONTH($B251),1))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>
        <f>IFERROR(J251*SUMPRODUCT(('Client DB &amp; Bed Mgmt'!$A$5:$A$428=A251)*('Client DB &amp; Bed Mgmt'!$B$5:$B$428=C251)*('Client DB &amp; Bed Mgmt'!$D$5:$D$428&lt;&gt;"")*--(('Client DB &amp; Bed Mgmt'!$M$5:$M$428="")+NOT(ISNUMBER('Client DB &amp; Bed Mgmt'!$M$5:$M$428))+IFERROR('Client DB &amp; Bed Mgmt'!$M$5:$M$428&lt;=EOMONTH(B251,0),FALSE)&gt;0)*--(('Client DB &amp; Bed Mgmt'!$N$5:$N$428="")+NOT(ISNUMBER('Client DB &amp; Bed Mgmt'!$N$5:$N$428))+IFERROR('Client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  <c r="V251" s="130">
        <f>IFERROR(T251*SUMPRODUCT(('Client DB &amp; Bed Mgmt'!$A$5:$A$428=K251)*('Client DB &amp; Bed Mgmt'!$B$5:$B$428=L251)*('Client DB &amp; Bed Mgmt'!$D$5:$D$428&lt;&gt;"")*--(('Client DB &amp; Bed Mgmt'!$M$5:$M$428="")+NOT(ISNUMBER('Client DB &amp; Bed Mgmt'!$M$5:$M$428))+IFERROR('Client DB &amp; Bed Mgmt'!$M$5:$M$428&lt;=EOMONTH(B251,0),FALSE)&gt;0)*--(('Client DB &amp; Bed Mgmt'!$N$5:$N$428="")+NOT(ISNUMBER('Client DB &amp; Bed Mgmt'!$N$5:$N$428))+IFERROR('Client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</row>
    <row r="252" hidden="1" ht="14.25" customHeight="1" s="83">
      <c r="A252" s="103" t="n"/>
      <c r="B252" s="125">
        <f>DATE(YEAR(StartDate),MONTH(StartDate),1)</f>
        <v/>
      </c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Mgmt'!$B:$B,C252,'Client DB &amp; Bed Mgmt'!$E:$E,"Occupied"),0)</f>
        <v/>
      </c>
      <c r="K252" s="103" t="n"/>
      <c r="L252" s="103" t="n"/>
      <c r="M252" s="103">
        <f>COUNTIFS('Client DB &amp; Bed Mgmt'!$A:$A,$K252,'Client DB &amp; Bed Mgmt'!$B:$B,$L252,'Client DB &amp; Bed Mgmt'!$M:$M,"&lt;="&amp;EOMONTH($B252,0),'Client DB &amp; Bed Mgmt'!$N:$N,"&gt;="&amp;DATE(YEAR($B252),MONTH($B252),1))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>
        <f>IFERROR(J252*SUMPRODUCT(('Client DB &amp; Bed Mgmt'!$A$5:$A$428=A252)*('Client DB &amp; Bed Mgmt'!$B$5:$B$428=C252)*('Client DB &amp; Bed Mgmt'!$D$5:$D$428&lt;&gt;"")*--(('Client DB &amp; Bed Mgmt'!$M$5:$M$428="")+NOT(ISNUMBER('Client DB &amp; Bed Mgmt'!$M$5:$M$428))+IFERROR('Client DB &amp; Bed Mgmt'!$M$5:$M$428&lt;=EOMONTH(B252,0),FALSE)&gt;0)*--(('Client DB &amp; Bed Mgmt'!$N$5:$N$428="")+NOT(ISNUMBER('Client DB &amp; Bed Mgmt'!$N$5:$N$428))+IFERROR('Client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  <c r="V252" s="130">
        <f>IFERROR(T252*SUMPRODUCT(('Client DB &amp; Bed Mgmt'!$A$5:$A$428=K252)*('Client DB &amp; Bed Mgmt'!$B$5:$B$428=L252)*('Client DB &amp; Bed Mgmt'!$D$5:$D$428&lt;&gt;"")*--(('Client DB &amp; Bed Mgmt'!$M$5:$M$428="")+NOT(ISNUMBER('Client DB &amp; Bed Mgmt'!$M$5:$M$428))+IFERROR('Client DB &amp; Bed Mgmt'!$M$5:$M$428&lt;=EOMONTH(B252,0),FALSE)&gt;0)*--(('Client DB &amp; Bed Mgmt'!$N$5:$N$428="")+NOT(ISNUMBER('Client DB &amp; Bed Mgmt'!$N$5:$N$428))+IFERROR('Client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</row>
    <row r="253" hidden="1" ht="14.25" customHeight="1" s="83">
      <c r="A253" s="103" t="n"/>
      <c r="B253" s="125">
        <f>DATE(YEAR(StartDate),MONTH(StartDate),1)</f>
        <v/>
      </c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Mgmt'!$B:$B,C253,'Client DB &amp; Bed Mgmt'!$E:$E,"Occupied"),0)</f>
        <v/>
      </c>
      <c r="K253" s="103" t="n"/>
      <c r="L253" s="103" t="n"/>
      <c r="M253" s="103">
        <f>COUNTIFS('Client DB &amp; Bed Mgmt'!$A:$A,$K253,'Client DB &amp; Bed Mgmt'!$B:$B,$L253,'Client DB &amp; Bed Mgmt'!$M:$M,"&lt;="&amp;EOMONTH($B253,0),'Client DB &amp; Bed Mgmt'!$N:$N,"&gt;="&amp;DATE(YEAR($B253),MONTH($B253),1))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>
        <f>IFERROR(J253*SUMPRODUCT(('Client DB &amp; Bed Mgmt'!$A$5:$A$428=A253)*('Client DB &amp; Bed Mgmt'!$B$5:$B$428=C253)*('Client DB &amp; Bed Mgmt'!$D$5:$D$428&lt;&gt;"")*--(('Client DB &amp; Bed Mgmt'!$M$5:$M$428="")+NOT(ISNUMBER('Client DB &amp; Bed Mgmt'!$M$5:$M$428))+IFERROR('Client DB &amp; Bed Mgmt'!$M$5:$M$428&lt;=EOMONTH(B253,0),FALSE)&gt;0)*--(('Client DB &amp; Bed Mgmt'!$N$5:$N$428="")+NOT(ISNUMBER('Client DB &amp; Bed Mgmt'!$N$5:$N$428))+IFERROR('Client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  <c r="V253" s="130">
        <f>IFERROR(T253*SUMPRODUCT(('Client DB &amp; Bed Mgmt'!$A$5:$A$428=K253)*('Client DB &amp; Bed Mgmt'!$B$5:$B$428=L253)*('Client DB &amp; Bed Mgmt'!$D$5:$D$428&lt;&gt;"")*--(('Client DB &amp; Bed Mgmt'!$M$5:$M$428="")+NOT(ISNUMBER('Client DB &amp; Bed Mgmt'!$M$5:$M$428))+IFERROR('Client DB &amp; Bed Mgmt'!$M$5:$M$428&lt;=EOMONTH(B253,0),FALSE)&gt;0)*--(('Client DB &amp; Bed Mgmt'!$N$5:$N$428="")+NOT(ISNUMBER('Client DB &amp; Bed Mgmt'!$N$5:$N$428))+IFERROR('Client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</row>
    <row r="254" hidden="1" ht="14.25" customHeight="1" s="83">
      <c r="A254" s="103" t="n"/>
      <c r="B254" s="125">
        <f>DATE(YEAR(StartDate),MONTH(StartDate),1)</f>
        <v/>
      </c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Mgmt'!$B:$B,C254,'Client DB &amp; Bed Mgmt'!$E:$E,"Occupied"),0)</f>
        <v/>
      </c>
      <c r="K254" s="103" t="n"/>
      <c r="L254" s="103" t="n"/>
      <c r="M254" s="103">
        <f>COUNTIFS('Client DB &amp; Bed Mgmt'!$A:$A,$K254,'Client DB &amp; Bed Mgmt'!$B:$B,$L254,'Client DB &amp; Bed Mgmt'!$M:$M,"&lt;="&amp;EOMONTH($B254,0),'Client DB &amp; Bed Mgmt'!$N:$N,"&gt;="&amp;DATE(YEAR($B254),MONTH($B254),1))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>
        <f>IFERROR(J254*SUMPRODUCT(('Client DB &amp; Bed Mgmt'!$A$5:$A$428=A254)*('Client DB &amp; Bed Mgmt'!$B$5:$B$428=C254)*('Client DB &amp; Bed Mgmt'!$D$5:$D$428&lt;&gt;"")*--(('Client DB &amp; Bed Mgmt'!$M$5:$M$428="")+NOT(ISNUMBER('Client DB &amp; Bed Mgmt'!$M$5:$M$428))+IFERROR('Client DB &amp; Bed Mgmt'!$M$5:$M$428&lt;=EOMONTH(B254,0),FALSE)&gt;0)*--(('Client DB &amp; Bed Mgmt'!$N$5:$N$428="")+NOT(ISNUMBER('Client DB &amp; Bed Mgmt'!$N$5:$N$428))+IFERROR('Client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  <c r="V254" s="130">
        <f>IFERROR(T254*SUMPRODUCT(('Client DB &amp; Bed Mgmt'!$A$5:$A$428=K254)*('Client DB &amp; Bed Mgmt'!$B$5:$B$428=L254)*('Client DB &amp; Bed Mgmt'!$D$5:$D$428&lt;&gt;"")*--(('Client DB &amp; Bed Mgmt'!$M$5:$M$428="")+NOT(ISNUMBER('Client DB &amp; Bed Mgmt'!$M$5:$M$428))+IFERROR('Client DB &amp; Bed Mgmt'!$M$5:$M$428&lt;=EOMONTH(B254,0),FALSE)&gt;0)*--(('Client DB &amp; Bed Mgmt'!$N$5:$N$428="")+NOT(ISNUMBER('Client DB &amp; Bed Mgmt'!$N$5:$N$428))+IFERROR('Client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</row>
    <row r="255" hidden="1" ht="14.25" customHeight="1" s="83">
      <c r="A255" s="103" t="n"/>
      <c r="B255" s="125">
        <f>DATE(YEAR(StartDate),MONTH(StartDate),1)</f>
        <v/>
      </c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Mgmt'!$B:$B,C255,'Client DB &amp; Bed Mgmt'!$E:$E,"Occupied"),0)</f>
        <v/>
      </c>
      <c r="K255" s="103" t="n"/>
      <c r="L255" s="103" t="n"/>
      <c r="M255" s="103">
        <f>COUNTIFS('Client DB &amp; Bed Mgmt'!$A:$A,$K255,'Client DB &amp; Bed Mgmt'!$B:$B,$L255,'Client DB &amp; Bed Mgmt'!$M:$M,"&lt;="&amp;EOMONTH($B255,0),'Client DB &amp; Bed Mgmt'!$N:$N,"&gt;="&amp;DATE(YEAR($B255),MONTH($B255),1))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>
        <f>IFERROR(J255*SUMPRODUCT(('Client DB &amp; Bed Mgmt'!$A$5:$A$428=A255)*('Client DB &amp; Bed Mgmt'!$B$5:$B$428=C255)*('Client DB &amp; Bed Mgmt'!$D$5:$D$428&lt;&gt;"")*--(('Client DB &amp; Bed Mgmt'!$M$5:$M$428="")+NOT(ISNUMBER('Client DB &amp; Bed Mgmt'!$M$5:$M$428))+IFERROR('Client DB &amp; Bed Mgmt'!$M$5:$M$428&lt;=EOMONTH(B255,0),FALSE)&gt;0)*--(('Client DB &amp; Bed Mgmt'!$N$5:$N$428="")+NOT(ISNUMBER('Client DB &amp; Bed Mgmt'!$N$5:$N$428))+IFERROR('Client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  <c r="V255" s="130">
        <f>IFERROR(T255*SUMPRODUCT(('Client DB &amp; Bed Mgmt'!$A$5:$A$428=K255)*('Client DB &amp; Bed Mgmt'!$B$5:$B$428=L255)*('Client DB &amp; Bed Mgmt'!$D$5:$D$428&lt;&gt;"")*--(('Client DB &amp; Bed Mgmt'!$M$5:$M$428="")+NOT(ISNUMBER('Client DB &amp; Bed Mgmt'!$M$5:$M$428))+IFERROR('Client DB &amp; Bed Mgmt'!$M$5:$M$428&lt;=EOMONTH(B255,0),FALSE)&gt;0)*--(('Client DB &amp; Bed Mgmt'!$N$5:$N$428="")+NOT(ISNUMBER('Client DB &amp; Bed Mgmt'!$N$5:$N$428))+IFERROR('Client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</row>
    <row r="256" hidden="1" ht="14.25" customHeight="1" s="83">
      <c r="A256" s="103" t="n"/>
      <c r="B256" s="125">
        <f>DATE(YEAR(StartDate),MONTH(StartDate),1)</f>
        <v/>
      </c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Mgmt'!$B:$B,C256,'Client DB &amp; Bed Mgmt'!$E:$E,"Occupied"),0)</f>
        <v/>
      </c>
      <c r="K256" s="103" t="n"/>
      <c r="L256" s="103" t="n"/>
      <c r="M256" s="103">
        <f>COUNTIFS('Client DB &amp; Bed Mgmt'!$A:$A,$K256,'Client DB &amp; Bed Mgmt'!$B:$B,$L256,'Client DB &amp; Bed Mgmt'!$M:$M,"&lt;="&amp;EOMONTH($B256,0),'Client DB &amp; Bed Mgmt'!$N:$N,"&gt;="&amp;DATE(YEAR($B256),MONTH($B256),1))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>
        <f>IFERROR(J256*SUMPRODUCT(('Client DB &amp; Bed Mgmt'!$A$5:$A$428=A256)*('Client DB &amp; Bed Mgmt'!$B$5:$B$428=C256)*('Client DB &amp; Bed Mgmt'!$D$5:$D$428&lt;&gt;"")*--(('Client DB &amp; Bed Mgmt'!$M$5:$M$428="")+NOT(ISNUMBER('Client DB &amp; Bed Mgmt'!$M$5:$M$428))+IFERROR('Client DB &amp; Bed Mgmt'!$M$5:$M$428&lt;=EOMONTH(B256,0),FALSE)&gt;0)*--(('Client DB &amp; Bed Mgmt'!$N$5:$N$428="")+NOT(ISNUMBER('Client DB &amp; Bed Mgmt'!$N$5:$N$428))+IFERROR('Client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  <c r="V256" s="130">
        <f>IFERROR(T256*SUMPRODUCT(('Client DB &amp; Bed Mgmt'!$A$5:$A$428=K256)*('Client DB &amp; Bed Mgmt'!$B$5:$B$428=L256)*('Client DB &amp; Bed Mgmt'!$D$5:$D$428&lt;&gt;"")*--(('Client DB &amp; Bed Mgmt'!$M$5:$M$428="")+NOT(ISNUMBER('Client DB &amp; Bed Mgmt'!$M$5:$M$428))+IFERROR('Client DB &amp; Bed Mgmt'!$M$5:$M$428&lt;=EOMONTH(B256,0),FALSE)&gt;0)*--(('Client DB &amp; Bed Mgmt'!$N$5:$N$428="")+NOT(ISNUMBER('Client DB &amp; Bed Mgmt'!$N$5:$N$428))+IFERROR('Client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</row>
    <row r="257" hidden="1" ht="14.25" customHeight="1" s="83">
      <c r="A257" s="103" t="n"/>
      <c r="B257" s="125">
        <f>DATE(YEAR(StartDate),MONTH(StartDate),1)</f>
        <v/>
      </c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Mgmt'!$B:$B,C257,'Client DB &amp; Bed Mgmt'!$E:$E,"Occupied"),0)</f>
        <v/>
      </c>
      <c r="K257" s="103" t="n"/>
      <c r="L257" s="103" t="n"/>
      <c r="M257" s="103">
        <f>COUNTIFS('Client DB &amp; Bed Mgmt'!$A:$A,$K257,'Client DB &amp; Bed Mgmt'!$B:$B,$L257,'Client DB &amp; Bed Mgmt'!$M:$M,"&lt;="&amp;EOMONTH($B257,0),'Client DB &amp; Bed Mgmt'!$N:$N,"&gt;="&amp;DATE(YEAR($B257),MONTH($B257),1))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>
        <f>IFERROR(J257*SUMPRODUCT(('Client DB &amp; Bed Mgmt'!$A$5:$A$428=A257)*('Client DB &amp; Bed Mgmt'!$B$5:$B$428=C257)*('Client DB &amp; Bed Mgmt'!$D$5:$D$428&lt;&gt;"")*--(('Client DB &amp; Bed Mgmt'!$M$5:$M$428="")+NOT(ISNUMBER('Client DB &amp; Bed Mgmt'!$M$5:$M$428))+IFERROR('Client DB &amp; Bed Mgmt'!$M$5:$M$428&lt;=EOMONTH(B257,0),FALSE)&gt;0)*--(('Client DB &amp; Bed Mgmt'!$N$5:$N$428="")+NOT(ISNUMBER('Client DB &amp; Bed Mgmt'!$N$5:$N$428))+IFERROR('Client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  <c r="V257" s="130">
        <f>IFERROR(T257*SUMPRODUCT(('Client DB &amp; Bed Mgmt'!$A$5:$A$428=K257)*('Client DB &amp; Bed Mgmt'!$B$5:$B$428=L257)*('Client DB &amp; Bed Mgmt'!$D$5:$D$428&lt;&gt;"")*--(('Client DB &amp; Bed Mgmt'!$M$5:$M$428="")+NOT(ISNUMBER('Client DB &amp; Bed Mgmt'!$M$5:$M$428))+IFERROR('Client DB &amp; Bed Mgmt'!$M$5:$M$428&lt;=EOMONTH(B257,0),FALSE)&gt;0)*--(('Client DB &amp; Bed Mgmt'!$N$5:$N$428="")+NOT(ISNUMBER('Client DB &amp; Bed Mgmt'!$N$5:$N$428))+IFERROR('Client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</row>
    <row r="258" hidden="1" ht="14.25" customHeight="1" s="83">
      <c r="A258" s="103" t="n"/>
      <c r="B258" s="125">
        <f>DATE(YEAR(StartDate),MONTH(StartDate),1)</f>
        <v/>
      </c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Mgmt'!$B:$B,C258,'Client DB &amp; Bed Mgmt'!$E:$E,"Occupied"),0)</f>
        <v/>
      </c>
      <c r="K258" s="103" t="n"/>
      <c r="L258" s="103" t="n"/>
      <c r="M258" s="103">
        <f>COUNTIFS('Client DB &amp; Bed Mgmt'!$A:$A,$K258,'Client DB &amp; Bed Mgmt'!$B:$B,$L258,'Client DB &amp; Bed Mgmt'!$M:$M,"&lt;="&amp;EOMONTH($B258,0),'Client DB &amp; Bed Mgmt'!$N:$N,"&gt;="&amp;DATE(YEAR($B258),MONTH($B258),1))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>
        <f>IFERROR(J258*SUMPRODUCT(('Client DB &amp; Bed Mgmt'!$A$5:$A$428=A258)*('Client DB &amp; Bed Mgmt'!$B$5:$B$428=C258)*('Client DB &amp; Bed Mgmt'!$D$5:$D$428&lt;&gt;"")*--(('Client DB &amp; Bed Mgmt'!$M$5:$M$428="")+NOT(ISNUMBER('Client DB &amp; Bed Mgmt'!$M$5:$M$428))+IFERROR('Client DB &amp; Bed Mgmt'!$M$5:$M$428&lt;=EOMONTH(B258,0),FALSE)&gt;0)*--(('Client DB &amp; Bed Mgmt'!$N$5:$N$428="")+NOT(ISNUMBER('Client DB &amp; Bed Mgmt'!$N$5:$N$428))+IFERROR('Client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  <c r="V258" s="130">
        <f>IFERROR(T258*SUMPRODUCT(('Client DB &amp; Bed Mgmt'!$A$5:$A$428=K258)*('Client DB &amp; Bed Mgmt'!$B$5:$B$428=L258)*('Client DB &amp; Bed Mgmt'!$D$5:$D$428&lt;&gt;"")*--(('Client DB &amp; Bed Mgmt'!$M$5:$M$428="")+NOT(ISNUMBER('Client DB &amp; Bed Mgmt'!$M$5:$M$428))+IFERROR('Client DB &amp; Bed Mgmt'!$M$5:$M$428&lt;=EOMONTH(B258,0),FALSE)&gt;0)*--(('Client DB &amp; Bed Mgmt'!$N$5:$N$428="")+NOT(ISNUMBER('Client DB &amp; Bed Mgmt'!$N$5:$N$428))+IFERROR('Client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</row>
    <row r="259" hidden="1" ht="14.25" customHeight="1" s="83">
      <c r="A259" s="103" t="n"/>
      <c r="B259" s="125">
        <f>DATE(YEAR(StartDate),MONTH(StartDate),1)</f>
        <v/>
      </c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Mgmt'!$B:$B,C259,'Client DB &amp; Bed Mgmt'!$E:$E,"Occupied"),0)</f>
        <v/>
      </c>
      <c r="K259" s="103" t="n"/>
      <c r="L259" s="103" t="n"/>
      <c r="M259" s="103">
        <f>COUNTIFS('Client DB &amp; Bed Mgmt'!$A:$A,$K259,'Client DB &amp; Bed Mgmt'!$B:$B,$L259,'Client DB &amp; Bed Mgmt'!$M:$M,"&lt;="&amp;EOMONTH($B259,0),'Client DB &amp; Bed Mgmt'!$N:$N,"&gt;="&amp;DATE(YEAR($B259),MONTH($B259),1))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>
        <f>IFERROR(J259*SUMPRODUCT(('Client DB &amp; Bed Mgmt'!$A$5:$A$428=A259)*('Client DB &amp; Bed Mgmt'!$B$5:$B$428=C259)*('Client DB &amp; Bed Mgmt'!$D$5:$D$428&lt;&gt;"")*--(('Client DB &amp; Bed Mgmt'!$M$5:$M$428="")+NOT(ISNUMBER('Client DB &amp; Bed Mgmt'!$M$5:$M$428))+IFERROR('Client DB &amp; Bed Mgmt'!$M$5:$M$428&lt;=EOMONTH(B259,0),FALSE)&gt;0)*--(('Client DB &amp; Bed Mgmt'!$N$5:$N$428="")+NOT(ISNUMBER('Client DB &amp; Bed Mgmt'!$N$5:$N$428))+IFERROR('Client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  <c r="V259" s="130">
        <f>IFERROR(T259*SUMPRODUCT(('Client DB &amp; Bed Mgmt'!$A$5:$A$428=K259)*('Client DB &amp; Bed Mgmt'!$B$5:$B$428=L259)*('Client DB &amp; Bed Mgmt'!$D$5:$D$428&lt;&gt;"")*--(('Client DB &amp; Bed Mgmt'!$M$5:$M$428="")+NOT(ISNUMBER('Client DB &amp; Bed Mgmt'!$M$5:$M$428))+IFERROR('Client DB &amp; Bed Mgmt'!$M$5:$M$428&lt;=EOMONTH(B259,0),FALSE)&gt;0)*--(('Client DB &amp; Bed Mgmt'!$N$5:$N$428="")+NOT(ISNUMBER('Client DB &amp; Bed Mgmt'!$N$5:$N$428))+IFERROR('Client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</row>
    <row r="260" hidden="1" ht="14.25" customHeight="1" s="83">
      <c r="A260" s="103" t="n"/>
      <c r="B260" s="125">
        <f>DATE(YEAR(StartDate),MONTH(StartDate),1)</f>
        <v/>
      </c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Mgmt'!$B:$B,C260,'Client DB &amp; Bed Mgmt'!$E:$E,"Occupied"),0)</f>
        <v/>
      </c>
      <c r="K260" s="103" t="n"/>
      <c r="L260" s="103" t="n"/>
      <c r="M260" s="103">
        <f>COUNTIFS('Client DB &amp; Bed Mgmt'!$A:$A,$K260,'Client DB &amp; Bed Mgmt'!$B:$B,$L260,'Client DB &amp; Bed Mgmt'!$M:$M,"&lt;="&amp;EOMONTH($B260,0),'Client DB &amp; Bed Mgmt'!$N:$N,"&gt;="&amp;DATE(YEAR($B260),MONTH($B260),1))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>
        <f>IFERROR(J260*SUMPRODUCT(('Client DB &amp; Bed Mgmt'!$A$5:$A$428=A260)*('Client DB &amp; Bed Mgmt'!$B$5:$B$428=C260)*('Client DB &amp; Bed Mgmt'!$D$5:$D$428&lt;&gt;"")*--(('Client DB &amp; Bed Mgmt'!$M$5:$M$428="")+NOT(ISNUMBER('Client DB &amp; Bed Mgmt'!$M$5:$M$428))+IFERROR('Client DB &amp; Bed Mgmt'!$M$5:$M$428&lt;=EOMONTH(B260,0),FALSE)&gt;0)*--(('Client DB &amp; Bed Mgmt'!$N$5:$N$428="")+NOT(ISNUMBER('Client DB &amp; Bed Mgmt'!$N$5:$N$428))+IFERROR('Client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  <c r="V260" s="130">
        <f>IFERROR(T260*SUMPRODUCT(('Client DB &amp; Bed Mgmt'!$A$5:$A$428=K260)*('Client DB &amp; Bed Mgmt'!$B$5:$B$428=L260)*('Client DB &amp; Bed Mgmt'!$D$5:$D$428&lt;&gt;"")*--(('Client DB &amp; Bed Mgmt'!$M$5:$M$428="")+NOT(ISNUMBER('Client DB &amp; Bed Mgmt'!$M$5:$M$428))+IFERROR('Client DB &amp; Bed Mgmt'!$M$5:$M$428&lt;=EOMONTH(B260,0),FALSE)&gt;0)*--(('Client DB &amp; Bed Mgmt'!$N$5:$N$428="")+NOT(ISNUMBER('Client DB &amp; Bed Mgmt'!$N$5:$N$428))+IFERROR('Client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</row>
    <row r="261" hidden="1" ht="14.25" customHeight="1" s="83">
      <c r="A261" s="103" t="n"/>
      <c r="B261" s="125">
        <f>DATE(YEAR(StartDate),MONTH(StartDate),1)</f>
        <v/>
      </c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Mgmt'!$B:$B,C261,'Client DB &amp; Bed Mgmt'!$E:$E,"Occupied"),0)</f>
        <v/>
      </c>
      <c r="K261" s="103" t="n"/>
      <c r="L261" s="103" t="n"/>
      <c r="M261" s="103">
        <f>COUNTIFS('Client DB &amp; Bed Mgmt'!$A:$A,$K261,'Client DB &amp; Bed Mgmt'!$B:$B,$L261,'Client DB &amp; Bed Mgmt'!$M:$M,"&lt;="&amp;EOMONTH($B261,0),'Client DB &amp; Bed Mgmt'!$N:$N,"&gt;="&amp;DATE(YEAR($B261),MONTH($B261),1))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>
        <f>IFERROR(J261*SUMPRODUCT(('Client DB &amp; Bed Mgmt'!$A$5:$A$428=A261)*('Client DB &amp; Bed Mgmt'!$B$5:$B$428=C261)*('Client DB &amp; Bed Mgmt'!$D$5:$D$428&lt;&gt;"")*--(('Client DB &amp; Bed Mgmt'!$M$5:$M$428="")+NOT(ISNUMBER('Client DB &amp; Bed Mgmt'!$M$5:$M$428))+IFERROR('Client DB &amp; Bed Mgmt'!$M$5:$M$428&lt;=EOMONTH(B261,0),FALSE)&gt;0)*--(('Client DB &amp; Bed Mgmt'!$N$5:$N$428="")+NOT(ISNUMBER('Client DB &amp; Bed Mgmt'!$N$5:$N$428))+IFERROR('Client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  <c r="V261" s="130">
        <f>IFERROR(T261*SUMPRODUCT(('Client DB &amp; Bed Mgmt'!$A$5:$A$428=K261)*('Client DB &amp; Bed Mgmt'!$B$5:$B$428=L261)*('Client DB &amp; Bed Mgmt'!$D$5:$D$428&lt;&gt;"")*--(('Client DB &amp; Bed Mgmt'!$M$5:$M$428="")+NOT(ISNUMBER('Client DB &amp; Bed Mgmt'!$M$5:$M$428))+IFERROR('Client DB &amp; Bed Mgmt'!$M$5:$M$428&lt;=EOMONTH(B261,0),FALSE)&gt;0)*--(('Client DB &amp; Bed Mgmt'!$N$5:$N$428="")+NOT(ISNUMBER('Client DB &amp; Bed Mgmt'!$N$5:$N$428))+IFERROR('Client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</row>
    <row r="262" hidden="1" ht="14.25" customHeight="1" s="83">
      <c r="A262" s="103" t="n"/>
      <c r="B262" s="125">
        <f>DATE(YEAR(StartDate),MONTH(StartDate),1)</f>
        <v/>
      </c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Mgmt'!$B:$B,C262,'Client DB &amp; Bed Mgmt'!$E:$E,"Occupied"),0)</f>
        <v/>
      </c>
      <c r="K262" s="103" t="n"/>
      <c r="L262" s="103" t="n"/>
      <c r="M262" s="103">
        <f>COUNTIFS('Client DB &amp; Bed Mgmt'!$A:$A,$K262,'Client DB &amp; Bed Mgmt'!$B:$B,$L262,'Client DB &amp; Bed Mgmt'!$M:$M,"&lt;="&amp;EOMONTH($B262,0),'Client DB &amp; Bed Mgmt'!$N:$N,"&gt;="&amp;DATE(YEAR($B262),MONTH($B262),1))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>
        <f>IFERROR(J262*SUMPRODUCT(('Client DB &amp; Bed Mgmt'!$A$5:$A$428=A262)*('Client DB &amp; Bed Mgmt'!$B$5:$B$428=C262)*('Client DB &amp; Bed Mgmt'!$D$5:$D$428&lt;&gt;"")*--(('Client DB &amp; Bed Mgmt'!$M$5:$M$428="")+NOT(ISNUMBER('Client DB &amp; Bed Mgmt'!$M$5:$M$428))+IFERROR('Client DB &amp; Bed Mgmt'!$M$5:$M$428&lt;=EOMONTH(B262,0),FALSE)&gt;0)*--(('Client DB &amp; Bed Mgmt'!$N$5:$N$428="")+NOT(ISNUMBER('Client DB &amp; Bed Mgmt'!$N$5:$N$428))+IFERROR('Client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  <c r="V262" s="130">
        <f>IFERROR(T262*SUMPRODUCT(('Client DB &amp; Bed Mgmt'!$A$5:$A$428=K262)*('Client DB &amp; Bed Mgmt'!$B$5:$B$428=L262)*('Client DB &amp; Bed Mgmt'!$D$5:$D$428&lt;&gt;"")*--(('Client DB &amp; Bed Mgmt'!$M$5:$M$428="")+NOT(ISNUMBER('Client DB &amp; Bed Mgmt'!$M$5:$M$428))+IFERROR('Client DB &amp; Bed Mgmt'!$M$5:$M$428&lt;=EOMONTH(B262,0),FALSE)&gt;0)*--(('Client DB &amp; Bed Mgmt'!$N$5:$N$428="")+NOT(ISNUMBER('Client DB &amp; Bed Mgmt'!$N$5:$N$428))+IFERROR('Client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</row>
    <row r="263" hidden="1" ht="14.25" customHeight="1" s="83">
      <c r="A263" s="103" t="n"/>
      <c r="B263" s="125">
        <f>DATE(YEAR(StartDate),MONTH(StartDate),1)</f>
        <v/>
      </c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Mgmt'!$B:$B,C263,'Client DB &amp; Bed Mgmt'!$E:$E,"Occupied"),0)</f>
        <v/>
      </c>
      <c r="K263" s="103" t="n"/>
      <c r="L263" s="103" t="n"/>
      <c r="M263" s="103">
        <f>COUNTIFS('Client DB &amp; Bed Mgmt'!$A:$A,$K263,'Client DB &amp; Bed Mgmt'!$B:$B,$L263,'Client DB &amp; Bed Mgmt'!$M:$M,"&lt;="&amp;EOMONTH($B263,0),'Client DB &amp; Bed Mgmt'!$N:$N,"&gt;="&amp;DATE(YEAR($B263),MONTH($B263),1))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>
        <f>IFERROR(J263*SUMPRODUCT(('Client DB &amp; Bed Mgmt'!$A$5:$A$428=A263)*('Client DB &amp; Bed Mgmt'!$B$5:$B$428=C263)*('Client DB &amp; Bed Mgmt'!$D$5:$D$428&lt;&gt;"")*--(('Client DB &amp; Bed Mgmt'!$M$5:$M$428="")+NOT(ISNUMBER('Client DB &amp; Bed Mgmt'!$M$5:$M$428))+IFERROR('Client DB &amp; Bed Mgmt'!$M$5:$M$428&lt;=EOMONTH(B263,0),FALSE)&gt;0)*--(('Client DB &amp; Bed Mgmt'!$N$5:$N$428="")+NOT(ISNUMBER('Client DB &amp; Bed Mgmt'!$N$5:$N$428))+IFERROR('Client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  <c r="V263" s="130">
        <f>IFERROR(T263*SUMPRODUCT(('Client DB &amp; Bed Mgmt'!$A$5:$A$428=K263)*('Client DB &amp; Bed Mgmt'!$B$5:$B$428=L263)*('Client DB &amp; Bed Mgmt'!$D$5:$D$428&lt;&gt;"")*--(('Client DB &amp; Bed Mgmt'!$M$5:$M$428="")+NOT(ISNUMBER('Client DB &amp; Bed Mgmt'!$M$5:$M$428))+IFERROR('Client DB &amp; Bed Mgmt'!$M$5:$M$428&lt;=EOMONTH(B263,0),FALSE)&gt;0)*--(('Client DB &amp; Bed Mgmt'!$N$5:$N$428="")+NOT(ISNUMBER('Client DB &amp; Bed Mgmt'!$N$5:$N$428))+IFERROR('Client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</row>
    <row r="264" hidden="1" ht="14.25" customHeight="1" s="83">
      <c r="A264" s="103" t="n"/>
      <c r="B264" s="125">
        <f>DATE(YEAR(StartDate),MONTH(StartDate),1)</f>
        <v/>
      </c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Mgmt'!$B:$B,C264,'Client DB &amp; Bed Mgmt'!$E:$E,"Occupied"),0)</f>
        <v/>
      </c>
      <c r="K264" s="103" t="n"/>
      <c r="L264" s="103" t="n"/>
      <c r="M264" s="103">
        <f>COUNTIFS('Client DB &amp; Bed Mgmt'!$A:$A,$K264,'Client DB &amp; Bed Mgmt'!$B:$B,$L264,'Client DB &amp; Bed Mgmt'!$M:$M,"&lt;="&amp;EOMONTH($B264,0),'Client DB &amp; Bed Mgmt'!$N:$N,"&gt;="&amp;DATE(YEAR($B264),MONTH($B264),1))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>
        <f>IFERROR(J264*SUMPRODUCT(('Client DB &amp; Bed Mgmt'!$A$5:$A$428=A264)*('Client DB &amp; Bed Mgmt'!$B$5:$B$428=C264)*('Client DB &amp; Bed Mgmt'!$D$5:$D$428&lt;&gt;"")*--(('Client DB &amp; Bed Mgmt'!$M$5:$M$428="")+NOT(ISNUMBER('Client DB &amp; Bed Mgmt'!$M$5:$M$428))+IFERROR('Client DB &amp; Bed Mgmt'!$M$5:$M$428&lt;=EOMONTH(B264,0),FALSE)&gt;0)*--(('Client DB &amp; Bed Mgmt'!$N$5:$N$428="")+NOT(ISNUMBER('Client DB &amp; Bed Mgmt'!$N$5:$N$428))+IFERROR('Client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  <c r="V264" s="130">
        <f>IFERROR(T264*SUMPRODUCT(('Client DB &amp; Bed Mgmt'!$A$5:$A$428=K264)*('Client DB &amp; Bed Mgmt'!$B$5:$B$428=L264)*('Client DB &amp; Bed Mgmt'!$D$5:$D$428&lt;&gt;"")*--(('Client DB &amp; Bed Mgmt'!$M$5:$M$428="")+NOT(ISNUMBER('Client DB &amp; Bed Mgmt'!$M$5:$M$428))+IFERROR('Client DB &amp; Bed Mgmt'!$M$5:$M$428&lt;=EOMONTH(B264,0),FALSE)&gt;0)*--(('Client DB &amp; Bed Mgmt'!$N$5:$N$428="")+NOT(ISNUMBER('Client DB &amp; Bed Mgmt'!$N$5:$N$428))+IFERROR('Client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</row>
    <row r="265" hidden="1" ht="14.25" customHeight="1" s="83">
      <c r="A265" s="103" t="n"/>
      <c r="B265" s="125">
        <f>DATE(YEAR(StartDate),MONTH(StartDate),1)</f>
        <v/>
      </c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Mgmt'!$B:$B,C265,'Client DB &amp; Bed Mgmt'!$E:$E,"Occupied"),0)</f>
        <v/>
      </c>
      <c r="K265" s="103" t="n"/>
      <c r="L265" s="103" t="n"/>
      <c r="M265" s="103">
        <f>COUNTIFS('Client DB &amp; Bed Mgmt'!$A:$A,$K265,'Client DB &amp; Bed Mgmt'!$B:$B,$L265,'Client DB &amp; Bed Mgmt'!$M:$M,"&lt;="&amp;EOMONTH($B265,0),'Client DB &amp; Bed Mgmt'!$N:$N,"&gt;="&amp;DATE(YEAR($B265),MONTH($B265),1))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>
        <f>IFERROR(J265*SUMPRODUCT(('Client DB &amp; Bed Mgmt'!$A$5:$A$428=A265)*('Client DB &amp; Bed Mgmt'!$B$5:$B$428=C265)*('Client DB &amp; Bed Mgmt'!$D$5:$D$428&lt;&gt;"")*--(('Client DB &amp; Bed Mgmt'!$M$5:$M$428="")+NOT(ISNUMBER('Client DB &amp; Bed Mgmt'!$M$5:$M$428))+IFERROR('Client DB &amp; Bed Mgmt'!$M$5:$M$428&lt;=EOMONTH(B265,0),FALSE)&gt;0)*--(('Client DB &amp; Bed Mgmt'!$N$5:$N$428="")+NOT(ISNUMBER('Client DB &amp; Bed Mgmt'!$N$5:$N$428))+IFERROR('Client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  <c r="V265" s="130">
        <f>IFERROR(T265*SUMPRODUCT(('Client DB &amp; Bed Mgmt'!$A$5:$A$428=K265)*('Client DB &amp; Bed Mgmt'!$B$5:$B$428=L265)*('Client DB &amp; Bed Mgmt'!$D$5:$D$428&lt;&gt;"")*--(('Client DB &amp; Bed Mgmt'!$M$5:$M$428="")+NOT(ISNUMBER('Client DB &amp; Bed Mgmt'!$M$5:$M$428))+IFERROR('Client DB &amp; Bed Mgmt'!$M$5:$M$428&lt;=EOMONTH(B265,0),FALSE)&gt;0)*--(('Client DB &amp; Bed Mgmt'!$N$5:$N$428="")+NOT(ISNUMBER('Client DB &amp; Bed Mgmt'!$N$5:$N$428))+IFERROR('Client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</row>
    <row r="266" hidden="1" ht="14.25" customHeight="1" s="83">
      <c r="A266" s="103" t="n"/>
      <c r="B266" s="125">
        <f>DATE(YEAR(StartDate),MONTH(StartDate),1)</f>
        <v/>
      </c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Mgmt'!$B:$B,C266,'Client DB &amp; Bed Mgmt'!$E:$E,"Occupied"),0)</f>
        <v/>
      </c>
      <c r="K266" s="103" t="n"/>
      <c r="L266" s="103" t="n"/>
      <c r="M266" s="103">
        <f>COUNTIFS('Client DB &amp; Bed Mgmt'!$A:$A,$K266,'Client DB &amp; Bed Mgmt'!$B:$B,$L266,'Client DB &amp; Bed Mgmt'!$M:$M,"&lt;="&amp;EOMONTH($B266,0),'Client DB &amp; Bed Mgmt'!$N:$N,"&gt;="&amp;DATE(YEAR($B266),MONTH($B266),1))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>
        <f>IFERROR(J266*SUMPRODUCT(('Client DB &amp; Bed Mgmt'!$A$5:$A$428=A266)*('Client DB &amp; Bed Mgmt'!$B$5:$B$428=C266)*('Client DB &amp; Bed Mgmt'!$D$5:$D$428&lt;&gt;"")*--(('Client DB &amp; Bed Mgmt'!$M$5:$M$428="")+NOT(ISNUMBER('Client DB &amp; Bed Mgmt'!$M$5:$M$428))+IFERROR('Client DB &amp; Bed Mgmt'!$M$5:$M$428&lt;=EOMONTH(B266,0),FALSE)&gt;0)*--(('Client DB &amp; Bed Mgmt'!$N$5:$N$428="")+NOT(ISNUMBER('Client DB &amp; Bed Mgmt'!$N$5:$N$428))+IFERROR('Client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  <c r="V266" s="130">
        <f>IFERROR(T266*SUMPRODUCT(('Client DB &amp; Bed Mgmt'!$A$5:$A$428=K266)*('Client DB &amp; Bed Mgmt'!$B$5:$B$428=L266)*('Client DB &amp; Bed Mgmt'!$D$5:$D$428&lt;&gt;"")*--(('Client DB &amp; Bed Mgmt'!$M$5:$M$428="")+NOT(ISNUMBER('Client DB &amp; Bed Mgmt'!$M$5:$M$428))+IFERROR('Client DB &amp; Bed Mgmt'!$M$5:$M$428&lt;=EOMONTH(B266,0),FALSE)&gt;0)*--(('Client DB &amp; Bed Mgmt'!$N$5:$N$428="")+NOT(ISNUMBER('Client DB &amp; Bed Mgmt'!$N$5:$N$428))+IFERROR('Client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</row>
    <row r="267" hidden="1" ht="14.25" customHeight="1" s="83">
      <c r="A267" s="103" t="n"/>
      <c r="B267" s="125">
        <f>DATE(YEAR(StartDate),MONTH(StartDate),1)</f>
        <v/>
      </c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Mgmt'!$B:$B,C267,'Client DB &amp; Bed Mgmt'!$E:$E,"Occupied"),0)</f>
        <v/>
      </c>
      <c r="K267" s="103" t="n"/>
      <c r="L267" s="103" t="n"/>
      <c r="M267" s="103">
        <f>COUNTIFS('Client DB &amp; Bed Mgmt'!$A:$A,$K267,'Client DB &amp; Bed Mgmt'!$B:$B,$L267,'Client DB &amp; Bed Mgmt'!$M:$M,"&lt;="&amp;EOMONTH($B267,0),'Client DB &amp; Bed Mgmt'!$N:$N,"&gt;="&amp;DATE(YEAR($B267),MONTH($B267),1))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>
        <f>IFERROR(J267*SUMPRODUCT(('Client DB &amp; Bed Mgmt'!$A$5:$A$428=A267)*('Client DB &amp; Bed Mgmt'!$B$5:$B$428=C267)*('Client DB &amp; Bed Mgmt'!$D$5:$D$428&lt;&gt;"")*--(('Client DB &amp; Bed Mgmt'!$M$5:$M$428="")+NOT(ISNUMBER('Client DB &amp; Bed Mgmt'!$M$5:$M$428))+IFERROR('Client DB &amp; Bed Mgmt'!$M$5:$M$428&lt;=EOMONTH(B267,0),FALSE)&gt;0)*--(('Client DB &amp; Bed Mgmt'!$N$5:$N$428="")+NOT(ISNUMBER('Client DB &amp; Bed Mgmt'!$N$5:$N$428))+IFERROR('Client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  <c r="V267" s="130">
        <f>IFERROR(T267*SUMPRODUCT(('Client DB &amp; Bed Mgmt'!$A$5:$A$428=K267)*('Client DB &amp; Bed Mgmt'!$B$5:$B$428=L267)*('Client DB &amp; Bed Mgmt'!$D$5:$D$428&lt;&gt;"")*--(('Client DB &amp; Bed Mgmt'!$M$5:$M$428="")+NOT(ISNUMBER('Client DB &amp; Bed Mgmt'!$M$5:$M$428))+IFERROR('Client DB &amp; Bed Mgmt'!$M$5:$M$428&lt;=EOMONTH(B267,0),FALSE)&gt;0)*--(('Client DB &amp; Bed Mgmt'!$N$5:$N$428="")+NOT(ISNUMBER('Client DB &amp; Bed Mgmt'!$N$5:$N$428))+IFERROR('Client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</row>
    <row r="268" hidden="1" ht="14.25" customHeight="1" s="83">
      <c r="A268" s="103" t="n"/>
      <c r="B268" s="125">
        <f>DATE(YEAR(StartDate),MONTH(StartDate),1)</f>
        <v/>
      </c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Mgmt'!$B:$B,C268,'Client DB &amp; Bed Mgmt'!$E:$E,"Occupied"),0)</f>
        <v/>
      </c>
      <c r="K268" s="103" t="n"/>
      <c r="L268" s="103" t="n"/>
      <c r="M268" s="103">
        <f>COUNTIFS('Client DB &amp; Bed Mgmt'!$A:$A,$K268,'Client DB &amp; Bed Mgmt'!$B:$B,$L268,'Client DB &amp; Bed Mgmt'!$M:$M,"&lt;="&amp;EOMONTH($B268,0),'Client DB &amp; Bed Mgmt'!$N:$N,"&gt;="&amp;DATE(YEAR($B268),MONTH($B268),1))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>
        <f>IFERROR(J268*SUMPRODUCT(('Client DB &amp; Bed Mgmt'!$A$5:$A$428=A268)*('Client DB &amp; Bed Mgmt'!$B$5:$B$428=C268)*('Client DB &amp; Bed Mgmt'!$D$5:$D$428&lt;&gt;"")*--(('Client DB &amp; Bed Mgmt'!$M$5:$M$428="")+NOT(ISNUMBER('Client DB &amp; Bed Mgmt'!$M$5:$M$428))+IFERROR('Client DB &amp; Bed Mgmt'!$M$5:$M$428&lt;=EOMONTH(B268,0),FALSE)&gt;0)*--(('Client DB &amp; Bed Mgmt'!$N$5:$N$428="")+NOT(ISNUMBER('Client DB &amp; Bed Mgmt'!$N$5:$N$428))+IFERROR('Client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  <c r="V268" s="130">
        <f>IFERROR(T268*SUMPRODUCT(('Client DB &amp; Bed Mgmt'!$A$5:$A$428=K268)*('Client DB &amp; Bed Mgmt'!$B$5:$B$428=L268)*('Client DB &amp; Bed Mgmt'!$D$5:$D$428&lt;&gt;"")*--(('Client DB &amp; Bed Mgmt'!$M$5:$M$428="")+NOT(ISNUMBER('Client DB &amp; Bed Mgmt'!$M$5:$M$428))+IFERROR('Client DB &amp; Bed Mgmt'!$M$5:$M$428&lt;=EOMONTH(B268,0),FALSE)&gt;0)*--(('Client DB &amp; Bed Mgmt'!$N$5:$N$428="")+NOT(ISNUMBER('Client DB &amp; Bed Mgmt'!$N$5:$N$428))+IFERROR('Client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</row>
    <row r="269" hidden="1" ht="14.25" customHeight="1" s="83">
      <c r="A269" s="103" t="n"/>
      <c r="B269" s="125">
        <f>DATE(YEAR(StartDate),MONTH(StartDate),1)</f>
        <v/>
      </c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Mgmt'!$B:$B,C269,'Client DB &amp; Bed Mgmt'!$E:$E,"Occupied"),0)</f>
        <v/>
      </c>
      <c r="K269" s="103" t="n"/>
      <c r="L269" s="103" t="n"/>
      <c r="M269" s="103">
        <f>COUNTIFS('Client DB &amp; Bed Mgmt'!$A:$A,$K269,'Client DB &amp; Bed Mgmt'!$B:$B,$L269,'Client DB &amp; Bed Mgmt'!$M:$M,"&lt;="&amp;EOMONTH($B269,0),'Client DB &amp; Bed Mgmt'!$N:$N,"&gt;="&amp;DATE(YEAR($B269),MONTH($B269),1))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>
        <f>IFERROR(J269*SUMPRODUCT(('Client DB &amp; Bed Mgmt'!$A$5:$A$428=A269)*('Client DB &amp; Bed Mgmt'!$B$5:$B$428=C269)*('Client DB &amp; Bed Mgmt'!$D$5:$D$428&lt;&gt;"")*--(('Client DB &amp; Bed Mgmt'!$M$5:$M$428="")+NOT(ISNUMBER('Client DB &amp; Bed Mgmt'!$M$5:$M$428))+IFERROR('Client DB &amp; Bed Mgmt'!$M$5:$M$428&lt;=EOMONTH(B269,0),FALSE)&gt;0)*--(('Client DB &amp; Bed Mgmt'!$N$5:$N$428="")+NOT(ISNUMBER('Client DB &amp; Bed Mgmt'!$N$5:$N$428))+IFERROR('Client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  <c r="V269" s="130">
        <f>IFERROR(T269*SUMPRODUCT(('Client DB &amp; Bed Mgmt'!$A$5:$A$428=K269)*('Client DB &amp; Bed Mgmt'!$B$5:$B$428=L269)*('Client DB &amp; Bed Mgmt'!$D$5:$D$428&lt;&gt;"")*--(('Client DB &amp; Bed Mgmt'!$M$5:$M$428="")+NOT(ISNUMBER('Client DB &amp; Bed Mgmt'!$M$5:$M$428))+IFERROR('Client DB &amp; Bed Mgmt'!$M$5:$M$428&lt;=EOMONTH(B269,0),FALSE)&gt;0)*--(('Client DB &amp; Bed Mgmt'!$N$5:$N$428="")+NOT(ISNUMBER('Client DB &amp; Bed Mgmt'!$N$5:$N$428))+IFERROR('Client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</row>
    <row r="270" hidden="1" ht="14.25" customHeight="1" s="83">
      <c r="A270" s="103" t="n"/>
      <c r="B270" s="125">
        <f>DATE(YEAR(StartDate),MONTH(StartDate),1)</f>
        <v/>
      </c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Mgmt'!$B:$B,C270,'Client DB &amp; Bed Mgmt'!$E:$E,"Occupied"),0)</f>
        <v/>
      </c>
      <c r="K270" s="103" t="n"/>
      <c r="L270" s="103" t="n"/>
      <c r="M270" s="103">
        <f>COUNTIFS('Client DB &amp; Bed Mgmt'!$A:$A,$K270,'Client DB &amp; Bed Mgmt'!$B:$B,$L270,'Client DB &amp; Bed Mgmt'!$M:$M,"&lt;="&amp;EOMONTH($B270,0),'Client DB &amp; Bed Mgmt'!$N:$N,"&gt;="&amp;DATE(YEAR($B270),MONTH($B270),1))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>
        <f>IFERROR(J270*SUMPRODUCT(('Client DB &amp; Bed Mgmt'!$A$5:$A$428=A270)*('Client DB &amp; Bed Mgmt'!$B$5:$B$428=C270)*('Client DB &amp; Bed Mgmt'!$D$5:$D$428&lt;&gt;"")*--(('Client DB &amp; Bed Mgmt'!$M$5:$M$428="")+NOT(ISNUMBER('Client DB &amp; Bed Mgmt'!$M$5:$M$428))+IFERROR('Client DB &amp; Bed Mgmt'!$M$5:$M$428&lt;=EOMONTH(B270,0),FALSE)&gt;0)*--(('Client DB &amp; Bed Mgmt'!$N$5:$N$428="")+NOT(ISNUMBER('Client DB &amp; Bed Mgmt'!$N$5:$N$428))+IFERROR('Client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  <c r="V270" s="130">
        <f>IFERROR(T270*SUMPRODUCT(('Client DB &amp; Bed Mgmt'!$A$5:$A$428=K270)*('Client DB &amp; Bed Mgmt'!$B$5:$B$428=L270)*('Client DB &amp; Bed Mgmt'!$D$5:$D$428&lt;&gt;"")*--(('Client DB &amp; Bed Mgmt'!$M$5:$M$428="")+NOT(ISNUMBER('Client DB &amp; Bed Mgmt'!$M$5:$M$428))+IFERROR('Client DB &amp; Bed Mgmt'!$M$5:$M$428&lt;=EOMONTH(B270,0),FALSE)&gt;0)*--(('Client DB &amp; Bed Mgmt'!$N$5:$N$428="")+NOT(ISNUMBER('Client DB &amp; Bed Mgmt'!$N$5:$N$428))+IFERROR('Client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</row>
    <row r="271" hidden="1" ht="14.25" customHeight="1" s="83">
      <c r="A271" s="103" t="n"/>
      <c r="B271" s="125">
        <f>DATE(YEAR(StartDate),MONTH(StartDate),1)</f>
        <v/>
      </c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Mgmt'!$B:$B,C271,'Client DB &amp; Bed Mgmt'!$E:$E,"Occupied"),0)</f>
        <v/>
      </c>
      <c r="K271" s="103" t="n"/>
      <c r="L271" s="103" t="n"/>
      <c r="M271" s="103">
        <f>COUNTIFS('Client DB &amp; Bed Mgmt'!$A:$A,$K271,'Client DB &amp; Bed Mgmt'!$B:$B,$L271,'Client DB &amp; Bed Mgmt'!$M:$M,"&lt;="&amp;EOMONTH($B271,0),'Client DB &amp; Bed Mgmt'!$N:$N,"&gt;="&amp;DATE(YEAR($B271),MONTH($B271),1))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>
        <f>IFERROR(J271*SUMPRODUCT(('Client DB &amp; Bed Mgmt'!$A$5:$A$428=A271)*('Client DB &amp; Bed Mgmt'!$B$5:$B$428=C271)*('Client DB &amp; Bed Mgmt'!$D$5:$D$428&lt;&gt;"")*--(('Client DB &amp; Bed Mgmt'!$M$5:$M$428="")+NOT(ISNUMBER('Client DB &amp; Bed Mgmt'!$M$5:$M$428))+IFERROR('Client DB &amp; Bed Mgmt'!$M$5:$M$428&lt;=EOMONTH(B271,0),FALSE)&gt;0)*--(('Client DB &amp; Bed Mgmt'!$N$5:$N$428="")+NOT(ISNUMBER('Client DB &amp; Bed Mgmt'!$N$5:$N$428))+IFERROR('Client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  <c r="V271" s="130">
        <f>IFERROR(T271*SUMPRODUCT(('Client DB &amp; Bed Mgmt'!$A$5:$A$428=K271)*('Client DB &amp; Bed Mgmt'!$B$5:$B$428=L271)*('Client DB &amp; Bed Mgmt'!$D$5:$D$428&lt;&gt;"")*--(('Client DB &amp; Bed Mgmt'!$M$5:$M$428="")+NOT(ISNUMBER('Client DB &amp; Bed Mgmt'!$M$5:$M$428))+IFERROR('Client DB &amp; Bed Mgmt'!$M$5:$M$428&lt;=EOMONTH(B271,0),FALSE)&gt;0)*--(('Client DB &amp; Bed Mgmt'!$N$5:$N$428="")+NOT(ISNUMBER('Client DB &amp; Bed Mgmt'!$N$5:$N$428))+IFERROR('Client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</row>
    <row r="272" hidden="1" ht="14.25" customHeight="1" s="83">
      <c r="A272" s="103" t="n"/>
      <c r="B272" s="125">
        <f>DATE(YEAR(StartDate),MONTH(StartDate),1)</f>
        <v/>
      </c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Mgmt'!$B:$B,C272,'Client DB &amp; Bed Mgmt'!$E:$E,"Occupied"),0)</f>
        <v/>
      </c>
      <c r="K272" s="103" t="n"/>
      <c r="L272" s="103" t="n"/>
      <c r="M272" s="103">
        <f>COUNTIFS('Client DB &amp; Bed Mgmt'!$A:$A,$K272,'Client DB &amp; Bed Mgmt'!$B:$B,$L272,'Client DB &amp; Bed Mgmt'!$M:$M,"&lt;="&amp;EOMONTH($B272,0),'Client DB &amp; Bed Mgmt'!$N:$N,"&gt;="&amp;DATE(YEAR($B272),MONTH($B272),1))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>
        <f>IFERROR(J272*SUMPRODUCT(('Client DB &amp; Bed Mgmt'!$A$5:$A$428=A272)*('Client DB &amp; Bed Mgmt'!$B$5:$B$428=C272)*('Client DB &amp; Bed Mgmt'!$D$5:$D$428&lt;&gt;"")*--(('Client DB &amp; Bed Mgmt'!$M$5:$M$428="")+NOT(ISNUMBER('Client DB &amp; Bed Mgmt'!$M$5:$M$428))+IFERROR('Client DB &amp; Bed Mgmt'!$M$5:$M$428&lt;=EOMONTH(B272,0),FALSE)&gt;0)*--(('Client DB &amp; Bed Mgmt'!$N$5:$N$428="")+NOT(ISNUMBER('Client DB &amp; Bed Mgmt'!$N$5:$N$428))+IFERROR('Client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  <c r="V272" s="130">
        <f>IFERROR(T272*SUMPRODUCT(('Client DB &amp; Bed Mgmt'!$A$5:$A$428=K272)*('Client DB &amp; Bed Mgmt'!$B$5:$B$428=L272)*('Client DB &amp; Bed Mgmt'!$D$5:$D$428&lt;&gt;"")*--(('Client DB &amp; Bed Mgmt'!$M$5:$M$428="")+NOT(ISNUMBER('Client DB &amp; Bed Mgmt'!$M$5:$M$428))+IFERROR('Client DB &amp; Bed Mgmt'!$M$5:$M$428&lt;=EOMONTH(B272,0),FALSE)&gt;0)*--(('Client DB &amp; Bed Mgmt'!$N$5:$N$428="")+NOT(ISNUMBER('Client DB &amp; Bed Mgmt'!$N$5:$N$428))+IFERROR('Client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</row>
    <row r="273" hidden="1" ht="14.25" customHeight="1" s="83">
      <c r="A273" s="103" t="n"/>
      <c r="B273" s="125">
        <f>DATE(YEAR(StartDate),MONTH(StartDate),1)</f>
        <v/>
      </c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Mgmt'!$B:$B,C273,'Client DB &amp; Bed Mgmt'!$E:$E,"Occupied"),0)</f>
        <v/>
      </c>
      <c r="K273" s="103" t="n"/>
      <c r="L273" s="103" t="n"/>
      <c r="M273" s="103">
        <f>COUNTIFS('Client DB &amp; Bed Mgmt'!$A:$A,$K273,'Client DB &amp; Bed Mgmt'!$B:$B,$L273,'Client DB &amp; Bed Mgmt'!$M:$M,"&lt;="&amp;EOMONTH($B273,0),'Client DB &amp; Bed Mgmt'!$N:$N,"&gt;="&amp;DATE(YEAR($B273),MONTH($B273),1))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>
        <f>IFERROR(J273*SUMPRODUCT(('Client DB &amp; Bed Mgmt'!$A$5:$A$428=A273)*('Client DB &amp; Bed Mgmt'!$B$5:$B$428=C273)*('Client DB &amp; Bed Mgmt'!$D$5:$D$428&lt;&gt;"")*--(('Client DB &amp; Bed Mgmt'!$M$5:$M$428="")+NOT(ISNUMBER('Client DB &amp; Bed Mgmt'!$M$5:$M$428))+IFERROR('Client DB &amp; Bed Mgmt'!$M$5:$M$428&lt;=EOMONTH(B273,0),FALSE)&gt;0)*--(('Client DB &amp; Bed Mgmt'!$N$5:$N$428="")+NOT(ISNUMBER('Client DB &amp; Bed Mgmt'!$N$5:$N$428))+IFERROR('Client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  <c r="V273" s="130">
        <f>IFERROR(T273*SUMPRODUCT(('Client DB &amp; Bed Mgmt'!$A$5:$A$428=K273)*('Client DB &amp; Bed Mgmt'!$B$5:$B$428=L273)*('Client DB &amp; Bed Mgmt'!$D$5:$D$428&lt;&gt;"")*--(('Client DB &amp; Bed Mgmt'!$M$5:$M$428="")+NOT(ISNUMBER('Client DB &amp; Bed Mgmt'!$M$5:$M$428))+IFERROR('Client DB &amp; Bed Mgmt'!$M$5:$M$428&lt;=EOMONTH(B273,0),FALSE)&gt;0)*--(('Client DB &amp; Bed Mgmt'!$N$5:$N$428="")+NOT(ISNUMBER('Client DB &amp; Bed Mgmt'!$N$5:$N$428))+IFERROR('Client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</row>
    <row r="274" hidden="1" ht="14.25" customHeight="1" s="83">
      <c r="A274" s="103" t="n"/>
      <c r="B274" s="125">
        <f>DATE(YEAR(StartDate),MONTH(StartDate),1)</f>
        <v/>
      </c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Mgmt'!$B:$B,C274,'Client DB &amp; Bed Mgmt'!$E:$E,"Occupied"),0)</f>
        <v/>
      </c>
      <c r="K274" s="103" t="n"/>
      <c r="L274" s="103" t="n"/>
      <c r="M274" s="103">
        <f>COUNTIFS('Client DB &amp; Bed Mgmt'!$A:$A,$K274,'Client DB &amp; Bed Mgmt'!$B:$B,$L274,'Client DB &amp; Bed Mgmt'!$M:$M,"&lt;="&amp;EOMONTH($B274,0),'Client DB &amp; Bed Mgmt'!$N:$N,"&gt;="&amp;DATE(YEAR($B274),MONTH($B274),1))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>
        <f>IFERROR(J274*SUMPRODUCT(('Client DB &amp; Bed Mgmt'!$A$5:$A$428=A274)*('Client DB &amp; Bed Mgmt'!$B$5:$B$428=C274)*('Client DB &amp; Bed Mgmt'!$D$5:$D$428&lt;&gt;"")*--(('Client DB &amp; Bed Mgmt'!$M$5:$M$428="")+NOT(ISNUMBER('Client DB &amp; Bed Mgmt'!$M$5:$M$428))+IFERROR('Client DB &amp; Bed Mgmt'!$M$5:$M$428&lt;=EOMONTH(B274,0),FALSE)&gt;0)*--(('Client DB &amp; Bed Mgmt'!$N$5:$N$428="")+NOT(ISNUMBER('Client DB &amp; Bed Mgmt'!$N$5:$N$428))+IFERROR('Client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  <c r="V274" s="130">
        <f>IFERROR(T274*SUMPRODUCT(('Client DB &amp; Bed Mgmt'!$A$5:$A$428=K274)*('Client DB &amp; Bed Mgmt'!$B$5:$B$428=L274)*('Client DB &amp; Bed Mgmt'!$D$5:$D$428&lt;&gt;"")*--(('Client DB &amp; Bed Mgmt'!$M$5:$M$428="")+NOT(ISNUMBER('Client DB &amp; Bed Mgmt'!$M$5:$M$428))+IFERROR('Client DB &amp; Bed Mgmt'!$M$5:$M$428&lt;=EOMONTH(B274,0),FALSE)&gt;0)*--(('Client DB &amp; Bed Mgmt'!$N$5:$N$428="")+NOT(ISNUMBER('Client DB &amp; Bed Mgmt'!$N$5:$N$428))+IFERROR('Client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</row>
    <row r="275" hidden="1" ht="14.25" customHeight="1" s="83">
      <c r="A275" s="103" t="n"/>
      <c r="B275" s="125">
        <f>DATE(YEAR(StartDate),MONTH(StartDate),1)</f>
        <v/>
      </c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Mgmt'!$B:$B,C275,'Client DB &amp; Bed Mgmt'!$E:$E,"Occupied"),0)</f>
        <v/>
      </c>
      <c r="K275" s="103" t="n"/>
      <c r="L275" s="103" t="n"/>
      <c r="M275" s="103">
        <f>COUNTIFS('Client DB &amp; Bed Mgmt'!$A:$A,$K275,'Client DB &amp; Bed Mgmt'!$B:$B,$L275,'Client DB &amp; Bed Mgmt'!$M:$M,"&lt;="&amp;EOMONTH($B275,0),'Client DB &amp; Bed Mgmt'!$N:$N,"&gt;="&amp;DATE(YEAR($B275),MONTH($B275),1))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>
        <f>IFERROR(J275*SUMPRODUCT(('Client DB &amp; Bed Mgmt'!$A$5:$A$428=A275)*('Client DB &amp; Bed Mgmt'!$B$5:$B$428=C275)*('Client DB &amp; Bed Mgmt'!$D$5:$D$428&lt;&gt;"")*--(('Client DB &amp; Bed Mgmt'!$M$5:$M$428="")+NOT(ISNUMBER('Client DB &amp; Bed Mgmt'!$M$5:$M$428))+IFERROR('Client DB &amp; Bed Mgmt'!$M$5:$M$428&lt;=EOMONTH(B275,0),FALSE)&gt;0)*--(('Client DB &amp; Bed Mgmt'!$N$5:$N$428="")+NOT(ISNUMBER('Client DB &amp; Bed Mgmt'!$N$5:$N$428))+IFERROR('Client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  <c r="V275" s="130">
        <f>IFERROR(T275*SUMPRODUCT(('Client DB &amp; Bed Mgmt'!$A$5:$A$428=K275)*('Client DB &amp; Bed Mgmt'!$B$5:$B$428=L275)*('Client DB &amp; Bed Mgmt'!$D$5:$D$428&lt;&gt;"")*--(('Client DB &amp; Bed Mgmt'!$M$5:$M$428="")+NOT(ISNUMBER('Client DB &amp; Bed Mgmt'!$M$5:$M$428))+IFERROR('Client DB &amp; Bed Mgmt'!$M$5:$M$428&lt;=EOMONTH(B275,0),FALSE)&gt;0)*--(('Client DB &amp; Bed Mgmt'!$N$5:$N$428="")+NOT(ISNUMBER('Client DB &amp; Bed Mgmt'!$N$5:$N$428))+IFERROR('Client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</row>
    <row r="276" hidden="1" ht="14.25" customHeight="1" s="83">
      <c r="A276" s="103" t="n"/>
      <c r="B276" s="125">
        <f>DATE(YEAR(StartDate),MONTH(StartDate),1)</f>
        <v/>
      </c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Mgmt'!$B:$B,C276,'Client DB &amp; Bed Mgmt'!$E:$E,"Occupied"),0)</f>
        <v/>
      </c>
      <c r="K276" s="103" t="n"/>
      <c r="L276" s="103" t="n"/>
      <c r="M276" s="103">
        <f>COUNTIFS('Client DB &amp; Bed Mgmt'!$A:$A,$K276,'Client DB &amp; Bed Mgmt'!$B:$B,$L276,'Client DB &amp; Bed Mgmt'!$M:$M,"&lt;="&amp;EOMONTH($B276,0),'Client DB &amp; Bed Mgmt'!$N:$N,"&gt;="&amp;DATE(YEAR($B276),MONTH($B276),1))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>
        <f>IFERROR(J276*SUMPRODUCT(('Client DB &amp; Bed Mgmt'!$A$5:$A$428=A276)*('Client DB &amp; Bed Mgmt'!$B$5:$B$428=C276)*('Client DB &amp; Bed Mgmt'!$D$5:$D$428&lt;&gt;"")*--(('Client DB &amp; Bed Mgmt'!$M$5:$M$428="")+NOT(ISNUMBER('Client DB &amp; Bed Mgmt'!$M$5:$M$428))+IFERROR('Client DB &amp; Bed Mgmt'!$M$5:$M$428&lt;=EOMONTH(B276,0),FALSE)&gt;0)*--(('Client DB &amp; Bed Mgmt'!$N$5:$N$428="")+NOT(ISNUMBER('Client DB &amp; Bed Mgmt'!$N$5:$N$428))+IFERROR('Client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  <c r="V276" s="130">
        <f>IFERROR(T276*SUMPRODUCT(('Client DB &amp; Bed Mgmt'!$A$5:$A$428=K276)*('Client DB &amp; Bed Mgmt'!$B$5:$B$428=L276)*('Client DB &amp; Bed Mgmt'!$D$5:$D$428&lt;&gt;"")*--(('Client DB &amp; Bed Mgmt'!$M$5:$M$428="")+NOT(ISNUMBER('Client DB &amp; Bed Mgmt'!$M$5:$M$428))+IFERROR('Client DB &amp; Bed Mgmt'!$M$5:$M$428&lt;=EOMONTH(B276,0),FALSE)&gt;0)*--(('Client DB &amp; Bed Mgmt'!$N$5:$N$428="")+NOT(ISNUMBER('Client DB &amp; Bed Mgmt'!$N$5:$N$428))+IFERROR('Client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</row>
    <row r="277" hidden="1" ht="14.25" customHeight="1" s="83">
      <c r="A277" s="103" t="n"/>
      <c r="B277" s="125">
        <f>DATE(YEAR(StartDate),MONTH(StartDate),1)</f>
        <v/>
      </c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Mgmt'!$B:$B,C277,'Client DB &amp; Bed Mgmt'!$E:$E,"Occupied"),0)</f>
        <v/>
      </c>
      <c r="K277" s="103" t="n"/>
      <c r="L277" s="103" t="n"/>
      <c r="M277" s="103">
        <f>COUNTIFS('Client DB &amp; Bed Mgmt'!$A:$A,$K277,'Client DB &amp; Bed Mgmt'!$B:$B,$L277,'Client DB &amp; Bed Mgmt'!$M:$M,"&lt;="&amp;EOMONTH($B277,0),'Client DB &amp; Bed Mgmt'!$N:$N,"&gt;="&amp;DATE(YEAR($B277),MONTH($B277),1))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>
        <f>IFERROR(J277*SUMPRODUCT(('Client DB &amp; Bed Mgmt'!$A$5:$A$428=A277)*('Client DB &amp; Bed Mgmt'!$B$5:$B$428=C277)*('Client DB &amp; Bed Mgmt'!$D$5:$D$428&lt;&gt;"")*--(('Client DB &amp; Bed Mgmt'!$M$5:$M$428="")+NOT(ISNUMBER('Client DB &amp; Bed Mgmt'!$M$5:$M$428))+IFERROR('Client DB &amp; Bed Mgmt'!$M$5:$M$428&lt;=EOMONTH(B277,0),FALSE)&gt;0)*--(('Client DB &amp; Bed Mgmt'!$N$5:$N$428="")+NOT(ISNUMBER('Client DB &amp; Bed Mgmt'!$N$5:$N$428))+IFERROR('Client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  <c r="V277" s="130">
        <f>IFERROR(T277*SUMPRODUCT(('Client DB &amp; Bed Mgmt'!$A$5:$A$428=K277)*('Client DB &amp; Bed Mgmt'!$B$5:$B$428=L277)*('Client DB &amp; Bed Mgmt'!$D$5:$D$428&lt;&gt;"")*--(('Client DB &amp; Bed Mgmt'!$M$5:$M$428="")+NOT(ISNUMBER('Client DB &amp; Bed Mgmt'!$M$5:$M$428))+IFERROR('Client DB &amp; Bed Mgmt'!$M$5:$M$428&lt;=EOMONTH(B277,0),FALSE)&gt;0)*--(('Client DB &amp; Bed Mgmt'!$N$5:$N$428="")+NOT(ISNUMBER('Client DB &amp; Bed Mgmt'!$N$5:$N$428))+IFERROR('Client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</row>
    <row r="278" hidden="1" ht="14.25" customHeight="1" s="83">
      <c r="A278" s="103" t="n"/>
      <c r="B278" s="125">
        <f>DATE(YEAR(StartDate),MONTH(StartDate),1)</f>
        <v/>
      </c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Mgmt'!$B:$B,C278,'Client DB &amp; Bed Mgmt'!$E:$E,"Occupied"),0)</f>
        <v/>
      </c>
      <c r="K278" s="103" t="n"/>
      <c r="L278" s="103" t="n"/>
      <c r="M278" s="103">
        <f>COUNTIFS('Client DB &amp; Bed Mgmt'!$A:$A,$K278,'Client DB &amp; Bed Mgmt'!$B:$B,$L278,'Client DB &amp; Bed Mgmt'!$M:$M,"&lt;="&amp;EOMONTH($B278,0),'Client DB &amp; Bed Mgmt'!$N:$N,"&gt;="&amp;DATE(YEAR($B278),MONTH($B278),1))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>
        <f>IFERROR(J278*SUMPRODUCT(('Client DB &amp; Bed Mgmt'!$A$5:$A$428=A278)*('Client DB &amp; Bed Mgmt'!$B$5:$B$428=C278)*('Client DB &amp; Bed Mgmt'!$D$5:$D$428&lt;&gt;"")*--(('Client DB &amp; Bed Mgmt'!$M$5:$M$428="")+NOT(ISNUMBER('Client DB &amp; Bed Mgmt'!$M$5:$M$428))+IFERROR('Client DB &amp; Bed Mgmt'!$M$5:$M$428&lt;=EOMONTH(B278,0),FALSE)&gt;0)*--(('Client DB &amp; Bed Mgmt'!$N$5:$N$428="")+NOT(ISNUMBER('Client DB &amp; Bed Mgmt'!$N$5:$N$428))+IFERROR('Client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  <c r="V278" s="130">
        <f>IFERROR(T278*SUMPRODUCT(('Client DB &amp; Bed Mgmt'!$A$5:$A$428=K278)*('Client DB &amp; Bed Mgmt'!$B$5:$B$428=L278)*('Client DB &amp; Bed Mgmt'!$D$5:$D$428&lt;&gt;"")*--(('Client DB &amp; Bed Mgmt'!$M$5:$M$428="")+NOT(ISNUMBER('Client DB &amp; Bed Mgmt'!$M$5:$M$428))+IFERROR('Client DB &amp; Bed Mgmt'!$M$5:$M$428&lt;=EOMONTH(B278,0),FALSE)&gt;0)*--(('Client DB &amp; Bed Mgmt'!$N$5:$N$428="")+NOT(ISNUMBER('Client DB &amp; Bed Mgmt'!$N$5:$N$428))+IFERROR('Client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</row>
    <row r="279" hidden="1" ht="14.25" customHeight="1" s="83">
      <c r="A279" s="103" t="n"/>
      <c r="B279" s="125">
        <f>DATE(YEAR(StartDate),MONTH(StartDate),1)</f>
        <v/>
      </c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Mgmt'!$B:$B,C279,'Client DB &amp; Bed Mgmt'!$E:$E,"Occupied"),0)</f>
        <v/>
      </c>
      <c r="K279" s="103" t="n"/>
      <c r="L279" s="103" t="n"/>
      <c r="M279" s="103">
        <f>COUNTIFS('Client DB &amp; Bed Mgmt'!$A:$A,$K279,'Client DB &amp; Bed Mgmt'!$B:$B,$L279,'Client DB &amp; Bed Mgmt'!$M:$M,"&lt;="&amp;EOMONTH($B279,0),'Client DB &amp; Bed Mgmt'!$N:$N,"&gt;="&amp;DATE(YEAR($B279),MONTH($B279),1))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>
        <f>IFERROR(J279*SUMPRODUCT(('Client DB &amp; Bed Mgmt'!$A$5:$A$428=A279)*('Client DB &amp; Bed Mgmt'!$B$5:$B$428=C279)*('Client DB &amp; Bed Mgmt'!$D$5:$D$428&lt;&gt;"")*--(('Client DB &amp; Bed Mgmt'!$M$5:$M$428="")+NOT(ISNUMBER('Client DB &amp; Bed Mgmt'!$M$5:$M$428))+IFERROR('Client DB &amp; Bed Mgmt'!$M$5:$M$428&lt;=EOMONTH(B279,0),FALSE)&gt;0)*--(('Client DB &amp; Bed Mgmt'!$N$5:$N$428="")+NOT(ISNUMBER('Client DB &amp; Bed Mgmt'!$N$5:$N$428))+IFERROR('Client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  <c r="V279" s="130">
        <f>IFERROR(T279*SUMPRODUCT(('Client DB &amp; Bed Mgmt'!$A$5:$A$428=K279)*('Client DB &amp; Bed Mgmt'!$B$5:$B$428=L279)*('Client DB &amp; Bed Mgmt'!$D$5:$D$428&lt;&gt;"")*--(('Client DB &amp; Bed Mgmt'!$M$5:$M$428="")+NOT(ISNUMBER('Client DB &amp; Bed Mgmt'!$M$5:$M$428))+IFERROR('Client DB &amp; Bed Mgmt'!$M$5:$M$428&lt;=EOMONTH(B279,0),FALSE)&gt;0)*--(('Client DB &amp; Bed Mgmt'!$N$5:$N$428="")+NOT(ISNUMBER('Client DB &amp; Bed Mgmt'!$N$5:$N$428))+IFERROR('Client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</row>
    <row r="280" hidden="1" ht="14.25" customHeight="1" s="83">
      <c r="A280" s="103" t="n"/>
      <c r="B280" s="125">
        <f>DATE(YEAR(StartDate),MONTH(StartDate),1)</f>
        <v/>
      </c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Mgmt'!$B:$B,C280,'Client DB &amp; Bed Mgmt'!$E:$E,"Occupied"),0)</f>
        <v/>
      </c>
      <c r="K280" s="103" t="n"/>
      <c r="L280" s="103" t="n"/>
      <c r="M280" s="103">
        <f>COUNTIFS('Client DB &amp; Bed Mgmt'!$A:$A,$K280,'Client DB &amp; Bed Mgmt'!$B:$B,$L280,'Client DB &amp; Bed Mgmt'!$M:$M,"&lt;="&amp;EOMONTH($B280,0),'Client DB &amp; Bed Mgmt'!$N:$N,"&gt;="&amp;DATE(YEAR($B280),MONTH($B280),1))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>
        <f>IFERROR(J280*SUMPRODUCT(('Client DB &amp; Bed Mgmt'!$A$5:$A$428=A280)*('Client DB &amp; Bed Mgmt'!$B$5:$B$428=C280)*('Client DB &amp; Bed Mgmt'!$D$5:$D$428&lt;&gt;"")*--(('Client DB &amp; Bed Mgmt'!$M$5:$M$428="")+NOT(ISNUMBER('Client DB &amp; Bed Mgmt'!$M$5:$M$428))+IFERROR('Client DB &amp; Bed Mgmt'!$M$5:$M$428&lt;=EOMONTH(B280,0),FALSE)&gt;0)*--(('Client DB &amp; Bed Mgmt'!$N$5:$N$428="")+NOT(ISNUMBER('Client DB &amp; Bed Mgmt'!$N$5:$N$428))+IFERROR('Client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  <c r="V280" s="130">
        <f>IFERROR(T280*SUMPRODUCT(('Client DB &amp; Bed Mgmt'!$A$5:$A$428=K280)*('Client DB &amp; Bed Mgmt'!$B$5:$B$428=L280)*('Client DB &amp; Bed Mgmt'!$D$5:$D$428&lt;&gt;"")*--(('Client DB &amp; Bed Mgmt'!$M$5:$M$428="")+NOT(ISNUMBER('Client DB &amp; Bed Mgmt'!$M$5:$M$428))+IFERROR('Client DB &amp; Bed Mgmt'!$M$5:$M$428&lt;=EOMONTH(B280,0),FALSE)&gt;0)*--(('Client DB &amp; Bed Mgmt'!$N$5:$N$428="")+NOT(ISNUMBER('Client DB &amp; Bed Mgmt'!$N$5:$N$428))+IFERROR('Client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</row>
    <row r="281" hidden="1" ht="14.25" customHeight="1" s="83">
      <c r="A281" s="103" t="n"/>
      <c r="B281" s="125">
        <f>DATE(YEAR(StartDate),MONTH(StartDate),1)</f>
        <v/>
      </c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Mgmt'!$B:$B,C281,'Client DB &amp; Bed Mgmt'!$E:$E,"Occupied"),0)</f>
        <v/>
      </c>
      <c r="K281" s="103" t="n"/>
      <c r="L281" s="103" t="n"/>
      <c r="M281" s="103">
        <f>COUNTIFS('Client DB &amp; Bed Mgmt'!$A:$A,$K281,'Client DB &amp; Bed Mgmt'!$B:$B,$L281,'Client DB &amp; Bed Mgmt'!$M:$M,"&lt;="&amp;EOMONTH($B281,0),'Client DB &amp; Bed Mgmt'!$N:$N,"&gt;="&amp;DATE(YEAR($B281),MONTH($B281),1))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>
        <f>IFERROR(J281*SUMPRODUCT(('Client DB &amp; Bed Mgmt'!$A$5:$A$428=A281)*('Client DB &amp; Bed Mgmt'!$B$5:$B$428=C281)*('Client DB &amp; Bed Mgmt'!$D$5:$D$428&lt;&gt;"")*--(('Client DB &amp; Bed Mgmt'!$M$5:$M$428="")+NOT(ISNUMBER('Client DB &amp; Bed Mgmt'!$M$5:$M$428))+IFERROR('Client DB &amp; Bed Mgmt'!$M$5:$M$428&lt;=EOMONTH(B281,0),FALSE)&gt;0)*--(('Client DB &amp; Bed Mgmt'!$N$5:$N$428="")+NOT(ISNUMBER('Client DB &amp; Bed Mgmt'!$N$5:$N$428))+IFERROR('Client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  <c r="V281" s="130">
        <f>IFERROR(T281*SUMPRODUCT(('Client DB &amp; Bed Mgmt'!$A$5:$A$428=K281)*('Client DB &amp; Bed Mgmt'!$B$5:$B$428=L281)*('Client DB &amp; Bed Mgmt'!$D$5:$D$428&lt;&gt;"")*--(('Client DB &amp; Bed Mgmt'!$M$5:$M$428="")+NOT(ISNUMBER('Client DB &amp; Bed Mgmt'!$M$5:$M$428))+IFERROR('Client DB &amp; Bed Mgmt'!$M$5:$M$428&lt;=EOMONTH(B281,0),FALSE)&gt;0)*--(('Client DB &amp; Bed Mgmt'!$N$5:$N$428="")+NOT(ISNUMBER('Client DB &amp; Bed Mgmt'!$N$5:$N$428))+IFERROR('Client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</row>
    <row r="282" hidden="1" ht="14.25" customHeight="1" s="83">
      <c r="A282" s="103" t="n"/>
      <c r="B282" s="125">
        <f>DATE(YEAR(StartDate),MONTH(StartDate),1)</f>
        <v/>
      </c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Mgmt'!$B:$B,C282,'Client DB &amp; Bed Mgmt'!$E:$E,"Occupied"),0)</f>
        <v/>
      </c>
      <c r="K282" s="103" t="n"/>
      <c r="L282" s="103" t="n"/>
      <c r="M282" s="103">
        <f>COUNTIFS('Client DB &amp; Bed Mgmt'!$A:$A,$K282,'Client DB &amp; Bed Mgmt'!$B:$B,$L282,'Client DB &amp; Bed Mgmt'!$M:$M,"&lt;="&amp;EOMONTH($B282,0),'Client DB &amp; Bed Mgmt'!$N:$N,"&gt;="&amp;DATE(YEAR($B282),MONTH($B282),1))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>
        <f>IFERROR(J282*SUMPRODUCT(('Client DB &amp; Bed Mgmt'!$A$5:$A$428=A282)*('Client DB &amp; Bed Mgmt'!$B$5:$B$428=C282)*('Client DB &amp; Bed Mgmt'!$D$5:$D$428&lt;&gt;"")*--(('Client DB &amp; Bed Mgmt'!$M$5:$M$428="")+NOT(ISNUMBER('Client DB &amp; Bed Mgmt'!$M$5:$M$428))+IFERROR('Client DB &amp; Bed Mgmt'!$M$5:$M$428&lt;=EOMONTH(B282,0),FALSE)&gt;0)*--(('Client DB &amp; Bed Mgmt'!$N$5:$N$428="")+NOT(ISNUMBER('Client DB &amp; Bed Mgmt'!$N$5:$N$428))+IFERROR('Client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  <c r="V282" s="130">
        <f>IFERROR(T282*SUMPRODUCT(('Client DB &amp; Bed Mgmt'!$A$5:$A$428=K282)*('Client DB &amp; Bed Mgmt'!$B$5:$B$428=L282)*('Client DB &amp; Bed Mgmt'!$D$5:$D$428&lt;&gt;"")*--(('Client DB &amp; Bed Mgmt'!$M$5:$M$428="")+NOT(ISNUMBER('Client DB &amp; Bed Mgmt'!$M$5:$M$428))+IFERROR('Client DB &amp; Bed Mgmt'!$M$5:$M$428&lt;=EOMONTH(B282,0),FALSE)&gt;0)*--(('Client DB &amp; Bed Mgmt'!$N$5:$N$428="")+NOT(ISNUMBER('Client DB &amp; Bed Mgmt'!$N$5:$N$428))+IFERROR('Client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</row>
    <row r="283" hidden="1" ht="14.25" customHeight="1" s="83">
      <c r="A283" s="103" t="n"/>
      <c r="B283" s="125">
        <f>DATE(YEAR(StartDate),MONTH(StartDate),1)</f>
        <v/>
      </c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Mgmt'!$B:$B,C283,'Client DB &amp; Bed Mgmt'!$E:$E,"Occupied"),0)</f>
        <v/>
      </c>
      <c r="K283" s="103" t="n"/>
      <c r="L283" s="103" t="n"/>
      <c r="M283" s="103">
        <f>COUNTIFS('Client DB &amp; Bed Mgmt'!$A:$A,$K283,'Client DB &amp; Bed Mgmt'!$B:$B,$L283,'Client DB &amp; Bed Mgmt'!$M:$M,"&lt;="&amp;EOMONTH($B283,0),'Client DB &amp; Bed Mgmt'!$N:$N,"&gt;="&amp;DATE(YEAR($B283),MONTH($B283),1))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>
        <f>IFERROR(J283*SUMPRODUCT(('Client DB &amp; Bed Mgmt'!$A$5:$A$428=A283)*('Client DB &amp; Bed Mgmt'!$B$5:$B$428=C283)*('Client DB &amp; Bed Mgmt'!$D$5:$D$428&lt;&gt;"")*--(('Client DB &amp; Bed Mgmt'!$M$5:$M$428="")+NOT(ISNUMBER('Client DB &amp; Bed Mgmt'!$M$5:$M$428))+IFERROR('Client DB &amp; Bed Mgmt'!$M$5:$M$428&lt;=EOMONTH(B283,0),FALSE)&gt;0)*--(('Client DB &amp; Bed Mgmt'!$N$5:$N$428="")+NOT(ISNUMBER('Client DB &amp; Bed Mgmt'!$N$5:$N$428))+IFERROR('Client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  <c r="V283" s="130">
        <f>IFERROR(T283*SUMPRODUCT(('Client DB &amp; Bed Mgmt'!$A$5:$A$428=K283)*('Client DB &amp; Bed Mgmt'!$B$5:$B$428=L283)*('Client DB &amp; Bed Mgmt'!$D$5:$D$428&lt;&gt;"")*--(('Client DB &amp; Bed Mgmt'!$M$5:$M$428="")+NOT(ISNUMBER('Client DB &amp; Bed Mgmt'!$M$5:$M$428))+IFERROR('Client DB &amp; Bed Mgmt'!$M$5:$M$428&lt;=EOMONTH(B283,0),FALSE)&gt;0)*--(('Client DB &amp; Bed Mgmt'!$N$5:$N$428="")+NOT(ISNUMBER('Client DB &amp; Bed Mgmt'!$N$5:$N$428))+IFERROR('Client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</row>
    <row r="284" hidden="1" ht="14.25" customHeight="1" s="83">
      <c r="A284" s="103" t="n"/>
      <c r="B284" s="125">
        <f>DATE(YEAR(StartDate),MONTH(StartDate),1)</f>
        <v/>
      </c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Mgmt'!$B:$B,C284,'Client DB &amp; Bed Mgmt'!$E:$E,"Occupied"),0)</f>
        <v/>
      </c>
      <c r="K284" s="103" t="n"/>
      <c r="L284" s="103" t="n"/>
      <c r="M284" s="103">
        <f>COUNTIFS('Client DB &amp; Bed Mgmt'!$A:$A,$K284,'Client DB &amp; Bed Mgmt'!$B:$B,$L284,'Client DB &amp; Bed Mgmt'!$M:$M,"&lt;="&amp;EOMONTH($B284,0),'Client DB &amp; Bed Mgmt'!$N:$N,"&gt;="&amp;DATE(YEAR($B284),MONTH($B284),1))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>
        <f>IFERROR(J284*SUMPRODUCT(('Client DB &amp; Bed Mgmt'!$A$5:$A$428=A284)*('Client DB &amp; Bed Mgmt'!$B$5:$B$428=C284)*('Client DB &amp; Bed Mgmt'!$D$5:$D$428&lt;&gt;"")*--(('Client DB &amp; Bed Mgmt'!$M$5:$M$428="")+NOT(ISNUMBER('Client DB &amp; Bed Mgmt'!$M$5:$M$428))+IFERROR('Client DB &amp; Bed Mgmt'!$M$5:$M$428&lt;=EOMONTH(B284,0),FALSE)&gt;0)*--(('Client DB &amp; Bed Mgmt'!$N$5:$N$428="")+NOT(ISNUMBER('Client DB &amp; Bed Mgmt'!$N$5:$N$428))+IFERROR('Client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  <c r="V284" s="130">
        <f>IFERROR(T284*SUMPRODUCT(('Client DB &amp; Bed Mgmt'!$A$5:$A$428=K284)*('Client DB &amp; Bed Mgmt'!$B$5:$B$428=L284)*('Client DB &amp; Bed Mgmt'!$D$5:$D$428&lt;&gt;"")*--(('Client DB &amp; Bed Mgmt'!$M$5:$M$428="")+NOT(ISNUMBER('Client DB &amp; Bed Mgmt'!$M$5:$M$428))+IFERROR('Client DB &amp; Bed Mgmt'!$M$5:$M$428&lt;=EOMONTH(B284,0),FALSE)&gt;0)*--(('Client DB &amp; Bed Mgmt'!$N$5:$N$428="")+NOT(ISNUMBER('Client DB &amp; Bed Mgmt'!$N$5:$N$428))+IFERROR('Client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</row>
    <row r="285" hidden="1" ht="14.25" customHeight="1" s="83">
      <c r="A285" s="103" t="n"/>
      <c r="B285" s="125">
        <f>DATE(YEAR(StartDate),MONTH(StartDate),1)</f>
        <v/>
      </c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Mgmt'!$B:$B,C285,'Client DB &amp; Bed Mgmt'!$E:$E,"Occupied"),0)</f>
        <v/>
      </c>
      <c r="K285" s="103" t="n"/>
      <c r="L285" s="103" t="n"/>
      <c r="M285" s="103">
        <f>COUNTIFS('Client DB &amp; Bed Mgmt'!$A:$A,$K285,'Client DB &amp; Bed Mgmt'!$B:$B,$L285,'Client DB &amp; Bed Mgmt'!$M:$M,"&lt;="&amp;EOMONTH($B285,0),'Client DB &amp; Bed Mgmt'!$N:$N,"&gt;="&amp;DATE(YEAR($B285),MONTH($B285),1))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>
        <f>IFERROR(J285*SUMPRODUCT(('Client DB &amp; Bed Mgmt'!$A$5:$A$428=A285)*('Client DB &amp; Bed Mgmt'!$B$5:$B$428=C285)*('Client DB &amp; Bed Mgmt'!$D$5:$D$428&lt;&gt;"")*--(('Client DB &amp; Bed Mgmt'!$M$5:$M$428="")+NOT(ISNUMBER('Client DB &amp; Bed Mgmt'!$M$5:$M$428))+IFERROR('Client DB &amp; Bed Mgmt'!$M$5:$M$428&lt;=EOMONTH(B285,0),FALSE)&gt;0)*--(('Client DB &amp; Bed Mgmt'!$N$5:$N$428="")+NOT(ISNUMBER('Client DB &amp; Bed Mgmt'!$N$5:$N$428))+IFERROR('Client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  <c r="V285" s="130">
        <f>IFERROR(T285*SUMPRODUCT(('Client DB &amp; Bed Mgmt'!$A$5:$A$428=K285)*('Client DB &amp; Bed Mgmt'!$B$5:$B$428=L285)*('Client DB &amp; Bed Mgmt'!$D$5:$D$428&lt;&gt;"")*--(('Client DB &amp; Bed Mgmt'!$M$5:$M$428="")+NOT(ISNUMBER('Client DB &amp; Bed Mgmt'!$M$5:$M$428))+IFERROR('Client DB &amp; Bed Mgmt'!$M$5:$M$428&lt;=EOMONTH(B285,0),FALSE)&gt;0)*--(('Client DB &amp; Bed Mgmt'!$N$5:$N$428="")+NOT(ISNUMBER('Client DB &amp; Bed Mgmt'!$N$5:$N$428))+IFERROR('Client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</row>
    <row r="286" hidden="1" ht="14.25" customHeight="1" s="83">
      <c r="A286" s="103" t="n"/>
      <c r="B286" s="125">
        <f>DATE(YEAR(StartDate),MONTH(StartDate),1)</f>
        <v/>
      </c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Mgmt'!$B:$B,C286,'Client DB &amp; Bed Mgmt'!$E:$E,"Occupied"),0)</f>
        <v/>
      </c>
      <c r="K286" s="103" t="n"/>
      <c r="L286" s="103" t="n"/>
      <c r="M286" s="103">
        <f>COUNTIFS('Client DB &amp; Bed Mgmt'!$A:$A,$K286,'Client DB &amp; Bed Mgmt'!$B:$B,$L286,'Client DB &amp; Bed Mgmt'!$M:$M,"&lt;="&amp;EOMONTH($B286,0),'Client DB &amp; Bed Mgmt'!$N:$N,"&gt;="&amp;DATE(YEAR($B286),MONTH($B286),1))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>
        <f>IFERROR(J286*SUMPRODUCT(('Client DB &amp; Bed Mgmt'!$A$5:$A$428=A286)*('Client DB &amp; Bed Mgmt'!$B$5:$B$428=C286)*('Client DB &amp; Bed Mgmt'!$D$5:$D$428&lt;&gt;"")*--(('Client DB &amp; Bed Mgmt'!$M$5:$M$428="")+NOT(ISNUMBER('Client DB &amp; Bed Mgmt'!$M$5:$M$428))+IFERROR('Client DB &amp; Bed Mgmt'!$M$5:$M$428&lt;=EOMONTH(B286,0),FALSE)&gt;0)*--(('Client DB &amp; Bed Mgmt'!$N$5:$N$428="")+NOT(ISNUMBER('Client DB &amp; Bed Mgmt'!$N$5:$N$428))+IFERROR('Client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  <c r="V286" s="130">
        <f>IFERROR(T286*SUMPRODUCT(('Client DB &amp; Bed Mgmt'!$A$5:$A$428=K286)*('Client DB &amp; Bed Mgmt'!$B$5:$B$428=L286)*('Client DB &amp; Bed Mgmt'!$D$5:$D$428&lt;&gt;"")*--(('Client DB &amp; Bed Mgmt'!$M$5:$M$428="")+NOT(ISNUMBER('Client DB &amp; Bed Mgmt'!$M$5:$M$428))+IFERROR('Client DB &amp; Bed Mgmt'!$M$5:$M$428&lt;=EOMONTH(B286,0),FALSE)&gt;0)*--(('Client DB &amp; Bed Mgmt'!$N$5:$N$428="")+NOT(ISNUMBER('Client DB &amp; Bed Mgmt'!$N$5:$N$428))+IFERROR('Client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</row>
    <row r="287" hidden="1" ht="14.25" customHeight="1" s="83">
      <c r="A287" s="103" t="n"/>
      <c r="B287" s="125">
        <f>DATE(YEAR(StartDate),MONTH(StartDate),1)</f>
        <v/>
      </c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Mgmt'!$B:$B,C287,'Client DB &amp; Bed Mgmt'!$E:$E,"Occupied"),0)</f>
        <v/>
      </c>
      <c r="K287" s="103" t="n"/>
      <c r="L287" s="103" t="n"/>
      <c r="M287" s="103">
        <f>COUNTIFS('Client DB &amp; Bed Mgmt'!$A:$A,$K287,'Client DB &amp; Bed Mgmt'!$B:$B,$L287,'Client DB &amp; Bed Mgmt'!$M:$M,"&lt;="&amp;EOMONTH($B287,0),'Client DB &amp; Bed Mgmt'!$N:$N,"&gt;="&amp;DATE(YEAR($B287),MONTH($B287),1))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>
        <f>IFERROR(J287*SUMPRODUCT(('Client DB &amp; Bed Mgmt'!$A$5:$A$428=A287)*('Client DB &amp; Bed Mgmt'!$B$5:$B$428=C287)*('Client DB &amp; Bed Mgmt'!$D$5:$D$428&lt;&gt;"")*--(('Client DB &amp; Bed Mgmt'!$M$5:$M$428="")+NOT(ISNUMBER('Client DB &amp; Bed Mgmt'!$M$5:$M$428))+IFERROR('Client DB &amp; Bed Mgmt'!$M$5:$M$428&lt;=EOMONTH(B287,0),FALSE)&gt;0)*--(('Client DB &amp; Bed Mgmt'!$N$5:$N$428="")+NOT(ISNUMBER('Client DB &amp; Bed Mgmt'!$N$5:$N$428))+IFERROR('Client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  <c r="V287" s="130">
        <f>IFERROR(T287*SUMPRODUCT(('Client DB &amp; Bed Mgmt'!$A$5:$A$428=K287)*('Client DB &amp; Bed Mgmt'!$B$5:$B$428=L287)*('Client DB &amp; Bed Mgmt'!$D$5:$D$428&lt;&gt;"")*--(('Client DB &amp; Bed Mgmt'!$M$5:$M$428="")+NOT(ISNUMBER('Client DB &amp; Bed Mgmt'!$M$5:$M$428))+IFERROR('Client DB &amp; Bed Mgmt'!$M$5:$M$428&lt;=EOMONTH(B287,0),FALSE)&gt;0)*--(('Client DB &amp; Bed Mgmt'!$N$5:$N$428="")+NOT(ISNUMBER('Client DB &amp; Bed Mgmt'!$N$5:$N$428))+IFERROR('Client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</row>
    <row r="288" hidden="1" ht="14.25" customHeight="1" s="83">
      <c r="A288" s="103" t="n"/>
      <c r="B288" s="125">
        <f>DATE(YEAR(StartDate),MONTH(StartDate),1)</f>
        <v/>
      </c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Mgmt'!$B:$B,C288,'Client DB &amp; Bed Mgmt'!$E:$E,"Occupied"),0)</f>
        <v/>
      </c>
      <c r="K288" s="103" t="n"/>
      <c r="L288" s="103" t="n"/>
      <c r="M288" s="103">
        <f>COUNTIFS('Client DB &amp; Bed Mgmt'!$A:$A,$K288,'Client DB &amp; Bed Mgmt'!$B:$B,$L288,'Client DB &amp; Bed Mgmt'!$M:$M,"&lt;="&amp;EOMONTH($B288,0),'Client DB &amp; Bed Mgmt'!$N:$N,"&gt;="&amp;DATE(YEAR($B288),MONTH($B288),1))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>
        <f>IFERROR(J288*SUMPRODUCT(('Client DB &amp; Bed Mgmt'!$A$5:$A$428=A288)*('Client DB &amp; Bed Mgmt'!$B$5:$B$428=C288)*('Client DB &amp; Bed Mgmt'!$D$5:$D$428&lt;&gt;"")*--(('Client DB &amp; Bed Mgmt'!$M$5:$M$428="")+NOT(ISNUMBER('Client DB &amp; Bed Mgmt'!$M$5:$M$428))+IFERROR('Client DB &amp; Bed Mgmt'!$M$5:$M$428&lt;=EOMONTH(B288,0),FALSE)&gt;0)*--(('Client DB &amp; Bed Mgmt'!$N$5:$N$428="")+NOT(ISNUMBER('Client DB &amp; Bed Mgmt'!$N$5:$N$428))+IFERROR('Client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  <c r="V288" s="130">
        <f>IFERROR(T288*SUMPRODUCT(('Client DB &amp; Bed Mgmt'!$A$5:$A$428=K288)*('Client DB &amp; Bed Mgmt'!$B$5:$B$428=L288)*('Client DB &amp; Bed Mgmt'!$D$5:$D$428&lt;&gt;"")*--(('Client DB &amp; Bed Mgmt'!$M$5:$M$428="")+NOT(ISNUMBER('Client DB &amp; Bed Mgmt'!$M$5:$M$428))+IFERROR('Client DB &amp; Bed Mgmt'!$M$5:$M$428&lt;=EOMONTH(B288,0),FALSE)&gt;0)*--(('Client DB &amp; Bed Mgmt'!$N$5:$N$428="")+NOT(ISNUMBER('Client DB &amp; Bed Mgmt'!$N$5:$N$428))+IFERROR('Client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</row>
    <row r="289" hidden="1" ht="14.25" customHeight="1" s="83">
      <c r="A289" s="103" t="n"/>
      <c r="B289" s="125">
        <f>DATE(YEAR(StartDate),MONTH(StartDate),1)</f>
        <v/>
      </c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Mgmt'!$B:$B,C289,'Client DB &amp; Bed Mgmt'!$E:$E,"Occupied"),0)</f>
        <v/>
      </c>
      <c r="K289" s="103" t="n"/>
      <c r="L289" s="103" t="n"/>
      <c r="M289" s="103">
        <f>COUNTIFS('Client DB &amp; Bed Mgmt'!$A:$A,$K289,'Client DB &amp; Bed Mgmt'!$B:$B,$L289,'Client DB &amp; Bed Mgmt'!$M:$M,"&lt;="&amp;EOMONTH($B289,0),'Client DB &amp; Bed Mgmt'!$N:$N,"&gt;="&amp;DATE(YEAR($B289),MONTH($B289),1))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>
        <f>IFERROR(J289*SUMPRODUCT(('Client DB &amp; Bed Mgmt'!$A$5:$A$428=A289)*('Client DB &amp; Bed Mgmt'!$B$5:$B$428=C289)*('Client DB &amp; Bed Mgmt'!$D$5:$D$428&lt;&gt;"")*--(('Client DB &amp; Bed Mgmt'!$M$5:$M$428="")+NOT(ISNUMBER('Client DB &amp; Bed Mgmt'!$M$5:$M$428))+IFERROR('Client DB &amp; Bed Mgmt'!$M$5:$M$428&lt;=EOMONTH(B289,0),FALSE)&gt;0)*--(('Client DB &amp; Bed Mgmt'!$N$5:$N$428="")+NOT(ISNUMBER('Client DB &amp; Bed Mgmt'!$N$5:$N$428))+IFERROR('Client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  <c r="V289" s="130">
        <f>IFERROR(T289*SUMPRODUCT(('Client DB &amp; Bed Mgmt'!$A$5:$A$428=K289)*('Client DB &amp; Bed Mgmt'!$B$5:$B$428=L289)*('Client DB &amp; Bed Mgmt'!$D$5:$D$428&lt;&gt;"")*--(('Client DB &amp; Bed Mgmt'!$M$5:$M$428="")+NOT(ISNUMBER('Client DB &amp; Bed Mgmt'!$M$5:$M$428))+IFERROR('Client DB &amp; Bed Mgmt'!$M$5:$M$428&lt;=EOMONTH(B289,0),FALSE)&gt;0)*--(('Client DB &amp; Bed Mgmt'!$N$5:$N$428="")+NOT(ISNUMBER('Client DB &amp; Bed Mgmt'!$N$5:$N$428))+IFERROR('Client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</row>
    <row r="290" hidden="1" ht="14.25" customHeight="1" s="83">
      <c r="A290" s="103" t="n"/>
      <c r="B290" s="125">
        <f>DATE(YEAR(StartDate),MONTH(StartDate),1)</f>
        <v/>
      </c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Mgmt'!$B:$B,C290,'Client DB &amp; Bed Mgmt'!$E:$E,"Occupied"),0)</f>
        <v/>
      </c>
      <c r="K290" s="103" t="n"/>
      <c r="L290" s="103" t="n"/>
      <c r="M290" s="103">
        <f>COUNTIFS('Client DB &amp; Bed Mgmt'!$A:$A,$K290,'Client DB &amp; Bed Mgmt'!$B:$B,$L290,'Client DB &amp; Bed Mgmt'!$M:$M,"&lt;="&amp;EOMONTH($B290,0),'Client DB &amp; Bed Mgmt'!$N:$N,"&gt;="&amp;DATE(YEAR($B290),MONTH($B290),1))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>
        <f>IFERROR(J290*SUMPRODUCT(('Client DB &amp; Bed Mgmt'!$A$5:$A$428=A290)*('Client DB &amp; Bed Mgmt'!$B$5:$B$428=C290)*('Client DB &amp; Bed Mgmt'!$D$5:$D$428&lt;&gt;"")*--(('Client DB &amp; Bed Mgmt'!$M$5:$M$428="")+NOT(ISNUMBER('Client DB &amp; Bed Mgmt'!$M$5:$M$428))+IFERROR('Client DB &amp; Bed Mgmt'!$M$5:$M$428&lt;=EOMONTH(B290,0),FALSE)&gt;0)*--(('Client DB &amp; Bed Mgmt'!$N$5:$N$428="")+NOT(ISNUMBER('Client DB &amp; Bed Mgmt'!$N$5:$N$428))+IFERROR('Client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  <c r="V290" s="130">
        <f>IFERROR(T290*SUMPRODUCT(('Client DB &amp; Bed Mgmt'!$A$5:$A$428=K290)*('Client DB &amp; Bed Mgmt'!$B$5:$B$428=L290)*('Client DB &amp; Bed Mgmt'!$D$5:$D$428&lt;&gt;"")*--(('Client DB &amp; Bed Mgmt'!$M$5:$M$428="")+NOT(ISNUMBER('Client DB &amp; Bed Mgmt'!$M$5:$M$428))+IFERROR('Client DB &amp; Bed Mgmt'!$M$5:$M$428&lt;=EOMONTH(B290,0),FALSE)&gt;0)*--(('Client DB &amp; Bed Mgmt'!$N$5:$N$428="")+NOT(ISNUMBER('Client DB &amp; Bed Mgmt'!$N$5:$N$428))+IFERROR('Client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</row>
    <row r="291" hidden="1" ht="14.25" customHeight="1" s="83">
      <c r="A291" s="103" t="n"/>
      <c r="B291" s="125">
        <f>DATE(YEAR(StartDate),MONTH(StartDate),1)</f>
        <v/>
      </c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Mgmt'!$B:$B,C291,'Client DB &amp; Bed Mgmt'!$E:$E,"Occupied"),0)</f>
        <v/>
      </c>
      <c r="K291" s="103" t="n"/>
      <c r="L291" s="103" t="n"/>
      <c r="M291" s="103">
        <f>COUNTIFS('Client DB &amp; Bed Mgmt'!$A:$A,$K291,'Client DB &amp; Bed Mgmt'!$B:$B,$L291,'Client DB &amp; Bed Mgmt'!$M:$M,"&lt;="&amp;EOMONTH($B291,0),'Client DB &amp; Bed Mgmt'!$N:$N,"&gt;="&amp;DATE(YEAR($B291),MONTH($B291),1))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>
        <f>IFERROR(J291*SUMPRODUCT(('Client DB &amp; Bed Mgmt'!$A$5:$A$428=A291)*('Client DB &amp; Bed Mgmt'!$B$5:$B$428=C291)*('Client DB &amp; Bed Mgmt'!$D$5:$D$428&lt;&gt;"")*--(('Client DB &amp; Bed Mgmt'!$M$5:$M$428="")+NOT(ISNUMBER('Client DB &amp; Bed Mgmt'!$M$5:$M$428))+IFERROR('Client DB &amp; Bed Mgmt'!$M$5:$M$428&lt;=EOMONTH(B291,0),FALSE)&gt;0)*--(('Client DB &amp; Bed Mgmt'!$N$5:$N$428="")+NOT(ISNUMBER('Client DB &amp; Bed Mgmt'!$N$5:$N$428))+IFERROR('Client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  <c r="V291" s="130">
        <f>IFERROR(T291*SUMPRODUCT(('Client DB &amp; Bed Mgmt'!$A$5:$A$428=K291)*('Client DB &amp; Bed Mgmt'!$B$5:$B$428=L291)*('Client DB &amp; Bed Mgmt'!$D$5:$D$428&lt;&gt;"")*--(('Client DB &amp; Bed Mgmt'!$M$5:$M$428="")+NOT(ISNUMBER('Client DB &amp; Bed Mgmt'!$M$5:$M$428))+IFERROR('Client DB &amp; Bed Mgmt'!$M$5:$M$428&lt;=EOMONTH(B291,0),FALSE)&gt;0)*--(('Client DB &amp; Bed Mgmt'!$N$5:$N$428="")+NOT(ISNUMBER('Client DB &amp; Bed Mgmt'!$N$5:$N$428))+IFERROR('Client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</row>
    <row r="292" hidden="1" ht="14.25" customHeight="1" s="83">
      <c r="A292" s="103" t="n"/>
      <c r="B292" s="125">
        <f>DATE(YEAR(StartDate),MONTH(StartDate),1)</f>
        <v/>
      </c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Mgmt'!$B:$B,C292,'Client DB &amp; Bed Mgmt'!$E:$E,"Occupied"),0)</f>
        <v/>
      </c>
      <c r="K292" s="103" t="n"/>
      <c r="L292" s="103" t="n"/>
      <c r="M292" s="103">
        <f>COUNTIFS('Client DB &amp; Bed Mgmt'!$A:$A,$K292,'Client DB &amp; Bed Mgmt'!$B:$B,$L292,'Client DB &amp; Bed Mgmt'!$M:$M,"&lt;="&amp;EOMONTH($B292,0),'Client DB &amp; Bed Mgmt'!$N:$N,"&gt;="&amp;DATE(YEAR($B292),MONTH($B292),1))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>
        <f>IFERROR(J292*SUMPRODUCT(('Client DB &amp; Bed Mgmt'!$A$5:$A$428=A292)*('Client DB &amp; Bed Mgmt'!$B$5:$B$428=C292)*('Client DB &amp; Bed Mgmt'!$D$5:$D$428&lt;&gt;"")*--(('Client DB &amp; Bed Mgmt'!$M$5:$M$428="")+NOT(ISNUMBER('Client DB &amp; Bed Mgmt'!$M$5:$M$428))+IFERROR('Client DB &amp; Bed Mgmt'!$M$5:$M$428&lt;=EOMONTH(B292,0),FALSE)&gt;0)*--(('Client DB &amp; Bed Mgmt'!$N$5:$N$428="")+NOT(ISNUMBER('Client DB &amp; Bed Mgmt'!$N$5:$N$428))+IFERROR('Client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  <c r="V292" s="130">
        <f>IFERROR(T292*SUMPRODUCT(('Client DB &amp; Bed Mgmt'!$A$5:$A$428=K292)*('Client DB &amp; Bed Mgmt'!$B$5:$B$428=L292)*('Client DB &amp; Bed Mgmt'!$D$5:$D$428&lt;&gt;"")*--(('Client DB &amp; Bed Mgmt'!$M$5:$M$428="")+NOT(ISNUMBER('Client DB &amp; Bed Mgmt'!$M$5:$M$428))+IFERROR('Client DB &amp; Bed Mgmt'!$M$5:$M$428&lt;=EOMONTH(B292,0),FALSE)&gt;0)*--(('Client DB &amp; Bed Mgmt'!$N$5:$N$428="")+NOT(ISNUMBER('Client DB &amp; Bed Mgmt'!$N$5:$N$428))+IFERROR('Client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</row>
    <row r="293" hidden="1" ht="14.25" customHeight="1" s="83">
      <c r="A293" s="103" t="n"/>
      <c r="B293" s="125">
        <f>DATE(YEAR(StartDate),MONTH(StartDate),1)</f>
        <v/>
      </c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Mgmt'!$B:$B,C293,'Client DB &amp; Bed Mgmt'!$E:$E,"Occupied"),0)</f>
        <v/>
      </c>
      <c r="K293" s="103" t="n"/>
      <c r="L293" s="103" t="n"/>
      <c r="M293" s="103">
        <f>COUNTIFS('Client DB &amp; Bed Mgmt'!$A:$A,$K293,'Client DB &amp; Bed Mgmt'!$B:$B,$L293,'Client DB &amp; Bed Mgmt'!$M:$M,"&lt;="&amp;EOMONTH($B293,0),'Client DB &amp; Bed Mgmt'!$N:$N,"&gt;="&amp;DATE(YEAR($B293),MONTH($B293),1))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>
        <f>IFERROR(J293*SUMPRODUCT(('Client DB &amp; Bed Mgmt'!$A$5:$A$428=A293)*('Client DB &amp; Bed Mgmt'!$B$5:$B$428=C293)*('Client DB &amp; Bed Mgmt'!$D$5:$D$428&lt;&gt;"")*--(('Client DB &amp; Bed Mgmt'!$M$5:$M$428="")+NOT(ISNUMBER('Client DB &amp; Bed Mgmt'!$M$5:$M$428))+IFERROR('Client DB &amp; Bed Mgmt'!$M$5:$M$428&lt;=EOMONTH(B293,0),FALSE)&gt;0)*--(('Client DB &amp; Bed Mgmt'!$N$5:$N$428="")+NOT(ISNUMBER('Client DB &amp; Bed Mgmt'!$N$5:$N$428))+IFERROR('Client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  <c r="V293" s="130">
        <f>IFERROR(T293*SUMPRODUCT(('Client DB &amp; Bed Mgmt'!$A$5:$A$428=K293)*('Client DB &amp; Bed Mgmt'!$B$5:$B$428=L293)*('Client DB &amp; Bed Mgmt'!$D$5:$D$428&lt;&gt;"")*--(('Client DB &amp; Bed Mgmt'!$M$5:$M$428="")+NOT(ISNUMBER('Client DB &amp; Bed Mgmt'!$M$5:$M$428))+IFERROR('Client DB &amp; Bed Mgmt'!$M$5:$M$428&lt;=EOMONTH(B293,0),FALSE)&gt;0)*--(('Client DB &amp; Bed Mgmt'!$N$5:$N$428="")+NOT(ISNUMBER('Client DB &amp; Bed Mgmt'!$N$5:$N$428))+IFERROR('Client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</row>
    <row r="294" hidden="1" ht="14.25" customHeight="1" s="83">
      <c r="A294" s="103" t="n"/>
      <c r="B294" s="125">
        <f>DATE(YEAR(StartDate),MONTH(StartDate),1)</f>
        <v/>
      </c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Mgmt'!$B:$B,C294,'Client DB &amp; Bed Mgmt'!$E:$E,"Occupied"),0)</f>
        <v/>
      </c>
      <c r="K294" s="103" t="n"/>
      <c r="L294" s="103" t="n"/>
      <c r="M294" s="103">
        <f>COUNTIFS('Client DB &amp; Bed Mgmt'!$A:$A,$K294,'Client DB &amp; Bed Mgmt'!$B:$B,$L294,'Client DB &amp; Bed Mgmt'!$M:$M,"&lt;="&amp;EOMONTH($B294,0),'Client DB &amp; Bed Mgmt'!$N:$N,"&gt;="&amp;DATE(YEAR($B294),MONTH($B294),1))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>
        <f>IFERROR(J294*SUMPRODUCT(('Client DB &amp; Bed Mgmt'!$A$5:$A$428=A294)*('Client DB &amp; Bed Mgmt'!$B$5:$B$428=C294)*('Client DB &amp; Bed Mgmt'!$D$5:$D$428&lt;&gt;"")*--(('Client DB &amp; Bed Mgmt'!$M$5:$M$428="")+NOT(ISNUMBER('Client DB &amp; Bed Mgmt'!$M$5:$M$428))+IFERROR('Client DB &amp; Bed Mgmt'!$M$5:$M$428&lt;=EOMONTH(B294,0),FALSE)&gt;0)*--(('Client DB &amp; Bed Mgmt'!$N$5:$N$428="")+NOT(ISNUMBER('Client DB &amp; Bed Mgmt'!$N$5:$N$428))+IFERROR('Client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  <c r="V294" s="130">
        <f>IFERROR(T294*SUMPRODUCT(('Client DB &amp; Bed Mgmt'!$A$5:$A$428=K294)*('Client DB &amp; Bed Mgmt'!$B$5:$B$428=L294)*('Client DB &amp; Bed Mgmt'!$D$5:$D$428&lt;&gt;"")*--(('Client DB &amp; Bed Mgmt'!$M$5:$M$428="")+NOT(ISNUMBER('Client DB &amp; Bed Mgmt'!$M$5:$M$428))+IFERROR('Client DB &amp; Bed Mgmt'!$M$5:$M$428&lt;=EOMONTH(B294,0),FALSE)&gt;0)*--(('Client DB &amp; Bed Mgmt'!$N$5:$N$428="")+NOT(ISNUMBER('Client DB &amp; Bed Mgmt'!$N$5:$N$428))+IFERROR('Client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</row>
    <row r="295" hidden="1" ht="14.25" customHeight="1" s="83">
      <c r="A295" s="103" t="n"/>
      <c r="B295" s="125">
        <f>DATE(YEAR(StartDate),MONTH(StartDate),1)</f>
        <v/>
      </c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Mgmt'!$B:$B,C295,'Client DB &amp; Bed Mgmt'!$E:$E,"Occupied"),0)</f>
        <v/>
      </c>
      <c r="K295" s="103" t="n"/>
      <c r="L295" s="103" t="n"/>
      <c r="M295" s="103">
        <f>COUNTIFS('Client DB &amp; Bed Mgmt'!$A:$A,$K295,'Client DB &amp; Bed Mgmt'!$B:$B,$L295,'Client DB &amp; Bed Mgmt'!$M:$M,"&lt;="&amp;EOMONTH($B295,0),'Client DB &amp; Bed Mgmt'!$N:$N,"&gt;="&amp;DATE(YEAR($B295),MONTH($B295),1))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>
        <f>IFERROR(J295*SUMPRODUCT(('Client DB &amp; Bed Mgmt'!$A$5:$A$428=A295)*('Client DB &amp; Bed Mgmt'!$B$5:$B$428=C295)*('Client DB &amp; Bed Mgmt'!$D$5:$D$428&lt;&gt;"")*--(('Client DB &amp; Bed Mgmt'!$M$5:$M$428="")+NOT(ISNUMBER('Client DB &amp; Bed Mgmt'!$M$5:$M$428))+IFERROR('Client DB &amp; Bed Mgmt'!$M$5:$M$428&lt;=EOMONTH(B295,0),FALSE)&gt;0)*--(('Client DB &amp; Bed Mgmt'!$N$5:$N$428="")+NOT(ISNUMBER('Client DB &amp; Bed Mgmt'!$N$5:$N$428))+IFERROR('Client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  <c r="V295" s="130">
        <f>IFERROR(T295*SUMPRODUCT(('Client DB &amp; Bed Mgmt'!$A$5:$A$428=K295)*('Client DB &amp; Bed Mgmt'!$B$5:$B$428=L295)*('Client DB &amp; Bed Mgmt'!$D$5:$D$428&lt;&gt;"")*--(('Client DB &amp; Bed Mgmt'!$M$5:$M$428="")+NOT(ISNUMBER('Client DB &amp; Bed Mgmt'!$M$5:$M$428))+IFERROR('Client DB &amp; Bed Mgmt'!$M$5:$M$428&lt;=EOMONTH(B295,0),FALSE)&gt;0)*--(('Client DB &amp; Bed Mgmt'!$N$5:$N$428="")+NOT(ISNUMBER('Client DB &amp; Bed Mgmt'!$N$5:$N$428))+IFERROR('Client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</row>
    <row r="296" hidden="1" ht="14.25" customHeight="1" s="83">
      <c r="A296" s="103" t="n"/>
      <c r="B296" s="125">
        <f>DATE(YEAR(StartDate),MONTH(StartDate),1)</f>
        <v/>
      </c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Mgmt'!$B:$B,C296,'Client DB &amp; Bed Mgmt'!$E:$E,"Occupied"),0)</f>
        <v/>
      </c>
      <c r="K296" s="103" t="n"/>
      <c r="L296" s="103" t="n"/>
      <c r="M296" s="103">
        <f>COUNTIFS('Client DB &amp; Bed Mgmt'!$A:$A,$K296,'Client DB &amp; Bed Mgmt'!$B:$B,$L296,'Client DB &amp; Bed Mgmt'!$M:$M,"&lt;="&amp;EOMONTH($B296,0),'Client DB &amp; Bed Mgmt'!$N:$N,"&gt;="&amp;DATE(YEAR($B296),MONTH($B296),1))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>
        <f>IFERROR(J296*SUMPRODUCT(('Client DB &amp; Bed Mgmt'!$A$5:$A$428=A296)*('Client DB &amp; Bed Mgmt'!$B$5:$B$428=C296)*('Client DB &amp; Bed Mgmt'!$D$5:$D$428&lt;&gt;"")*--(('Client DB &amp; Bed Mgmt'!$M$5:$M$428="")+NOT(ISNUMBER('Client DB &amp; Bed Mgmt'!$M$5:$M$428))+IFERROR('Client DB &amp; Bed Mgmt'!$M$5:$M$428&lt;=EOMONTH(B296,0),FALSE)&gt;0)*--(('Client DB &amp; Bed Mgmt'!$N$5:$N$428="")+NOT(ISNUMBER('Client DB &amp; Bed Mgmt'!$N$5:$N$428))+IFERROR('Client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  <c r="V296" s="130">
        <f>IFERROR(T296*SUMPRODUCT(('Client DB &amp; Bed Mgmt'!$A$5:$A$428=K296)*('Client DB &amp; Bed Mgmt'!$B$5:$B$428=L296)*('Client DB &amp; Bed Mgmt'!$D$5:$D$428&lt;&gt;"")*--(('Client DB &amp; Bed Mgmt'!$M$5:$M$428="")+NOT(ISNUMBER('Client DB &amp; Bed Mgmt'!$M$5:$M$428))+IFERROR('Client DB &amp; Bed Mgmt'!$M$5:$M$428&lt;=EOMONTH(B296,0),FALSE)&gt;0)*--(('Client DB &amp; Bed Mgmt'!$N$5:$N$428="")+NOT(ISNUMBER('Client DB &amp; Bed Mgmt'!$N$5:$N$428))+IFERROR('Client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</row>
    <row r="297" hidden="1" ht="14.25" customHeight="1" s="83">
      <c r="A297" s="103" t="n"/>
      <c r="B297" s="125">
        <f>DATE(YEAR(StartDate),MONTH(StartDate),1)</f>
        <v/>
      </c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Mgmt'!$B:$B,C297,'Client DB &amp; Bed Mgmt'!$E:$E,"Occupied"),0)</f>
        <v/>
      </c>
      <c r="K297" s="103" t="n"/>
      <c r="L297" s="103" t="n"/>
      <c r="M297" s="103">
        <f>COUNTIFS('Client DB &amp; Bed Mgmt'!$A:$A,$K297,'Client DB &amp; Bed Mgmt'!$B:$B,$L297,'Client DB &amp; Bed Mgmt'!$M:$M,"&lt;="&amp;EOMONTH($B297,0),'Client DB &amp; Bed Mgmt'!$N:$N,"&gt;="&amp;DATE(YEAR($B297),MONTH($B297),1))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>
        <f>IFERROR(J297*SUMPRODUCT(('Client DB &amp; Bed Mgmt'!$A$5:$A$428=A297)*('Client DB &amp; Bed Mgmt'!$B$5:$B$428=C297)*('Client DB &amp; Bed Mgmt'!$D$5:$D$428&lt;&gt;"")*--(('Client DB &amp; Bed Mgmt'!$M$5:$M$428="")+NOT(ISNUMBER('Client DB &amp; Bed Mgmt'!$M$5:$M$428))+IFERROR('Client DB &amp; Bed Mgmt'!$M$5:$M$428&lt;=EOMONTH(B297,0),FALSE)&gt;0)*--(('Client DB &amp; Bed Mgmt'!$N$5:$N$428="")+NOT(ISNUMBER('Client DB &amp; Bed Mgmt'!$N$5:$N$428))+IFERROR('Client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  <c r="V297" s="130">
        <f>IFERROR(T297*SUMPRODUCT(('Client DB &amp; Bed Mgmt'!$A$5:$A$428=K297)*('Client DB &amp; Bed Mgmt'!$B$5:$B$428=L297)*('Client DB &amp; Bed Mgmt'!$D$5:$D$428&lt;&gt;"")*--(('Client DB &amp; Bed Mgmt'!$M$5:$M$428="")+NOT(ISNUMBER('Client DB &amp; Bed Mgmt'!$M$5:$M$428))+IFERROR('Client DB &amp; Bed Mgmt'!$M$5:$M$428&lt;=EOMONTH(B297,0),FALSE)&gt;0)*--(('Client DB &amp; Bed Mgmt'!$N$5:$N$428="")+NOT(ISNUMBER('Client DB &amp; Bed Mgmt'!$N$5:$N$428))+IFERROR('Client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</row>
    <row r="298" hidden="1" ht="14.25" customHeight="1" s="83">
      <c r="A298" s="103" t="n"/>
      <c r="B298" s="125">
        <f>DATE(YEAR(StartDate),MONTH(StartDate),1)</f>
        <v/>
      </c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Mgmt'!$B:$B,C298,'Client DB &amp; Bed Mgmt'!$E:$E,"Occupied"),0)</f>
        <v/>
      </c>
      <c r="K298" s="103" t="n"/>
      <c r="L298" s="103" t="n"/>
      <c r="M298" s="103">
        <f>COUNTIFS('Client DB &amp; Bed Mgmt'!$A:$A,$K298,'Client DB &amp; Bed Mgmt'!$B:$B,$L298,'Client DB &amp; Bed Mgmt'!$M:$M,"&lt;="&amp;EOMONTH($B298,0),'Client DB &amp; Bed Mgmt'!$N:$N,"&gt;="&amp;DATE(YEAR($B298),MONTH($B298),1))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>
        <f>IFERROR(J298*SUMPRODUCT(('Client DB &amp; Bed Mgmt'!$A$5:$A$428=A298)*('Client DB &amp; Bed Mgmt'!$B$5:$B$428=C298)*('Client DB &amp; Bed Mgmt'!$D$5:$D$428&lt;&gt;"")*--(('Client DB &amp; Bed Mgmt'!$M$5:$M$428="")+NOT(ISNUMBER('Client DB &amp; Bed Mgmt'!$M$5:$M$428))+IFERROR('Client DB &amp; Bed Mgmt'!$M$5:$M$428&lt;=EOMONTH(B298,0),FALSE)&gt;0)*--(('Client DB &amp; Bed Mgmt'!$N$5:$N$428="")+NOT(ISNUMBER('Client DB &amp; Bed Mgmt'!$N$5:$N$428))+IFERROR('Client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  <c r="V298" s="130">
        <f>IFERROR(T298*SUMPRODUCT(('Client DB &amp; Bed Mgmt'!$A$5:$A$428=K298)*('Client DB &amp; Bed Mgmt'!$B$5:$B$428=L298)*('Client DB &amp; Bed Mgmt'!$D$5:$D$428&lt;&gt;"")*--(('Client DB &amp; Bed Mgmt'!$M$5:$M$428="")+NOT(ISNUMBER('Client DB &amp; Bed Mgmt'!$M$5:$M$428))+IFERROR('Client DB &amp; Bed Mgmt'!$M$5:$M$428&lt;=EOMONTH(B298,0),FALSE)&gt;0)*--(('Client DB &amp; Bed Mgmt'!$N$5:$N$428="")+NOT(ISNUMBER('Client DB &amp; Bed Mgmt'!$N$5:$N$428))+IFERROR('Client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</row>
    <row r="299" hidden="1" ht="14.25" customHeight="1" s="83">
      <c r="A299" s="103" t="n"/>
      <c r="B299" s="125">
        <f>DATE(YEAR(StartDate),MONTH(StartDate),1)</f>
        <v/>
      </c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Mgmt'!$B:$B,C299,'Client DB &amp; Bed Mgmt'!$E:$E,"Occupied"),0)</f>
        <v/>
      </c>
      <c r="K299" s="103" t="n"/>
      <c r="L299" s="103" t="n"/>
      <c r="M299" s="103">
        <f>COUNTIFS('Client DB &amp; Bed Mgmt'!$A:$A,$K299,'Client DB &amp; Bed Mgmt'!$B:$B,$L299,'Client DB &amp; Bed Mgmt'!$M:$M,"&lt;="&amp;EOMONTH($B299,0),'Client DB &amp; Bed Mgmt'!$N:$N,"&gt;="&amp;DATE(YEAR($B299),MONTH($B299),1))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>
        <f>IFERROR(J299*SUMPRODUCT(('Client DB &amp; Bed Mgmt'!$A$5:$A$428=A299)*('Client DB &amp; Bed Mgmt'!$B$5:$B$428=C299)*('Client DB &amp; Bed Mgmt'!$D$5:$D$428&lt;&gt;"")*--(('Client DB &amp; Bed Mgmt'!$M$5:$M$428="")+NOT(ISNUMBER('Client DB &amp; Bed Mgmt'!$M$5:$M$428))+IFERROR('Client DB &amp; Bed Mgmt'!$M$5:$M$428&lt;=EOMONTH(B299,0),FALSE)&gt;0)*--(('Client DB &amp; Bed Mgmt'!$N$5:$N$428="")+NOT(ISNUMBER('Client DB &amp; Bed Mgmt'!$N$5:$N$428))+IFERROR('Client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  <c r="V299" s="130">
        <f>IFERROR(T299*SUMPRODUCT(('Client DB &amp; Bed Mgmt'!$A$5:$A$428=K299)*('Client DB &amp; Bed Mgmt'!$B$5:$B$428=L299)*('Client DB &amp; Bed Mgmt'!$D$5:$D$428&lt;&gt;"")*--(('Client DB &amp; Bed Mgmt'!$M$5:$M$428="")+NOT(ISNUMBER('Client DB &amp; Bed Mgmt'!$M$5:$M$428))+IFERROR('Client DB &amp; Bed Mgmt'!$M$5:$M$428&lt;=EOMONTH(B299,0),FALSE)&gt;0)*--(('Client DB &amp; Bed Mgmt'!$N$5:$N$428="")+NOT(ISNUMBER('Client DB &amp; Bed Mgmt'!$N$5:$N$428))+IFERROR('Client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</row>
    <row r="300" hidden="1" ht="14.25" customHeight="1" s="83">
      <c r="A300" s="103" t="n"/>
      <c r="B300" s="125">
        <f>DATE(YEAR(StartDate),MONTH(StartDate),1)</f>
        <v/>
      </c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Mgmt'!$B:$B,C300,'Client DB &amp; Bed Mgmt'!$E:$E,"Occupied"),0)</f>
        <v/>
      </c>
      <c r="K300" s="103" t="n"/>
      <c r="L300" s="103" t="n"/>
      <c r="M300" s="103">
        <f>COUNTIFS('Client DB &amp; Bed Mgmt'!$A:$A,$K300,'Client DB &amp; Bed Mgmt'!$B:$B,$L300,'Client DB &amp; Bed Mgmt'!$M:$M,"&lt;="&amp;EOMONTH($B300,0),'Client DB &amp; Bed Mgmt'!$N:$N,"&gt;="&amp;DATE(YEAR($B300),MONTH($B300),1))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>
        <f>IFERROR(J300*SUMPRODUCT(('Client DB &amp; Bed Mgmt'!$A$5:$A$428=A300)*('Client DB &amp; Bed Mgmt'!$B$5:$B$428=C300)*('Client DB &amp; Bed Mgmt'!$D$5:$D$428&lt;&gt;"")*--(('Client DB &amp; Bed Mgmt'!$M$5:$M$428="")+NOT(ISNUMBER('Client DB &amp; Bed Mgmt'!$M$5:$M$428))+IFERROR('Client DB &amp; Bed Mgmt'!$M$5:$M$428&lt;=EOMONTH(B300,0),FALSE)&gt;0)*--(('Client DB &amp; Bed Mgmt'!$N$5:$N$428="")+NOT(ISNUMBER('Client DB &amp; Bed Mgmt'!$N$5:$N$428))+IFERROR('Client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  <c r="V300" s="130">
        <f>IFERROR(T300*SUMPRODUCT(('Client DB &amp; Bed Mgmt'!$A$5:$A$428=K300)*('Client DB &amp; Bed Mgmt'!$B$5:$B$428=L300)*('Client DB &amp; Bed Mgmt'!$D$5:$D$428&lt;&gt;"")*--(('Client DB &amp; Bed Mgmt'!$M$5:$M$428="")+NOT(ISNUMBER('Client DB &amp; Bed Mgmt'!$M$5:$M$428))+IFERROR('Client DB &amp; Bed Mgmt'!$M$5:$M$428&lt;=EOMONTH(B300,0),FALSE)&gt;0)*--(('Client DB &amp; Bed Mgmt'!$N$5:$N$428="")+NOT(ISNUMBER('Client DB &amp; Bed Mgmt'!$N$5:$N$428))+IFERROR('Client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</row>
    <row r="301" ht="14.25" customHeight="1" s="83">
      <c r="A301" s="103" t="n"/>
      <c r="B301" s="125">
        <f>DATE(YEAR(StartDate),MONTH(StartDate),1)</f>
        <v/>
      </c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Mgmt'!$B:$B,C301,'Client DB &amp; Bed Mgmt'!$E:$E,"Occupied"),0)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>
        <f>IFERROR(J301*SUMPRODUCT(('Client DB &amp; Bed Mgmt'!$A$5:$A$428=A301)*('Client DB &amp; Bed Mgmt'!$B$5:$B$428=C301)*('Client DB &amp; Bed Mgmt'!$D$5:$D$428&lt;&gt;"")*--(('Client DB &amp; Bed Mgmt'!$M$5:$M$428="")+NOT(ISNUMBER('Client DB &amp; Bed Mgmt'!$M$5:$M$428))+IFERROR('Client DB &amp; Bed Mgmt'!$M$5:$M$428&lt;=EOMONTH(B301,0),FALSE)&gt;0)*--(('Client DB &amp; Bed Mgmt'!$N$5:$N$428="")+NOT(ISNUMBER('Client DB &amp; Bed Mgmt'!$N$5:$N$428))+IFERROR('Client DB &amp; Bed Mgmt'!$N$5:$N$428&gt;=DATE(YEAR(B301),MONTH(B301),1),FALSE)&gt;0)*((IF(('Client DB &amp; Bed Mgmt'!$N$5:$N$428="")+NOT(ISNUMBER('Client DB &amp; Bed Mgmt'!$N$5:$N$428)),EOMONTH(B301,0),IF('Client DB &amp; Bed Mgmt'!$N$5:$N$428&lt;EOMONTH(B301,0),'Client DB &amp; Bed Mgmt'!$N$5:$N$428,EOMONTH(B301,0))))-(IF(('Client DB &amp; Bed Mgmt'!$M$5:$M$428="")+NOT(ISNUMBER('Client DB &amp; Bed Mgmt'!$M$5:$M$428)),DATE(YEAR(B301),MONTH(B301),1),IF('Client DB &amp; Bed Mgmt'!$M$5:$M$428&gt;DATE(YEAR(B301),MONTH(B301),1),'Client DB &amp; Bed Mgmt'!$M$5:$M$428,DATE(YEAR(B301),MONTH(B301),1))))+1)/DAY(EOMONTH(B301,0))),0)</f>
        <v/>
      </c>
    </row>
    <row r="302" ht="14.25" customHeight="1" s="83">
      <c r="A302" s="103" t="n"/>
      <c r="B302" s="125">
        <f>DATE(YEAR(StartDate),MONTH(StartDate),1)</f>
        <v/>
      </c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Mgmt'!$B:$B,C302,'Client DB &amp; Bed Mgmt'!$E:$E,"Occupied"),0)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>
        <f>IFERROR(J302*SUMPRODUCT(('Client DB &amp; Bed Mgmt'!$A$5:$A$428=A302)*('Client DB &amp; Bed Mgmt'!$B$5:$B$428=C302)*('Client DB &amp; Bed Mgmt'!$D$5:$D$428&lt;&gt;"")*--(('Client DB &amp; Bed Mgmt'!$M$5:$M$428="")+NOT(ISNUMBER('Client DB &amp; Bed Mgmt'!$M$5:$M$428))+IFERROR('Client DB &amp; Bed Mgmt'!$M$5:$M$428&lt;=EOMONTH(B302,0),FALSE)&gt;0)*--(('Client DB &amp; Bed Mgmt'!$N$5:$N$428="")+NOT(ISNUMBER('Client DB &amp; Bed Mgmt'!$N$5:$N$428))+IFERROR('Client DB &amp; Bed Mgmt'!$N$5:$N$428&gt;=DATE(YEAR(B302),MONTH(B302),1),FALSE)&gt;0)*((IF(('Client DB &amp; Bed Mgmt'!$N$5:$N$428="")+NOT(ISNUMBER('Client DB &amp; Bed Mgmt'!$N$5:$N$428)),EOMONTH(B302,0),IF('Client DB &amp; Bed Mgmt'!$N$5:$N$428&lt;EOMONTH(B302,0),'Client DB &amp; Bed Mgmt'!$N$5:$N$428,EOMONTH(B302,0))))-(IF(('Client DB &amp; Bed Mgmt'!$M$5:$M$428="")+NOT(ISNUMBER('Client DB &amp; Bed Mgmt'!$M$5:$M$428)),DATE(YEAR(B302),MONTH(B302),1),IF('Client DB &amp; Bed Mgmt'!$M$5:$M$428&gt;DATE(YEAR(B302),MONTH(B302),1),'Client DB &amp; Bed Mgmt'!$M$5:$M$428,DATE(YEAR(B302),MONTH(B302),1))))+1)/DAY(EOMONTH(B302,0))),0)</f>
        <v/>
      </c>
    </row>
    <row r="303" ht="14.25" customHeight="1" s="83">
      <c r="A303" s="103" t="n"/>
      <c r="B303" s="125">
        <f>DATE(YEAR(StartDate),MONTH(StartDate),1)</f>
        <v/>
      </c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Mgmt'!$B:$B,C303,'Client DB &amp; Bed Mgmt'!$E:$E,"Occupied"),0)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>
        <f>IFERROR(J303*SUMPRODUCT(('Client DB &amp; Bed Mgmt'!$A$5:$A$428=A303)*('Client DB &amp; Bed Mgmt'!$B$5:$B$428=C303)*('Client DB &amp; Bed Mgmt'!$D$5:$D$428&lt;&gt;"")*--(('Client DB &amp; Bed Mgmt'!$M$5:$M$428="")+NOT(ISNUMBER('Client DB &amp; Bed Mgmt'!$M$5:$M$428))+IFERROR('Client DB &amp; Bed Mgmt'!$M$5:$M$428&lt;=EOMONTH(B303,0),FALSE)&gt;0)*--(('Client DB &amp; Bed Mgmt'!$N$5:$N$428="")+NOT(ISNUMBER('Client DB &amp; Bed Mgmt'!$N$5:$N$428))+IFERROR('Client DB &amp; Bed Mgmt'!$N$5:$N$428&gt;=DATE(YEAR(B303),MONTH(B303),1),FALSE)&gt;0)*((IF(('Client DB &amp; Bed Mgmt'!$N$5:$N$428="")+NOT(ISNUMBER('Client DB &amp; Bed Mgmt'!$N$5:$N$428)),EOMONTH(B303,0),IF('Client DB &amp; Bed Mgmt'!$N$5:$N$428&lt;EOMONTH(B303,0),'Client DB &amp; Bed Mgmt'!$N$5:$N$428,EOMONTH(B303,0))))-(IF(('Client DB &amp; Bed Mgmt'!$M$5:$M$428="")+NOT(ISNUMBER('Client DB &amp; Bed Mgmt'!$M$5:$M$428)),DATE(YEAR(B303),MONTH(B303),1),IF('Client DB &amp; Bed Mgmt'!$M$5:$M$428&gt;DATE(YEAR(B303),MONTH(B303),1),'Client DB &amp; Bed Mgmt'!$M$5:$M$428,DATE(YEAR(B303),MONTH(B303),1))))+1)/DAY(EOMONTH(B303,0))),0)</f>
        <v/>
      </c>
    </row>
    <row r="304" ht="14.25" customHeight="1" s="83">
      <c r="A304" s="103" t="n"/>
      <c r="B304" s="125">
        <f>DATE(YEAR(StartDate),MONTH(StartDate),1)</f>
        <v/>
      </c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Mgmt'!$B:$B,C304,'Client DB &amp; Bed Mgmt'!$E:$E,"Occupied"),0)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>
        <f>IFERROR(J304*SUMPRODUCT(('Client DB &amp; Bed Mgmt'!$A$5:$A$428=A304)*('Client DB &amp; Bed Mgmt'!$B$5:$B$428=C304)*('Client DB &amp; Bed Mgmt'!$D$5:$D$428&lt;&gt;"")*--(('Client DB &amp; Bed Mgmt'!$M$5:$M$428="")+NOT(ISNUMBER('Client DB &amp; Bed Mgmt'!$M$5:$M$428))+IFERROR('Client DB &amp; Bed Mgmt'!$M$5:$M$428&lt;=EOMONTH(B304,0),FALSE)&gt;0)*--(('Client DB &amp; Bed Mgmt'!$N$5:$N$428="")+NOT(ISNUMBER('Client DB &amp; Bed Mgmt'!$N$5:$N$428))+IFERROR('Client DB &amp; Bed Mgmt'!$N$5:$N$428&gt;=DATE(YEAR(B304),MONTH(B304),1),FALSE)&gt;0)*((IF(('Client DB &amp; Bed Mgmt'!$N$5:$N$428="")+NOT(ISNUMBER('Client DB &amp; Bed Mgmt'!$N$5:$N$428)),EOMONTH(B304,0),IF('Client DB &amp; Bed Mgmt'!$N$5:$N$428&lt;EOMONTH(B304,0),'Client DB &amp; Bed Mgmt'!$N$5:$N$428,EOMONTH(B304,0))))-(IF(('Client DB &amp; Bed Mgmt'!$M$5:$M$428="")+NOT(ISNUMBER('Client DB &amp; Bed Mgmt'!$M$5:$M$428)),DATE(YEAR(B304),MONTH(B304),1),IF('Client DB &amp; Bed Mgmt'!$M$5:$M$428&gt;DATE(YEAR(B304),MONTH(B304),1),'Client DB &amp; Bed Mgmt'!$M$5:$M$428,DATE(YEAR(B304),MONTH(B304),1))))+1)/DAY(EOMONTH(B304,0))),0)</f>
        <v/>
      </c>
    </row>
    <row r="305" ht="14.25" customHeight="1" s="83">
      <c r="A305" s="103" t="n"/>
      <c r="B305" s="125">
        <f>DATE(YEAR(StartDate),MONTH(StartDate),1)</f>
        <v/>
      </c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Mgmt'!$B:$B,C305,'Client DB &amp; Bed Mgmt'!$E:$E,"Occupied"),0)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>
        <f>IFERROR(J305*SUMPRODUCT(('Client DB &amp; Bed Mgmt'!$A$5:$A$428=A305)*('Client DB &amp; Bed Mgmt'!$B$5:$B$428=C305)*('Client DB &amp; Bed Mgmt'!$D$5:$D$428&lt;&gt;"")*--(('Client DB &amp; Bed Mgmt'!$M$5:$M$428="")+NOT(ISNUMBER('Client DB &amp; Bed Mgmt'!$M$5:$M$428))+IFERROR('Client DB &amp; Bed Mgmt'!$M$5:$M$428&lt;=EOMONTH(B305,0),FALSE)&gt;0)*--(('Client DB &amp; Bed Mgmt'!$N$5:$N$428="")+NOT(ISNUMBER('Client DB &amp; Bed Mgmt'!$N$5:$N$428))+IFERROR('Client DB &amp; Bed Mgmt'!$N$5:$N$428&gt;=DATE(YEAR(B305),MONTH(B305),1),FALSE)&gt;0)*((IF(('Client DB &amp; Bed Mgmt'!$N$5:$N$428="")+NOT(ISNUMBER('Client DB &amp; Bed Mgmt'!$N$5:$N$428)),EOMONTH(B305,0),IF('Client DB &amp; Bed Mgmt'!$N$5:$N$428&lt;EOMONTH(B305,0),'Client DB &amp; Bed Mgmt'!$N$5:$N$428,EOMONTH(B305,0))))-(IF(('Client DB &amp; Bed Mgmt'!$M$5:$M$428="")+NOT(ISNUMBER('Client DB &amp; Bed Mgmt'!$M$5:$M$428)),DATE(YEAR(B305),MONTH(B305),1),IF('Client DB &amp; Bed Mgmt'!$M$5:$M$428&gt;DATE(YEAR(B305),MONTH(B305),1),'Client DB &amp; Bed Mgmt'!$M$5:$M$428,DATE(YEAR(B305),MONTH(B305),1))))+1)/DAY(EOMONTH(B305,0))),0)</f>
        <v/>
      </c>
    </row>
    <row r="306" ht="14.25" customHeight="1" s="83">
      <c r="A306" s="103" t="n"/>
      <c r="B306" s="125">
        <f>DATE(YEAR(StartDate),MONTH(StartDate),1)</f>
        <v/>
      </c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Mgmt'!$B:$B,C306,'Client DB &amp; Bed Mgmt'!$E:$E,"Occupied"),0)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>
        <f>IFERROR(J306*SUMPRODUCT(('Client DB &amp; Bed Mgmt'!$A$5:$A$428=A306)*('Client DB &amp; Bed Mgmt'!$B$5:$B$428=C306)*('Client DB &amp; Bed Mgmt'!$D$5:$D$428&lt;&gt;"")*--(('Client DB &amp; Bed Mgmt'!$M$5:$M$428="")+NOT(ISNUMBER('Client DB &amp; Bed Mgmt'!$M$5:$M$428))+IFERROR('Client DB &amp; Bed Mgmt'!$M$5:$M$428&lt;=EOMONTH(B306,0),FALSE)&gt;0)*--(('Client DB &amp; Bed Mgmt'!$N$5:$N$428="")+NOT(ISNUMBER('Client DB &amp; Bed Mgmt'!$N$5:$N$428))+IFERROR('Client DB &amp; Bed Mgmt'!$N$5:$N$428&gt;=DATE(YEAR(B306),MONTH(B306),1),FALSE)&gt;0)*((IF(('Client DB &amp; Bed Mgmt'!$N$5:$N$428="")+NOT(ISNUMBER('Client DB &amp; Bed Mgmt'!$N$5:$N$428)),EOMONTH(B306,0),IF('Client DB &amp; Bed Mgmt'!$N$5:$N$428&lt;EOMONTH(B306,0),'Client DB &amp; Bed Mgmt'!$N$5:$N$428,EOMONTH(B306,0))))-(IF(('Client DB &amp; Bed Mgmt'!$M$5:$M$428="")+NOT(ISNUMBER('Client DB &amp; Bed Mgmt'!$M$5:$M$428)),DATE(YEAR(B306),MONTH(B306),1),IF('Client DB &amp; Bed Mgmt'!$M$5:$M$428&gt;DATE(YEAR(B306),MONTH(B306),1),'Client DB &amp; Bed Mgmt'!$M$5:$M$428,DATE(YEAR(B306),MONTH(B306),1))))+1)/DAY(EOMONTH(B306,0))),0)</f>
        <v/>
      </c>
    </row>
    <row r="307" ht="14.25" customHeight="1" s="83">
      <c r="A307" s="103" t="n"/>
      <c r="B307" s="125">
        <f>DATE(YEAR(StartDate),MONTH(StartDate),1)</f>
        <v/>
      </c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Mgmt'!$B:$B,C307,'Client DB &amp; Bed Mgmt'!$E:$E,"Occupied"),0)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>
        <f>IFERROR(J307*SUMPRODUCT(('Client DB &amp; Bed Mgmt'!$A$5:$A$428=A307)*('Client DB &amp; Bed Mgmt'!$B$5:$B$428=C307)*('Client DB &amp; Bed Mgmt'!$D$5:$D$428&lt;&gt;"")*--(('Client DB &amp; Bed Mgmt'!$M$5:$M$428="")+NOT(ISNUMBER('Client DB &amp; Bed Mgmt'!$M$5:$M$428))+IFERROR('Client DB &amp; Bed Mgmt'!$M$5:$M$428&lt;=EOMONTH(B307,0),FALSE)&gt;0)*--(('Client DB &amp; Bed Mgmt'!$N$5:$N$428="")+NOT(ISNUMBER('Client DB &amp; Bed Mgmt'!$N$5:$N$428))+IFERROR('Client DB &amp; Bed Mgmt'!$N$5:$N$428&gt;=DATE(YEAR(B307),MONTH(B307),1),FALSE)&gt;0)*((IF(('Client DB &amp; Bed Mgmt'!$N$5:$N$428="")+NOT(ISNUMBER('Client DB &amp; Bed Mgmt'!$N$5:$N$428)),EOMONTH(B307,0),IF('Client DB &amp; Bed Mgmt'!$N$5:$N$428&lt;EOMONTH(B307,0),'Client DB &amp; Bed Mgmt'!$N$5:$N$428,EOMONTH(B307,0))))-(IF(('Client DB &amp; Bed Mgmt'!$M$5:$M$428="")+NOT(ISNUMBER('Client DB &amp; Bed Mgmt'!$M$5:$M$428)),DATE(YEAR(B307),MONTH(B307),1),IF('Client DB &amp; Bed Mgmt'!$M$5:$M$428&gt;DATE(YEAR(B307),MONTH(B307),1),'Client DB &amp; Bed Mgmt'!$M$5:$M$428,DATE(YEAR(B307),MONTH(B307),1))))+1)/DAY(EOMONTH(B307,0))),0)</f>
        <v/>
      </c>
    </row>
    <row r="308" ht="14.25" customHeight="1" s="83">
      <c r="A308" s="103" t="n"/>
      <c r="B308" s="125">
        <f>DATE(YEAR(StartDate),MONTH(StartDate),1)</f>
        <v/>
      </c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Mgmt'!$B:$B,C308,'Client DB &amp; Bed Mgmt'!$E:$E,"Occupied"),0)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>
        <f>IFERROR(J308*SUMPRODUCT(('Client DB &amp; Bed Mgmt'!$A$5:$A$428=A308)*('Client DB &amp; Bed Mgmt'!$B$5:$B$428=C308)*('Client DB &amp; Bed Mgmt'!$D$5:$D$428&lt;&gt;"")*--(('Client DB &amp; Bed Mgmt'!$M$5:$M$428="")+NOT(ISNUMBER('Client DB &amp; Bed Mgmt'!$M$5:$M$428))+IFERROR('Client DB &amp; Bed Mgmt'!$M$5:$M$428&lt;=EOMONTH(B308,0),FALSE)&gt;0)*--(('Client DB &amp; Bed Mgmt'!$N$5:$N$428="")+NOT(ISNUMBER('Client DB &amp; Bed Mgmt'!$N$5:$N$428))+IFERROR('Client DB &amp; Bed Mgmt'!$N$5:$N$428&gt;=DATE(YEAR(B308),MONTH(B308),1),FALSE)&gt;0)*((IF(('Client DB &amp; Bed Mgmt'!$N$5:$N$428="")+NOT(ISNUMBER('Client DB &amp; Bed Mgmt'!$N$5:$N$428)),EOMONTH(B308,0),IF('Client DB &amp; Bed Mgmt'!$N$5:$N$428&lt;EOMONTH(B308,0),'Client DB &amp; Bed Mgmt'!$N$5:$N$428,EOMONTH(B308,0))))-(IF(('Client DB &amp; Bed Mgmt'!$M$5:$M$428="")+NOT(ISNUMBER('Client DB &amp; Bed Mgmt'!$M$5:$M$428)),DATE(YEAR(B308),MONTH(B308),1),IF('Client DB &amp; Bed Mgmt'!$M$5:$M$428&gt;DATE(YEAR(B308),MONTH(B308),1),'Client DB &amp; Bed Mgmt'!$M$5:$M$428,DATE(YEAR(B308),MONTH(B308),1))))+1)/DAY(EOMONTH(B308,0))),0)</f>
        <v/>
      </c>
    </row>
    <row r="309" ht="14.25" customHeight="1" s="83">
      <c r="A309" s="103" t="n"/>
      <c r="B309" s="125">
        <f>DATE(YEAR(StartDate),MONTH(StartDate),1)</f>
        <v/>
      </c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Mgmt'!$B:$B,C309,'Client DB &amp; Bed Mgmt'!$E:$E,"Occupied"),0)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>
        <f>IFERROR(J309*SUMPRODUCT(('Client DB &amp; Bed Mgmt'!$A$5:$A$428=A309)*('Client DB &amp; Bed Mgmt'!$B$5:$B$428=C309)*('Client DB &amp; Bed Mgmt'!$D$5:$D$428&lt;&gt;"")*--(('Client DB &amp; Bed Mgmt'!$M$5:$M$428="")+NOT(ISNUMBER('Client DB &amp; Bed Mgmt'!$M$5:$M$428))+IFERROR('Client DB &amp; Bed Mgmt'!$M$5:$M$428&lt;=EOMONTH(B309,0),FALSE)&gt;0)*--(('Client DB &amp; Bed Mgmt'!$N$5:$N$428="")+NOT(ISNUMBER('Client DB &amp; Bed Mgmt'!$N$5:$N$428))+IFERROR('Client DB &amp; Bed Mgmt'!$N$5:$N$428&gt;=DATE(YEAR(B309),MONTH(B309),1),FALSE)&gt;0)*((IF(('Client DB &amp; Bed Mgmt'!$N$5:$N$428="")+NOT(ISNUMBER('Client DB &amp; Bed Mgmt'!$N$5:$N$428)),EOMONTH(B309,0),IF('Client DB &amp; Bed Mgmt'!$N$5:$N$428&lt;EOMONTH(B309,0),'Client DB &amp; Bed Mgmt'!$N$5:$N$428,EOMONTH(B309,0))))-(IF(('Client DB &amp; Bed Mgmt'!$M$5:$M$428="")+NOT(ISNUMBER('Client DB &amp; Bed Mgmt'!$M$5:$M$428)),DATE(YEAR(B309),MONTH(B309),1),IF('Client DB &amp; Bed Mgmt'!$M$5:$M$428&gt;DATE(YEAR(B309),MONTH(B309),1),'Client DB &amp; Bed Mgmt'!$M$5:$M$428,DATE(YEAR(B309),MONTH(B309),1))))+1)/DAY(EOMONTH(B309,0))),0)</f>
        <v/>
      </c>
    </row>
    <row r="310" ht="14.25" customHeight="1" s="83">
      <c r="A310" s="103" t="n"/>
      <c r="B310" s="125">
        <f>DATE(YEAR(StartDate),MONTH(StartDate),1)</f>
        <v/>
      </c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Mgmt'!$B:$B,C310,'Client DB &amp; Bed Mgmt'!$E:$E,"Occupied"),0)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>
        <f>IFERROR(J310*SUMPRODUCT(('Client DB &amp; Bed Mgmt'!$A$5:$A$428=A310)*('Client DB &amp; Bed Mgmt'!$B$5:$B$428=C310)*('Client DB &amp; Bed Mgmt'!$D$5:$D$428&lt;&gt;"")*--(('Client DB &amp; Bed Mgmt'!$M$5:$M$428="")+NOT(ISNUMBER('Client DB &amp; Bed Mgmt'!$M$5:$M$428))+IFERROR('Client DB &amp; Bed Mgmt'!$M$5:$M$428&lt;=EOMONTH(B310,0),FALSE)&gt;0)*--(('Client DB &amp; Bed Mgmt'!$N$5:$N$428="")+NOT(ISNUMBER('Client DB &amp; Bed Mgmt'!$N$5:$N$428))+IFERROR('Client DB &amp; Bed Mgmt'!$N$5:$N$428&gt;=DATE(YEAR(B310),MONTH(B310),1),FALSE)&gt;0)*((IF(('Client DB &amp; Bed Mgmt'!$N$5:$N$428="")+NOT(ISNUMBER('Client DB &amp; Bed Mgmt'!$N$5:$N$428)),EOMONTH(B310,0),IF('Client DB &amp; Bed Mgmt'!$N$5:$N$428&lt;EOMONTH(B310,0),'Client DB &amp; Bed Mgmt'!$N$5:$N$428,EOMONTH(B310,0))))-(IF(('Client DB &amp; Bed Mgmt'!$M$5:$M$428="")+NOT(ISNUMBER('Client DB &amp; Bed Mgmt'!$M$5:$M$428)),DATE(YEAR(B310),MONTH(B310),1),IF('Client DB &amp; Bed Mgmt'!$M$5:$M$428&gt;DATE(YEAR(B310),MONTH(B310),1),'Client DB &amp; Bed Mgmt'!$M$5:$M$428,DATE(YEAR(B310),MONTH(B310),1))))+1)/DAY(EOMONTH(B310,0))),0)</f>
        <v/>
      </c>
    </row>
    <row r="311" ht="14.25" customHeight="1" s="83">
      <c r="A311" s="103" t="n"/>
      <c r="B311" s="125">
        <f>DATE(YEAR(StartDate),MONTH(StartDate),1)</f>
        <v/>
      </c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Mgmt'!$B:$B,C311,'Client DB &amp; Bed Mgmt'!$E:$E,"Occupied"),0)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>
        <f>IFERROR(J311*SUMPRODUCT(('Client DB &amp; Bed Mgmt'!$A$5:$A$428=A311)*('Client DB &amp; Bed Mgmt'!$B$5:$B$428=C311)*('Client DB &amp; Bed Mgmt'!$D$5:$D$428&lt;&gt;"")*--(('Client DB &amp; Bed Mgmt'!$M$5:$M$428="")+NOT(ISNUMBER('Client DB &amp; Bed Mgmt'!$M$5:$M$428))+IFERROR('Client DB &amp; Bed Mgmt'!$M$5:$M$428&lt;=EOMONTH(B311,0),FALSE)&gt;0)*--(('Client DB &amp; Bed Mgmt'!$N$5:$N$428="")+NOT(ISNUMBER('Client DB &amp; Bed Mgmt'!$N$5:$N$428))+IFERROR('Client DB &amp; Bed Mgmt'!$N$5:$N$428&gt;=DATE(YEAR(B311),MONTH(B311),1),FALSE)&gt;0)*((IF(('Client DB &amp; Bed Mgmt'!$N$5:$N$428="")+NOT(ISNUMBER('Client DB &amp; Bed Mgmt'!$N$5:$N$428)),EOMONTH(B311,0),IF('Client DB &amp; Bed Mgmt'!$N$5:$N$428&lt;EOMONTH(B311,0),'Client DB &amp; Bed Mgmt'!$N$5:$N$428,EOMONTH(B311,0))))-(IF(('Client DB &amp; Bed Mgmt'!$M$5:$M$428="")+NOT(ISNUMBER('Client DB &amp; Bed Mgmt'!$M$5:$M$428)),DATE(YEAR(B311),MONTH(B311),1),IF('Client DB &amp; Bed Mgmt'!$M$5:$M$428&gt;DATE(YEAR(B311),MONTH(B311),1),'Client DB &amp; Bed Mgmt'!$M$5:$M$428,DATE(YEAR(B311),MONTH(B311),1))))+1)/DAY(EOMONTH(B311,0))),0)</f>
        <v/>
      </c>
    </row>
    <row r="312" ht="14.25" customHeight="1" s="83">
      <c r="A312" s="103" t="n"/>
      <c r="B312" s="125">
        <f>DATE(YEAR(StartDate),MONTH(StartDate),1)</f>
        <v/>
      </c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Mgmt'!$B:$B,C312,'Client DB &amp; Bed Mgmt'!$E:$E,"Occupied"),0)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>
        <f>IFERROR(J312*SUMPRODUCT(('Client DB &amp; Bed Mgmt'!$A$5:$A$428=A312)*('Client DB &amp; Bed Mgmt'!$B$5:$B$428=C312)*('Client DB &amp; Bed Mgmt'!$D$5:$D$428&lt;&gt;"")*--(('Client DB &amp; Bed Mgmt'!$M$5:$M$428="")+NOT(ISNUMBER('Client DB &amp; Bed Mgmt'!$M$5:$M$428))+IFERROR('Client DB &amp; Bed Mgmt'!$M$5:$M$428&lt;=EOMONTH(B312,0),FALSE)&gt;0)*--(('Client DB &amp; Bed Mgmt'!$N$5:$N$428="")+NOT(ISNUMBER('Client DB &amp; Bed Mgmt'!$N$5:$N$428))+IFERROR('Client DB &amp; Bed Mgmt'!$N$5:$N$428&gt;=DATE(YEAR(B312),MONTH(B312),1),FALSE)&gt;0)*((IF(('Client DB &amp; Bed Mgmt'!$N$5:$N$428="")+NOT(ISNUMBER('Client DB &amp; Bed Mgmt'!$N$5:$N$428)),EOMONTH(B312,0),IF('Client DB &amp; Bed Mgmt'!$N$5:$N$428&lt;EOMONTH(B312,0),'Client DB &amp; Bed Mgmt'!$N$5:$N$428,EOMONTH(B312,0))))-(IF(('Client DB &amp; Bed Mgmt'!$M$5:$M$428="")+NOT(ISNUMBER('Client DB &amp; Bed Mgmt'!$M$5:$M$428)),DATE(YEAR(B312),MONTH(B312),1),IF('Client DB &amp; Bed Mgmt'!$M$5:$M$428&gt;DATE(YEAR(B312),MONTH(B312),1),'Client DB &amp; Bed Mgmt'!$M$5:$M$428,DATE(YEAR(B312),MONTH(B312),1))))+1)/DAY(EOMONTH(B312,0))),0)</f>
        <v/>
      </c>
    </row>
    <row r="313" ht="14.25" customHeight="1" s="83">
      <c r="A313" s="103" t="n"/>
      <c r="B313" s="125">
        <f>DATE(YEAR(StartDate),MONTH(StartDate),1)</f>
        <v/>
      </c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Mgmt'!$B:$B,C313,'Client DB &amp; Bed Mgmt'!$E:$E,"Occupied"),0)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>
        <f>IFERROR(J313*SUMPRODUCT(('Client DB &amp; Bed Mgmt'!$A$5:$A$428=A313)*('Client DB &amp; Bed Mgmt'!$B$5:$B$428=C313)*('Client DB &amp; Bed Mgmt'!$D$5:$D$428&lt;&gt;"")*--(('Client DB &amp; Bed Mgmt'!$M$5:$M$428="")+NOT(ISNUMBER('Client DB &amp; Bed Mgmt'!$M$5:$M$428))+IFERROR('Client DB &amp; Bed Mgmt'!$M$5:$M$428&lt;=EOMONTH(B313,0),FALSE)&gt;0)*--(('Client DB &amp; Bed Mgmt'!$N$5:$N$428="")+NOT(ISNUMBER('Client DB &amp; Bed Mgmt'!$N$5:$N$428))+IFERROR('Client DB &amp; Bed Mgmt'!$N$5:$N$428&gt;=DATE(YEAR(B313),MONTH(B313),1),FALSE)&gt;0)*((IF(('Client DB &amp; Bed Mgmt'!$N$5:$N$428="")+NOT(ISNUMBER('Client DB &amp; Bed Mgmt'!$N$5:$N$428)),EOMONTH(B313,0),IF('Client DB &amp; Bed Mgmt'!$N$5:$N$428&lt;EOMONTH(B313,0),'Client DB &amp; Bed Mgmt'!$N$5:$N$428,EOMONTH(B313,0))))-(IF(('Client DB &amp; Bed Mgmt'!$M$5:$M$428="")+NOT(ISNUMBER('Client DB &amp; Bed Mgmt'!$M$5:$M$428)),DATE(YEAR(B313),MONTH(B313),1),IF('Client DB &amp; Bed Mgmt'!$M$5:$M$428&gt;DATE(YEAR(B313),MONTH(B313),1),'Client DB &amp; Bed Mgmt'!$M$5:$M$428,DATE(YEAR(B313),MONTH(B313),1))))+1)/DAY(EOMONTH(B313,0))),0)</f>
        <v/>
      </c>
    </row>
    <row r="314" ht="14.25" customHeight="1" s="83">
      <c r="A314" s="103" t="n"/>
      <c r="B314" s="125">
        <f>DATE(YEAR(StartDate),MONTH(StartDate),1)</f>
        <v/>
      </c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Mgmt'!$B:$B,C314,'Client DB &amp; Bed Mgmt'!$E:$E,"Occupied"),0)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>
        <f>IFERROR(J314*SUMPRODUCT(('Client DB &amp; Bed Mgmt'!$A$5:$A$428=A314)*('Client DB &amp; Bed Mgmt'!$B$5:$B$428=C314)*('Client DB &amp; Bed Mgmt'!$D$5:$D$428&lt;&gt;"")*--(('Client DB &amp; Bed Mgmt'!$M$5:$M$428="")+NOT(ISNUMBER('Client DB &amp; Bed Mgmt'!$M$5:$M$428))+IFERROR('Client DB &amp; Bed Mgmt'!$M$5:$M$428&lt;=EOMONTH(B314,0),FALSE)&gt;0)*--(('Client DB &amp; Bed Mgmt'!$N$5:$N$428="")+NOT(ISNUMBER('Client DB &amp; Bed Mgmt'!$N$5:$N$428))+IFERROR('Client DB &amp; Bed Mgmt'!$N$5:$N$428&gt;=DATE(YEAR(B314),MONTH(B314),1),FALSE)&gt;0)*((IF(('Client DB &amp; Bed Mgmt'!$N$5:$N$428="")+NOT(ISNUMBER('Client DB &amp; Bed Mgmt'!$N$5:$N$428)),EOMONTH(B314,0),IF('Client DB &amp; Bed Mgmt'!$N$5:$N$428&lt;EOMONTH(B314,0),'Client DB &amp; Bed Mgmt'!$N$5:$N$428,EOMONTH(B314,0))))-(IF(('Client DB &amp; Bed Mgmt'!$M$5:$M$428="")+NOT(ISNUMBER('Client DB &amp; Bed Mgmt'!$M$5:$M$428)),DATE(YEAR(B314),MONTH(B314),1),IF('Client DB &amp; Bed Mgmt'!$M$5:$M$428&gt;DATE(YEAR(B314),MONTH(B314),1),'Client DB &amp; Bed Mgmt'!$M$5:$M$428,DATE(YEAR(B314),MONTH(B314),1))))+1)/DAY(EOMONTH(B314,0))),0)</f>
        <v/>
      </c>
    </row>
    <row r="315" ht="14.25" customHeight="1" s="83">
      <c r="A315" s="103" t="n"/>
      <c r="B315" s="125">
        <f>DATE(YEAR(StartDate),MONTH(StartDate),1)</f>
        <v/>
      </c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Mgmt'!$B:$B,C315,'Client DB &amp; Bed Mgmt'!$E:$E,"Occupied"),0)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>
        <f>IFERROR(J315*SUMPRODUCT(('Client DB &amp; Bed Mgmt'!$A$5:$A$428=A315)*('Client DB &amp; Bed Mgmt'!$B$5:$B$428=C315)*('Client DB &amp; Bed Mgmt'!$D$5:$D$428&lt;&gt;"")*--(('Client DB &amp; Bed Mgmt'!$M$5:$M$428="")+NOT(ISNUMBER('Client DB &amp; Bed Mgmt'!$M$5:$M$428))+IFERROR('Client DB &amp; Bed Mgmt'!$M$5:$M$428&lt;=EOMONTH(B315,0),FALSE)&gt;0)*--(('Client DB &amp; Bed Mgmt'!$N$5:$N$428="")+NOT(ISNUMBER('Client DB &amp; Bed Mgmt'!$N$5:$N$428))+IFERROR('Client DB &amp; Bed Mgmt'!$N$5:$N$428&gt;=DATE(YEAR(B315),MONTH(B315),1),FALSE)&gt;0)*((IF(('Client DB &amp; Bed Mgmt'!$N$5:$N$428="")+NOT(ISNUMBER('Client DB &amp; Bed Mgmt'!$N$5:$N$428)),EOMONTH(B315,0),IF('Client DB &amp; Bed Mgmt'!$N$5:$N$428&lt;EOMONTH(B315,0),'Client DB &amp; Bed Mgmt'!$N$5:$N$428,EOMONTH(B315,0))))-(IF(('Client DB &amp; Bed Mgmt'!$M$5:$M$428="")+NOT(ISNUMBER('Client DB &amp; Bed Mgmt'!$M$5:$M$428)),DATE(YEAR(B315),MONTH(B315),1),IF('Client DB &amp; Bed Mgmt'!$M$5:$M$428&gt;DATE(YEAR(B315),MONTH(B315),1),'Client DB &amp; Bed Mgmt'!$M$5:$M$428,DATE(YEAR(B315),MONTH(B315),1))))+1)/DAY(EOMONTH(B315,0))),0)</f>
        <v/>
      </c>
    </row>
    <row r="316" ht="14.25" customHeight="1" s="83">
      <c r="A316" s="103" t="n"/>
      <c r="B316" s="125">
        <f>DATE(YEAR(StartDate),MONTH(StartDate),1)</f>
        <v/>
      </c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Mgmt'!$B:$B,C316,'Client DB &amp; Bed Mgmt'!$E:$E,"Occupied"),0)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>
        <f>IFERROR(J316*SUMPRODUCT(('Client DB &amp; Bed Mgmt'!$A$5:$A$428=A316)*('Client DB &amp; Bed Mgmt'!$B$5:$B$428=C316)*('Client DB &amp; Bed Mgmt'!$D$5:$D$428&lt;&gt;"")*--(('Client DB &amp; Bed Mgmt'!$M$5:$M$428="")+NOT(ISNUMBER('Client DB &amp; Bed Mgmt'!$M$5:$M$428))+IFERROR('Client DB &amp; Bed Mgmt'!$M$5:$M$428&lt;=EOMONTH(B316,0),FALSE)&gt;0)*--(('Client DB &amp; Bed Mgmt'!$N$5:$N$428="")+NOT(ISNUMBER('Client DB &amp; Bed Mgmt'!$N$5:$N$428))+IFERROR('Client DB &amp; Bed Mgmt'!$N$5:$N$428&gt;=DATE(YEAR(B316),MONTH(B316),1),FALSE)&gt;0)*((IF(('Client DB &amp; Bed Mgmt'!$N$5:$N$428="")+NOT(ISNUMBER('Client DB &amp; Bed Mgmt'!$N$5:$N$428)),EOMONTH(B316,0),IF('Client DB &amp; Bed Mgmt'!$N$5:$N$428&lt;EOMONTH(B316,0),'Client DB &amp; Bed Mgmt'!$N$5:$N$428,EOMONTH(B316,0))))-(IF(('Client DB &amp; Bed Mgmt'!$M$5:$M$428="")+NOT(ISNUMBER('Client DB &amp; Bed Mgmt'!$M$5:$M$428)),DATE(YEAR(B316),MONTH(B316),1),IF('Client DB &amp; Bed Mgmt'!$M$5:$M$428&gt;DATE(YEAR(B316),MONTH(B316),1),'Client DB &amp; Bed Mgmt'!$M$5:$M$428,DATE(YEAR(B316),MONTH(B316),1))))+1)/DAY(EOMONTH(B316,0))),0)</f>
        <v/>
      </c>
    </row>
    <row r="317" ht="14.25" customHeight="1" s="83">
      <c r="A317" s="103" t="n"/>
      <c r="B317" s="125">
        <f>DATE(YEAR(StartDate),MONTH(StartDate),1)</f>
        <v/>
      </c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Mgmt'!$B:$B,C317,'Client DB &amp; Bed Mgmt'!$E:$E,"Occupied"),0)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>
        <f>IFERROR(J317*SUMPRODUCT(('Client DB &amp; Bed Mgmt'!$A$5:$A$428=A317)*('Client DB &amp; Bed Mgmt'!$B$5:$B$428=C317)*('Client DB &amp; Bed Mgmt'!$D$5:$D$428&lt;&gt;"")*--(('Client DB &amp; Bed Mgmt'!$M$5:$M$428="")+NOT(ISNUMBER('Client DB &amp; Bed Mgmt'!$M$5:$M$428))+IFERROR('Client DB &amp; Bed Mgmt'!$M$5:$M$428&lt;=EOMONTH(B317,0),FALSE)&gt;0)*--(('Client DB &amp; Bed Mgmt'!$N$5:$N$428="")+NOT(ISNUMBER('Client DB &amp; Bed Mgmt'!$N$5:$N$428))+IFERROR('Client DB &amp; Bed Mgmt'!$N$5:$N$428&gt;=DATE(YEAR(B317),MONTH(B317),1),FALSE)&gt;0)*((IF(('Client DB &amp; Bed Mgmt'!$N$5:$N$428="")+NOT(ISNUMBER('Client DB &amp; Bed Mgmt'!$N$5:$N$428)),EOMONTH(B317,0),IF('Client DB &amp; Bed Mgmt'!$N$5:$N$428&lt;EOMONTH(B317,0),'Client DB &amp; Bed Mgmt'!$N$5:$N$428,EOMONTH(B317,0))))-(IF(('Client DB &amp; Bed Mgmt'!$M$5:$M$428="")+NOT(ISNUMBER('Client DB &amp; Bed Mgmt'!$M$5:$M$428)),DATE(YEAR(B317),MONTH(B317),1),IF('Client DB &amp; Bed Mgmt'!$M$5:$M$428&gt;DATE(YEAR(B317),MONTH(B317),1),'Client DB &amp; Bed Mgmt'!$M$5:$M$428,DATE(YEAR(B317),MONTH(B317),1))))+1)/DAY(EOMONTH(B317,0))),0)</f>
        <v/>
      </c>
    </row>
    <row r="318" ht="14.25" customHeight="1" s="83">
      <c r="A318" s="103" t="n"/>
      <c r="B318" s="125">
        <f>DATE(YEAR(StartDate),MONTH(StartDate),1)</f>
        <v/>
      </c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Mgmt'!$B:$B,C318,'Client DB &amp; Bed Mgmt'!$E:$E,"Occupied"),0)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>
        <f>IFERROR(J318*SUMPRODUCT(('Client DB &amp; Bed Mgmt'!$A$5:$A$428=A318)*('Client DB &amp; Bed Mgmt'!$B$5:$B$428=C318)*('Client DB &amp; Bed Mgmt'!$D$5:$D$428&lt;&gt;"")*--(('Client DB &amp; Bed Mgmt'!$M$5:$M$428="")+NOT(ISNUMBER('Client DB &amp; Bed Mgmt'!$M$5:$M$428))+IFERROR('Client DB &amp; Bed Mgmt'!$M$5:$M$428&lt;=EOMONTH(B318,0),FALSE)&gt;0)*--(('Client DB &amp; Bed Mgmt'!$N$5:$N$428="")+NOT(ISNUMBER('Client DB &amp; Bed Mgmt'!$N$5:$N$428))+IFERROR('Client DB &amp; Bed Mgmt'!$N$5:$N$428&gt;=DATE(YEAR(B318),MONTH(B318),1),FALSE)&gt;0)*((IF(('Client DB &amp; Bed Mgmt'!$N$5:$N$428="")+NOT(ISNUMBER('Client DB &amp; Bed Mgmt'!$N$5:$N$428)),EOMONTH(B318,0),IF('Client DB &amp; Bed Mgmt'!$N$5:$N$428&lt;EOMONTH(B318,0),'Client DB &amp; Bed Mgmt'!$N$5:$N$428,EOMONTH(B318,0))))-(IF(('Client DB &amp; Bed Mgmt'!$M$5:$M$428="")+NOT(ISNUMBER('Client DB &amp; Bed Mgmt'!$M$5:$M$428)),DATE(YEAR(B318),MONTH(B318),1),IF('Client DB &amp; Bed Mgmt'!$M$5:$M$428&gt;DATE(YEAR(B318),MONTH(B318),1),'Client DB &amp; Bed Mgmt'!$M$5:$M$428,DATE(YEAR(B318),MONTH(B318),1))))+1)/DAY(EOMONTH(B318,0))),0)</f>
        <v/>
      </c>
    </row>
    <row r="319" ht="14.25" customHeight="1" s="83">
      <c r="A319" s="103" t="n"/>
      <c r="B319" s="125">
        <f>DATE(YEAR(StartDate),MONTH(StartDate),1)</f>
        <v/>
      </c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Mgmt'!$B:$B,C319,'Client DB &amp; Bed Mgmt'!$E:$E,"Occupied"),0)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>
        <f>IFERROR(J319*SUMPRODUCT(('Client DB &amp; Bed Mgmt'!$A$5:$A$428=A319)*('Client DB &amp; Bed Mgmt'!$B$5:$B$428=C319)*('Client DB &amp; Bed Mgmt'!$D$5:$D$428&lt;&gt;"")*--(('Client DB &amp; Bed Mgmt'!$M$5:$M$428="")+NOT(ISNUMBER('Client DB &amp; Bed Mgmt'!$M$5:$M$428))+IFERROR('Client DB &amp; Bed Mgmt'!$M$5:$M$428&lt;=EOMONTH(B319,0),FALSE)&gt;0)*--(('Client DB &amp; Bed Mgmt'!$N$5:$N$428="")+NOT(ISNUMBER('Client DB &amp; Bed Mgmt'!$N$5:$N$428))+IFERROR('Client DB &amp; Bed Mgmt'!$N$5:$N$428&gt;=DATE(YEAR(B319),MONTH(B319),1),FALSE)&gt;0)*((IF(('Client DB &amp; Bed Mgmt'!$N$5:$N$428="")+NOT(ISNUMBER('Client DB &amp; Bed Mgmt'!$N$5:$N$428)),EOMONTH(B319,0),IF('Client DB &amp; Bed Mgmt'!$N$5:$N$428&lt;EOMONTH(B319,0),'Client DB &amp; Bed Mgmt'!$N$5:$N$428,EOMONTH(B319,0))))-(IF(('Client DB &amp; Bed Mgmt'!$M$5:$M$428="")+NOT(ISNUMBER('Client DB &amp; Bed Mgmt'!$M$5:$M$428)),DATE(YEAR(B319),MONTH(B319),1),IF('Client DB &amp; Bed Mgmt'!$M$5:$M$428&gt;DATE(YEAR(B319),MONTH(B319),1),'Client DB &amp; Bed Mgmt'!$M$5:$M$428,DATE(YEAR(B319),MONTH(B319),1))))+1)/DAY(EOMONTH(B319,0))),0)</f>
        <v/>
      </c>
    </row>
    <row r="320" ht="14.25" customHeight="1" s="83">
      <c r="A320" s="103" t="n"/>
      <c r="B320" s="125">
        <f>DATE(YEAR(StartDate),MONTH(StartDate),1)</f>
        <v/>
      </c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Mgmt'!$B:$B,C320,'Client DB &amp; Bed Mgmt'!$E:$E,"Occupied"),0)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>
        <f>IFERROR(J320*SUMPRODUCT(('Client DB &amp; Bed Mgmt'!$A$5:$A$428=A320)*('Client DB &amp; Bed Mgmt'!$B$5:$B$428=C320)*('Client DB &amp; Bed Mgmt'!$D$5:$D$428&lt;&gt;"")*--(('Client DB &amp; Bed Mgmt'!$M$5:$M$428="")+NOT(ISNUMBER('Client DB &amp; Bed Mgmt'!$M$5:$M$428))+IFERROR('Client DB &amp; Bed Mgmt'!$M$5:$M$428&lt;=EOMONTH(B320,0),FALSE)&gt;0)*--(('Client DB &amp; Bed Mgmt'!$N$5:$N$428="")+NOT(ISNUMBER('Client DB &amp; Bed Mgmt'!$N$5:$N$428))+IFERROR('Client DB &amp; Bed Mgmt'!$N$5:$N$428&gt;=DATE(YEAR(B320),MONTH(B320),1),FALSE)&gt;0)*((IF(('Client DB &amp; Bed Mgmt'!$N$5:$N$428="")+NOT(ISNUMBER('Client DB &amp; Bed Mgmt'!$N$5:$N$428)),EOMONTH(B320,0),IF('Client DB &amp; Bed Mgmt'!$N$5:$N$428&lt;EOMONTH(B320,0),'Client DB &amp; Bed Mgmt'!$N$5:$N$428,EOMONTH(B320,0))))-(IF(('Client DB &amp; Bed Mgmt'!$M$5:$M$428="")+NOT(ISNUMBER('Client DB &amp; Bed Mgmt'!$M$5:$M$428)),DATE(YEAR(B320),MONTH(B320),1),IF('Client DB &amp; Bed Mgmt'!$M$5:$M$428&gt;DATE(YEAR(B320),MONTH(B320),1),'Client DB &amp; Bed Mgmt'!$M$5:$M$428,DATE(YEAR(B320),MONTH(B320),1))))+1)/DAY(EOMONTH(B320,0))),0)</f>
        <v/>
      </c>
    </row>
    <row r="321" ht="14.25" customHeight="1" s="83">
      <c r="A321" s="103" t="n"/>
      <c r="B321" s="125">
        <f>DATE(YEAR(StartDate),MONTH(StartDate),1)</f>
        <v/>
      </c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Mgmt'!$B:$B,C321,'Client DB &amp; Bed Mgmt'!$E:$E,"Occupied"),0)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>
        <f>IFERROR(J321*SUMPRODUCT(('Client DB &amp; Bed Mgmt'!$A$5:$A$428=A321)*('Client DB &amp; Bed Mgmt'!$B$5:$B$428=C321)*('Client DB &amp; Bed Mgmt'!$D$5:$D$428&lt;&gt;"")*--(('Client DB &amp; Bed Mgmt'!$M$5:$M$428="")+NOT(ISNUMBER('Client DB &amp; Bed Mgmt'!$M$5:$M$428))+IFERROR('Client DB &amp; Bed Mgmt'!$M$5:$M$428&lt;=EOMONTH(B321,0),FALSE)&gt;0)*--(('Client DB &amp; Bed Mgmt'!$N$5:$N$428="")+NOT(ISNUMBER('Client DB &amp; Bed Mgmt'!$N$5:$N$428))+IFERROR('Client DB &amp; Bed Mgmt'!$N$5:$N$428&gt;=DATE(YEAR(B321),MONTH(B321),1),FALSE)&gt;0)*((IF(('Client DB &amp; Bed Mgmt'!$N$5:$N$428="")+NOT(ISNUMBER('Client DB &amp; Bed Mgmt'!$N$5:$N$428)),EOMONTH(B321,0),IF('Client DB &amp; Bed Mgmt'!$N$5:$N$428&lt;EOMONTH(B321,0),'Client DB &amp; Bed Mgmt'!$N$5:$N$428,EOMONTH(B321,0))))-(IF(('Client DB &amp; Bed Mgmt'!$M$5:$M$428="")+NOT(ISNUMBER('Client DB &amp; Bed Mgmt'!$M$5:$M$428)),DATE(YEAR(B321),MONTH(B321),1),IF('Client DB &amp; Bed Mgmt'!$M$5:$M$428&gt;DATE(YEAR(B321),MONTH(B321),1),'Client DB &amp; Bed Mgmt'!$M$5:$M$428,DATE(YEAR(B321),MONTH(B321),1))))+1)/DAY(EOMONTH(B321,0))),0)</f>
        <v/>
      </c>
    </row>
    <row r="322" ht="14.25" customHeight="1" s="83">
      <c r="A322" s="103" t="n"/>
      <c r="B322" s="125">
        <f>DATE(YEAR(StartDate),MONTH(StartDate),1)</f>
        <v/>
      </c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Mgmt'!$B:$B,C322,'Client DB &amp; Bed Mgmt'!$E:$E,"Occupied"),0)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>
        <f>IFERROR(J322*SUMPRODUCT(('Client DB &amp; Bed Mgmt'!$A$5:$A$428=A322)*('Client DB &amp; Bed Mgmt'!$B$5:$B$428=C322)*('Client DB &amp; Bed Mgmt'!$D$5:$D$428&lt;&gt;"")*--(('Client DB &amp; Bed Mgmt'!$M$5:$M$428="")+NOT(ISNUMBER('Client DB &amp; Bed Mgmt'!$M$5:$M$428))+IFERROR('Client DB &amp; Bed Mgmt'!$M$5:$M$428&lt;=EOMONTH(B322,0),FALSE)&gt;0)*--(('Client DB &amp; Bed Mgmt'!$N$5:$N$428="")+NOT(ISNUMBER('Client DB &amp; Bed Mgmt'!$N$5:$N$428))+IFERROR('Client DB &amp; Bed Mgmt'!$N$5:$N$428&gt;=DATE(YEAR(B322),MONTH(B322),1),FALSE)&gt;0)*((IF(('Client DB &amp; Bed Mgmt'!$N$5:$N$428="")+NOT(ISNUMBER('Client DB &amp; Bed Mgmt'!$N$5:$N$428)),EOMONTH(B322,0),IF('Client DB &amp; Bed Mgmt'!$N$5:$N$428&lt;EOMONTH(B322,0),'Client DB &amp; Bed Mgmt'!$N$5:$N$428,EOMONTH(B322,0))))-(IF(('Client DB &amp; Bed Mgmt'!$M$5:$M$428="")+NOT(ISNUMBER('Client DB &amp; Bed Mgmt'!$M$5:$M$428)),DATE(YEAR(B322),MONTH(B322),1),IF('Client DB &amp; Bed Mgmt'!$M$5:$M$428&gt;DATE(YEAR(B322),MONTH(B322),1),'Client DB &amp; Bed Mgmt'!$M$5:$M$428,DATE(YEAR(B322),MONTH(B322),1))))+1)/DAY(EOMONTH(B322,0))),0)</f>
        <v/>
      </c>
    </row>
    <row r="323" ht="14.25" customHeight="1" s="83">
      <c r="A323" s="103" t="n"/>
      <c r="B323" s="125">
        <f>DATE(YEAR(StartDate),MONTH(StartDate),1)</f>
        <v/>
      </c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Mgmt'!$B:$B,C323,'Client DB &amp; Bed Mgmt'!$E:$E,"Occupied"),0)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>
        <f>IFERROR(J323*SUMPRODUCT(('Client DB &amp; Bed Mgmt'!$A$5:$A$428=A323)*('Client DB &amp; Bed Mgmt'!$B$5:$B$428=C323)*('Client DB &amp; Bed Mgmt'!$D$5:$D$428&lt;&gt;"")*--(('Client DB &amp; Bed Mgmt'!$M$5:$M$428="")+NOT(ISNUMBER('Client DB &amp; Bed Mgmt'!$M$5:$M$428))+IFERROR('Client DB &amp; Bed Mgmt'!$M$5:$M$428&lt;=EOMONTH(B323,0),FALSE)&gt;0)*--(('Client DB &amp; Bed Mgmt'!$N$5:$N$428="")+NOT(ISNUMBER('Client DB &amp; Bed Mgmt'!$N$5:$N$428))+IFERROR('Client DB &amp; Bed Mgmt'!$N$5:$N$428&gt;=DATE(YEAR(B323),MONTH(B323),1),FALSE)&gt;0)*((IF(('Client DB &amp; Bed Mgmt'!$N$5:$N$428="")+NOT(ISNUMBER('Client DB &amp; Bed Mgmt'!$N$5:$N$428)),EOMONTH(B323,0),IF('Client DB &amp; Bed Mgmt'!$N$5:$N$428&lt;EOMONTH(B323,0),'Client DB &amp; Bed Mgmt'!$N$5:$N$428,EOMONTH(B323,0))))-(IF(('Client DB &amp; Bed Mgmt'!$M$5:$M$428="")+NOT(ISNUMBER('Client DB &amp; Bed Mgmt'!$M$5:$M$428)),DATE(YEAR(B323),MONTH(B323),1),IF('Client DB &amp; Bed Mgmt'!$M$5:$M$428&gt;DATE(YEAR(B323),MONTH(B323),1),'Client DB &amp; Bed Mgmt'!$M$5:$M$428,DATE(YEAR(B323),MONTH(B323),1))))+1)/DAY(EOMONTH(B323,0))),0)</f>
        <v/>
      </c>
    </row>
    <row r="324" ht="14.25" customHeight="1" s="83">
      <c r="A324" s="103" t="n"/>
      <c r="B324" s="125">
        <f>DATE(YEAR(StartDate),MONTH(StartDate),1)</f>
        <v/>
      </c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Mgmt'!$B:$B,C324,'Client DB &amp; Bed Mgmt'!$E:$E,"Occupied"),0)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>
        <f>IFERROR(J324*SUMPRODUCT(('Client DB &amp; Bed Mgmt'!$A$5:$A$428=A324)*('Client DB &amp; Bed Mgmt'!$B$5:$B$428=C324)*('Client DB &amp; Bed Mgmt'!$D$5:$D$428&lt;&gt;"")*--(('Client DB &amp; Bed Mgmt'!$M$5:$M$428="")+NOT(ISNUMBER('Client DB &amp; Bed Mgmt'!$M$5:$M$428))+IFERROR('Client DB &amp; Bed Mgmt'!$M$5:$M$428&lt;=EOMONTH(B324,0),FALSE)&gt;0)*--(('Client DB &amp; Bed Mgmt'!$N$5:$N$428="")+NOT(ISNUMBER('Client DB &amp; Bed Mgmt'!$N$5:$N$428))+IFERROR('Client DB &amp; Bed Mgmt'!$N$5:$N$428&gt;=DATE(YEAR(B324),MONTH(B324),1),FALSE)&gt;0)*((IF(('Client DB &amp; Bed Mgmt'!$N$5:$N$428="")+NOT(ISNUMBER('Client DB &amp; Bed Mgmt'!$N$5:$N$428)),EOMONTH(B324,0),IF('Client DB &amp; Bed Mgmt'!$N$5:$N$428&lt;EOMONTH(B324,0),'Client DB &amp; Bed Mgmt'!$N$5:$N$428,EOMONTH(B324,0))))-(IF(('Client DB &amp; Bed Mgmt'!$M$5:$M$428="")+NOT(ISNUMBER('Client DB &amp; Bed Mgmt'!$M$5:$M$428)),DATE(YEAR(B324),MONTH(B324),1),IF('Client DB &amp; Bed Mgmt'!$M$5:$M$428&gt;DATE(YEAR(B324),MONTH(B324),1),'Client DB &amp; Bed Mgmt'!$M$5:$M$428,DATE(YEAR(B324),MONTH(B324),1))))+1)/DAY(EOMONTH(B324,0))),0)</f>
        <v/>
      </c>
    </row>
    <row r="325" ht="14.25" customHeight="1" s="83">
      <c r="A325" s="103" t="n"/>
      <c r="B325" s="125">
        <f>DATE(YEAR(StartDate),MONTH(StartDate),1)</f>
        <v/>
      </c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Mgmt'!$B:$B,C325,'Client DB &amp; Bed Mgmt'!$E:$E,"Occupied"),0)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>
        <f>IFERROR(J325*SUMPRODUCT(('Client DB &amp; Bed Mgmt'!$A$5:$A$428=A325)*('Client DB &amp; Bed Mgmt'!$B$5:$B$428=C325)*('Client DB &amp; Bed Mgmt'!$D$5:$D$428&lt;&gt;"")*--(('Client DB &amp; Bed Mgmt'!$M$5:$M$428="")+NOT(ISNUMBER('Client DB &amp; Bed Mgmt'!$M$5:$M$428))+IFERROR('Client DB &amp; Bed Mgmt'!$M$5:$M$428&lt;=EOMONTH(B325,0),FALSE)&gt;0)*--(('Client DB &amp; Bed Mgmt'!$N$5:$N$428="")+NOT(ISNUMBER('Client DB &amp; Bed Mgmt'!$N$5:$N$428))+IFERROR('Client DB &amp; Bed Mgmt'!$N$5:$N$428&gt;=DATE(YEAR(B325),MONTH(B325),1),FALSE)&gt;0)*((IF(('Client DB &amp; Bed Mgmt'!$N$5:$N$428="")+NOT(ISNUMBER('Client DB &amp; Bed Mgmt'!$N$5:$N$428)),EOMONTH(B325,0),IF('Client DB &amp; Bed Mgmt'!$N$5:$N$428&lt;EOMONTH(B325,0),'Client DB &amp; Bed Mgmt'!$N$5:$N$428,EOMONTH(B325,0))))-(IF(('Client DB &amp; Bed Mgmt'!$M$5:$M$428="")+NOT(ISNUMBER('Client DB &amp; Bed Mgmt'!$M$5:$M$428)),DATE(YEAR(B325),MONTH(B325),1),IF('Client DB &amp; Bed Mgmt'!$M$5:$M$428&gt;DATE(YEAR(B325),MONTH(B325),1),'Client DB &amp; Bed Mgmt'!$M$5:$M$428,DATE(YEAR(B325),MONTH(B325),1))))+1)/DAY(EOMONTH(B325,0))),0)</f>
        <v/>
      </c>
    </row>
    <row r="326" ht="14.25" customHeight="1" s="83">
      <c r="A326" s="103" t="n"/>
      <c r="B326" s="125">
        <f>DATE(YEAR(StartDate),MONTH(StartDate),1)</f>
        <v/>
      </c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Mgmt'!$B:$B,C326,'Client DB &amp; Bed Mgmt'!$E:$E,"Occupied"),0)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>
        <f>IFERROR(J326*SUMPRODUCT(('Client DB &amp; Bed Mgmt'!$A$5:$A$428=A326)*('Client DB &amp; Bed Mgmt'!$B$5:$B$428=C326)*('Client DB &amp; Bed Mgmt'!$D$5:$D$428&lt;&gt;"")*--(('Client DB &amp; Bed Mgmt'!$M$5:$M$428="")+NOT(ISNUMBER('Client DB &amp; Bed Mgmt'!$M$5:$M$428))+IFERROR('Client DB &amp; Bed Mgmt'!$M$5:$M$428&lt;=EOMONTH(B326,0),FALSE)&gt;0)*--(('Client DB &amp; Bed Mgmt'!$N$5:$N$428="")+NOT(ISNUMBER('Client DB &amp; Bed Mgmt'!$N$5:$N$428))+IFERROR('Client DB &amp; Bed Mgmt'!$N$5:$N$428&gt;=DATE(YEAR(B326),MONTH(B326),1),FALSE)&gt;0)*((IF(('Client DB &amp; Bed Mgmt'!$N$5:$N$428="")+NOT(ISNUMBER('Client DB &amp; Bed Mgmt'!$N$5:$N$428)),EOMONTH(B326,0),IF('Client DB &amp; Bed Mgmt'!$N$5:$N$428&lt;EOMONTH(B326,0),'Client DB &amp; Bed Mgmt'!$N$5:$N$428,EOMONTH(B326,0))))-(IF(('Client DB &amp; Bed Mgmt'!$M$5:$M$428="")+NOT(ISNUMBER('Client DB &amp; Bed Mgmt'!$M$5:$M$428)),DATE(YEAR(B326),MONTH(B326),1),IF('Client DB &amp; Bed Mgmt'!$M$5:$M$428&gt;DATE(YEAR(B326),MONTH(B326),1),'Client DB &amp; Bed Mgmt'!$M$5:$M$428,DATE(YEAR(B326),MONTH(B326),1))))+1)/DAY(EOMONTH(B326,0))),0)</f>
        <v/>
      </c>
    </row>
    <row r="327" ht="14.25" customHeight="1" s="83">
      <c r="A327" s="103" t="n"/>
      <c r="B327" s="125">
        <f>DATE(YEAR(StartDate),MONTH(StartDate),1)</f>
        <v/>
      </c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Mgmt'!$B:$B,C327,'Client DB &amp; Bed Mgmt'!$E:$E,"Occupied"),0)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>
        <f>IFERROR(J327*SUMPRODUCT(('Client DB &amp; Bed Mgmt'!$A$5:$A$428=A327)*('Client DB &amp; Bed Mgmt'!$B$5:$B$428=C327)*('Client DB &amp; Bed Mgmt'!$D$5:$D$428&lt;&gt;"")*--(('Client DB &amp; Bed Mgmt'!$M$5:$M$428="")+NOT(ISNUMBER('Client DB &amp; Bed Mgmt'!$M$5:$M$428))+IFERROR('Client DB &amp; Bed Mgmt'!$M$5:$M$428&lt;=EOMONTH(B327,0),FALSE)&gt;0)*--(('Client DB &amp; Bed Mgmt'!$N$5:$N$428="")+NOT(ISNUMBER('Client DB &amp; Bed Mgmt'!$N$5:$N$428))+IFERROR('Client DB &amp; Bed Mgmt'!$N$5:$N$428&gt;=DATE(YEAR(B327),MONTH(B327),1),FALSE)&gt;0)*((IF(('Client DB &amp; Bed Mgmt'!$N$5:$N$428="")+NOT(ISNUMBER('Client DB &amp; Bed Mgmt'!$N$5:$N$428)),EOMONTH(B327,0),IF('Client DB &amp; Bed Mgmt'!$N$5:$N$428&lt;EOMONTH(B327,0),'Client DB &amp; Bed Mgmt'!$N$5:$N$428,EOMONTH(B327,0))))-(IF(('Client DB &amp; Bed Mgmt'!$M$5:$M$428="")+NOT(ISNUMBER('Client DB &amp; Bed Mgmt'!$M$5:$M$428)),DATE(YEAR(B327),MONTH(B327),1),IF('Client DB &amp; Bed Mgmt'!$M$5:$M$428&gt;DATE(YEAR(B327),MONTH(B327),1),'Client DB &amp; Bed Mgmt'!$M$5:$M$428,DATE(YEAR(B327),MONTH(B327),1))))+1)/DAY(EOMONTH(B327,0))),0)</f>
        <v/>
      </c>
    </row>
    <row r="328" ht="14.25" customHeight="1" s="83">
      <c r="A328" s="103" t="n"/>
      <c r="B328" s="125">
        <f>DATE(YEAR(StartDate),MONTH(StartDate),1)</f>
        <v/>
      </c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Mgmt'!$B:$B,C328,'Client DB &amp; Bed Mgmt'!$E:$E,"Occupied"),0)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>
        <f>IFERROR(J328*SUMPRODUCT(('Client DB &amp; Bed Mgmt'!$A$5:$A$428=A328)*('Client DB &amp; Bed Mgmt'!$B$5:$B$428=C328)*('Client DB &amp; Bed Mgmt'!$D$5:$D$428&lt;&gt;"")*--(('Client DB &amp; Bed Mgmt'!$M$5:$M$428="")+NOT(ISNUMBER('Client DB &amp; Bed Mgmt'!$M$5:$M$428))+IFERROR('Client DB &amp; Bed Mgmt'!$M$5:$M$428&lt;=EOMONTH(B328,0),FALSE)&gt;0)*--(('Client DB &amp; Bed Mgmt'!$N$5:$N$428="")+NOT(ISNUMBER('Client DB &amp; Bed Mgmt'!$N$5:$N$428))+IFERROR('Client DB &amp; Bed Mgmt'!$N$5:$N$428&gt;=DATE(YEAR(B328),MONTH(B328),1),FALSE)&gt;0)*((IF(('Client DB &amp; Bed Mgmt'!$N$5:$N$428="")+NOT(ISNUMBER('Client DB &amp; Bed Mgmt'!$N$5:$N$428)),EOMONTH(B328,0),IF('Client DB &amp; Bed Mgmt'!$N$5:$N$428&lt;EOMONTH(B328,0),'Client DB &amp; Bed Mgmt'!$N$5:$N$428,EOMONTH(B328,0))))-(IF(('Client DB &amp; Bed Mgmt'!$M$5:$M$428="")+NOT(ISNUMBER('Client DB &amp; Bed Mgmt'!$M$5:$M$428)),DATE(YEAR(B328),MONTH(B328),1),IF('Client DB &amp; Bed Mgmt'!$M$5:$M$428&gt;DATE(YEAR(B328),MONTH(B328),1),'Client DB &amp; Bed Mgmt'!$M$5:$M$428,DATE(YEAR(B328),MONTH(B328),1))))+1)/DAY(EOMONTH(B328,0))),0)</f>
        <v/>
      </c>
    </row>
    <row r="329" ht="14.25" customHeight="1" s="83">
      <c r="A329" s="103" t="n"/>
      <c r="B329" s="125">
        <f>DATE(YEAR(StartDate),MONTH(StartDate),1)</f>
        <v/>
      </c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Mgmt'!$B:$B,C329,'Client DB &amp; Bed Mgmt'!$E:$E,"Occupied"),0)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>
        <f>IFERROR(J329*SUMPRODUCT(('Client DB &amp; Bed Mgmt'!$A$5:$A$428=A329)*('Client DB &amp; Bed Mgmt'!$B$5:$B$428=C329)*('Client DB &amp; Bed Mgmt'!$D$5:$D$428&lt;&gt;"")*--(('Client DB &amp; Bed Mgmt'!$M$5:$M$428="")+NOT(ISNUMBER('Client DB &amp; Bed Mgmt'!$M$5:$M$428))+IFERROR('Client DB &amp; Bed Mgmt'!$M$5:$M$428&lt;=EOMONTH(B329,0),FALSE)&gt;0)*--(('Client DB &amp; Bed Mgmt'!$N$5:$N$428="")+NOT(ISNUMBER('Client DB &amp; Bed Mgmt'!$N$5:$N$428))+IFERROR('Client DB &amp; Bed Mgmt'!$N$5:$N$428&gt;=DATE(YEAR(B329),MONTH(B329),1),FALSE)&gt;0)*((IF(('Client DB &amp; Bed Mgmt'!$N$5:$N$428="")+NOT(ISNUMBER('Client DB &amp; Bed Mgmt'!$N$5:$N$428)),EOMONTH(B329,0),IF('Client DB &amp; Bed Mgmt'!$N$5:$N$428&lt;EOMONTH(B329,0),'Client DB &amp; Bed Mgmt'!$N$5:$N$428,EOMONTH(B329,0))))-(IF(('Client DB &amp; Bed Mgmt'!$M$5:$M$428="")+NOT(ISNUMBER('Client DB &amp; Bed Mgmt'!$M$5:$M$428)),DATE(YEAR(B329),MONTH(B329),1),IF('Client DB &amp; Bed Mgmt'!$M$5:$M$428&gt;DATE(YEAR(B329),MONTH(B329),1),'Client DB &amp; Bed Mgmt'!$M$5:$M$428,DATE(YEAR(B329),MONTH(B329),1))))+1)/DAY(EOMONTH(B329,0))),0)</f>
        <v/>
      </c>
    </row>
    <row r="330" ht="14.25" customHeight="1" s="83">
      <c r="A330" s="103" t="n"/>
      <c r="B330" s="125">
        <f>DATE(YEAR(StartDate),MONTH(StartDate),1)</f>
        <v/>
      </c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Mgmt'!$B:$B,C330,'Client DB &amp; Bed Mgmt'!$E:$E,"Occupied"),0)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>
        <f>IFERROR(J330*SUMPRODUCT(('Client DB &amp; Bed Mgmt'!$A$5:$A$428=A330)*('Client DB &amp; Bed Mgmt'!$B$5:$B$428=C330)*('Client DB &amp; Bed Mgmt'!$D$5:$D$428&lt;&gt;"")*--(('Client DB &amp; Bed Mgmt'!$M$5:$M$428="")+NOT(ISNUMBER('Client DB &amp; Bed Mgmt'!$M$5:$M$428))+IFERROR('Client DB &amp; Bed Mgmt'!$M$5:$M$428&lt;=EOMONTH(B330,0),FALSE)&gt;0)*--(('Client DB &amp; Bed Mgmt'!$N$5:$N$428="")+NOT(ISNUMBER('Client DB &amp; Bed Mgmt'!$N$5:$N$428))+IFERROR('Client DB &amp; Bed Mgmt'!$N$5:$N$428&gt;=DATE(YEAR(B330),MONTH(B330),1),FALSE)&gt;0)*((IF(('Client DB &amp; Bed Mgmt'!$N$5:$N$428="")+NOT(ISNUMBER('Client DB &amp; Bed Mgmt'!$N$5:$N$428)),EOMONTH(B330,0),IF('Client DB &amp; Bed Mgmt'!$N$5:$N$428&lt;EOMONTH(B330,0),'Client DB &amp; Bed Mgmt'!$N$5:$N$428,EOMONTH(B330,0))))-(IF(('Client DB &amp; Bed Mgmt'!$M$5:$M$428="")+NOT(ISNUMBER('Client DB &amp; Bed Mgmt'!$M$5:$M$428)),DATE(YEAR(B330),MONTH(B330),1),IF('Client DB &amp; Bed Mgmt'!$M$5:$M$428&gt;DATE(YEAR(B330),MONTH(B330),1),'Client DB &amp; Bed Mgmt'!$M$5:$M$428,DATE(YEAR(B330),MONTH(B330),1))))+1)/DAY(EOMONTH(B330,0))),0)</f>
        <v/>
      </c>
    </row>
    <row r="331" ht="14.25" customHeight="1" s="83">
      <c r="A331" s="103" t="n"/>
      <c r="B331" s="125">
        <f>DATE(YEAR(StartDate),MONTH(StartDate),1)</f>
        <v/>
      </c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Mgmt'!$B:$B,C331,'Client DB &amp; Bed Mgmt'!$E:$E,"Occupied"),0)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>
        <f>IFERROR(J331*SUMPRODUCT(('Client DB &amp; Bed Mgmt'!$A$5:$A$428=A331)*('Client DB &amp; Bed Mgmt'!$B$5:$B$428=C331)*('Client DB &amp; Bed Mgmt'!$D$5:$D$428&lt;&gt;"")*--(('Client DB &amp; Bed Mgmt'!$M$5:$M$428="")+NOT(ISNUMBER('Client DB &amp; Bed Mgmt'!$M$5:$M$428))+IFERROR('Client DB &amp; Bed Mgmt'!$M$5:$M$428&lt;=EOMONTH(B331,0),FALSE)&gt;0)*--(('Client DB &amp; Bed Mgmt'!$N$5:$N$428="")+NOT(ISNUMBER('Client DB &amp; Bed Mgmt'!$N$5:$N$428))+IFERROR('Client DB &amp; Bed Mgmt'!$N$5:$N$428&gt;=DATE(YEAR(B331),MONTH(B331),1),FALSE)&gt;0)*((IF(('Client DB &amp; Bed Mgmt'!$N$5:$N$428="")+NOT(ISNUMBER('Client DB &amp; Bed Mgmt'!$N$5:$N$428)),EOMONTH(B331,0),IF('Client DB &amp; Bed Mgmt'!$N$5:$N$428&lt;EOMONTH(B331,0),'Client DB &amp; Bed Mgmt'!$N$5:$N$428,EOMONTH(B331,0))))-(IF(('Client DB &amp; Bed Mgmt'!$M$5:$M$428="")+NOT(ISNUMBER('Client DB &amp; Bed Mgmt'!$M$5:$M$428)),DATE(YEAR(B331),MONTH(B331),1),IF('Client DB &amp; Bed Mgmt'!$M$5:$M$428&gt;DATE(YEAR(B331),MONTH(B331),1),'Client DB &amp; Bed Mgmt'!$M$5:$M$428,DATE(YEAR(B331),MONTH(B331),1))))+1)/DAY(EOMONTH(B331,0))),0)</f>
        <v/>
      </c>
    </row>
    <row r="332" ht="14.25" customHeight="1" s="83">
      <c r="A332" s="103" t="n"/>
      <c r="B332" s="125">
        <f>DATE(YEAR(StartDate),MONTH(StartDate),1)</f>
        <v/>
      </c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Mgmt'!$B:$B,C332,'Client DB &amp; Bed Mgmt'!$E:$E,"Occupied"),0)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>
        <f>IFERROR(J332*SUMPRODUCT(('Client DB &amp; Bed Mgmt'!$A$5:$A$428=A332)*('Client DB &amp; Bed Mgmt'!$B$5:$B$428=C332)*('Client DB &amp; Bed Mgmt'!$D$5:$D$428&lt;&gt;"")*--(('Client DB &amp; Bed Mgmt'!$M$5:$M$428="")+NOT(ISNUMBER('Client DB &amp; Bed Mgmt'!$M$5:$M$428))+IFERROR('Client DB &amp; Bed Mgmt'!$M$5:$M$428&lt;=EOMONTH(B332,0),FALSE)&gt;0)*--(('Client DB &amp; Bed Mgmt'!$N$5:$N$428="")+NOT(ISNUMBER('Client DB &amp; Bed Mgmt'!$N$5:$N$428))+IFERROR('Client DB &amp; Bed Mgmt'!$N$5:$N$428&gt;=DATE(YEAR(B332),MONTH(B332),1),FALSE)&gt;0)*((IF(('Client DB &amp; Bed Mgmt'!$N$5:$N$428="")+NOT(ISNUMBER('Client DB &amp; Bed Mgmt'!$N$5:$N$428)),EOMONTH(B332,0),IF('Client DB &amp; Bed Mgmt'!$N$5:$N$428&lt;EOMONTH(B332,0),'Client DB &amp; Bed Mgmt'!$N$5:$N$428,EOMONTH(B332,0))))-(IF(('Client DB &amp; Bed Mgmt'!$M$5:$M$428="")+NOT(ISNUMBER('Client DB &amp; Bed Mgmt'!$M$5:$M$428)),DATE(YEAR(B332),MONTH(B332),1),IF('Client DB &amp; Bed Mgmt'!$M$5:$M$428&gt;DATE(YEAR(B332),MONTH(B332),1),'Client DB &amp; Bed Mgmt'!$M$5:$M$428,DATE(YEAR(B332),MONTH(B332),1))))+1)/DAY(EOMONTH(B332,0))),0)</f>
        <v/>
      </c>
    </row>
    <row r="333" ht="14.25" customHeight="1" s="83">
      <c r="A333" s="103" t="n"/>
      <c r="B333" s="125">
        <f>DATE(YEAR(StartDate),MONTH(StartDate),1)</f>
        <v/>
      </c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Mgmt'!$B:$B,C333,'Client DB &amp; Bed Mgmt'!$E:$E,"Occupied"),0)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>
        <f>IFERROR(J333*SUMPRODUCT(('Client DB &amp; Bed Mgmt'!$A$5:$A$428=A333)*('Client DB &amp; Bed Mgmt'!$B$5:$B$428=C333)*('Client DB &amp; Bed Mgmt'!$D$5:$D$428&lt;&gt;"")*--(('Client DB &amp; Bed Mgmt'!$M$5:$M$428="")+NOT(ISNUMBER('Client DB &amp; Bed Mgmt'!$M$5:$M$428))+IFERROR('Client DB &amp; Bed Mgmt'!$M$5:$M$428&lt;=EOMONTH(B333,0),FALSE)&gt;0)*--(('Client DB &amp; Bed Mgmt'!$N$5:$N$428="")+NOT(ISNUMBER('Client DB &amp; Bed Mgmt'!$N$5:$N$428))+IFERROR('Client DB &amp; Bed Mgmt'!$N$5:$N$428&gt;=DATE(YEAR(B333),MONTH(B333),1),FALSE)&gt;0)*((IF(('Client DB &amp; Bed Mgmt'!$N$5:$N$428="")+NOT(ISNUMBER('Client DB &amp; Bed Mgmt'!$N$5:$N$428)),EOMONTH(B333,0),IF('Client DB &amp; Bed Mgmt'!$N$5:$N$428&lt;EOMONTH(B333,0),'Client DB &amp; Bed Mgmt'!$N$5:$N$428,EOMONTH(B333,0))))-(IF(('Client DB &amp; Bed Mgmt'!$M$5:$M$428="")+NOT(ISNUMBER('Client DB &amp; Bed Mgmt'!$M$5:$M$428)),DATE(YEAR(B333),MONTH(B333),1),IF('Client DB &amp; Bed Mgmt'!$M$5:$M$428&gt;DATE(YEAR(B333),MONTH(B333),1),'Client DB &amp; Bed Mgmt'!$M$5:$M$428,DATE(YEAR(B333),MONTH(B333),1))))+1)/DAY(EOMONTH(B333,0))),0)</f>
        <v/>
      </c>
    </row>
    <row r="334" ht="14.25" customHeight="1" s="83">
      <c r="A334" s="103" t="n"/>
      <c r="B334" s="125">
        <f>DATE(YEAR(StartDate),MONTH(StartDate),1)</f>
        <v/>
      </c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Mgmt'!$B:$B,C334,'Client DB &amp; Bed Mgmt'!$E:$E,"Occupied"),0)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>
        <f>IFERROR(J334*SUMPRODUCT(('Client DB &amp; Bed Mgmt'!$A$5:$A$428=A334)*('Client DB &amp; Bed Mgmt'!$B$5:$B$428=C334)*('Client DB &amp; Bed Mgmt'!$D$5:$D$428&lt;&gt;"")*--(('Client DB &amp; Bed Mgmt'!$M$5:$M$428="")+NOT(ISNUMBER('Client DB &amp; Bed Mgmt'!$M$5:$M$428))+IFERROR('Client DB &amp; Bed Mgmt'!$M$5:$M$428&lt;=EOMONTH(B334,0),FALSE)&gt;0)*--(('Client DB &amp; Bed Mgmt'!$N$5:$N$428="")+NOT(ISNUMBER('Client DB &amp; Bed Mgmt'!$N$5:$N$428))+IFERROR('Client DB &amp; Bed Mgmt'!$N$5:$N$428&gt;=DATE(YEAR(B334),MONTH(B334),1),FALSE)&gt;0)*((IF(('Client DB &amp; Bed Mgmt'!$N$5:$N$428="")+NOT(ISNUMBER('Client DB &amp; Bed Mgmt'!$N$5:$N$428)),EOMONTH(B334,0),IF('Client DB &amp; Bed Mgmt'!$N$5:$N$428&lt;EOMONTH(B334,0),'Client DB &amp; Bed Mgmt'!$N$5:$N$428,EOMONTH(B334,0))))-(IF(('Client DB &amp; Bed Mgmt'!$M$5:$M$428="")+NOT(ISNUMBER('Client DB &amp; Bed Mgmt'!$M$5:$M$428)),DATE(YEAR(B334),MONTH(B334),1),IF('Client DB &amp; Bed Mgmt'!$M$5:$M$428&gt;DATE(YEAR(B334),MONTH(B334),1),'Client DB &amp; Bed Mgmt'!$M$5:$M$428,DATE(YEAR(B334),MONTH(B334),1))))+1)/DAY(EOMONTH(B334,0))),0)</f>
        <v/>
      </c>
    </row>
    <row r="335" ht="14.25" customHeight="1" s="83">
      <c r="A335" s="103" t="n"/>
      <c r="B335" s="125">
        <f>DATE(YEAR(StartDate),MONTH(StartDate),1)</f>
        <v/>
      </c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Mgmt'!$B:$B,C335,'Client DB &amp; Bed Mgmt'!$E:$E,"Occupied"),0)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>
        <f>IFERROR(J335*SUMPRODUCT(('Client DB &amp; Bed Mgmt'!$A$5:$A$428=A335)*('Client DB &amp; Bed Mgmt'!$B$5:$B$428=C335)*('Client DB &amp; Bed Mgmt'!$D$5:$D$428&lt;&gt;"")*--(('Client DB &amp; Bed Mgmt'!$M$5:$M$428="")+NOT(ISNUMBER('Client DB &amp; Bed Mgmt'!$M$5:$M$428))+IFERROR('Client DB &amp; Bed Mgmt'!$M$5:$M$428&lt;=EOMONTH(B335,0),FALSE)&gt;0)*--(('Client DB &amp; Bed Mgmt'!$N$5:$N$428="")+NOT(ISNUMBER('Client DB &amp; Bed Mgmt'!$N$5:$N$428))+IFERROR('Client DB &amp; Bed Mgmt'!$N$5:$N$428&gt;=DATE(YEAR(B335),MONTH(B335),1),FALSE)&gt;0)*((IF(('Client DB &amp; Bed Mgmt'!$N$5:$N$428="")+NOT(ISNUMBER('Client DB &amp; Bed Mgmt'!$N$5:$N$428)),EOMONTH(B335,0),IF('Client DB &amp; Bed Mgmt'!$N$5:$N$428&lt;EOMONTH(B335,0),'Client DB &amp; Bed Mgmt'!$N$5:$N$428,EOMONTH(B335,0))))-(IF(('Client DB &amp; Bed Mgmt'!$M$5:$M$428="")+NOT(ISNUMBER('Client DB &amp; Bed Mgmt'!$M$5:$M$428)),DATE(YEAR(B335),MONTH(B335),1),IF('Client DB &amp; Bed Mgmt'!$M$5:$M$428&gt;DATE(YEAR(B335),MONTH(B335),1),'Client DB &amp; Bed Mgmt'!$M$5:$M$428,DATE(YEAR(B335),MONTH(B335),1))))+1)/DAY(EOMONTH(B335,0))),0)</f>
        <v/>
      </c>
    </row>
    <row r="336" ht="14.25" customHeight="1" s="83">
      <c r="A336" s="103" t="n"/>
      <c r="B336" s="125">
        <f>DATE(YEAR(StartDate),MONTH(StartDate),1)</f>
        <v/>
      </c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Mgmt'!$B:$B,C336,'Client DB &amp; Bed Mgmt'!$E:$E,"Occupied"),0)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>
        <f>IFERROR(J336*SUMPRODUCT(('Client DB &amp; Bed Mgmt'!$A$5:$A$428=A336)*('Client DB &amp; Bed Mgmt'!$B$5:$B$428=C336)*('Client DB &amp; Bed Mgmt'!$D$5:$D$428&lt;&gt;"")*--(('Client DB &amp; Bed Mgmt'!$M$5:$M$428="")+NOT(ISNUMBER('Client DB &amp; Bed Mgmt'!$M$5:$M$428))+IFERROR('Client DB &amp; Bed Mgmt'!$M$5:$M$428&lt;=EOMONTH(B336,0),FALSE)&gt;0)*--(('Client DB &amp; Bed Mgmt'!$N$5:$N$428="")+NOT(ISNUMBER('Client DB &amp; Bed Mgmt'!$N$5:$N$428))+IFERROR('Client DB &amp; Bed Mgmt'!$N$5:$N$428&gt;=DATE(YEAR(B336),MONTH(B336),1),FALSE)&gt;0)*((IF(('Client DB &amp; Bed Mgmt'!$N$5:$N$428="")+NOT(ISNUMBER('Client DB &amp; Bed Mgmt'!$N$5:$N$428)),EOMONTH(B336,0),IF('Client DB &amp; Bed Mgmt'!$N$5:$N$428&lt;EOMONTH(B336,0),'Client DB &amp; Bed Mgmt'!$N$5:$N$428,EOMONTH(B336,0))))-(IF(('Client DB &amp; Bed Mgmt'!$M$5:$M$428="")+NOT(ISNUMBER('Client DB &amp; Bed Mgmt'!$M$5:$M$428)),DATE(YEAR(B336),MONTH(B336),1),IF('Client DB &amp; Bed Mgmt'!$M$5:$M$428&gt;DATE(YEAR(B336),MONTH(B336),1),'Client DB &amp; Bed Mgmt'!$M$5:$M$428,DATE(YEAR(B336),MONTH(B336),1))))+1)/DAY(EOMONTH(B336,0))),0)</f>
        <v/>
      </c>
    </row>
    <row r="337" ht="14.25" customHeight="1" s="83">
      <c r="A337" s="103" t="n"/>
      <c r="B337" s="125">
        <f>DATE(YEAR(StartDate),MONTH(StartDate),1)</f>
        <v/>
      </c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Mgmt'!$B:$B,C337,'Client DB &amp; Bed Mgmt'!$E:$E,"Occupied"),0)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>
        <f>IFERROR(J337*SUMPRODUCT(('Client DB &amp; Bed Mgmt'!$A$5:$A$428=A337)*('Client DB &amp; Bed Mgmt'!$B$5:$B$428=C337)*('Client DB &amp; Bed Mgmt'!$D$5:$D$428&lt;&gt;"")*--(('Client DB &amp; Bed Mgmt'!$M$5:$M$428="")+NOT(ISNUMBER('Client DB &amp; Bed Mgmt'!$M$5:$M$428))+IFERROR('Client DB &amp; Bed Mgmt'!$M$5:$M$428&lt;=EOMONTH(B337,0),FALSE)&gt;0)*--(('Client DB &amp; Bed Mgmt'!$N$5:$N$428="")+NOT(ISNUMBER('Client DB &amp; Bed Mgmt'!$N$5:$N$428))+IFERROR('Client DB &amp; Bed Mgmt'!$N$5:$N$428&gt;=DATE(YEAR(B337),MONTH(B337),1),FALSE)&gt;0)*((IF(('Client DB &amp; Bed Mgmt'!$N$5:$N$428="")+NOT(ISNUMBER('Client DB &amp; Bed Mgmt'!$N$5:$N$428)),EOMONTH(B337,0),IF('Client DB &amp; Bed Mgmt'!$N$5:$N$428&lt;EOMONTH(B337,0),'Client DB &amp; Bed Mgmt'!$N$5:$N$428,EOMONTH(B337,0))))-(IF(('Client DB &amp; Bed Mgmt'!$M$5:$M$428="")+NOT(ISNUMBER('Client DB &amp; Bed Mgmt'!$M$5:$M$428)),DATE(YEAR(B337),MONTH(B337),1),IF('Client DB &amp; Bed Mgmt'!$M$5:$M$428&gt;DATE(YEAR(B337),MONTH(B337),1),'Client DB &amp; Bed Mgmt'!$M$5:$M$428,DATE(YEAR(B337),MONTH(B337),1))))+1)/DAY(EOMONTH(B337,0))),0)</f>
        <v/>
      </c>
    </row>
    <row r="338" ht="14.25" customHeight="1" s="83">
      <c r="A338" s="103" t="n"/>
      <c r="B338" s="125">
        <f>DATE(YEAR(StartDate),MONTH(StartDate),1)</f>
        <v/>
      </c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Mgmt'!$B:$B,C338,'Client DB &amp; Bed Mgmt'!$E:$E,"Occupied"),0)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>
        <f>IFERROR(J338*SUMPRODUCT(('Client DB &amp; Bed Mgmt'!$A$5:$A$428=A338)*('Client DB &amp; Bed Mgmt'!$B$5:$B$428=C338)*('Client DB &amp; Bed Mgmt'!$D$5:$D$428&lt;&gt;"")*--(('Client DB &amp; Bed Mgmt'!$M$5:$M$428="")+NOT(ISNUMBER('Client DB &amp; Bed Mgmt'!$M$5:$M$428))+IFERROR('Client DB &amp; Bed Mgmt'!$M$5:$M$428&lt;=EOMONTH(B338,0),FALSE)&gt;0)*--(('Client DB &amp; Bed Mgmt'!$N$5:$N$428="")+NOT(ISNUMBER('Client DB &amp; Bed Mgmt'!$N$5:$N$428))+IFERROR('Client DB &amp; Bed Mgmt'!$N$5:$N$428&gt;=DATE(YEAR(B338),MONTH(B338),1),FALSE)&gt;0)*((IF(('Client DB &amp; Bed Mgmt'!$N$5:$N$428="")+NOT(ISNUMBER('Client DB &amp; Bed Mgmt'!$N$5:$N$428)),EOMONTH(B338,0),IF('Client DB &amp; Bed Mgmt'!$N$5:$N$428&lt;EOMONTH(B338,0),'Client DB &amp; Bed Mgmt'!$N$5:$N$428,EOMONTH(B338,0))))-(IF(('Client DB &amp; Bed Mgmt'!$M$5:$M$428="")+NOT(ISNUMBER('Client DB &amp; Bed Mgmt'!$M$5:$M$428)),DATE(YEAR(B338),MONTH(B338),1),IF('Client DB &amp; Bed Mgmt'!$M$5:$M$428&gt;DATE(YEAR(B338),MONTH(B338),1),'Client DB &amp; Bed Mgmt'!$M$5:$M$428,DATE(YEAR(B338),MONTH(B338),1))))+1)/DAY(EOMONTH(B338,0))),0)</f>
        <v/>
      </c>
    </row>
    <row r="339" ht="14.25" customHeight="1" s="83">
      <c r="A339" s="103" t="n"/>
      <c r="B339" s="125">
        <f>DATE(YEAR(StartDate),MONTH(StartDate),1)</f>
        <v/>
      </c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Mgmt'!$B:$B,C339,'Client DB &amp; Bed Mgmt'!$E:$E,"Occupied"),0)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>
        <f>IFERROR(J339*SUMPRODUCT(('Client DB &amp; Bed Mgmt'!$A$5:$A$428=A339)*('Client DB &amp; Bed Mgmt'!$B$5:$B$428=C339)*('Client DB &amp; Bed Mgmt'!$D$5:$D$428&lt;&gt;"")*--(('Client DB &amp; Bed Mgmt'!$M$5:$M$428="")+NOT(ISNUMBER('Client DB &amp; Bed Mgmt'!$M$5:$M$428))+IFERROR('Client DB &amp; Bed Mgmt'!$M$5:$M$428&lt;=EOMONTH(B339,0),FALSE)&gt;0)*--(('Client DB &amp; Bed Mgmt'!$N$5:$N$428="")+NOT(ISNUMBER('Client DB &amp; Bed Mgmt'!$N$5:$N$428))+IFERROR('Client DB &amp; Bed Mgmt'!$N$5:$N$428&gt;=DATE(YEAR(B339),MONTH(B339),1),FALSE)&gt;0)*((IF(('Client DB &amp; Bed Mgmt'!$N$5:$N$428="")+NOT(ISNUMBER('Client DB &amp; Bed Mgmt'!$N$5:$N$428)),EOMONTH(B339,0),IF('Client DB &amp; Bed Mgmt'!$N$5:$N$428&lt;EOMONTH(B339,0),'Client DB &amp; Bed Mgmt'!$N$5:$N$428,EOMONTH(B339,0))))-(IF(('Client DB &amp; Bed Mgmt'!$M$5:$M$428="")+NOT(ISNUMBER('Client DB &amp; Bed Mgmt'!$M$5:$M$428)),DATE(YEAR(B339),MONTH(B339),1),IF('Client DB &amp; Bed Mgmt'!$M$5:$M$428&gt;DATE(YEAR(B339),MONTH(B339),1),'Client DB &amp; Bed Mgmt'!$M$5:$M$428,DATE(YEAR(B339),MONTH(B339),1))))+1)/DAY(EOMONTH(B339,0))),0)</f>
        <v/>
      </c>
    </row>
    <row r="340" ht="14.25" customHeight="1" s="83">
      <c r="A340" s="103" t="n"/>
      <c r="B340" s="125">
        <f>DATE(YEAR(StartDate),MONTH(StartDate),1)</f>
        <v/>
      </c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Mgmt'!$B:$B,C340,'Client DB &amp; Bed Mgmt'!$E:$E,"Occupied"),0)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>
        <f>IFERROR(J340*SUMPRODUCT(('Client DB &amp; Bed Mgmt'!$A$5:$A$428=A340)*('Client DB &amp; Bed Mgmt'!$B$5:$B$428=C340)*('Client DB &amp; Bed Mgmt'!$D$5:$D$428&lt;&gt;"")*--(('Client DB &amp; Bed Mgmt'!$M$5:$M$428="")+NOT(ISNUMBER('Client DB &amp; Bed Mgmt'!$M$5:$M$428))+IFERROR('Client DB &amp; Bed Mgmt'!$M$5:$M$428&lt;=EOMONTH(B340,0),FALSE)&gt;0)*--(('Client DB &amp; Bed Mgmt'!$N$5:$N$428="")+NOT(ISNUMBER('Client DB &amp; Bed Mgmt'!$N$5:$N$428))+IFERROR('Client DB &amp; Bed Mgmt'!$N$5:$N$428&gt;=DATE(YEAR(B340),MONTH(B340),1),FALSE)&gt;0)*((IF(('Client DB &amp; Bed Mgmt'!$N$5:$N$428="")+NOT(ISNUMBER('Client DB &amp; Bed Mgmt'!$N$5:$N$428)),EOMONTH(B340,0),IF('Client DB &amp; Bed Mgmt'!$N$5:$N$428&lt;EOMONTH(B340,0),'Client DB &amp; Bed Mgmt'!$N$5:$N$428,EOMONTH(B340,0))))-(IF(('Client DB &amp; Bed Mgmt'!$M$5:$M$428="")+NOT(ISNUMBER('Client DB &amp; Bed Mgmt'!$M$5:$M$428)),DATE(YEAR(B340),MONTH(B340),1),IF('Client DB &amp; Bed Mgmt'!$M$5:$M$428&gt;DATE(YEAR(B340),MONTH(B340),1),'Client DB &amp; Bed Mgmt'!$M$5:$M$428,DATE(YEAR(B340),MONTH(B340),1))))+1)/DAY(EOMONTH(B340,0))),0)</f>
        <v/>
      </c>
    </row>
    <row r="341" ht="14.25" customHeight="1" s="83">
      <c r="A341" s="103" t="n"/>
      <c r="B341" s="125">
        <f>DATE(YEAR(StartDate),MONTH(StartDate),1)</f>
        <v/>
      </c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Mgmt'!$B:$B,C341,'Client DB &amp; Bed Mgmt'!$E:$E,"Occupied"),0)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>
        <f>IFERROR(J341*SUMPRODUCT(('Client DB &amp; Bed Mgmt'!$A$5:$A$428=A341)*('Client DB &amp; Bed Mgmt'!$B$5:$B$428=C341)*('Client DB &amp; Bed Mgmt'!$D$5:$D$428&lt;&gt;"")*--(('Client DB &amp; Bed Mgmt'!$M$5:$M$428="")+NOT(ISNUMBER('Client DB &amp; Bed Mgmt'!$M$5:$M$428))+IFERROR('Client DB &amp; Bed Mgmt'!$M$5:$M$428&lt;=EOMONTH(B341,0),FALSE)&gt;0)*--(('Client DB &amp; Bed Mgmt'!$N$5:$N$428="")+NOT(ISNUMBER('Client DB &amp; Bed Mgmt'!$N$5:$N$428))+IFERROR('Client DB &amp; Bed Mgmt'!$N$5:$N$428&gt;=DATE(YEAR(B341),MONTH(B341),1),FALSE)&gt;0)*((IF(('Client DB &amp; Bed Mgmt'!$N$5:$N$428="")+NOT(ISNUMBER('Client DB &amp; Bed Mgmt'!$N$5:$N$428)),EOMONTH(B341,0),IF('Client DB &amp; Bed Mgmt'!$N$5:$N$428&lt;EOMONTH(B341,0),'Client DB &amp; Bed Mgmt'!$N$5:$N$428,EOMONTH(B341,0))))-(IF(('Client DB &amp; Bed Mgmt'!$M$5:$M$428="")+NOT(ISNUMBER('Client DB &amp; Bed Mgmt'!$M$5:$M$428)),DATE(YEAR(B341),MONTH(B341),1),IF('Client DB &amp; Bed Mgmt'!$M$5:$M$428&gt;DATE(YEAR(B341),MONTH(B341),1),'Client DB &amp; Bed Mgmt'!$M$5:$M$428,DATE(YEAR(B341),MONTH(B341),1))))+1)/DAY(EOMONTH(B341,0))),0)</f>
        <v/>
      </c>
    </row>
    <row r="342" ht="14.25" customHeight="1" s="83">
      <c r="A342" s="103" t="n"/>
      <c r="B342" s="125">
        <f>DATE(YEAR(StartDate),MONTH(StartDate),1)</f>
        <v/>
      </c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Mgmt'!$B:$B,C342,'Client DB &amp; Bed Mgmt'!$E:$E,"Occupied"),0)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>
        <f>IFERROR(J342*SUMPRODUCT(('Client DB &amp; Bed Mgmt'!$A$5:$A$428=A342)*('Client DB &amp; Bed Mgmt'!$B$5:$B$428=C342)*('Client DB &amp; Bed Mgmt'!$D$5:$D$428&lt;&gt;"")*--(('Client DB &amp; Bed Mgmt'!$M$5:$M$428="")+NOT(ISNUMBER('Client DB &amp; Bed Mgmt'!$M$5:$M$428))+IFERROR('Client DB &amp; Bed Mgmt'!$M$5:$M$428&lt;=EOMONTH(B342,0),FALSE)&gt;0)*--(('Client DB &amp; Bed Mgmt'!$N$5:$N$428="")+NOT(ISNUMBER('Client DB &amp; Bed Mgmt'!$N$5:$N$428))+IFERROR('Client DB &amp; Bed Mgmt'!$N$5:$N$428&gt;=DATE(YEAR(B342),MONTH(B342),1),FALSE)&gt;0)*((IF(('Client DB &amp; Bed Mgmt'!$N$5:$N$428="")+NOT(ISNUMBER('Client DB &amp; Bed Mgmt'!$N$5:$N$428)),EOMONTH(B342,0),IF('Client DB &amp; Bed Mgmt'!$N$5:$N$428&lt;EOMONTH(B342,0),'Client DB &amp; Bed Mgmt'!$N$5:$N$428,EOMONTH(B342,0))))-(IF(('Client DB &amp; Bed Mgmt'!$M$5:$M$428="")+NOT(ISNUMBER('Client DB &amp; Bed Mgmt'!$M$5:$M$428)),DATE(YEAR(B342),MONTH(B342),1),IF('Client DB &amp; Bed Mgmt'!$M$5:$M$428&gt;DATE(YEAR(B342),MONTH(B342),1),'Client DB &amp; Bed Mgmt'!$M$5:$M$428,DATE(YEAR(B342),MONTH(B342),1))))+1)/DAY(EOMONTH(B342,0))),0)</f>
        <v/>
      </c>
    </row>
    <row r="343" ht="14.25" customHeight="1" s="83">
      <c r="A343" s="103" t="n"/>
      <c r="B343" s="125">
        <f>DATE(YEAR(StartDate),MONTH(StartDate),1)</f>
        <v/>
      </c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Mgmt'!$B:$B,C343,'Client DB &amp; Bed Mgmt'!$E:$E,"Occupied"),0)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>
        <f>IFERROR(J343*SUMPRODUCT(('Client DB &amp; Bed Mgmt'!$A$5:$A$428=A343)*('Client DB &amp; Bed Mgmt'!$B$5:$B$428=C343)*('Client DB &amp; Bed Mgmt'!$D$5:$D$428&lt;&gt;"")*--(('Client DB &amp; Bed Mgmt'!$M$5:$M$428="")+NOT(ISNUMBER('Client DB &amp; Bed Mgmt'!$M$5:$M$428))+IFERROR('Client DB &amp; Bed Mgmt'!$M$5:$M$428&lt;=EOMONTH(B343,0),FALSE)&gt;0)*--(('Client DB &amp; Bed Mgmt'!$N$5:$N$428="")+NOT(ISNUMBER('Client DB &amp; Bed Mgmt'!$N$5:$N$428))+IFERROR('Client DB &amp; Bed Mgmt'!$N$5:$N$428&gt;=DATE(YEAR(B343),MONTH(B343),1),FALSE)&gt;0)*((IF(('Client DB &amp; Bed Mgmt'!$N$5:$N$428="")+NOT(ISNUMBER('Client DB &amp; Bed Mgmt'!$N$5:$N$428)),EOMONTH(B343,0),IF('Client DB &amp; Bed Mgmt'!$N$5:$N$428&lt;EOMONTH(B343,0),'Client DB &amp; Bed Mgmt'!$N$5:$N$428,EOMONTH(B343,0))))-(IF(('Client DB &amp; Bed Mgmt'!$M$5:$M$428="")+NOT(ISNUMBER('Client DB &amp; Bed Mgmt'!$M$5:$M$428)),DATE(YEAR(B343),MONTH(B343),1),IF('Client DB &amp; Bed Mgmt'!$M$5:$M$428&gt;DATE(YEAR(B343),MONTH(B343),1),'Client DB &amp; Bed Mgmt'!$M$5:$M$428,DATE(YEAR(B343),MONTH(B343),1))))+1)/DAY(EOMONTH(B343,0))),0)</f>
        <v/>
      </c>
    </row>
    <row r="344" ht="14.25" customHeight="1" s="83">
      <c r="A344" s="103" t="n"/>
      <c r="B344" s="125">
        <f>DATE(YEAR(StartDate),MONTH(StartDate),1)</f>
        <v/>
      </c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Mgmt'!$B:$B,C344,'Client DB &amp; Bed Mgmt'!$E:$E,"Occupied"),0)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>
        <f>IFERROR(J344*SUMPRODUCT(('Client DB &amp; Bed Mgmt'!$A$5:$A$428=A344)*('Client DB &amp; Bed Mgmt'!$B$5:$B$428=C344)*('Client DB &amp; Bed Mgmt'!$D$5:$D$428&lt;&gt;"")*--(('Client DB &amp; Bed Mgmt'!$M$5:$M$428="")+NOT(ISNUMBER('Client DB &amp; Bed Mgmt'!$M$5:$M$428))+IFERROR('Client DB &amp; Bed Mgmt'!$M$5:$M$428&lt;=EOMONTH(B344,0),FALSE)&gt;0)*--(('Client DB &amp; Bed Mgmt'!$N$5:$N$428="")+NOT(ISNUMBER('Client DB &amp; Bed Mgmt'!$N$5:$N$428))+IFERROR('Client DB &amp; Bed Mgmt'!$N$5:$N$428&gt;=DATE(YEAR(B344),MONTH(B344),1),FALSE)&gt;0)*((IF(('Client DB &amp; Bed Mgmt'!$N$5:$N$428="")+NOT(ISNUMBER('Client DB &amp; Bed Mgmt'!$N$5:$N$428)),EOMONTH(B344,0),IF('Client DB &amp; Bed Mgmt'!$N$5:$N$428&lt;EOMONTH(B344,0),'Client DB &amp; Bed Mgmt'!$N$5:$N$428,EOMONTH(B344,0))))-(IF(('Client DB &amp; Bed Mgmt'!$M$5:$M$428="")+NOT(ISNUMBER('Client DB &amp; Bed Mgmt'!$M$5:$M$428)),DATE(YEAR(B344),MONTH(B344),1),IF('Client DB &amp; Bed Mgmt'!$M$5:$M$428&gt;DATE(YEAR(B344),MONTH(B344),1),'Client DB &amp; Bed Mgmt'!$M$5:$M$428,DATE(YEAR(B344),MONTH(B344),1))))+1)/DAY(EOMONTH(B344,0))),0)</f>
        <v/>
      </c>
    </row>
    <row r="345" ht="14.25" customHeight="1" s="83">
      <c r="A345" s="103" t="n"/>
      <c r="B345" s="125">
        <f>DATE(YEAR(StartDate),MONTH(StartDate),1)</f>
        <v/>
      </c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Mgmt'!$B:$B,C345,'Client DB &amp; Bed Mgmt'!$E:$E,"Occupied"),0)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>
        <f>IFERROR(J345*SUMPRODUCT(('Client DB &amp; Bed Mgmt'!$A$5:$A$428=A345)*('Client DB &amp; Bed Mgmt'!$B$5:$B$428=C345)*('Client DB &amp; Bed Mgmt'!$D$5:$D$428&lt;&gt;"")*--(('Client DB &amp; Bed Mgmt'!$M$5:$M$428="")+NOT(ISNUMBER('Client DB &amp; Bed Mgmt'!$M$5:$M$428))+IFERROR('Client DB &amp; Bed Mgmt'!$M$5:$M$428&lt;=EOMONTH(B345,0),FALSE)&gt;0)*--(('Client DB &amp; Bed Mgmt'!$N$5:$N$428="")+NOT(ISNUMBER('Client DB &amp; Bed Mgmt'!$N$5:$N$428))+IFERROR('Client DB &amp; Bed Mgmt'!$N$5:$N$428&gt;=DATE(YEAR(B345),MONTH(B345),1),FALSE)&gt;0)*((IF(('Client DB &amp; Bed Mgmt'!$N$5:$N$428="")+NOT(ISNUMBER('Client DB &amp; Bed Mgmt'!$N$5:$N$428)),EOMONTH(B345,0),IF('Client DB &amp; Bed Mgmt'!$N$5:$N$428&lt;EOMONTH(B345,0),'Client DB &amp; Bed Mgmt'!$N$5:$N$428,EOMONTH(B345,0))))-(IF(('Client DB &amp; Bed Mgmt'!$M$5:$M$428="")+NOT(ISNUMBER('Client DB &amp; Bed Mgmt'!$M$5:$M$428)),DATE(YEAR(B345),MONTH(B345),1),IF('Client DB &amp; Bed Mgmt'!$M$5:$M$428&gt;DATE(YEAR(B345),MONTH(B345),1),'Client DB &amp; Bed Mgmt'!$M$5:$M$428,DATE(YEAR(B345),MONTH(B345),1))))+1)/DAY(EOMONTH(B345,0))),0)</f>
        <v/>
      </c>
    </row>
    <row r="346" ht="14.25" customHeight="1" s="83">
      <c r="A346" s="103" t="n"/>
      <c r="B346" s="125">
        <f>DATE(YEAR(StartDate),MONTH(StartDate),1)</f>
        <v/>
      </c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Mgmt'!$B:$B,C346,'Client DB &amp; Bed Mgmt'!$E:$E,"Occupied"),0)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>
        <f>IFERROR(J346*SUMPRODUCT(('Client DB &amp; Bed Mgmt'!$A$5:$A$428=A346)*('Client DB &amp; Bed Mgmt'!$B$5:$B$428=C346)*('Client DB &amp; Bed Mgmt'!$D$5:$D$428&lt;&gt;"")*--(('Client DB &amp; Bed Mgmt'!$M$5:$M$428="")+NOT(ISNUMBER('Client DB &amp; Bed Mgmt'!$M$5:$M$428))+IFERROR('Client DB &amp; Bed Mgmt'!$M$5:$M$428&lt;=EOMONTH(B346,0),FALSE)&gt;0)*--(('Client DB &amp; Bed Mgmt'!$N$5:$N$428="")+NOT(ISNUMBER('Client DB &amp; Bed Mgmt'!$N$5:$N$428))+IFERROR('Client DB &amp; Bed Mgmt'!$N$5:$N$428&gt;=DATE(YEAR(B346),MONTH(B346),1),FALSE)&gt;0)*((IF(('Client DB &amp; Bed Mgmt'!$N$5:$N$428="")+NOT(ISNUMBER('Client DB &amp; Bed Mgmt'!$N$5:$N$428)),EOMONTH(B346,0),IF('Client DB &amp; Bed Mgmt'!$N$5:$N$428&lt;EOMONTH(B346,0),'Client DB &amp; Bed Mgmt'!$N$5:$N$428,EOMONTH(B346,0))))-(IF(('Client DB &amp; Bed Mgmt'!$M$5:$M$428="")+NOT(ISNUMBER('Client DB &amp; Bed Mgmt'!$M$5:$M$428)),DATE(YEAR(B346),MONTH(B346),1),IF('Client DB &amp; Bed Mgmt'!$M$5:$M$428&gt;DATE(YEAR(B346),MONTH(B346),1),'Client DB &amp; Bed Mgmt'!$M$5:$M$428,DATE(YEAR(B346),MONTH(B346),1))))+1)/DAY(EOMONTH(B346,0))),0)</f>
        <v/>
      </c>
    </row>
    <row r="347" ht="14.25" customHeight="1" s="83">
      <c r="A347" s="103" t="n"/>
      <c r="B347" s="125">
        <f>DATE(YEAR(StartDate),MONTH(StartDate),1)</f>
        <v/>
      </c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Mgmt'!$B:$B,C347,'Client DB &amp; Bed Mgmt'!$E:$E,"Occupied"),0)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>
        <f>IFERROR(J347*SUMPRODUCT(('Client DB &amp; Bed Mgmt'!$A$5:$A$428=A347)*('Client DB &amp; Bed Mgmt'!$B$5:$B$428=C347)*('Client DB &amp; Bed Mgmt'!$D$5:$D$428&lt;&gt;"")*--(('Client DB &amp; Bed Mgmt'!$M$5:$M$428="")+NOT(ISNUMBER('Client DB &amp; Bed Mgmt'!$M$5:$M$428))+IFERROR('Client DB &amp; Bed Mgmt'!$M$5:$M$428&lt;=EOMONTH(B347,0),FALSE)&gt;0)*--(('Client DB &amp; Bed Mgmt'!$N$5:$N$428="")+NOT(ISNUMBER('Client DB &amp; Bed Mgmt'!$N$5:$N$428))+IFERROR('Client DB &amp; Bed Mgmt'!$N$5:$N$428&gt;=DATE(YEAR(B347),MONTH(B347),1),FALSE)&gt;0)*((IF(('Client DB &amp; Bed Mgmt'!$N$5:$N$428="")+NOT(ISNUMBER('Client DB &amp; Bed Mgmt'!$N$5:$N$428)),EOMONTH(B347,0),IF('Client DB &amp; Bed Mgmt'!$N$5:$N$428&lt;EOMONTH(B347,0),'Client DB &amp; Bed Mgmt'!$N$5:$N$428,EOMONTH(B347,0))))-(IF(('Client DB &amp; Bed Mgmt'!$M$5:$M$428="")+NOT(ISNUMBER('Client DB &amp; Bed Mgmt'!$M$5:$M$428)),DATE(YEAR(B347),MONTH(B347),1),IF('Client DB &amp; Bed Mgmt'!$M$5:$M$428&gt;DATE(YEAR(B347),MONTH(B347),1),'Client DB &amp; Bed Mgmt'!$M$5:$M$428,DATE(YEAR(B347),MONTH(B347),1))))+1)/DAY(EOMONTH(B347,0))),0)</f>
        <v/>
      </c>
    </row>
    <row r="348" ht="14.25" customHeight="1" s="83">
      <c r="A348" s="103" t="n"/>
      <c r="B348" s="125">
        <f>DATE(YEAR(StartDate),MONTH(StartDate),1)</f>
        <v/>
      </c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Mgmt'!$B:$B,C348,'Client DB &amp; Bed Mgmt'!$E:$E,"Occupied"),0)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>
        <f>IFERROR(J348*SUMPRODUCT(('Client DB &amp; Bed Mgmt'!$A$5:$A$428=A348)*('Client DB &amp; Bed Mgmt'!$B$5:$B$428=C348)*('Client DB &amp; Bed Mgmt'!$D$5:$D$428&lt;&gt;"")*--(('Client DB &amp; Bed Mgmt'!$M$5:$M$428="")+NOT(ISNUMBER('Client DB &amp; Bed Mgmt'!$M$5:$M$428))+IFERROR('Client DB &amp; Bed Mgmt'!$M$5:$M$428&lt;=EOMONTH(B348,0),FALSE)&gt;0)*--(('Client DB &amp; Bed Mgmt'!$N$5:$N$428="")+NOT(ISNUMBER('Client DB &amp; Bed Mgmt'!$N$5:$N$428))+IFERROR('Client DB &amp; Bed Mgmt'!$N$5:$N$428&gt;=DATE(YEAR(B348),MONTH(B348),1),FALSE)&gt;0)*((IF(('Client DB &amp; Bed Mgmt'!$N$5:$N$428="")+NOT(ISNUMBER('Client DB &amp; Bed Mgmt'!$N$5:$N$428)),EOMONTH(B348,0),IF('Client DB &amp; Bed Mgmt'!$N$5:$N$428&lt;EOMONTH(B348,0),'Client DB &amp; Bed Mgmt'!$N$5:$N$428,EOMONTH(B348,0))))-(IF(('Client DB &amp; Bed Mgmt'!$M$5:$M$428="")+NOT(ISNUMBER('Client DB &amp; Bed Mgmt'!$M$5:$M$428)),DATE(YEAR(B348),MONTH(B348),1),IF('Client DB &amp; Bed Mgmt'!$M$5:$M$428&gt;DATE(YEAR(B348),MONTH(B348),1),'Client DB &amp; Bed Mgmt'!$M$5:$M$428,DATE(YEAR(B348),MONTH(B348),1))))+1)/DAY(EOMONTH(B348,0))),0)</f>
        <v/>
      </c>
    </row>
    <row r="349" ht="14.25" customHeight="1" s="83">
      <c r="A349" s="103" t="n"/>
      <c r="B349" s="125">
        <f>DATE(YEAR(StartDate),MONTH(StartDate),1)</f>
        <v/>
      </c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Mgmt'!$B:$B,C349,'Client DB &amp; Bed Mgmt'!$E:$E,"Occupied"),0)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>
        <f>IFERROR(J349*SUMPRODUCT(('Client DB &amp; Bed Mgmt'!$A$5:$A$428=A349)*('Client DB &amp; Bed Mgmt'!$B$5:$B$428=C349)*('Client DB &amp; Bed Mgmt'!$D$5:$D$428&lt;&gt;"")*--(('Client DB &amp; Bed Mgmt'!$M$5:$M$428="")+NOT(ISNUMBER('Client DB &amp; Bed Mgmt'!$M$5:$M$428))+IFERROR('Client DB &amp; Bed Mgmt'!$M$5:$M$428&lt;=EOMONTH(B349,0),FALSE)&gt;0)*--(('Client DB &amp; Bed Mgmt'!$N$5:$N$428="")+NOT(ISNUMBER('Client DB &amp; Bed Mgmt'!$N$5:$N$428))+IFERROR('Client DB &amp; Bed Mgmt'!$N$5:$N$428&gt;=DATE(YEAR(B349),MONTH(B349),1),FALSE)&gt;0)*((IF(('Client DB &amp; Bed Mgmt'!$N$5:$N$428="")+NOT(ISNUMBER('Client DB &amp; Bed Mgmt'!$N$5:$N$428)),EOMONTH(B349,0),IF('Client DB &amp; Bed Mgmt'!$N$5:$N$428&lt;EOMONTH(B349,0),'Client DB &amp; Bed Mgmt'!$N$5:$N$428,EOMONTH(B349,0))))-(IF(('Client DB &amp; Bed Mgmt'!$M$5:$M$428="")+NOT(ISNUMBER('Client DB &amp; Bed Mgmt'!$M$5:$M$428)),DATE(YEAR(B349),MONTH(B349),1),IF('Client DB &amp; Bed Mgmt'!$M$5:$M$428&gt;DATE(YEAR(B349),MONTH(B349),1),'Client DB &amp; Bed Mgmt'!$M$5:$M$428,DATE(YEAR(B349),MONTH(B349),1))))+1)/DAY(EOMONTH(B349,0))),0)</f>
        <v/>
      </c>
    </row>
    <row r="350" ht="14.25" customHeight="1" s="83">
      <c r="A350" s="103" t="n"/>
      <c r="B350" s="125">
        <f>DATE(YEAR(StartDate),MONTH(StartDate),1)</f>
        <v/>
      </c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Mgmt'!$B:$B,C350,'Client DB &amp; Bed Mgmt'!$E:$E,"Occupied"),0)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>
        <f>IFERROR(J350*SUMPRODUCT(('Client DB &amp; Bed Mgmt'!$A$5:$A$428=A350)*('Client DB &amp; Bed Mgmt'!$B$5:$B$428=C350)*('Client DB &amp; Bed Mgmt'!$D$5:$D$428&lt;&gt;"")*--(('Client DB &amp; Bed Mgmt'!$M$5:$M$428="")+NOT(ISNUMBER('Client DB &amp; Bed Mgmt'!$M$5:$M$428))+IFERROR('Client DB &amp; Bed Mgmt'!$M$5:$M$428&lt;=EOMONTH(B350,0),FALSE)&gt;0)*--(('Client DB &amp; Bed Mgmt'!$N$5:$N$428="")+NOT(ISNUMBER('Client DB &amp; Bed Mgmt'!$N$5:$N$428))+IFERROR('Client DB &amp; Bed Mgmt'!$N$5:$N$428&gt;=DATE(YEAR(B350),MONTH(B350),1),FALSE)&gt;0)*((IF(('Client DB &amp; Bed Mgmt'!$N$5:$N$428="")+NOT(ISNUMBER('Client DB &amp; Bed Mgmt'!$N$5:$N$428)),EOMONTH(B350,0),IF('Client DB &amp; Bed Mgmt'!$N$5:$N$428&lt;EOMONTH(B350,0),'Client DB &amp; Bed Mgmt'!$N$5:$N$428,EOMONTH(B350,0))))-(IF(('Client DB &amp; Bed Mgmt'!$M$5:$M$428="")+NOT(ISNUMBER('Client DB &amp; Bed Mgmt'!$M$5:$M$428)),DATE(YEAR(B350),MONTH(B350),1),IF('Client DB &amp; Bed Mgmt'!$M$5:$M$428&gt;DATE(YEAR(B350),MONTH(B350),1),'Client DB &amp; Bed Mgmt'!$M$5:$M$428,DATE(YEAR(B350),MONTH(B350),1))))+1)/DAY(EOMONTH(B350,0))),0)</f>
        <v/>
      </c>
    </row>
    <row r="351" ht="14.25" customHeight="1" s="83">
      <c r="A351" s="103" t="n"/>
      <c r="B351" s="125">
        <f>DATE(YEAR(StartDate),MONTH(StartDate),1)</f>
        <v/>
      </c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Mgmt'!$B:$B,C351,'Client DB &amp; Bed Mgmt'!$E:$E,"Occupied"),0)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>
        <f>IFERROR(J351*SUMPRODUCT(('Client DB &amp; Bed Mgmt'!$A$5:$A$428=A351)*('Client DB &amp; Bed Mgmt'!$B$5:$B$428=C351)*('Client DB &amp; Bed Mgmt'!$D$5:$D$428&lt;&gt;"")*--(('Client DB &amp; Bed Mgmt'!$M$5:$M$428="")+NOT(ISNUMBER('Client DB &amp; Bed Mgmt'!$M$5:$M$428))+IFERROR('Client DB &amp; Bed Mgmt'!$M$5:$M$428&lt;=EOMONTH(B351,0),FALSE)&gt;0)*--(('Client DB &amp; Bed Mgmt'!$N$5:$N$428="")+NOT(ISNUMBER('Client DB &amp; Bed Mgmt'!$N$5:$N$428))+IFERROR('Client DB &amp; Bed Mgmt'!$N$5:$N$428&gt;=DATE(YEAR(B351),MONTH(B351),1),FALSE)&gt;0)*((IF(('Client DB &amp; Bed Mgmt'!$N$5:$N$428="")+NOT(ISNUMBER('Client DB &amp; Bed Mgmt'!$N$5:$N$428)),EOMONTH(B351,0),IF('Client DB &amp; Bed Mgmt'!$N$5:$N$428&lt;EOMONTH(B351,0),'Client DB &amp; Bed Mgmt'!$N$5:$N$428,EOMONTH(B351,0))))-(IF(('Client DB &amp; Bed Mgmt'!$M$5:$M$428="")+NOT(ISNUMBER('Client DB &amp; Bed Mgmt'!$M$5:$M$428)),DATE(YEAR(B351),MONTH(B351),1),IF('Client DB &amp; Bed Mgmt'!$M$5:$M$428&gt;DATE(YEAR(B351),MONTH(B351),1),'Client DB &amp; Bed Mgmt'!$M$5:$M$428,DATE(YEAR(B351),MONTH(B351),1))))+1)/DAY(EOMONTH(B351,0))),0)</f>
        <v/>
      </c>
    </row>
    <row r="352" ht="14.25" customHeight="1" s="83">
      <c r="A352" s="103" t="n"/>
      <c r="B352" s="125">
        <f>DATE(YEAR(StartDate),MONTH(StartDate),1)</f>
        <v/>
      </c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Mgmt'!$B:$B,C352,'Client DB &amp; Bed Mgmt'!$E:$E,"Occupied"),0)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>
        <f>IFERROR(J352*SUMPRODUCT(('Client DB &amp; Bed Mgmt'!$A$5:$A$428=A352)*('Client DB &amp; Bed Mgmt'!$B$5:$B$428=C352)*('Client DB &amp; Bed Mgmt'!$D$5:$D$428&lt;&gt;"")*--(('Client DB &amp; Bed Mgmt'!$M$5:$M$428="")+NOT(ISNUMBER('Client DB &amp; Bed Mgmt'!$M$5:$M$428))+IFERROR('Client DB &amp; Bed Mgmt'!$M$5:$M$428&lt;=EOMONTH(B352,0),FALSE)&gt;0)*--(('Client DB &amp; Bed Mgmt'!$N$5:$N$428="")+NOT(ISNUMBER('Client DB &amp; Bed Mgmt'!$N$5:$N$428))+IFERROR('Client DB &amp; Bed Mgmt'!$N$5:$N$428&gt;=DATE(YEAR(B352),MONTH(B352),1),FALSE)&gt;0)*((IF(('Client DB &amp; Bed Mgmt'!$N$5:$N$428="")+NOT(ISNUMBER('Client DB &amp; Bed Mgmt'!$N$5:$N$428)),EOMONTH(B352,0),IF('Client DB &amp; Bed Mgmt'!$N$5:$N$428&lt;EOMONTH(B352,0),'Client DB &amp; Bed Mgmt'!$N$5:$N$428,EOMONTH(B352,0))))-(IF(('Client DB &amp; Bed Mgmt'!$M$5:$M$428="")+NOT(ISNUMBER('Client DB &amp; Bed Mgmt'!$M$5:$M$428)),DATE(YEAR(B352),MONTH(B352),1),IF('Client DB &amp; Bed Mgmt'!$M$5:$M$428&gt;DATE(YEAR(B352),MONTH(B352),1),'Client DB &amp; Bed Mgmt'!$M$5:$M$428,DATE(YEAR(B352),MONTH(B352),1))))+1)/DAY(EOMONTH(B352,0))),0)</f>
        <v/>
      </c>
    </row>
    <row r="353" ht="14.25" customHeight="1" s="83">
      <c r="A353" s="103" t="n"/>
      <c r="B353" s="125">
        <f>DATE(YEAR(StartDate),MONTH(StartDate),1)</f>
        <v/>
      </c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Mgmt'!$B:$B,C353,'Client DB &amp; Bed Mgmt'!$E:$E,"Occupied"),0)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>
        <f>IFERROR(J353*SUMPRODUCT(('Client DB &amp; Bed Mgmt'!$A$5:$A$428=A353)*('Client DB &amp; Bed Mgmt'!$B$5:$B$428=C353)*('Client DB &amp; Bed Mgmt'!$D$5:$D$428&lt;&gt;"")*--(('Client DB &amp; Bed Mgmt'!$M$5:$M$428="")+NOT(ISNUMBER('Client DB &amp; Bed Mgmt'!$M$5:$M$428))+IFERROR('Client DB &amp; Bed Mgmt'!$M$5:$M$428&lt;=EOMONTH(B353,0),FALSE)&gt;0)*--(('Client DB &amp; Bed Mgmt'!$N$5:$N$428="")+NOT(ISNUMBER('Client DB &amp; Bed Mgmt'!$N$5:$N$428))+IFERROR('Client DB &amp; Bed Mgmt'!$N$5:$N$428&gt;=DATE(YEAR(B353),MONTH(B353),1),FALSE)&gt;0)*((IF(('Client DB &amp; Bed Mgmt'!$N$5:$N$428="")+NOT(ISNUMBER('Client DB &amp; Bed Mgmt'!$N$5:$N$428)),EOMONTH(B353,0),IF('Client DB &amp; Bed Mgmt'!$N$5:$N$428&lt;EOMONTH(B353,0),'Client DB &amp; Bed Mgmt'!$N$5:$N$428,EOMONTH(B353,0))))-(IF(('Client DB &amp; Bed Mgmt'!$M$5:$M$428="")+NOT(ISNUMBER('Client DB &amp; Bed Mgmt'!$M$5:$M$428)),DATE(YEAR(B353),MONTH(B353),1),IF('Client DB &amp; Bed Mgmt'!$M$5:$M$428&gt;DATE(YEAR(B353),MONTH(B353),1),'Client DB &amp; Bed Mgmt'!$M$5:$M$428,DATE(YEAR(B353),MONTH(B353),1))))+1)/DAY(EOMONTH(B353,0))),0)</f>
        <v/>
      </c>
    </row>
    <row r="354" ht="14.25" customHeight="1" s="83">
      <c r="A354" s="103" t="n"/>
      <c r="B354" s="125">
        <f>DATE(YEAR(StartDate),MONTH(StartDate),1)</f>
        <v/>
      </c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Mgmt'!$B:$B,C354,'Client DB &amp; Bed Mgmt'!$E:$E,"Occupied"),0)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>
        <f>IFERROR(J354*SUMPRODUCT(('Client DB &amp; Bed Mgmt'!$A$5:$A$428=A354)*('Client DB &amp; Bed Mgmt'!$B$5:$B$428=C354)*('Client DB &amp; Bed Mgmt'!$D$5:$D$428&lt;&gt;"")*--(('Client DB &amp; Bed Mgmt'!$M$5:$M$428="")+NOT(ISNUMBER('Client DB &amp; Bed Mgmt'!$M$5:$M$428))+IFERROR('Client DB &amp; Bed Mgmt'!$M$5:$M$428&lt;=EOMONTH(B354,0),FALSE)&gt;0)*--(('Client DB &amp; Bed Mgmt'!$N$5:$N$428="")+NOT(ISNUMBER('Client DB &amp; Bed Mgmt'!$N$5:$N$428))+IFERROR('Client DB &amp; Bed Mgmt'!$N$5:$N$428&gt;=DATE(YEAR(B354),MONTH(B354),1),FALSE)&gt;0)*((IF(('Client DB &amp; Bed Mgmt'!$N$5:$N$428="")+NOT(ISNUMBER('Client DB &amp; Bed Mgmt'!$N$5:$N$428)),EOMONTH(B354,0),IF('Client DB &amp; Bed Mgmt'!$N$5:$N$428&lt;EOMONTH(B354,0),'Client DB &amp; Bed Mgmt'!$N$5:$N$428,EOMONTH(B354,0))))-(IF(('Client DB &amp; Bed Mgmt'!$M$5:$M$428="")+NOT(ISNUMBER('Client DB &amp; Bed Mgmt'!$M$5:$M$428)),DATE(YEAR(B354),MONTH(B354),1),IF('Client DB &amp; Bed Mgmt'!$M$5:$M$428&gt;DATE(YEAR(B354),MONTH(B354),1),'Client DB &amp; Bed Mgmt'!$M$5:$M$428,DATE(YEAR(B354),MONTH(B354),1))))+1)/DAY(EOMONTH(B354,0))),0)</f>
        <v/>
      </c>
    </row>
    <row r="355" ht="14.25" customHeight="1" s="83">
      <c r="A355" s="103" t="n"/>
      <c r="B355" s="125">
        <f>DATE(YEAR(StartDate),MONTH(StartDate),1)</f>
        <v/>
      </c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Mgmt'!$B:$B,C355,'Client DB &amp; Bed Mgmt'!$E:$E,"Occupied"),0)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>
        <f>IFERROR(J355*SUMPRODUCT(('Client DB &amp; Bed Mgmt'!$A$5:$A$428=A355)*('Client DB &amp; Bed Mgmt'!$B$5:$B$428=C355)*('Client DB &amp; Bed Mgmt'!$D$5:$D$428&lt;&gt;"")*--(('Client DB &amp; Bed Mgmt'!$M$5:$M$428="")+NOT(ISNUMBER('Client DB &amp; Bed Mgmt'!$M$5:$M$428))+IFERROR('Client DB &amp; Bed Mgmt'!$M$5:$M$428&lt;=EOMONTH(B355,0),FALSE)&gt;0)*--(('Client DB &amp; Bed Mgmt'!$N$5:$N$428="")+NOT(ISNUMBER('Client DB &amp; Bed Mgmt'!$N$5:$N$428))+IFERROR('Client DB &amp; Bed Mgmt'!$N$5:$N$428&gt;=DATE(YEAR(B355),MONTH(B355),1),FALSE)&gt;0)*((IF(('Client DB &amp; Bed Mgmt'!$N$5:$N$428="")+NOT(ISNUMBER('Client DB &amp; Bed Mgmt'!$N$5:$N$428)),EOMONTH(B355,0),IF('Client DB &amp; Bed Mgmt'!$N$5:$N$428&lt;EOMONTH(B355,0),'Client DB &amp; Bed Mgmt'!$N$5:$N$428,EOMONTH(B355,0))))-(IF(('Client DB &amp; Bed Mgmt'!$M$5:$M$428="")+NOT(ISNUMBER('Client DB &amp; Bed Mgmt'!$M$5:$M$428)),DATE(YEAR(B355),MONTH(B355),1),IF('Client DB &amp; Bed Mgmt'!$M$5:$M$428&gt;DATE(YEAR(B355),MONTH(B355),1),'Client DB &amp; Bed Mgmt'!$M$5:$M$428,DATE(YEAR(B355),MONTH(B355),1))))+1)/DAY(EOMONTH(B355,0))),0)</f>
        <v/>
      </c>
    </row>
    <row r="356" ht="14.25" customHeight="1" s="83">
      <c r="A356" s="103" t="n"/>
      <c r="B356" s="125">
        <f>DATE(YEAR(StartDate),MONTH(StartDate),1)</f>
        <v/>
      </c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Mgmt'!$B:$B,C356,'Client DB &amp; Bed Mgmt'!$E:$E,"Occupied"),0)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>
        <f>IFERROR(J356*SUMPRODUCT(('Client DB &amp; Bed Mgmt'!$A$5:$A$428=A356)*('Client DB &amp; Bed Mgmt'!$B$5:$B$428=C356)*('Client DB &amp; Bed Mgmt'!$D$5:$D$428&lt;&gt;"")*--(('Client DB &amp; Bed Mgmt'!$M$5:$M$428="")+NOT(ISNUMBER('Client DB &amp; Bed Mgmt'!$M$5:$M$428))+IFERROR('Client DB &amp; Bed Mgmt'!$M$5:$M$428&lt;=EOMONTH(B356,0),FALSE)&gt;0)*--(('Client DB &amp; Bed Mgmt'!$N$5:$N$428="")+NOT(ISNUMBER('Client DB &amp; Bed Mgmt'!$N$5:$N$428))+IFERROR('Client DB &amp; Bed Mgmt'!$N$5:$N$428&gt;=DATE(YEAR(B356),MONTH(B356),1),FALSE)&gt;0)*((IF(('Client DB &amp; Bed Mgmt'!$N$5:$N$428="")+NOT(ISNUMBER('Client DB &amp; Bed Mgmt'!$N$5:$N$428)),EOMONTH(B356,0),IF('Client DB &amp; Bed Mgmt'!$N$5:$N$428&lt;EOMONTH(B356,0),'Client DB &amp; Bed Mgmt'!$N$5:$N$428,EOMONTH(B356,0))))-(IF(('Client DB &amp; Bed Mgmt'!$M$5:$M$428="")+NOT(ISNUMBER('Client DB &amp; Bed Mgmt'!$M$5:$M$428)),DATE(YEAR(B356),MONTH(B356),1),IF('Client DB &amp; Bed Mgmt'!$M$5:$M$428&gt;DATE(YEAR(B356),MONTH(B356),1),'Client DB &amp; Bed Mgmt'!$M$5:$M$428,DATE(YEAR(B356),MONTH(B356),1))))+1)/DAY(EOMONTH(B356,0))),0)</f>
        <v/>
      </c>
    </row>
    <row r="357" ht="14.25" customHeight="1" s="83">
      <c r="A357" s="103" t="n"/>
      <c r="B357" s="125">
        <f>DATE(YEAR(StartDate),MONTH(StartDate),1)</f>
        <v/>
      </c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Mgmt'!$B:$B,C357,'Client DB &amp; Bed Mgmt'!$E:$E,"Occupied"),0)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>
        <f>IFERROR(J357*SUMPRODUCT(('Client DB &amp; Bed Mgmt'!$A$5:$A$428=A357)*('Client DB &amp; Bed Mgmt'!$B$5:$B$428=C357)*('Client DB &amp; Bed Mgmt'!$D$5:$D$428&lt;&gt;"")*--(('Client DB &amp; Bed Mgmt'!$M$5:$M$428="")+NOT(ISNUMBER('Client DB &amp; Bed Mgmt'!$M$5:$M$428))+IFERROR('Client DB &amp; Bed Mgmt'!$M$5:$M$428&lt;=EOMONTH(B357,0),FALSE)&gt;0)*--(('Client DB &amp; Bed Mgmt'!$N$5:$N$428="")+NOT(ISNUMBER('Client DB &amp; Bed Mgmt'!$N$5:$N$428))+IFERROR('Client DB &amp; Bed Mgmt'!$N$5:$N$428&gt;=DATE(YEAR(B357),MONTH(B357),1),FALSE)&gt;0)*((IF(('Client DB &amp; Bed Mgmt'!$N$5:$N$428="")+NOT(ISNUMBER('Client DB &amp; Bed Mgmt'!$N$5:$N$428)),EOMONTH(B357,0),IF('Client DB &amp; Bed Mgmt'!$N$5:$N$428&lt;EOMONTH(B357,0),'Client DB &amp; Bed Mgmt'!$N$5:$N$428,EOMONTH(B357,0))))-(IF(('Client DB &amp; Bed Mgmt'!$M$5:$M$428="")+NOT(ISNUMBER('Client DB &amp; Bed Mgmt'!$M$5:$M$428)),DATE(YEAR(B357),MONTH(B357),1),IF('Client DB &amp; Bed Mgmt'!$M$5:$M$428&gt;DATE(YEAR(B357),MONTH(B357),1),'Client DB &amp; Bed Mgmt'!$M$5:$M$428,DATE(YEAR(B357),MONTH(B357),1))))+1)/DAY(EOMONTH(B357,0))),0)</f>
        <v/>
      </c>
    </row>
    <row r="358" ht="14.25" customHeight="1" s="83">
      <c r="A358" s="103" t="n"/>
      <c r="B358" s="125">
        <f>DATE(YEAR(StartDate),MONTH(StartDate),1)</f>
        <v/>
      </c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Mgmt'!$B:$B,C358,'Client DB &amp; Bed Mgmt'!$E:$E,"Occupied"),0)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>
        <f>IFERROR(J358*SUMPRODUCT(('Client DB &amp; Bed Mgmt'!$A$5:$A$428=A358)*('Client DB &amp; Bed Mgmt'!$B$5:$B$428=C358)*('Client DB &amp; Bed Mgmt'!$D$5:$D$428&lt;&gt;"")*--(('Client DB &amp; Bed Mgmt'!$M$5:$M$428="")+NOT(ISNUMBER('Client DB &amp; Bed Mgmt'!$M$5:$M$428))+IFERROR('Client DB &amp; Bed Mgmt'!$M$5:$M$428&lt;=EOMONTH(B358,0),FALSE)&gt;0)*--(('Client DB &amp; Bed Mgmt'!$N$5:$N$428="")+NOT(ISNUMBER('Client DB &amp; Bed Mgmt'!$N$5:$N$428))+IFERROR('Client DB &amp; Bed Mgmt'!$N$5:$N$428&gt;=DATE(YEAR(B358),MONTH(B358),1),FALSE)&gt;0)*((IF(('Client DB &amp; Bed Mgmt'!$N$5:$N$428="")+NOT(ISNUMBER('Client DB &amp; Bed Mgmt'!$N$5:$N$428)),EOMONTH(B358,0),IF('Client DB &amp; Bed Mgmt'!$N$5:$N$428&lt;EOMONTH(B358,0),'Client DB &amp; Bed Mgmt'!$N$5:$N$428,EOMONTH(B358,0))))-(IF(('Client DB &amp; Bed Mgmt'!$M$5:$M$428="")+NOT(ISNUMBER('Client DB &amp; Bed Mgmt'!$M$5:$M$428)),DATE(YEAR(B358),MONTH(B358),1),IF('Client DB &amp; Bed Mgmt'!$M$5:$M$428&gt;DATE(YEAR(B358),MONTH(B358),1),'Client DB &amp; Bed Mgmt'!$M$5:$M$428,DATE(YEAR(B358),MONTH(B358),1))))+1)/DAY(EOMONTH(B358,0))),0)</f>
        <v/>
      </c>
    </row>
    <row r="359" ht="14.25" customHeight="1" s="83">
      <c r="A359" s="103" t="n"/>
      <c r="B359" s="125">
        <f>DATE(YEAR(StartDate),MONTH(StartDate),1)</f>
        <v/>
      </c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Mgmt'!$B:$B,C359,'Client DB &amp; Bed Mgmt'!$E:$E,"Occupied"),0)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>
        <f>IFERROR(J359*SUMPRODUCT(('Client DB &amp; Bed Mgmt'!$A$5:$A$428=A359)*('Client DB &amp; Bed Mgmt'!$B$5:$B$428=C359)*('Client DB &amp; Bed Mgmt'!$D$5:$D$428&lt;&gt;"")*--(('Client DB &amp; Bed Mgmt'!$M$5:$M$428="")+NOT(ISNUMBER('Client DB &amp; Bed Mgmt'!$M$5:$M$428))+IFERROR('Client DB &amp; Bed Mgmt'!$M$5:$M$428&lt;=EOMONTH(B359,0),FALSE)&gt;0)*--(('Client DB &amp; Bed Mgmt'!$N$5:$N$428="")+NOT(ISNUMBER('Client DB &amp; Bed Mgmt'!$N$5:$N$428))+IFERROR('Client DB &amp; Bed Mgmt'!$N$5:$N$428&gt;=DATE(YEAR(B359),MONTH(B359),1),FALSE)&gt;0)*((IF(('Client DB &amp; Bed Mgmt'!$N$5:$N$428="")+NOT(ISNUMBER('Client DB &amp; Bed Mgmt'!$N$5:$N$428)),EOMONTH(B359,0),IF('Client DB &amp; Bed Mgmt'!$N$5:$N$428&lt;EOMONTH(B359,0),'Client DB &amp; Bed Mgmt'!$N$5:$N$428,EOMONTH(B359,0))))-(IF(('Client DB &amp; Bed Mgmt'!$M$5:$M$428="")+NOT(ISNUMBER('Client DB &amp; Bed Mgmt'!$M$5:$M$428)),DATE(YEAR(B359),MONTH(B359),1),IF('Client DB &amp; Bed Mgmt'!$M$5:$M$428&gt;DATE(YEAR(B359),MONTH(B359),1),'Client DB &amp; Bed Mgmt'!$M$5:$M$428,DATE(YEAR(B359),MONTH(B359),1))))+1)/DAY(EOMONTH(B359,0))),0)</f>
        <v/>
      </c>
    </row>
    <row r="360" ht="14.25" customHeight="1" s="83">
      <c r="A360" s="103" t="n"/>
      <c r="B360" s="125">
        <f>DATE(YEAR(StartDate),MONTH(StartDate),1)</f>
        <v/>
      </c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Mgmt'!$B:$B,C360,'Client DB &amp; Bed Mgmt'!$E:$E,"Occupied"),0)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>
        <f>IFERROR(J360*SUMPRODUCT(('Client DB &amp; Bed Mgmt'!$A$5:$A$428=A360)*('Client DB &amp; Bed Mgmt'!$B$5:$B$428=C360)*('Client DB &amp; Bed Mgmt'!$D$5:$D$428&lt;&gt;"")*--(('Client DB &amp; Bed Mgmt'!$M$5:$M$428="")+NOT(ISNUMBER('Client DB &amp; Bed Mgmt'!$M$5:$M$428))+IFERROR('Client DB &amp; Bed Mgmt'!$M$5:$M$428&lt;=EOMONTH(B360,0),FALSE)&gt;0)*--(('Client DB &amp; Bed Mgmt'!$N$5:$N$428="")+NOT(ISNUMBER('Client DB &amp; Bed Mgmt'!$N$5:$N$428))+IFERROR('Client DB &amp; Bed Mgmt'!$N$5:$N$428&gt;=DATE(YEAR(B360),MONTH(B360),1),FALSE)&gt;0)*((IF(('Client DB &amp; Bed Mgmt'!$N$5:$N$428="")+NOT(ISNUMBER('Client DB &amp; Bed Mgmt'!$N$5:$N$428)),EOMONTH(B360,0),IF('Client DB &amp; Bed Mgmt'!$N$5:$N$428&lt;EOMONTH(B360,0),'Client DB &amp; Bed Mgmt'!$N$5:$N$428,EOMONTH(B360,0))))-(IF(('Client DB &amp; Bed Mgmt'!$M$5:$M$428="")+NOT(ISNUMBER('Client DB &amp; Bed Mgmt'!$M$5:$M$428)),DATE(YEAR(B360),MONTH(B360),1),IF('Client DB &amp; Bed Mgmt'!$M$5:$M$428&gt;DATE(YEAR(B360),MONTH(B360),1),'Client DB &amp; Bed Mgmt'!$M$5:$M$428,DATE(YEAR(B360),MONTH(B360),1))))+1)/DAY(EOMONTH(B360,0))),0)</f>
        <v/>
      </c>
    </row>
    <row r="361" ht="14.25" customHeight="1" s="83">
      <c r="A361" s="103" t="n"/>
      <c r="B361" s="125">
        <f>DATE(YEAR(StartDate),MONTH(StartDate),1)</f>
        <v/>
      </c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Mgmt'!$B:$B,C361,'Client DB &amp; Bed Mgmt'!$E:$E,"Occupied"),0)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>
        <f>IFERROR(J361*SUMPRODUCT(('Client DB &amp; Bed Mgmt'!$A$5:$A$428=A361)*('Client DB &amp; Bed Mgmt'!$B$5:$B$428=C361)*('Client DB &amp; Bed Mgmt'!$D$5:$D$428&lt;&gt;"")*--(('Client DB &amp; Bed Mgmt'!$M$5:$M$428="")+NOT(ISNUMBER('Client DB &amp; Bed Mgmt'!$M$5:$M$428))+IFERROR('Client DB &amp; Bed Mgmt'!$M$5:$M$428&lt;=EOMONTH(B361,0),FALSE)&gt;0)*--(('Client DB &amp; Bed Mgmt'!$N$5:$N$428="")+NOT(ISNUMBER('Client DB &amp; Bed Mgmt'!$N$5:$N$428))+IFERROR('Client DB &amp; Bed Mgmt'!$N$5:$N$428&gt;=DATE(YEAR(B361),MONTH(B361),1),FALSE)&gt;0)*((IF(('Client DB &amp; Bed Mgmt'!$N$5:$N$428="")+NOT(ISNUMBER('Client DB &amp; Bed Mgmt'!$N$5:$N$428)),EOMONTH(B361,0),IF('Client DB &amp; Bed Mgmt'!$N$5:$N$428&lt;EOMONTH(B361,0),'Client DB &amp; Bed Mgmt'!$N$5:$N$428,EOMONTH(B361,0))))-(IF(('Client DB &amp; Bed Mgmt'!$M$5:$M$428="")+NOT(ISNUMBER('Client DB &amp; Bed Mgmt'!$M$5:$M$428)),DATE(YEAR(B361),MONTH(B361),1),IF('Client DB &amp; Bed Mgmt'!$M$5:$M$428&gt;DATE(YEAR(B361),MONTH(B361),1),'Client DB &amp; Bed Mgmt'!$M$5:$M$428,DATE(YEAR(B361),MONTH(B361),1))))+1)/DAY(EOMONTH(B361,0))),0)</f>
        <v/>
      </c>
    </row>
    <row r="362" ht="14.25" customHeight="1" s="83">
      <c r="A362" s="103" t="n"/>
      <c r="B362" s="125">
        <f>DATE(YEAR(StartDate),MONTH(StartDate),1)</f>
        <v/>
      </c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Mgmt'!$B:$B,C362,'Client DB &amp; Bed Mgmt'!$E:$E,"Occupied"),0)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>
        <f>IFERROR(J362*SUMPRODUCT(('Client DB &amp; Bed Mgmt'!$A$5:$A$428=A362)*('Client DB &amp; Bed Mgmt'!$B$5:$B$428=C362)*('Client DB &amp; Bed Mgmt'!$D$5:$D$428&lt;&gt;"")*--(('Client DB &amp; Bed Mgmt'!$M$5:$M$428="")+NOT(ISNUMBER('Client DB &amp; Bed Mgmt'!$M$5:$M$428))+IFERROR('Client DB &amp; Bed Mgmt'!$M$5:$M$428&lt;=EOMONTH(B362,0),FALSE)&gt;0)*--(('Client DB &amp; Bed Mgmt'!$N$5:$N$428="")+NOT(ISNUMBER('Client DB &amp; Bed Mgmt'!$N$5:$N$428))+IFERROR('Client DB &amp; Bed Mgmt'!$N$5:$N$428&gt;=DATE(YEAR(B362),MONTH(B362),1),FALSE)&gt;0)*((IF(('Client DB &amp; Bed Mgmt'!$N$5:$N$428="")+NOT(ISNUMBER('Client DB &amp; Bed Mgmt'!$N$5:$N$428)),EOMONTH(B362,0),IF('Client DB &amp; Bed Mgmt'!$N$5:$N$428&lt;EOMONTH(B362,0),'Client DB &amp; Bed Mgmt'!$N$5:$N$428,EOMONTH(B362,0))))-(IF(('Client DB &amp; Bed Mgmt'!$M$5:$M$428="")+NOT(ISNUMBER('Client DB &amp; Bed Mgmt'!$M$5:$M$428)),DATE(YEAR(B362),MONTH(B362),1),IF('Client DB &amp; Bed Mgmt'!$M$5:$M$428&gt;DATE(YEAR(B362),MONTH(B362),1),'Client DB &amp; Bed Mgmt'!$M$5:$M$428,DATE(YEAR(B362),MONTH(B362),1))))+1)/DAY(EOMONTH(B362,0))),0)</f>
        <v/>
      </c>
    </row>
    <row r="363" ht="14.25" customHeight="1" s="83">
      <c r="A363" s="103" t="n"/>
      <c r="B363" s="125">
        <f>DATE(YEAR(StartDate),MONTH(StartDate),1)</f>
        <v/>
      </c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Mgmt'!$B:$B,C363,'Client DB &amp; Bed Mgmt'!$E:$E,"Occupied"),0)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>
        <f>IFERROR(J363*SUMPRODUCT(('Client DB &amp; Bed Mgmt'!$A$5:$A$428=A363)*('Client DB &amp; Bed Mgmt'!$B$5:$B$428=C363)*('Client DB &amp; Bed Mgmt'!$D$5:$D$428&lt;&gt;"")*--(('Client DB &amp; Bed Mgmt'!$M$5:$M$428="")+NOT(ISNUMBER('Client DB &amp; Bed Mgmt'!$M$5:$M$428))+IFERROR('Client DB &amp; Bed Mgmt'!$M$5:$M$428&lt;=EOMONTH(B363,0),FALSE)&gt;0)*--(('Client DB &amp; Bed Mgmt'!$N$5:$N$428="")+NOT(ISNUMBER('Client DB &amp; Bed Mgmt'!$N$5:$N$428))+IFERROR('Client DB &amp; Bed Mgmt'!$N$5:$N$428&gt;=DATE(YEAR(B363),MONTH(B363),1),FALSE)&gt;0)*((IF(('Client DB &amp; Bed Mgmt'!$N$5:$N$428="")+NOT(ISNUMBER('Client DB &amp; Bed Mgmt'!$N$5:$N$428)),EOMONTH(B363,0),IF('Client DB &amp; Bed Mgmt'!$N$5:$N$428&lt;EOMONTH(B363,0),'Client DB &amp; Bed Mgmt'!$N$5:$N$428,EOMONTH(B363,0))))-(IF(('Client DB &amp; Bed Mgmt'!$M$5:$M$428="")+NOT(ISNUMBER('Client DB &amp; Bed Mgmt'!$M$5:$M$428)),DATE(YEAR(B363),MONTH(B363),1),IF('Client DB &amp; Bed Mgmt'!$M$5:$M$428&gt;DATE(YEAR(B363),MONTH(B363),1),'Client DB &amp; Bed Mgmt'!$M$5:$M$428,DATE(YEAR(B363),MONTH(B363),1))))+1)/DAY(EOMONTH(B363,0))),0)</f>
        <v/>
      </c>
    </row>
    <row r="364" ht="14.25" customHeight="1" s="83">
      <c r="A364" s="103" t="n"/>
      <c r="B364" s="125">
        <f>DATE(YEAR(StartDate),MONTH(StartDate),1)</f>
        <v/>
      </c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Mgmt'!$B:$B,C364,'Client DB &amp; Bed Mgmt'!$E:$E,"Occupied"),0)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>
        <f>IFERROR(J364*SUMPRODUCT(('Client DB &amp; Bed Mgmt'!$A$5:$A$428=A364)*('Client DB &amp; Bed Mgmt'!$B$5:$B$428=C364)*('Client DB &amp; Bed Mgmt'!$D$5:$D$428&lt;&gt;"")*--(('Client DB &amp; Bed Mgmt'!$M$5:$M$428="")+NOT(ISNUMBER('Client DB &amp; Bed Mgmt'!$M$5:$M$428))+IFERROR('Client DB &amp; Bed Mgmt'!$M$5:$M$428&lt;=EOMONTH(B364,0),FALSE)&gt;0)*--(('Client DB &amp; Bed Mgmt'!$N$5:$N$428="")+NOT(ISNUMBER('Client DB &amp; Bed Mgmt'!$N$5:$N$428))+IFERROR('Client DB &amp; Bed Mgmt'!$N$5:$N$428&gt;=DATE(YEAR(B364),MONTH(B364),1),FALSE)&gt;0)*((IF(('Client DB &amp; Bed Mgmt'!$N$5:$N$428="")+NOT(ISNUMBER('Client DB &amp; Bed Mgmt'!$N$5:$N$428)),EOMONTH(B364,0),IF('Client DB &amp; Bed Mgmt'!$N$5:$N$428&lt;EOMONTH(B364,0),'Client DB &amp; Bed Mgmt'!$N$5:$N$428,EOMONTH(B364,0))))-(IF(('Client DB &amp; Bed Mgmt'!$M$5:$M$428="")+NOT(ISNUMBER('Client DB &amp; Bed Mgmt'!$M$5:$M$428)),DATE(YEAR(B364),MONTH(B364),1),IF('Client DB &amp; Bed Mgmt'!$M$5:$M$428&gt;DATE(YEAR(B364),MONTH(B364),1),'Client DB &amp; Bed Mgmt'!$M$5:$M$428,DATE(YEAR(B364),MONTH(B364),1))))+1)/DAY(EOMONTH(B364,0))),0)</f>
        <v/>
      </c>
    </row>
    <row r="365" ht="14.25" customHeight="1" s="83">
      <c r="A365" s="103" t="n"/>
      <c r="B365" s="125">
        <f>DATE(YEAR(StartDate),MONTH(StartDate),1)</f>
        <v/>
      </c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Mgmt'!$B:$B,C365,'Client DB &amp; Bed Mgmt'!$E:$E,"Occupied"),0)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>
        <f>IFERROR(J365*SUMPRODUCT(('Client DB &amp; Bed Mgmt'!$A$5:$A$428=A365)*('Client DB &amp; Bed Mgmt'!$B$5:$B$428=C365)*('Client DB &amp; Bed Mgmt'!$D$5:$D$428&lt;&gt;"")*--(('Client DB &amp; Bed Mgmt'!$M$5:$M$428="")+NOT(ISNUMBER('Client DB &amp; Bed Mgmt'!$M$5:$M$428))+IFERROR('Client DB &amp; Bed Mgmt'!$M$5:$M$428&lt;=EOMONTH(B365,0),FALSE)&gt;0)*--(('Client DB &amp; Bed Mgmt'!$N$5:$N$428="")+NOT(ISNUMBER('Client DB &amp; Bed Mgmt'!$N$5:$N$428))+IFERROR('Client DB &amp; Bed Mgmt'!$N$5:$N$428&gt;=DATE(YEAR(B365),MONTH(B365),1),FALSE)&gt;0)*((IF(('Client DB &amp; Bed Mgmt'!$N$5:$N$428="")+NOT(ISNUMBER('Client DB &amp; Bed Mgmt'!$N$5:$N$428)),EOMONTH(B365,0),IF('Client DB &amp; Bed Mgmt'!$N$5:$N$428&lt;EOMONTH(B365,0),'Client DB &amp; Bed Mgmt'!$N$5:$N$428,EOMONTH(B365,0))))-(IF(('Client DB &amp; Bed Mgmt'!$M$5:$M$428="")+NOT(ISNUMBER('Client DB &amp; Bed Mgmt'!$M$5:$M$428)),DATE(YEAR(B365),MONTH(B365),1),IF('Client DB &amp; Bed Mgmt'!$M$5:$M$428&gt;DATE(YEAR(B365),MONTH(B365),1),'Client DB &amp; Bed Mgmt'!$M$5:$M$428,DATE(YEAR(B365),MONTH(B365),1))))+1)/DAY(EOMONTH(B365,0))),0)</f>
        <v/>
      </c>
    </row>
    <row r="366" ht="14.25" customHeight="1" s="83">
      <c r="A366" s="103" t="n"/>
      <c r="B366" s="125">
        <f>DATE(YEAR(StartDate),MONTH(StartDate),1)</f>
        <v/>
      </c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Mgmt'!$B:$B,C366,'Client DB &amp; Bed Mgmt'!$E:$E,"Occupied"),0)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>
        <f>IFERROR(J366*SUMPRODUCT(('Client DB &amp; Bed Mgmt'!$A$5:$A$428=A366)*('Client DB &amp; Bed Mgmt'!$B$5:$B$428=C366)*('Client DB &amp; Bed Mgmt'!$D$5:$D$428&lt;&gt;"")*--(('Client DB &amp; Bed Mgmt'!$M$5:$M$428="")+NOT(ISNUMBER('Client DB &amp; Bed Mgmt'!$M$5:$M$428))+IFERROR('Client DB &amp; Bed Mgmt'!$M$5:$M$428&lt;=EOMONTH(B366,0),FALSE)&gt;0)*--(('Client DB &amp; Bed Mgmt'!$N$5:$N$428="")+NOT(ISNUMBER('Client DB &amp; Bed Mgmt'!$N$5:$N$428))+IFERROR('Client DB &amp; Bed Mgmt'!$N$5:$N$428&gt;=DATE(YEAR(B366),MONTH(B366),1),FALSE)&gt;0)*((IF(('Client DB &amp; Bed Mgmt'!$N$5:$N$428="")+NOT(ISNUMBER('Client DB &amp; Bed Mgmt'!$N$5:$N$428)),EOMONTH(B366,0),IF('Client DB &amp; Bed Mgmt'!$N$5:$N$428&lt;EOMONTH(B366,0),'Client DB &amp; Bed Mgmt'!$N$5:$N$428,EOMONTH(B366,0))))-(IF(('Client DB &amp; Bed Mgmt'!$M$5:$M$428="")+NOT(ISNUMBER('Client DB &amp; Bed Mgmt'!$M$5:$M$428)),DATE(YEAR(B366),MONTH(B366),1),IF('Client DB &amp; Bed Mgmt'!$M$5:$M$428&gt;DATE(YEAR(B366),MONTH(B366),1),'Client DB &amp; Bed Mgmt'!$M$5:$M$428,DATE(YEAR(B366),MONTH(B366),1))))+1)/DAY(EOMONTH(B366,0))),0)</f>
        <v/>
      </c>
    </row>
    <row r="367" ht="14.25" customHeight="1" s="83">
      <c r="A367" s="103" t="n"/>
      <c r="B367" s="125">
        <f>DATE(YEAR(StartDate),MONTH(StartDate),1)</f>
        <v/>
      </c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Mgmt'!$B:$B,C367,'Client DB &amp; Bed Mgmt'!$E:$E,"Occupied"),0)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>
        <f>IFERROR(J367*SUMPRODUCT(('Client DB &amp; Bed Mgmt'!$A$5:$A$428=A367)*('Client DB &amp; Bed Mgmt'!$B$5:$B$428=C367)*('Client DB &amp; Bed Mgmt'!$D$5:$D$428&lt;&gt;"")*--(('Client DB &amp; Bed Mgmt'!$M$5:$M$428="")+NOT(ISNUMBER('Client DB &amp; Bed Mgmt'!$M$5:$M$428))+IFERROR('Client DB &amp; Bed Mgmt'!$M$5:$M$428&lt;=EOMONTH(B367,0),FALSE)&gt;0)*--(('Client DB &amp; Bed Mgmt'!$N$5:$N$428="")+NOT(ISNUMBER('Client DB &amp; Bed Mgmt'!$N$5:$N$428))+IFERROR('Client DB &amp; Bed Mgmt'!$N$5:$N$428&gt;=DATE(YEAR(B367),MONTH(B367),1),FALSE)&gt;0)*((IF(('Client DB &amp; Bed Mgmt'!$N$5:$N$428="")+NOT(ISNUMBER('Client DB &amp; Bed Mgmt'!$N$5:$N$428)),EOMONTH(B367,0),IF('Client DB &amp; Bed Mgmt'!$N$5:$N$428&lt;EOMONTH(B367,0),'Client DB &amp; Bed Mgmt'!$N$5:$N$428,EOMONTH(B367,0))))-(IF(('Client DB &amp; Bed Mgmt'!$M$5:$M$428="")+NOT(ISNUMBER('Client DB &amp; Bed Mgmt'!$M$5:$M$428)),DATE(YEAR(B367),MONTH(B367),1),IF('Client DB &amp; Bed Mgmt'!$M$5:$M$428&gt;DATE(YEAR(B367),MONTH(B367),1),'Client DB &amp; Bed Mgmt'!$M$5:$M$428,DATE(YEAR(B367),MONTH(B367),1))))+1)/DAY(EOMONTH(B367,0))),0)</f>
        <v/>
      </c>
    </row>
    <row r="368" ht="14.25" customHeight="1" s="83">
      <c r="A368" s="103" t="n"/>
      <c r="B368" s="125">
        <f>DATE(YEAR(StartDate),MONTH(StartDate),1)</f>
        <v/>
      </c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Mgmt'!$B:$B,C368,'Client DB &amp; Bed Mgmt'!$E:$E,"Occupied"),0)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>
        <f>IFERROR(J368*SUMPRODUCT(('Client DB &amp; Bed Mgmt'!$A$5:$A$428=A368)*('Client DB &amp; Bed Mgmt'!$B$5:$B$428=C368)*('Client DB &amp; Bed Mgmt'!$D$5:$D$428&lt;&gt;"")*--(('Client DB &amp; Bed Mgmt'!$M$5:$M$428="")+NOT(ISNUMBER('Client DB &amp; Bed Mgmt'!$M$5:$M$428))+IFERROR('Client DB &amp; Bed Mgmt'!$M$5:$M$428&lt;=EOMONTH(B368,0),FALSE)&gt;0)*--(('Client DB &amp; Bed Mgmt'!$N$5:$N$428="")+NOT(ISNUMBER('Client DB &amp; Bed Mgmt'!$N$5:$N$428))+IFERROR('Client DB &amp; Bed Mgmt'!$N$5:$N$428&gt;=DATE(YEAR(B368),MONTH(B368),1),FALSE)&gt;0)*((IF(('Client DB &amp; Bed Mgmt'!$N$5:$N$428="")+NOT(ISNUMBER('Client DB &amp; Bed Mgmt'!$N$5:$N$428)),EOMONTH(B368,0),IF('Client DB &amp; Bed Mgmt'!$N$5:$N$428&lt;EOMONTH(B368,0),'Client DB &amp; Bed Mgmt'!$N$5:$N$428,EOMONTH(B368,0))))-(IF(('Client DB &amp; Bed Mgmt'!$M$5:$M$428="")+NOT(ISNUMBER('Client DB &amp; Bed Mgmt'!$M$5:$M$428)),DATE(YEAR(B368),MONTH(B368),1),IF('Client DB &amp; Bed Mgmt'!$M$5:$M$428&gt;DATE(YEAR(B368),MONTH(B368),1),'Client DB &amp; Bed Mgmt'!$M$5:$M$428,DATE(YEAR(B368),MONTH(B368),1))))+1)/DAY(EOMONTH(B368,0))),0)</f>
        <v/>
      </c>
    </row>
    <row r="369" ht="14.25" customHeight="1" s="83">
      <c r="A369" s="103" t="n"/>
      <c r="B369" s="125">
        <f>DATE(YEAR(StartDate),MONTH(StartDate),1)</f>
        <v/>
      </c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Mgmt'!$B:$B,C369,'Client DB &amp; Bed Mgmt'!$E:$E,"Occupied"),0)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>
        <f>IFERROR(J369*SUMPRODUCT(('Client DB &amp; Bed Mgmt'!$A$5:$A$428=A369)*('Client DB &amp; Bed Mgmt'!$B$5:$B$428=C369)*('Client DB &amp; Bed Mgmt'!$D$5:$D$428&lt;&gt;"")*--(('Client DB &amp; Bed Mgmt'!$M$5:$M$428="")+NOT(ISNUMBER('Client DB &amp; Bed Mgmt'!$M$5:$M$428))+IFERROR('Client DB &amp; Bed Mgmt'!$M$5:$M$428&lt;=EOMONTH(B369,0),FALSE)&gt;0)*--(('Client DB &amp; Bed Mgmt'!$N$5:$N$428="")+NOT(ISNUMBER('Client DB &amp; Bed Mgmt'!$N$5:$N$428))+IFERROR('Client DB &amp; Bed Mgmt'!$N$5:$N$428&gt;=DATE(YEAR(B369),MONTH(B369),1),FALSE)&gt;0)*((IF(('Client DB &amp; Bed Mgmt'!$N$5:$N$428="")+NOT(ISNUMBER('Client DB &amp; Bed Mgmt'!$N$5:$N$428)),EOMONTH(B369,0),IF('Client DB &amp; Bed Mgmt'!$N$5:$N$428&lt;EOMONTH(B369,0),'Client DB &amp; Bed Mgmt'!$N$5:$N$428,EOMONTH(B369,0))))-(IF(('Client DB &amp; Bed Mgmt'!$M$5:$M$428="")+NOT(ISNUMBER('Client DB &amp; Bed Mgmt'!$M$5:$M$428)),DATE(YEAR(B369),MONTH(B369),1),IF('Client DB &amp; Bed Mgmt'!$M$5:$M$428&gt;DATE(YEAR(B369),MONTH(B369),1),'Client DB &amp; Bed Mgmt'!$M$5:$M$428,DATE(YEAR(B369),MONTH(B369),1))))+1)/DAY(EOMONTH(B369,0))),0)</f>
        <v/>
      </c>
    </row>
    <row r="370" ht="14.25" customHeight="1" s="83">
      <c r="A370" s="103" t="n"/>
      <c r="B370" s="125">
        <f>DATE(YEAR(StartDate),MONTH(StartDate),1)</f>
        <v/>
      </c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Mgmt'!$B:$B,C370,'Client DB &amp; Bed Mgmt'!$E:$E,"Occupied"),0)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>
        <f>IFERROR(J370*SUMPRODUCT(('Client DB &amp; Bed Mgmt'!$A$5:$A$428=A370)*('Client DB &amp; Bed Mgmt'!$B$5:$B$428=C370)*('Client DB &amp; Bed Mgmt'!$D$5:$D$428&lt;&gt;"")*--(('Client DB &amp; Bed Mgmt'!$M$5:$M$428="")+NOT(ISNUMBER('Client DB &amp; Bed Mgmt'!$M$5:$M$428))+IFERROR('Client DB &amp; Bed Mgmt'!$M$5:$M$428&lt;=EOMONTH(B370,0),FALSE)&gt;0)*--(('Client DB &amp; Bed Mgmt'!$N$5:$N$428="")+NOT(ISNUMBER('Client DB &amp; Bed Mgmt'!$N$5:$N$428))+IFERROR('Client DB &amp; Bed Mgmt'!$N$5:$N$428&gt;=DATE(YEAR(B370),MONTH(B370),1),FALSE)&gt;0)*((IF(('Client DB &amp; Bed Mgmt'!$N$5:$N$428="")+NOT(ISNUMBER('Client DB &amp; Bed Mgmt'!$N$5:$N$428)),EOMONTH(B370,0),IF('Client DB &amp; Bed Mgmt'!$N$5:$N$428&lt;EOMONTH(B370,0),'Client DB &amp; Bed Mgmt'!$N$5:$N$428,EOMONTH(B370,0))))-(IF(('Client DB &amp; Bed Mgmt'!$M$5:$M$428="")+NOT(ISNUMBER('Client DB &amp; Bed Mgmt'!$M$5:$M$428)),DATE(YEAR(B370),MONTH(B370),1),IF('Client DB &amp; Bed Mgmt'!$M$5:$M$428&gt;DATE(YEAR(B370),MONTH(B370),1),'Client DB &amp; Bed Mgmt'!$M$5:$M$428,DATE(YEAR(B370),MONTH(B370),1))))+1)/DAY(EOMONTH(B370,0))),0)</f>
        <v/>
      </c>
    </row>
    <row r="371" ht="14.25" customHeight="1" s="83">
      <c r="A371" s="103" t="n"/>
      <c r="B371" s="125">
        <f>DATE(YEAR(StartDate),MONTH(StartDate),1)</f>
        <v/>
      </c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Mgmt'!$B:$B,C371,'Client DB &amp; Bed Mgmt'!$E:$E,"Occupied"),0)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>
        <f>IFERROR(J371*SUMPRODUCT(('Client DB &amp; Bed Mgmt'!$A$5:$A$428=A371)*('Client DB &amp; Bed Mgmt'!$B$5:$B$428=C371)*('Client DB &amp; Bed Mgmt'!$D$5:$D$428&lt;&gt;"")*--(('Client DB &amp; Bed Mgmt'!$M$5:$M$428="")+NOT(ISNUMBER('Client DB &amp; Bed Mgmt'!$M$5:$M$428))+IFERROR('Client DB &amp; Bed Mgmt'!$M$5:$M$428&lt;=EOMONTH(B371,0),FALSE)&gt;0)*--(('Client DB &amp; Bed Mgmt'!$N$5:$N$428="")+NOT(ISNUMBER('Client DB &amp; Bed Mgmt'!$N$5:$N$428))+IFERROR('Client DB &amp; Bed Mgmt'!$N$5:$N$428&gt;=DATE(YEAR(B371),MONTH(B371),1),FALSE)&gt;0)*((IF(('Client DB &amp; Bed Mgmt'!$N$5:$N$428="")+NOT(ISNUMBER('Client DB &amp; Bed Mgmt'!$N$5:$N$428)),EOMONTH(B371,0),IF('Client DB &amp; Bed Mgmt'!$N$5:$N$428&lt;EOMONTH(B371,0),'Client DB &amp; Bed Mgmt'!$N$5:$N$428,EOMONTH(B371,0))))-(IF(('Client DB &amp; Bed Mgmt'!$M$5:$M$428="")+NOT(ISNUMBER('Client DB &amp; Bed Mgmt'!$M$5:$M$428)),DATE(YEAR(B371),MONTH(B371),1),IF('Client DB &amp; Bed Mgmt'!$M$5:$M$428&gt;DATE(YEAR(B371),MONTH(B371),1),'Client DB &amp; Bed Mgmt'!$M$5:$M$428,DATE(YEAR(B371),MONTH(B371),1))))+1)/DAY(EOMONTH(B371,0))),0)</f>
        <v/>
      </c>
    </row>
    <row r="372" ht="14.25" customHeight="1" s="83">
      <c r="A372" s="103" t="n"/>
      <c r="B372" s="125">
        <f>DATE(YEAR(StartDate),MONTH(StartDate),1)</f>
        <v/>
      </c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Mgmt'!$B:$B,C372,'Client DB &amp; Bed Mgmt'!$E:$E,"Occupied"),0)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>
        <f>IFERROR(J372*SUMPRODUCT(('Client DB &amp; Bed Mgmt'!$A$5:$A$428=A372)*('Client DB &amp; Bed Mgmt'!$B$5:$B$428=C372)*('Client DB &amp; Bed Mgmt'!$D$5:$D$428&lt;&gt;"")*--(('Client DB &amp; Bed Mgmt'!$M$5:$M$428="")+NOT(ISNUMBER('Client DB &amp; Bed Mgmt'!$M$5:$M$428))+IFERROR('Client DB &amp; Bed Mgmt'!$M$5:$M$428&lt;=EOMONTH(B372,0),FALSE)&gt;0)*--(('Client DB &amp; Bed Mgmt'!$N$5:$N$428="")+NOT(ISNUMBER('Client DB &amp; Bed Mgmt'!$N$5:$N$428))+IFERROR('Client DB &amp; Bed Mgmt'!$N$5:$N$428&gt;=DATE(YEAR(B372),MONTH(B372),1),FALSE)&gt;0)*((IF(('Client DB &amp; Bed Mgmt'!$N$5:$N$428="")+NOT(ISNUMBER('Client DB &amp; Bed Mgmt'!$N$5:$N$428)),EOMONTH(B372,0),IF('Client DB &amp; Bed Mgmt'!$N$5:$N$428&lt;EOMONTH(B372,0),'Client DB &amp; Bed Mgmt'!$N$5:$N$428,EOMONTH(B372,0))))-(IF(('Client DB &amp; Bed Mgmt'!$M$5:$M$428="")+NOT(ISNUMBER('Client DB &amp; Bed Mgmt'!$M$5:$M$428)),DATE(YEAR(B372),MONTH(B372),1),IF('Client DB &amp; Bed Mgmt'!$M$5:$M$428&gt;DATE(YEAR(B372),MONTH(B372),1),'Client DB &amp; Bed Mgmt'!$M$5:$M$428,DATE(YEAR(B372),MONTH(B372),1))))+1)/DAY(EOMONTH(B372,0))),0)</f>
        <v/>
      </c>
    </row>
    <row r="373" ht="14.25" customHeight="1" s="83">
      <c r="A373" s="103" t="n"/>
      <c r="B373" s="125">
        <f>DATE(YEAR(StartDate),MONTH(StartDate),1)</f>
        <v/>
      </c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Mgmt'!$B:$B,C373,'Client DB &amp; Bed Mgmt'!$E:$E,"Occupied"),0)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>
        <f>IFERROR(J373*SUMPRODUCT(('Client DB &amp; Bed Mgmt'!$A$5:$A$428=A373)*('Client DB &amp; Bed Mgmt'!$B$5:$B$428=C373)*('Client DB &amp; Bed Mgmt'!$D$5:$D$428&lt;&gt;"")*--(('Client DB &amp; Bed Mgmt'!$M$5:$M$428="")+NOT(ISNUMBER('Client DB &amp; Bed Mgmt'!$M$5:$M$428))+IFERROR('Client DB &amp; Bed Mgmt'!$M$5:$M$428&lt;=EOMONTH(B373,0),FALSE)&gt;0)*--(('Client DB &amp; Bed Mgmt'!$N$5:$N$428="")+NOT(ISNUMBER('Client DB &amp; Bed Mgmt'!$N$5:$N$428))+IFERROR('Client DB &amp; Bed Mgmt'!$N$5:$N$428&gt;=DATE(YEAR(B373),MONTH(B373),1),FALSE)&gt;0)*((IF(('Client DB &amp; Bed Mgmt'!$N$5:$N$428="")+NOT(ISNUMBER('Client DB &amp; Bed Mgmt'!$N$5:$N$428)),EOMONTH(B373,0),IF('Client DB &amp; Bed Mgmt'!$N$5:$N$428&lt;EOMONTH(B373,0),'Client DB &amp; Bed Mgmt'!$N$5:$N$428,EOMONTH(B373,0))))-(IF(('Client DB &amp; Bed Mgmt'!$M$5:$M$428="")+NOT(ISNUMBER('Client DB &amp; Bed Mgmt'!$M$5:$M$428)),DATE(YEAR(B373),MONTH(B373),1),IF('Client DB &amp; Bed Mgmt'!$M$5:$M$428&gt;DATE(YEAR(B373),MONTH(B373),1),'Client DB &amp; Bed Mgmt'!$M$5:$M$428,DATE(YEAR(B373),MONTH(B373),1))))+1)/DAY(EOMONTH(B373,0))),0)</f>
        <v/>
      </c>
    </row>
    <row r="374" ht="14.25" customHeight="1" s="83">
      <c r="A374" s="103" t="n"/>
      <c r="B374" s="125">
        <f>DATE(YEAR(StartDate),MONTH(StartDate),1)</f>
        <v/>
      </c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Mgmt'!$B:$B,C374,'Client DB &amp; Bed Mgmt'!$E:$E,"Occupied"),0)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>
        <f>IFERROR(J374*SUMPRODUCT(('Client DB &amp; Bed Mgmt'!$A$5:$A$428=A374)*('Client DB &amp; Bed Mgmt'!$B$5:$B$428=C374)*('Client DB &amp; Bed Mgmt'!$D$5:$D$428&lt;&gt;"")*--(('Client DB &amp; Bed Mgmt'!$M$5:$M$428="")+NOT(ISNUMBER('Client DB &amp; Bed Mgmt'!$M$5:$M$428))+IFERROR('Client DB &amp; Bed Mgmt'!$M$5:$M$428&lt;=EOMONTH(B374,0),FALSE)&gt;0)*--(('Client DB &amp; Bed Mgmt'!$N$5:$N$428="")+NOT(ISNUMBER('Client DB &amp; Bed Mgmt'!$N$5:$N$428))+IFERROR('Client DB &amp; Bed Mgmt'!$N$5:$N$428&gt;=DATE(YEAR(B374),MONTH(B374),1),FALSE)&gt;0)*((IF(('Client DB &amp; Bed Mgmt'!$N$5:$N$428="")+NOT(ISNUMBER('Client DB &amp; Bed Mgmt'!$N$5:$N$428)),EOMONTH(B374,0),IF('Client DB &amp; Bed Mgmt'!$N$5:$N$428&lt;EOMONTH(B374,0),'Client DB &amp; Bed Mgmt'!$N$5:$N$428,EOMONTH(B374,0))))-(IF(('Client DB &amp; Bed Mgmt'!$M$5:$M$428="")+NOT(ISNUMBER('Client DB &amp; Bed Mgmt'!$M$5:$M$428)),DATE(YEAR(B374),MONTH(B374),1),IF('Client DB &amp; Bed Mgmt'!$M$5:$M$428&gt;DATE(YEAR(B374),MONTH(B374),1),'Client DB &amp; Bed Mgmt'!$M$5:$M$428,DATE(YEAR(B374),MONTH(B374),1))))+1)/DAY(EOMONTH(B374,0))),0)</f>
        <v/>
      </c>
    </row>
    <row r="375" ht="14.25" customHeight="1" s="83">
      <c r="A375" s="103" t="n"/>
      <c r="B375" s="125">
        <f>DATE(YEAR(StartDate),MONTH(StartDate),1)</f>
        <v/>
      </c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Mgmt'!$B:$B,C375,'Client DB &amp; Bed Mgmt'!$E:$E,"Occupied"),0)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>
        <f>IFERROR(J375*SUMPRODUCT(('Client DB &amp; Bed Mgmt'!$A$5:$A$428=A375)*('Client DB &amp; Bed Mgmt'!$B$5:$B$428=C375)*('Client DB &amp; Bed Mgmt'!$D$5:$D$428&lt;&gt;"")*--(('Client DB &amp; Bed Mgmt'!$M$5:$M$428="")+NOT(ISNUMBER('Client DB &amp; Bed Mgmt'!$M$5:$M$428))+IFERROR('Client DB &amp; Bed Mgmt'!$M$5:$M$428&lt;=EOMONTH(B375,0),FALSE)&gt;0)*--(('Client DB &amp; Bed Mgmt'!$N$5:$N$428="")+NOT(ISNUMBER('Client DB &amp; Bed Mgmt'!$N$5:$N$428))+IFERROR('Client DB &amp; Bed Mgmt'!$N$5:$N$428&gt;=DATE(YEAR(B375),MONTH(B375),1),FALSE)&gt;0)*((IF(('Client DB &amp; Bed Mgmt'!$N$5:$N$428="")+NOT(ISNUMBER('Client DB &amp; Bed Mgmt'!$N$5:$N$428)),EOMONTH(B375,0),IF('Client DB &amp; Bed Mgmt'!$N$5:$N$428&lt;EOMONTH(B375,0),'Client DB &amp; Bed Mgmt'!$N$5:$N$428,EOMONTH(B375,0))))-(IF(('Client DB &amp; Bed Mgmt'!$M$5:$M$428="")+NOT(ISNUMBER('Client DB &amp; Bed Mgmt'!$M$5:$M$428)),DATE(YEAR(B375),MONTH(B375),1),IF('Client DB &amp; Bed Mgmt'!$M$5:$M$428&gt;DATE(YEAR(B375),MONTH(B375),1),'Client DB &amp; Bed Mgmt'!$M$5:$M$428,DATE(YEAR(B375),MONTH(B375),1))))+1)/DAY(EOMONTH(B375,0))),0)</f>
        <v/>
      </c>
    </row>
    <row r="376" ht="14.25" customHeight="1" s="83">
      <c r="A376" s="103" t="n"/>
      <c r="B376" s="125">
        <f>DATE(YEAR(StartDate),MONTH(StartDate),1)</f>
        <v/>
      </c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Mgmt'!$B:$B,C376,'Client DB &amp; Bed Mgmt'!$E:$E,"Occupied"),0)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>
        <f>IFERROR(J376*SUMPRODUCT(('Client DB &amp; Bed Mgmt'!$A$5:$A$428=A376)*('Client DB &amp; Bed Mgmt'!$B$5:$B$428=C376)*('Client DB &amp; Bed Mgmt'!$D$5:$D$428&lt;&gt;"")*--(('Client DB &amp; Bed Mgmt'!$M$5:$M$428="")+NOT(ISNUMBER('Client DB &amp; Bed Mgmt'!$M$5:$M$428))+IFERROR('Client DB &amp; Bed Mgmt'!$M$5:$M$428&lt;=EOMONTH(B376,0),FALSE)&gt;0)*--(('Client DB &amp; Bed Mgmt'!$N$5:$N$428="")+NOT(ISNUMBER('Client DB &amp; Bed Mgmt'!$N$5:$N$428))+IFERROR('Client DB &amp; Bed Mgmt'!$N$5:$N$428&gt;=DATE(YEAR(B376),MONTH(B376),1),FALSE)&gt;0)*((IF(('Client DB &amp; Bed Mgmt'!$N$5:$N$428="")+NOT(ISNUMBER('Client DB &amp; Bed Mgmt'!$N$5:$N$428)),EOMONTH(B376,0),IF('Client DB &amp; Bed Mgmt'!$N$5:$N$428&lt;EOMONTH(B376,0),'Client DB &amp; Bed Mgmt'!$N$5:$N$428,EOMONTH(B376,0))))-(IF(('Client DB &amp; Bed Mgmt'!$M$5:$M$428="")+NOT(ISNUMBER('Client DB &amp; Bed Mgmt'!$M$5:$M$428)),DATE(YEAR(B376),MONTH(B376),1),IF('Client DB &amp; Bed Mgmt'!$M$5:$M$428&gt;DATE(YEAR(B376),MONTH(B376),1),'Client DB &amp; Bed Mgmt'!$M$5:$M$428,DATE(YEAR(B376),MONTH(B376),1))))+1)/DAY(EOMONTH(B376,0))),0)</f>
        <v/>
      </c>
    </row>
    <row r="377" ht="14.25" customHeight="1" s="83">
      <c r="A377" s="103" t="n"/>
      <c r="B377" s="125">
        <f>DATE(YEAR(StartDate),MONTH(StartDate),1)</f>
        <v/>
      </c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Mgmt'!$B:$B,C377,'Client DB &amp; Bed Mgmt'!$E:$E,"Occupied"),0)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>
        <f>IFERROR(J377*SUMPRODUCT(('Client DB &amp; Bed Mgmt'!$A$5:$A$428=A377)*('Client DB &amp; Bed Mgmt'!$B$5:$B$428=C377)*('Client DB &amp; Bed Mgmt'!$D$5:$D$428&lt;&gt;"")*--(('Client DB &amp; Bed Mgmt'!$M$5:$M$428="")+NOT(ISNUMBER('Client DB &amp; Bed Mgmt'!$M$5:$M$428))+IFERROR('Client DB &amp; Bed Mgmt'!$M$5:$M$428&lt;=EOMONTH(B377,0),FALSE)&gt;0)*--(('Client DB &amp; Bed Mgmt'!$N$5:$N$428="")+NOT(ISNUMBER('Client DB &amp; Bed Mgmt'!$N$5:$N$428))+IFERROR('Client DB &amp; Bed Mgmt'!$N$5:$N$428&gt;=DATE(YEAR(B377),MONTH(B377),1),FALSE)&gt;0)*((IF(('Client DB &amp; Bed Mgmt'!$N$5:$N$428="")+NOT(ISNUMBER('Client DB &amp; Bed Mgmt'!$N$5:$N$428)),EOMONTH(B377,0),IF('Client DB &amp; Bed Mgmt'!$N$5:$N$428&lt;EOMONTH(B377,0),'Client DB &amp; Bed Mgmt'!$N$5:$N$428,EOMONTH(B377,0))))-(IF(('Client DB &amp; Bed Mgmt'!$M$5:$M$428="")+NOT(ISNUMBER('Client DB &amp; Bed Mgmt'!$M$5:$M$428)),DATE(YEAR(B377),MONTH(B377),1),IF('Client DB &amp; Bed Mgmt'!$M$5:$M$428&gt;DATE(YEAR(B377),MONTH(B377),1),'Client DB &amp; Bed Mgmt'!$M$5:$M$428,DATE(YEAR(B377),MONTH(B377),1))))+1)/DAY(EOMONTH(B377,0))),0)</f>
        <v/>
      </c>
    </row>
    <row r="378" ht="14.25" customHeight="1" s="83">
      <c r="A378" s="103" t="n"/>
      <c r="B378" s="125">
        <f>DATE(YEAR(StartDate),MONTH(StartDate),1)</f>
        <v/>
      </c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Mgmt'!$B:$B,C378,'Client DB &amp; Bed Mgmt'!$E:$E,"Occupied"),0)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>
        <f>IFERROR(J378*SUMPRODUCT(('Client DB &amp; Bed Mgmt'!$A$5:$A$428=A378)*('Client DB &amp; Bed Mgmt'!$B$5:$B$428=C378)*('Client DB &amp; Bed Mgmt'!$D$5:$D$428&lt;&gt;"")*--(('Client DB &amp; Bed Mgmt'!$M$5:$M$428="")+NOT(ISNUMBER('Client DB &amp; Bed Mgmt'!$M$5:$M$428))+IFERROR('Client DB &amp; Bed Mgmt'!$M$5:$M$428&lt;=EOMONTH(B378,0),FALSE)&gt;0)*--(('Client DB &amp; Bed Mgmt'!$N$5:$N$428="")+NOT(ISNUMBER('Client DB &amp; Bed Mgmt'!$N$5:$N$428))+IFERROR('Client DB &amp; Bed Mgmt'!$N$5:$N$428&gt;=DATE(YEAR(B378),MONTH(B378),1),FALSE)&gt;0)*((IF(('Client DB &amp; Bed Mgmt'!$N$5:$N$428="")+NOT(ISNUMBER('Client DB &amp; Bed Mgmt'!$N$5:$N$428)),EOMONTH(B378,0),IF('Client DB &amp; Bed Mgmt'!$N$5:$N$428&lt;EOMONTH(B378,0),'Client DB &amp; Bed Mgmt'!$N$5:$N$428,EOMONTH(B378,0))))-(IF(('Client DB &amp; Bed Mgmt'!$M$5:$M$428="")+NOT(ISNUMBER('Client DB &amp; Bed Mgmt'!$M$5:$M$428)),DATE(YEAR(B378),MONTH(B378),1),IF('Client DB &amp; Bed Mgmt'!$M$5:$M$428&gt;DATE(YEAR(B378),MONTH(B378),1),'Client DB &amp; Bed Mgmt'!$M$5:$M$428,DATE(YEAR(B378),MONTH(B378),1))))+1)/DAY(EOMONTH(B378,0))),0)</f>
        <v/>
      </c>
    </row>
    <row r="379" ht="14.25" customHeight="1" s="83">
      <c r="A379" s="103" t="n"/>
      <c r="B379" s="125">
        <f>DATE(YEAR(StartDate),MONTH(StartDate),1)</f>
        <v/>
      </c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Mgmt'!$B:$B,C379,'Client DB &amp; Bed Mgmt'!$E:$E,"Occupied"),0)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>
        <f>IFERROR(J379*SUMPRODUCT(('Client DB &amp; Bed Mgmt'!$A$5:$A$428=A379)*('Client DB &amp; Bed Mgmt'!$B$5:$B$428=C379)*('Client DB &amp; Bed Mgmt'!$D$5:$D$428&lt;&gt;"")*--(('Client DB &amp; Bed Mgmt'!$M$5:$M$428="")+NOT(ISNUMBER('Client DB &amp; Bed Mgmt'!$M$5:$M$428))+IFERROR('Client DB &amp; Bed Mgmt'!$M$5:$M$428&lt;=EOMONTH(B379,0),FALSE)&gt;0)*--(('Client DB &amp; Bed Mgmt'!$N$5:$N$428="")+NOT(ISNUMBER('Client DB &amp; Bed Mgmt'!$N$5:$N$428))+IFERROR('Client DB &amp; Bed Mgmt'!$N$5:$N$428&gt;=DATE(YEAR(B379),MONTH(B379),1),FALSE)&gt;0)*((IF(('Client DB &amp; Bed Mgmt'!$N$5:$N$428="")+NOT(ISNUMBER('Client DB &amp; Bed Mgmt'!$N$5:$N$428)),EOMONTH(B379,0),IF('Client DB &amp; Bed Mgmt'!$N$5:$N$428&lt;EOMONTH(B379,0),'Client DB &amp; Bed Mgmt'!$N$5:$N$428,EOMONTH(B379,0))))-(IF(('Client DB &amp; Bed Mgmt'!$M$5:$M$428="")+NOT(ISNUMBER('Client DB &amp; Bed Mgmt'!$M$5:$M$428)),DATE(YEAR(B379),MONTH(B379),1),IF('Client DB &amp; Bed Mgmt'!$M$5:$M$428&gt;DATE(YEAR(B379),MONTH(B379),1),'Client DB &amp; Bed Mgmt'!$M$5:$M$428,DATE(YEAR(B379),MONTH(B379),1))))+1)/DAY(EOMONTH(B379,0))),0)</f>
        <v/>
      </c>
    </row>
    <row r="380" ht="14.25" customHeight="1" s="83">
      <c r="A380" s="103" t="n"/>
      <c r="B380" s="125">
        <f>DATE(YEAR(StartDate),MONTH(StartDate),1)</f>
        <v/>
      </c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Mgmt'!$B:$B,C380,'Client DB &amp; Bed Mgmt'!$E:$E,"Occupied"),0)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>
        <f>IFERROR(J380*SUMPRODUCT(('Client DB &amp; Bed Mgmt'!$A$5:$A$428=A380)*('Client DB &amp; Bed Mgmt'!$B$5:$B$428=C380)*('Client DB &amp; Bed Mgmt'!$D$5:$D$428&lt;&gt;"")*--(('Client DB &amp; Bed Mgmt'!$M$5:$M$428="")+NOT(ISNUMBER('Client DB &amp; Bed Mgmt'!$M$5:$M$428))+IFERROR('Client DB &amp; Bed Mgmt'!$M$5:$M$428&lt;=EOMONTH(B380,0),FALSE)&gt;0)*--(('Client DB &amp; Bed Mgmt'!$N$5:$N$428="")+NOT(ISNUMBER('Client DB &amp; Bed Mgmt'!$N$5:$N$428))+IFERROR('Client DB &amp; Bed Mgmt'!$N$5:$N$428&gt;=DATE(YEAR(B380),MONTH(B380),1),FALSE)&gt;0)*((IF(('Client DB &amp; Bed Mgmt'!$N$5:$N$428="")+NOT(ISNUMBER('Client DB &amp; Bed Mgmt'!$N$5:$N$428)),EOMONTH(B380,0),IF('Client DB &amp; Bed Mgmt'!$N$5:$N$428&lt;EOMONTH(B380,0),'Client DB &amp; Bed Mgmt'!$N$5:$N$428,EOMONTH(B380,0))))-(IF(('Client DB &amp; Bed Mgmt'!$M$5:$M$428="")+NOT(ISNUMBER('Client DB &amp; Bed Mgmt'!$M$5:$M$428)),DATE(YEAR(B380),MONTH(B380),1),IF('Client DB &amp; Bed Mgmt'!$M$5:$M$428&gt;DATE(YEAR(B380),MONTH(B380),1),'Client DB &amp; Bed Mgmt'!$M$5:$M$428,DATE(YEAR(B380),MONTH(B380),1))))+1)/DAY(EOMONTH(B380,0))),0)</f>
        <v/>
      </c>
    </row>
    <row r="381" ht="14.25" customHeight="1" s="83">
      <c r="A381" s="103" t="n"/>
      <c r="B381" s="125">
        <f>DATE(YEAR(StartDate),MONTH(StartDate),1)</f>
        <v/>
      </c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Mgmt'!$B:$B,C381,'Client DB &amp; Bed Mgmt'!$E:$E,"Occupied"),0)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>
        <f>IFERROR(J381*SUMPRODUCT(('Client DB &amp; Bed Mgmt'!$A$5:$A$428=A381)*('Client DB &amp; Bed Mgmt'!$B$5:$B$428=C381)*('Client DB &amp; Bed Mgmt'!$D$5:$D$428&lt;&gt;"")*--(('Client DB &amp; Bed Mgmt'!$M$5:$M$428="")+NOT(ISNUMBER('Client DB &amp; Bed Mgmt'!$M$5:$M$428))+IFERROR('Client DB &amp; Bed Mgmt'!$M$5:$M$428&lt;=EOMONTH(B381,0),FALSE)&gt;0)*--(('Client DB &amp; Bed Mgmt'!$N$5:$N$428="")+NOT(ISNUMBER('Client DB &amp; Bed Mgmt'!$N$5:$N$428))+IFERROR('Client DB &amp; Bed Mgmt'!$N$5:$N$428&gt;=DATE(YEAR(B381),MONTH(B381),1),FALSE)&gt;0)*((IF(('Client DB &amp; Bed Mgmt'!$N$5:$N$428="")+NOT(ISNUMBER('Client DB &amp; Bed Mgmt'!$N$5:$N$428)),EOMONTH(B381,0),IF('Client DB &amp; Bed Mgmt'!$N$5:$N$428&lt;EOMONTH(B381,0),'Client DB &amp; Bed Mgmt'!$N$5:$N$428,EOMONTH(B381,0))))-(IF(('Client DB &amp; Bed Mgmt'!$M$5:$M$428="")+NOT(ISNUMBER('Client DB &amp; Bed Mgmt'!$M$5:$M$428)),DATE(YEAR(B381),MONTH(B381),1),IF('Client DB &amp; Bed Mgmt'!$M$5:$M$428&gt;DATE(YEAR(B381),MONTH(B381),1),'Client DB &amp; Bed Mgmt'!$M$5:$M$428,DATE(YEAR(B381),MONTH(B381),1))))+1)/DAY(EOMONTH(B381,0))),0)</f>
        <v/>
      </c>
    </row>
    <row r="382" ht="14.25" customHeight="1" s="83">
      <c r="A382" s="103" t="n"/>
      <c r="B382" s="125">
        <f>DATE(YEAR(StartDate),MONTH(StartDate),1)</f>
        <v/>
      </c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Mgmt'!$B:$B,C382,'Client DB &amp; Bed Mgmt'!$E:$E,"Occupied"),0)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>
        <f>IFERROR(J382*SUMPRODUCT(('Client DB &amp; Bed Mgmt'!$A$5:$A$428=A382)*('Client DB &amp; Bed Mgmt'!$B$5:$B$428=C382)*('Client DB &amp; Bed Mgmt'!$D$5:$D$428&lt;&gt;"")*--(('Client DB &amp; Bed Mgmt'!$M$5:$M$428="")+NOT(ISNUMBER('Client DB &amp; Bed Mgmt'!$M$5:$M$428))+IFERROR('Client DB &amp; Bed Mgmt'!$M$5:$M$428&lt;=EOMONTH(B382,0),FALSE)&gt;0)*--(('Client DB &amp; Bed Mgmt'!$N$5:$N$428="")+NOT(ISNUMBER('Client DB &amp; Bed Mgmt'!$N$5:$N$428))+IFERROR('Client DB &amp; Bed Mgmt'!$N$5:$N$428&gt;=DATE(YEAR(B382),MONTH(B382),1),FALSE)&gt;0)*((IF(('Client DB &amp; Bed Mgmt'!$N$5:$N$428="")+NOT(ISNUMBER('Client DB &amp; Bed Mgmt'!$N$5:$N$428)),EOMONTH(B382,0),IF('Client DB &amp; Bed Mgmt'!$N$5:$N$428&lt;EOMONTH(B382,0),'Client DB &amp; Bed Mgmt'!$N$5:$N$428,EOMONTH(B382,0))))-(IF(('Client DB &amp; Bed Mgmt'!$M$5:$M$428="")+NOT(ISNUMBER('Client DB &amp; Bed Mgmt'!$M$5:$M$428)),DATE(YEAR(B382),MONTH(B382),1),IF('Client DB &amp; Bed Mgmt'!$M$5:$M$428&gt;DATE(YEAR(B382),MONTH(B382),1),'Client DB &amp; Bed Mgmt'!$M$5:$M$428,DATE(YEAR(B382),MONTH(B382),1))))+1)/DAY(EOMONTH(B382,0))),0)</f>
        <v/>
      </c>
    </row>
    <row r="383" ht="14.25" customHeight="1" s="83">
      <c r="A383" s="103" t="n"/>
      <c r="B383" s="125">
        <f>DATE(YEAR(StartDate),MONTH(StartDate),1)</f>
        <v/>
      </c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Mgmt'!$B:$B,C383,'Client DB &amp; Bed Mgmt'!$E:$E,"Occupied"),0)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>
        <f>IFERROR(J383*SUMPRODUCT(('Client DB &amp; Bed Mgmt'!$A$5:$A$428=A383)*('Client DB &amp; Bed Mgmt'!$B$5:$B$428=C383)*('Client DB &amp; Bed Mgmt'!$D$5:$D$428&lt;&gt;"")*--(('Client DB &amp; Bed Mgmt'!$M$5:$M$428="")+NOT(ISNUMBER('Client DB &amp; Bed Mgmt'!$M$5:$M$428))+IFERROR('Client DB &amp; Bed Mgmt'!$M$5:$M$428&lt;=EOMONTH(B383,0),FALSE)&gt;0)*--(('Client DB &amp; Bed Mgmt'!$N$5:$N$428="")+NOT(ISNUMBER('Client DB &amp; Bed Mgmt'!$N$5:$N$428))+IFERROR('Client DB &amp; Bed Mgmt'!$N$5:$N$428&gt;=DATE(YEAR(B383),MONTH(B383),1),FALSE)&gt;0)*((IF(('Client DB &amp; Bed Mgmt'!$N$5:$N$428="")+NOT(ISNUMBER('Client DB &amp; Bed Mgmt'!$N$5:$N$428)),EOMONTH(B383,0),IF('Client DB &amp; Bed Mgmt'!$N$5:$N$428&lt;EOMONTH(B383,0),'Client DB &amp; Bed Mgmt'!$N$5:$N$428,EOMONTH(B383,0))))-(IF(('Client DB &amp; Bed Mgmt'!$M$5:$M$428="")+NOT(ISNUMBER('Client DB &amp; Bed Mgmt'!$M$5:$M$428)),DATE(YEAR(B383),MONTH(B383),1),IF('Client DB &amp; Bed Mgmt'!$M$5:$M$428&gt;DATE(YEAR(B383),MONTH(B383),1),'Client DB &amp; Bed Mgmt'!$M$5:$M$428,DATE(YEAR(B383),MONTH(B383),1))))+1)/DAY(EOMONTH(B383,0))),0)</f>
        <v/>
      </c>
    </row>
    <row r="384" ht="14.25" customHeight="1" s="83">
      <c r="A384" s="103" t="n"/>
      <c r="B384" s="125">
        <f>DATE(YEAR(StartDate),MONTH(StartDate),1)</f>
        <v/>
      </c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Mgmt'!$B:$B,C384,'Client DB &amp; Bed Mgmt'!$E:$E,"Occupied"),0)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>
        <f>IFERROR(J384*SUMPRODUCT(('Client DB &amp; Bed Mgmt'!$A$5:$A$428=A384)*('Client DB &amp; Bed Mgmt'!$B$5:$B$428=C384)*('Client DB &amp; Bed Mgmt'!$D$5:$D$428&lt;&gt;"")*--(('Client DB &amp; Bed Mgmt'!$M$5:$M$428="")+NOT(ISNUMBER('Client DB &amp; Bed Mgmt'!$M$5:$M$428))+IFERROR('Client DB &amp; Bed Mgmt'!$M$5:$M$428&lt;=EOMONTH(B384,0),FALSE)&gt;0)*--(('Client DB &amp; Bed Mgmt'!$N$5:$N$428="")+NOT(ISNUMBER('Client DB &amp; Bed Mgmt'!$N$5:$N$428))+IFERROR('Client DB &amp; Bed Mgmt'!$N$5:$N$428&gt;=DATE(YEAR(B384),MONTH(B384),1),FALSE)&gt;0)*((IF(('Client DB &amp; Bed Mgmt'!$N$5:$N$428="")+NOT(ISNUMBER('Client DB &amp; Bed Mgmt'!$N$5:$N$428)),EOMONTH(B384,0),IF('Client DB &amp; Bed Mgmt'!$N$5:$N$428&lt;EOMONTH(B384,0),'Client DB &amp; Bed Mgmt'!$N$5:$N$428,EOMONTH(B384,0))))-(IF(('Client DB &amp; Bed Mgmt'!$M$5:$M$428="")+NOT(ISNUMBER('Client DB &amp; Bed Mgmt'!$M$5:$M$428)),DATE(YEAR(B384),MONTH(B384),1),IF('Client DB &amp; Bed Mgmt'!$M$5:$M$428&gt;DATE(YEAR(B384),MONTH(B384),1),'Client DB &amp; Bed Mgmt'!$M$5:$M$428,DATE(YEAR(B384),MONTH(B384),1))))+1)/DAY(EOMONTH(B384,0))),0)</f>
        <v/>
      </c>
    </row>
    <row r="385" ht="14.25" customHeight="1" s="83">
      <c r="A385" s="103" t="n"/>
      <c r="B385" s="125">
        <f>DATE(YEAR(StartDate),MONTH(StartDate),1)</f>
        <v/>
      </c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Mgmt'!$B:$B,C385,'Client DB &amp; Bed Mgmt'!$E:$E,"Occupied"),0)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>
        <f>IFERROR(J385*SUMPRODUCT(('Client DB &amp; Bed Mgmt'!$A$5:$A$428=A385)*('Client DB &amp; Bed Mgmt'!$B$5:$B$428=C385)*('Client DB &amp; Bed Mgmt'!$D$5:$D$428&lt;&gt;"")*--(('Client DB &amp; Bed Mgmt'!$M$5:$M$428="")+NOT(ISNUMBER('Client DB &amp; Bed Mgmt'!$M$5:$M$428))+IFERROR('Client DB &amp; Bed Mgmt'!$M$5:$M$428&lt;=EOMONTH(B385,0),FALSE)&gt;0)*--(('Client DB &amp; Bed Mgmt'!$N$5:$N$428="")+NOT(ISNUMBER('Client DB &amp; Bed Mgmt'!$N$5:$N$428))+IFERROR('Client DB &amp; Bed Mgmt'!$N$5:$N$428&gt;=DATE(YEAR(B385),MONTH(B385),1),FALSE)&gt;0)*((IF(('Client DB &amp; Bed Mgmt'!$N$5:$N$428="")+NOT(ISNUMBER('Client DB &amp; Bed Mgmt'!$N$5:$N$428)),EOMONTH(B385,0),IF('Client DB &amp; Bed Mgmt'!$N$5:$N$428&lt;EOMONTH(B385,0),'Client DB &amp; Bed Mgmt'!$N$5:$N$428,EOMONTH(B385,0))))-(IF(('Client DB &amp; Bed Mgmt'!$M$5:$M$428="")+NOT(ISNUMBER('Client DB &amp; Bed Mgmt'!$M$5:$M$428)),DATE(YEAR(B385),MONTH(B385),1),IF('Client DB &amp; Bed Mgmt'!$M$5:$M$428&gt;DATE(YEAR(B385),MONTH(B385),1),'Client DB &amp; Bed Mgmt'!$M$5:$M$428,DATE(YEAR(B385),MONTH(B385),1))))+1)/DAY(EOMONTH(B385,0))),0)</f>
        <v/>
      </c>
    </row>
    <row r="386" ht="14.25" customHeight="1" s="83">
      <c r="A386" s="103" t="n"/>
      <c r="B386" s="125">
        <f>DATE(YEAR(StartDate),MONTH(StartDate),1)</f>
        <v/>
      </c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Mgmt'!$B:$B,C386,'Client DB &amp; Bed Mgmt'!$E:$E,"Occupied"),0)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>
        <f>IFERROR(J386*SUMPRODUCT(('Client DB &amp; Bed Mgmt'!$A$5:$A$428=A386)*('Client DB &amp; Bed Mgmt'!$B$5:$B$428=C386)*('Client DB &amp; Bed Mgmt'!$D$5:$D$428&lt;&gt;"")*--(('Client DB &amp; Bed Mgmt'!$M$5:$M$428="")+NOT(ISNUMBER('Client DB &amp; Bed Mgmt'!$M$5:$M$428))+IFERROR('Client DB &amp; Bed Mgmt'!$M$5:$M$428&lt;=EOMONTH(B386,0),FALSE)&gt;0)*--(('Client DB &amp; Bed Mgmt'!$N$5:$N$428="")+NOT(ISNUMBER('Client DB &amp; Bed Mgmt'!$N$5:$N$428))+IFERROR('Client DB &amp; Bed Mgmt'!$N$5:$N$428&gt;=DATE(YEAR(B386),MONTH(B386),1),FALSE)&gt;0)*((IF(('Client DB &amp; Bed Mgmt'!$N$5:$N$428="")+NOT(ISNUMBER('Client DB &amp; Bed Mgmt'!$N$5:$N$428)),EOMONTH(B386,0),IF('Client DB &amp; Bed Mgmt'!$N$5:$N$428&lt;EOMONTH(B386,0),'Client DB &amp; Bed Mgmt'!$N$5:$N$428,EOMONTH(B386,0))))-(IF(('Client DB &amp; Bed Mgmt'!$M$5:$M$428="")+NOT(ISNUMBER('Client DB &amp; Bed Mgmt'!$M$5:$M$428)),DATE(YEAR(B386),MONTH(B386),1),IF('Client DB &amp; Bed Mgmt'!$M$5:$M$428&gt;DATE(YEAR(B386),MONTH(B386),1),'Client DB &amp; Bed Mgmt'!$M$5:$M$428,DATE(YEAR(B386),MONTH(B386),1))))+1)/DAY(EOMONTH(B386,0))),0)</f>
        <v/>
      </c>
    </row>
    <row r="387" ht="14.25" customHeight="1" s="83">
      <c r="A387" s="103" t="n"/>
      <c r="B387" s="125">
        <f>DATE(YEAR(StartDate),MONTH(StartDate),1)</f>
        <v/>
      </c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Mgmt'!$B:$B,C387,'Client DB &amp; Bed Mgmt'!$E:$E,"Occupied"),0)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>
        <f>IFERROR(J387*SUMPRODUCT(('Client DB &amp; Bed Mgmt'!$A$5:$A$428=A387)*('Client DB &amp; Bed Mgmt'!$B$5:$B$428=C387)*('Client DB &amp; Bed Mgmt'!$D$5:$D$428&lt;&gt;"")*--(('Client DB &amp; Bed Mgmt'!$M$5:$M$428="")+NOT(ISNUMBER('Client DB &amp; Bed Mgmt'!$M$5:$M$428))+IFERROR('Client DB &amp; Bed Mgmt'!$M$5:$M$428&lt;=EOMONTH(B387,0),FALSE)&gt;0)*--(('Client DB &amp; Bed Mgmt'!$N$5:$N$428="")+NOT(ISNUMBER('Client DB &amp; Bed Mgmt'!$N$5:$N$428))+IFERROR('Client DB &amp; Bed Mgmt'!$N$5:$N$428&gt;=DATE(YEAR(B387),MONTH(B387),1),FALSE)&gt;0)*((IF(('Client DB &amp; Bed Mgmt'!$N$5:$N$428="")+NOT(ISNUMBER('Client DB &amp; Bed Mgmt'!$N$5:$N$428)),EOMONTH(B387,0),IF('Client DB &amp; Bed Mgmt'!$N$5:$N$428&lt;EOMONTH(B387,0),'Client DB &amp; Bed Mgmt'!$N$5:$N$428,EOMONTH(B387,0))))-(IF(('Client DB &amp; Bed Mgmt'!$M$5:$M$428="")+NOT(ISNUMBER('Client DB &amp; Bed Mgmt'!$M$5:$M$428)),DATE(YEAR(B387),MONTH(B387),1),IF('Client DB &amp; Bed Mgmt'!$M$5:$M$428&gt;DATE(YEAR(B387),MONTH(B387),1),'Client DB &amp; Bed Mgmt'!$M$5:$M$428,DATE(YEAR(B387),MONTH(B387),1))))+1)/DAY(EOMONTH(B387,0))),0)</f>
        <v/>
      </c>
    </row>
    <row r="388" ht="14.25" customHeight="1" s="83">
      <c r="A388" s="103" t="n"/>
      <c r="B388" s="125">
        <f>DATE(YEAR(StartDate),MONTH(StartDate),1)</f>
        <v/>
      </c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Mgmt'!$B:$B,C388,'Client DB &amp; Bed Mgmt'!$E:$E,"Occupied"),0)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>
        <f>IFERROR(J388*SUMPRODUCT(('Client DB &amp; Bed Mgmt'!$A$5:$A$428=A388)*('Client DB &amp; Bed Mgmt'!$B$5:$B$428=C388)*('Client DB &amp; Bed Mgmt'!$D$5:$D$428&lt;&gt;"")*--(('Client DB &amp; Bed Mgmt'!$M$5:$M$428="")+NOT(ISNUMBER('Client DB &amp; Bed Mgmt'!$M$5:$M$428))+IFERROR('Client DB &amp; Bed Mgmt'!$M$5:$M$428&lt;=EOMONTH(B388,0),FALSE)&gt;0)*--(('Client DB &amp; Bed Mgmt'!$N$5:$N$428="")+NOT(ISNUMBER('Client DB &amp; Bed Mgmt'!$N$5:$N$428))+IFERROR('Client DB &amp; Bed Mgmt'!$N$5:$N$428&gt;=DATE(YEAR(B388),MONTH(B388),1),FALSE)&gt;0)*((IF(('Client DB &amp; Bed Mgmt'!$N$5:$N$428="")+NOT(ISNUMBER('Client DB &amp; Bed Mgmt'!$N$5:$N$428)),EOMONTH(B388,0),IF('Client DB &amp; Bed Mgmt'!$N$5:$N$428&lt;EOMONTH(B388,0),'Client DB &amp; Bed Mgmt'!$N$5:$N$428,EOMONTH(B388,0))))-(IF(('Client DB &amp; Bed Mgmt'!$M$5:$M$428="")+NOT(ISNUMBER('Client DB &amp; Bed Mgmt'!$M$5:$M$428)),DATE(YEAR(B388),MONTH(B388),1),IF('Client DB &amp; Bed Mgmt'!$M$5:$M$428&gt;DATE(YEAR(B388),MONTH(B388),1),'Client DB &amp; Bed Mgmt'!$M$5:$M$428,DATE(YEAR(B388),MONTH(B388),1))))+1)/DAY(EOMONTH(B388,0))),0)</f>
        <v/>
      </c>
    </row>
    <row r="389" ht="14.25" customHeight="1" s="83">
      <c r="A389" s="103" t="n"/>
      <c r="B389" s="125">
        <f>DATE(YEAR(StartDate),MONTH(StartDate),1)</f>
        <v/>
      </c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Mgmt'!$B:$B,C389,'Client DB &amp; Bed Mgmt'!$E:$E,"Occupied"),0)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>
        <f>IFERROR(J389*SUMPRODUCT(('Client DB &amp; Bed Mgmt'!$A$5:$A$428=A389)*('Client DB &amp; Bed Mgmt'!$B$5:$B$428=C389)*('Client DB &amp; Bed Mgmt'!$D$5:$D$428&lt;&gt;"")*--(('Client DB &amp; Bed Mgmt'!$M$5:$M$428="")+NOT(ISNUMBER('Client DB &amp; Bed Mgmt'!$M$5:$M$428))+IFERROR('Client DB &amp; Bed Mgmt'!$M$5:$M$428&lt;=EOMONTH(B389,0),FALSE)&gt;0)*--(('Client DB &amp; Bed Mgmt'!$N$5:$N$428="")+NOT(ISNUMBER('Client DB &amp; Bed Mgmt'!$N$5:$N$428))+IFERROR('Client DB &amp; Bed Mgmt'!$N$5:$N$428&gt;=DATE(YEAR(B389),MONTH(B389),1),FALSE)&gt;0)*((IF(('Client DB &amp; Bed Mgmt'!$N$5:$N$428="")+NOT(ISNUMBER('Client DB &amp; Bed Mgmt'!$N$5:$N$428)),EOMONTH(B389,0),IF('Client DB &amp; Bed Mgmt'!$N$5:$N$428&lt;EOMONTH(B389,0),'Client DB &amp; Bed Mgmt'!$N$5:$N$428,EOMONTH(B389,0))))-(IF(('Client DB &amp; Bed Mgmt'!$M$5:$M$428="")+NOT(ISNUMBER('Client DB &amp; Bed Mgmt'!$M$5:$M$428)),DATE(YEAR(B389),MONTH(B389),1),IF('Client DB &amp; Bed Mgmt'!$M$5:$M$428&gt;DATE(YEAR(B389),MONTH(B389),1),'Client DB &amp; Bed Mgmt'!$M$5:$M$428,DATE(YEAR(B389),MONTH(B389),1))))+1)/DAY(EOMONTH(B389,0))),0)</f>
        <v/>
      </c>
    </row>
    <row r="390" ht="14.25" customHeight="1" s="83">
      <c r="A390" s="103" t="n"/>
      <c r="B390" s="125">
        <f>DATE(YEAR(StartDate),MONTH(StartDate),1)</f>
        <v/>
      </c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Mgmt'!$B:$B,C390,'Client DB &amp; Bed Mgmt'!$E:$E,"Occupied"),0)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>
        <f>IFERROR(J390*SUMPRODUCT(('Client DB &amp; Bed Mgmt'!$A$5:$A$428=A390)*('Client DB &amp; Bed Mgmt'!$B$5:$B$428=C390)*('Client DB &amp; Bed Mgmt'!$D$5:$D$428&lt;&gt;"")*--(('Client DB &amp; Bed Mgmt'!$M$5:$M$428="")+NOT(ISNUMBER('Client DB &amp; Bed Mgmt'!$M$5:$M$428))+IFERROR('Client DB &amp; Bed Mgmt'!$M$5:$M$428&lt;=EOMONTH(B390,0),FALSE)&gt;0)*--(('Client DB &amp; Bed Mgmt'!$N$5:$N$428="")+NOT(ISNUMBER('Client DB &amp; Bed Mgmt'!$N$5:$N$428))+IFERROR('Client DB &amp; Bed Mgmt'!$N$5:$N$428&gt;=DATE(YEAR(B390),MONTH(B390),1),FALSE)&gt;0)*((IF(('Client DB &amp; Bed Mgmt'!$N$5:$N$428="")+NOT(ISNUMBER('Client DB &amp; Bed Mgmt'!$N$5:$N$428)),EOMONTH(B390,0),IF('Client DB &amp; Bed Mgmt'!$N$5:$N$428&lt;EOMONTH(B390,0),'Client DB &amp; Bed Mgmt'!$N$5:$N$428,EOMONTH(B390,0))))-(IF(('Client DB &amp; Bed Mgmt'!$M$5:$M$428="")+NOT(ISNUMBER('Client DB &amp; Bed Mgmt'!$M$5:$M$428)),DATE(YEAR(B390),MONTH(B390),1),IF('Client DB &amp; Bed Mgmt'!$M$5:$M$428&gt;DATE(YEAR(B390),MONTH(B390),1),'Client DB &amp; Bed Mgmt'!$M$5:$M$428,DATE(YEAR(B390),MONTH(B390),1))))+1)/DAY(EOMONTH(B390,0))),0)</f>
        <v/>
      </c>
    </row>
    <row r="391" ht="14.25" customHeight="1" s="83">
      <c r="A391" s="103" t="n"/>
      <c r="B391" s="125">
        <f>DATE(YEAR(StartDate),MONTH(StartDate),1)</f>
        <v/>
      </c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Mgmt'!$B:$B,C391,'Client DB &amp; Bed Mgmt'!$E:$E,"Occupied"),0)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>
        <f>IFERROR(J391*SUMPRODUCT(('Client DB &amp; Bed Mgmt'!$A$5:$A$428=A391)*('Client DB &amp; Bed Mgmt'!$B$5:$B$428=C391)*('Client DB &amp; Bed Mgmt'!$D$5:$D$428&lt;&gt;"")*--(('Client DB &amp; Bed Mgmt'!$M$5:$M$428="")+NOT(ISNUMBER('Client DB &amp; Bed Mgmt'!$M$5:$M$428))+IFERROR('Client DB &amp; Bed Mgmt'!$M$5:$M$428&lt;=EOMONTH(B391,0),FALSE)&gt;0)*--(('Client DB &amp; Bed Mgmt'!$N$5:$N$428="")+NOT(ISNUMBER('Client DB &amp; Bed Mgmt'!$N$5:$N$428))+IFERROR('Client DB &amp; Bed Mgmt'!$N$5:$N$428&gt;=DATE(YEAR(B391),MONTH(B391),1),FALSE)&gt;0)*((IF(('Client DB &amp; Bed Mgmt'!$N$5:$N$428="")+NOT(ISNUMBER('Client DB &amp; Bed Mgmt'!$N$5:$N$428)),EOMONTH(B391,0),IF('Client DB &amp; Bed Mgmt'!$N$5:$N$428&lt;EOMONTH(B391,0),'Client DB &amp; Bed Mgmt'!$N$5:$N$428,EOMONTH(B391,0))))-(IF(('Client DB &amp; Bed Mgmt'!$M$5:$M$428="")+NOT(ISNUMBER('Client DB &amp; Bed Mgmt'!$M$5:$M$428)),DATE(YEAR(B391),MONTH(B391),1),IF('Client DB &amp; Bed Mgmt'!$M$5:$M$428&gt;DATE(YEAR(B391),MONTH(B391),1),'Client DB &amp; Bed Mgmt'!$M$5:$M$428,DATE(YEAR(B391),MONTH(B391),1))))+1)/DAY(EOMONTH(B391,0))),0)</f>
        <v/>
      </c>
    </row>
    <row r="392" ht="14.25" customHeight="1" s="83">
      <c r="A392" s="103" t="n"/>
      <c r="B392" s="125">
        <f>DATE(YEAR(StartDate),MONTH(StartDate),1)</f>
        <v/>
      </c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Mgmt'!$B:$B,C392,'Client DB &amp; Bed Mgmt'!$E:$E,"Occupied"),0)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>
        <f>IFERROR(J392*SUMPRODUCT(('Client DB &amp; Bed Mgmt'!$A$5:$A$428=A392)*('Client DB &amp; Bed Mgmt'!$B$5:$B$428=C392)*('Client DB &amp; Bed Mgmt'!$D$5:$D$428&lt;&gt;"")*--(('Client DB &amp; Bed Mgmt'!$M$5:$M$428="")+NOT(ISNUMBER('Client DB &amp; Bed Mgmt'!$M$5:$M$428))+IFERROR('Client DB &amp; Bed Mgmt'!$M$5:$M$428&lt;=EOMONTH(B392,0),FALSE)&gt;0)*--(('Client DB &amp; Bed Mgmt'!$N$5:$N$428="")+NOT(ISNUMBER('Client DB &amp; Bed Mgmt'!$N$5:$N$428))+IFERROR('Client DB &amp; Bed Mgmt'!$N$5:$N$428&gt;=DATE(YEAR(B392),MONTH(B392),1),FALSE)&gt;0)*((IF(('Client DB &amp; Bed Mgmt'!$N$5:$N$428="")+NOT(ISNUMBER('Client DB &amp; Bed Mgmt'!$N$5:$N$428)),EOMONTH(B392,0),IF('Client DB &amp; Bed Mgmt'!$N$5:$N$428&lt;EOMONTH(B392,0),'Client DB &amp; Bed Mgmt'!$N$5:$N$428,EOMONTH(B392,0))))-(IF(('Client DB &amp; Bed Mgmt'!$M$5:$M$428="")+NOT(ISNUMBER('Client DB &amp; Bed Mgmt'!$M$5:$M$428)),DATE(YEAR(B392),MONTH(B392),1),IF('Client DB &amp; Bed Mgmt'!$M$5:$M$428&gt;DATE(YEAR(B392),MONTH(B392),1),'Client DB &amp; Bed Mgmt'!$M$5:$M$428,DATE(YEAR(B392),MONTH(B392),1))))+1)/DAY(EOMONTH(B392,0))),0)</f>
        <v/>
      </c>
    </row>
    <row r="393" ht="14.25" customHeight="1" s="83">
      <c r="A393" s="103" t="n"/>
      <c r="B393" s="125">
        <f>DATE(YEAR(StartDate),MONTH(StartDate),1)</f>
        <v/>
      </c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Mgmt'!$B:$B,C393,'Client DB &amp; Bed Mgmt'!$E:$E,"Occupied"),0)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>
        <f>IFERROR(J393*SUMPRODUCT(('Client DB &amp; Bed Mgmt'!$A$5:$A$428=A393)*('Client DB &amp; Bed Mgmt'!$B$5:$B$428=C393)*('Client DB &amp; Bed Mgmt'!$D$5:$D$428&lt;&gt;"")*--(('Client DB &amp; Bed Mgmt'!$M$5:$M$428="")+NOT(ISNUMBER('Client DB &amp; Bed Mgmt'!$M$5:$M$428))+IFERROR('Client DB &amp; Bed Mgmt'!$M$5:$M$428&lt;=EOMONTH(B393,0),FALSE)&gt;0)*--(('Client DB &amp; Bed Mgmt'!$N$5:$N$428="")+NOT(ISNUMBER('Client DB &amp; Bed Mgmt'!$N$5:$N$428))+IFERROR('Client DB &amp; Bed Mgmt'!$N$5:$N$428&gt;=DATE(YEAR(B393),MONTH(B393),1),FALSE)&gt;0)*((IF(('Client DB &amp; Bed Mgmt'!$N$5:$N$428="")+NOT(ISNUMBER('Client DB &amp; Bed Mgmt'!$N$5:$N$428)),EOMONTH(B393,0),IF('Client DB &amp; Bed Mgmt'!$N$5:$N$428&lt;EOMONTH(B393,0),'Client DB &amp; Bed Mgmt'!$N$5:$N$428,EOMONTH(B393,0))))-(IF(('Client DB &amp; Bed Mgmt'!$M$5:$M$428="")+NOT(ISNUMBER('Client DB &amp; Bed Mgmt'!$M$5:$M$428)),DATE(YEAR(B393),MONTH(B393),1),IF('Client DB &amp; Bed Mgmt'!$M$5:$M$428&gt;DATE(YEAR(B393),MONTH(B393),1),'Client DB &amp; Bed Mgmt'!$M$5:$M$428,DATE(YEAR(B393),MONTH(B393),1))))+1)/DAY(EOMONTH(B393,0))),0)</f>
        <v/>
      </c>
    </row>
    <row r="394" ht="14.25" customHeight="1" s="83">
      <c r="A394" s="103" t="n"/>
      <c r="B394" s="125">
        <f>DATE(YEAR(StartDate),MONTH(StartDate),1)</f>
        <v/>
      </c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Mgmt'!$B:$B,C394,'Client DB &amp; Bed Mgmt'!$E:$E,"Occupied"),0)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>
        <f>IFERROR(J394*SUMPRODUCT(('Client DB &amp; Bed Mgmt'!$A$5:$A$428=A394)*('Client DB &amp; Bed Mgmt'!$B$5:$B$428=C394)*('Client DB &amp; Bed Mgmt'!$D$5:$D$428&lt;&gt;"")*--(('Client DB &amp; Bed Mgmt'!$M$5:$M$428="")+NOT(ISNUMBER('Client DB &amp; Bed Mgmt'!$M$5:$M$428))+IFERROR('Client DB &amp; Bed Mgmt'!$M$5:$M$428&lt;=EOMONTH(B394,0),FALSE)&gt;0)*--(('Client DB &amp; Bed Mgmt'!$N$5:$N$428="")+NOT(ISNUMBER('Client DB &amp; Bed Mgmt'!$N$5:$N$428))+IFERROR('Client DB &amp; Bed Mgmt'!$N$5:$N$428&gt;=DATE(YEAR(B394),MONTH(B394),1),FALSE)&gt;0)*((IF(('Client DB &amp; Bed Mgmt'!$N$5:$N$428="")+NOT(ISNUMBER('Client DB &amp; Bed Mgmt'!$N$5:$N$428)),EOMONTH(B394,0),IF('Client DB &amp; Bed Mgmt'!$N$5:$N$428&lt;EOMONTH(B394,0),'Client DB &amp; Bed Mgmt'!$N$5:$N$428,EOMONTH(B394,0))))-(IF(('Client DB &amp; Bed Mgmt'!$M$5:$M$428="")+NOT(ISNUMBER('Client DB &amp; Bed Mgmt'!$M$5:$M$428)),DATE(YEAR(B394),MONTH(B394),1),IF('Client DB &amp; Bed Mgmt'!$M$5:$M$428&gt;DATE(YEAR(B394),MONTH(B394),1),'Client DB &amp; Bed Mgmt'!$M$5:$M$428,DATE(YEAR(B394),MONTH(B394),1))))+1)/DAY(EOMONTH(B394,0))),0)</f>
        <v/>
      </c>
    </row>
    <row r="395" ht="14.25" customHeight="1" s="83">
      <c r="A395" s="103" t="n"/>
      <c r="B395" s="125">
        <f>DATE(YEAR(StartDate),MONTH(StartDate),1)</f>
        <v/>
      </c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Mgmt'!$B:$B,C395,'Client DB &amp; Bed Mgmt'!$E:$E,"Occupied"),0)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>
        <f>IFERROR(J395*SUMPRODUCT(('Client DB &amp; Bed Mgmt'!$A$5:$A$428=A395)*('Client DB &amp; Bed Mgmt'!$B$5:$B$428=C395)*('Client DB &amp; Bed Mgmt'!$D$5:$D$428&lt;&gt;"")*--(('Client DB &amp; Bed Mgmt'!$M$5:$M$428="")+NOT(ISNUMBER('Client DB &amp; Bed Mgmt'!$M$5:$M$428))+IFERROR('Client DB &amp; Bed Mgmt'!$M$5:$M$428&lt;=EOMONTH(B395,0),FALSE)&gt;0)*--(('Client DB &amp; Bed Mgmt'!$N$5:$N$428="")+NOT(ISNUMBER('Client DB &amp; Bed Mgmt'!$N$5:$N$428))+IFERROR('Client DB &amp; Bed Mgmt'!$N$5:$N$428&gt;=DATE(YEAR(B395),MONTH(B395),1),FALSE)&gt;0)*((IF(('Client DB &amp; Bed Mgmt'!$N$5:$N$428="")+NOT(ISNUMBER('Client DB &amp; Bed Mgmt'!$N$5:$N$428)),EOMONTH(B395,0),IF('Client DB &amp; Bed Mgmt'!$N$5:$N$428&lt;EOMONTH(B395,0),'Client DB &amp; Bed Mgmt'!$N$5:$N$428,EOMONTH(B395,0))))-(IF(('Client DB &amp; Bed Mgmt'!$M$5:$M$428="")+NOT(ISNUMBER('Client DB &amp; Bed Mgmt'!$M$5:$M$428)),DATE(YEAR(B395),MONTH(B395),1),IF('Client DB &amp; Bed Mgmt'!$M$5:$M$428&gt;DATE(YEAR(B395),MONTH(B395),1),'Client DB &amp; Bed Mgmt'!$M$5:$M$428,DATE(YEAR(B395),MONTH(B395),1))))+1)/DAY(EOMONTH(B395,0))),0)</f>
        <v/>
      </c>
    </row>
    <row r="396" ht="14.25" customHeight="1" s="83">
      <c r="A396" s="103" t="n"/>
      <c r="B396" s="125">
        <f>DATE(YEAR(StartDate),MONTH(StartDate),1)</f>
        <v/>
      </c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Mgmt'!$B:$B,C396,'Client DB &amp; Bed Mgmt'!$E:$E,"Occupied"),0)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>
        <f>IFERROR(J396*SUMPRODUCT(('Client DB &amp; Bed Mgmt'!$A$5:$A$428=A396)*('Client DB &amp; Bed Mgmt'!$B$5:$B$428=C396)*('Client DB &amp; Bed Mgmt'!$D$5:$D$428&lt;&gt;"")*--(('Client DB &amp; Bed Mgmt'!$M$5:$M$428="")+NOT(ISNUMBER('Client DB &amp; Bed Mgmt'!$M$5:$M$428))+IFERROR('Client DB &amp; Bed Mgmt'!$M$5:$M$428&lt;=EOMONTH(B396,0),FALSE)&gt;0)*--(('Client DB &amp; Bed Mgmt'!$N$5:$N$428="")+NOT(ISNUMBER('Client DB &amp; Bed Mgmt'!$N$5:$N$428))+IFERROR('Client DB &amp; Bed Mgmt'!$N$5:$N$428&gt;=DATE(YEAR(B396),MONTH(B396),1),FALSE)&gt;0)*((IF(('Client DB &amp; Bed Mgmt'!$N$5:$N$428="")+NOT(ISNUMBER('Client DB &amp; Bed Mgmt'!$N$5:$N$428)),EOMONTH(B396,0),IF('Client DB &amp; Bed Mgmt'!$N$5:$N$428&lt;EOMONTH(B396,0),'Client DB &amp; Bed Mgmt'!$N$5:$N$428,EOMONTH(B396,0))))-(IF(('Client DB &amp; Bed Mgmt'!$M$5:$M$428="")+NOT(ISNUMBER('Client DB &amp; Bed Mgmt'!$M$5:$M$428)),DATE(YEAR(B396),MONTH(B396),1),IF('Client DB &amp; Bed Mgmt'!$M$5:$M$428&gt;DATE(YEAR(B396),MONTH(B396),1),'Client DB &amp; Bed Mgmt'!$M$5:$M$428,DATE(YEAR(B396),MONTH(B396),1))))+1)/DAY(EOMONTH(B396,0))),0)</f>
        <v/>
      </c>
    </row>
    <row r="397" ht="14.25" customHeight="1" s="83">
      <c r="A397" s="103" t="n"/>
      <c r="B397" s="125">
        <f>DATE(YEAR(StartDate),MONTH(StartDate),1)</f>
        <v/>
      </c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Mgmt'!$B:$B,C397,'Client DB &amp; Bed Mgmt'!$E:$E,"Occupied"),0)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>
        <f>IFERROR(J397*SUMPRODUCT(('Client DB &amp; Bed Mgmt'!$A$5:$A$428=A397)*('Client DB &amp; Bed Mgmt'!$B$5:$B$428=C397)*('Client DB &amp; Bed Mgmt'!$D$5:$D$428&lt;&gt;"")*--(('Client DB &amp; Bed Mgmt'!$M$5:$M$428="")+NOT(ISNUMBER('Client DB &amp; Bed Mgmt'!$M$5:$M$428))+IFERROR('Client DB &amp; Bed Mgmt'!$M$5:$M$428&lt;=EOMONTH(B397,0),FALSE)&gt;0)*--(('Client DB &amp; Bed Mgmt'!$N$5:$N$428="")+NOT(ISNUMBER('Client DB &amp; Bed Mgmt'!$N$5:$N$428))+IFERROR('Client DB &amp; Bed Mgmt'!$N$5:$N$428&gt;=DATE(YEAR(B397),MONTH(B397),1),FALSE)&gt;0)*((IF(('Client DB &amp; Bed Mgmt'!$N$5:$N$428="")+NOT(ISNUMBER('Client DB &amp; Bed Mgmt'!$N$5:$N$428)),EOMONTH(B397,0),IF('Client DB &amp; Bed Mgmt'!$N$5:$N$428&lt;EOMONTH(B397,0),'Client DB &amp; Bed Mgmt'!$N$5:$N$428,EOMONTH(B397,0))))-(IF(('Client DB &amp; Bed Mgmt'!$M$5:$M$428="")+NOT(ISNUMBER('Client DB &amp; Bed Mgmt'!$M$5:$M$428)),DATE(YEAR(B397),MONTH(B397),1),IF('Client DB &amp; Bed Mgmt'!$M$5:$M$428&gt;DATE(YEAR(B397),MONTH(B397),1),'Client DB &amp; Bed Mgmt'!$M$5:$M$428,DATE(YEAR(B397),MONTH(B397),1))))+1)/DAY(EOMONTH(B397,0))),0)</f>
        <v/>
      </c>
    </row>
    <row r="398" ht="14.25" customHeight="1" s="83">
      <c r="A398" s="103" t="n"/>
      <c r="B398" s="125">
        <f>DATE(YEAR(StartDate),MONTH(StartDate),1)</f>
        <v/>
      </c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Mgmt'!$B:$B,C398,'Client DB &amp; Bed Mgmt'!$E:$E,"Occupied"),0)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>
        <f>IFERROR(J398*SUMPRODUCT(('Client DB &amp; Bed Mgmt'!$A$5:$A$428=A398)*('Client DB &amp; Bed Mgmt'!$B$5:$B$428=C398)*('Client DB &amp; Bed Mgmt'!$D$5:$D$428&lt;&gt;"")*--(('Client DB &amp; Bed Mgmt'!$M$5:$M$428="")+NOT(ISNUMBER('Client DB &amp; Bed Mgmt'!$M$5:$M$428))+IFERROR('Client DB &amp; Bed Mgmt'!$M$5:$M$428&lt;=EOMONTH(B398,0),FALSE)&gt;0)*--(('Client DB &amp; Bed Mgmt'!$N$5:$N$428="")+NOT(ISNUMBER('Client DB &amp; Bed Mgmt'!$N$5:$N$428))+IFERROR('Client DB &amp; Bed Mgmt'!$N$5:$N$428&gt;=DATE(YEAR(B398),MONTH(B398),1),FALSE)&gt;0)*((IF(('Client DB &amp; Bed Mgmt'!$N$5:$N$428="")+NOT(ISNUMBER('Client DB &amp; Bed Mgmt'!$N$5:$N$428)),EOMONTH(B398,0),IF('Client DB &amp; Bed Mgmt'!$N$5:$N$428&lt;EOMONTH(B398,0),'Client DB &amp; Bed Mgmt'!$N$5:$N$428,EOMONTH(B398,0))))-(IF(('Client DB &amp; Bed Mgmt'!$M$5:$M$428="")+NOT(ISNUMBER('Client DB &amp; Bed Mgmt'!$M$5:$M$428)),DATE(YEAR(B398),MONTH(B398),1),IF('Client DB &amp; Bed Mgmt'!$M$5:$M$428&gt;DATE(YEAR(B398),MONTH(B398),1),'Client DB &amp; Bed Mgmt'!$M$5:$M$428,DATE(YEAR(B398),MONTH(B398),1))))+1)/DAY(EOMONTH(B398,0))),0)</f>
        <v/>
      </c>
    </row>
    <row r="399" ht="14.25" customHeight="1" s="83">
      <c r="A399" s="103" t="n"/>
      <c r="B399" s="125">
        <f>DATE(YEAR(StartDate),MONTH(StartDate),1)</f>
        <v/>
      </c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Mgmt'!$B:$B,C399,'Client DB &amp; Bed Mgmt'!$E:$E,"Occupied"),0)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>
        <f>IFERROR(J399*SUMPRODUCT(('Client DB &amp; Bed Mgmt'!$A$5:$A$428=A399)*('Client DB &amp; Bed Mgmt'!$B$5:$B$428=C399)*('Client DB &amp; Bed Mgmt'!$D$5:$D$428&lt;&gt;"")*--(('Client DB &amp; Bed Mgmt'!$M$5:$M$428="")+NOT(ISNUMBER('Client DB &amp; Bed Mgmt'!$M$5:$M$428))+IFERROR('Client DB &amp; Bed Mgmt'!$M$5:$M$428&lt;=EOMONTH(B399,0),FALSE)&gt;0)*--(('Client DB &amp; Bed Mgmt'!$N$5:$N$428="")+NOT(ISNUMBER('Client DB &amp; Bed Mgmt'!$N$5:$N$428))+IFERROR('Client DB &amp; Bed Mgmt'!$N$5:$N$428&gt;=DATE(YEAR(B399),MONTH(B399),1),FALSE)&gt;0)*((IF(('Client DB &amp; Bed Mgmt'!$N$5:$N$428="")+NOT(ISNUMBER('Client DB &amp; Bed Mgmt'!$N$5:$N$428)),EOMONTH(B399,0),IF('Client DB &amp; Bed Mgmt'!$N$5:$N$428&lt;EOMONTH(B399,0),'Client DB &amp; Bed Mgmt'!$N$5:$N$428,EOMONTH(B399,0))))-(IF(('Client DB &amp; Bed Mgmt'!$M$5:$M$428="")+NOT(ISNUMBER('Client DB &amp; Bed Mgmt'!$M$5:$M$428)),DATE(YEAR(B399),MONTH(B399),1),IF('Client DB &amp; Bed Mgmt'!$M$5:$M$428&gt;DATE(YEAR(B399),MONTH(B399),1),'Client DB &amp; Bed Mgmt'!$M$5:$M$428,DATE(YEAR(B399),MONTH(B399),1))))+1)/DAY(EOMONTH(B399,0))),0)</f>
        <v/>
      </c>
    </row>
    <row r="400" ht="14.25" customHeight="1" s="83">
      <c r="A400" s="103" t="n"/>
      <c r="B400" s="125">
        <f>DATE(YEAR(StartDate),MONTH(StartDate),1)</f>
        <v/>
      </c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Mgmt'!$B:$B,C400,'Client DB &amp; Bed Mgmt'!$E:$E,"Occupied"),0)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>
        <f>IFERROR(J400*SUMPRODUCT(('Client DB &amp; Bed Mgmt'!$A$5:$A$428=A400)*('Client DB &amp; Bed Mgmt'!$B$5:$B$428=C400)*('Client DB &amp; Bed Mgmt'!$D$5:$D$428&lt;&gt;"")*--(('Client DB &amp; Bed Mgmt'!$M$5:$M$428="")+NOT(ISNUMBER('Client DB &amp; Bed Mgmt'!$M$5:$M$428))+IFERROR('Client DB &amp; Bed Mgmt'!$M$5:$M$428&lt;=EOMONTH(B400,0),FALSE)&gt;0)*--(('Client DB &amp; Bed Mgmt'!$N$5:$N$428="")+NOT(ISNUMBER('Client DB &amp; Bed Mgmt'!$N$5:$N$428))+IFERROR('Client DB &amp; Bed Mgmt'!$N$5:$N$428&gt;=DATE(YEAR(B400),MONTH(B400),1),FALSE)&gt;0)*((IF(('Client DB &amp; Bed Mgmt'!$N$5:$N$428="")+NOT(ISNUMBER('Client DB &amp; Bed Mgmt'!$N$5:$N$428)),EOMONTH(B400,0),IF('Client DB &amp; Bed Mgmt'!$N$5:$N$428&lt;EOMONTH(B400,0),'Client DB &amp; Bed Mgmt'!$N$5:$N$428,EOMONTH(B400,0))))-(IF(('Client DB &amp; Bed Mgmt'!$M$5:$M$428="")+NOT(ISNUMBER('Client DB &amp; Bed Mgmt'!$M$5:$M$428)),DATE(YEAR(B400),MONTH(B400),1),IF('Client DB &amp; Bed Mgmt'!$M$5:$M$428&gt;DATE(YEAR(B400),MONTH(B400),1),'Client DB &amp; Bed Mgmt'!$M$5:$M$428,DATE(YEAR(B400),MONTH(B400),1))))+1)/DAY(EOMONTH(B400,0))),0)</f>
        <v/>
      </c>
    </row>
    <row r="401" ht="14.25" customHeight="1" s="83">
      <c r="A401" s="103" t="n"/>
      <c r="B401" s="125">
        <f>DATE(YEAR(StartDate),MONTH(StartDate),1)</f>
        <v/>
      </c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Mgmt'!$B:$B,C401,'Client DB &amp; Bed Mgmt'!$E:$E,"Occupied"),0)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>
        <f>IFERROR(J401*SUMPRODUCT(('Client DB &amp; Bed Mgmt'!$A$5:$A$428=A401)*('Client DB &amp; Bed Mgmt'!$B$5:$B$428=C401)*('Client DB &amp; Bed Mgmt'!$D$5:$D$428&lt;&gt;"")*--(('Client DB &amp; Bed Mgmt'!$M$5:$M$428="")+NOT(ISNUMBER('Client DB &amp; Bed Mgmt'!$M$5:$M$428))+IFERROR('Client DB &amp; Bed Mgmt'!$M$5:$M$428&lt;=EOMONTH(B401,0),FALSE)&gt;0)*--(('Client DB &amp; Bed Mgmt'!$N$5:$N$428="")+NOT(ISNUMBER('Client DB &amp; Bed Mgmt'!$N$5:$N$428))+IFERROR('Client DB &amp; Bed Mgmt'!$N$5:$N$428&gt;=DATE(YEAR(B401),MONTH(B401),1),FALSE)&gt;0)*((IF(('Client DB &amp; Bed Mgmt'!$N$5:$N$428="")+NOT(ISNUMBER('Client DB &amp; Bed Mgmt'!$N$5:$N$428)),EOMONTH(B401,0),IF('Client DB &amp; Bed Mgmt'!$N$5:$N$428&lt;EOMONTH(B401,0),'Client DB &amp; Bed Mgmt'!$N$5:$N$428,EOMONTH(B401,0))))-(IF(('Client DB &amp; Bed Mgmt'!$M$5:$M$428="")+NOT(ISNUMBER('Client DB &amp; Bed Mgmt'!$M$5:$M$428)),DATE(YEAR(B401),MONTH(B401),1),IF('Client DB &amp; Bed Mgmt'!$M$5:$M$428&gt;DATE(YEAR(B401),MONTH(B401),1),'Client DB &amp; Bed Mgmt'!$M$5:$M$428,DATE(YEAR(B401),MONTH(B401),1))))+1)/DAY(EOMONTH(B401,0))),0)</f>
        <v/>
      </c>
    </row>
    <row r="402" ht="14.25" customHeight="1" s="83">
      <c r="A402" s="103" t="n"/>
      <c r="B402" s="125">
        <f>DATE(YEAR(StartDate),MONTH(StartDate),1)</f>
        <v/>
      </c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Mgmt'!$B:$B,C402,'Client DB &amp; Bed Mgmt'!$E:$E,"Occupied"),0)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>
        <f>IFERROR(J402*SUMPRODUCT(('Client DB &amp; Bed Mgmt'!$A$5:$A$428=A402)*('Client DB &amp; Bed Mgmt'!$B$5:$B$428=C402)*('Client DB &amp; Bed Mgmt'!$D$5:$D$428&lt;&gt;"")*--(('Client DB &amp; Bed Mgmt'!$M$5:$M$428="")+NOT(ISNUMBER('Client DB &amp; Bed Mgmt'!$M$5:$M$428))+IFERROR('Client DB &amp; Bed Mgmt'!$M$5:$M$428&lt;=EOMONTH(B402,0),FALSE)&gt;0)*--(('Client DB &amp; Bed Mgmt'!$N$5:$N$428="")+NOT(ISNUMBER('Client DB &amp; Bed Mgmt'!$N$5:$N$428))+IFERROR('Client DB &amp; Bed Mgmt'!$N$5:$N$428&gt;=DATE(YEAR(B402),MONTH(B402),1),FALSE)&gt;0)*((IF(('Client DB &amp; Bed Mgmt'!$N$5:$N$428="")+NOT(ISNUMBER('Client DB &amp; Bed Mgmt'!$N$5:$N$428)),EOMONTH(B402,0),IF('Client DB &amp; Bed Mgmt'!$N$5:$N$428&lt;EOMONTH(B402,0),'Client DB &amp; Bed Mgmt'!$N$5:$N$428,EOMONTH(B402,0))))-(IF(('Client DB &amp; Bed Mgmt'!$M$5:$M$428="")+NOT(ISNUMBER('Client DB &amp; Bed Mgmt'!$M$5:$M$428)),DATE(YEAR(B402),MONTH(B402),1),IF('Client DB &amp; Bed Mgmt'!$M$5:$M$428&gt;DATE(YEAR(B402),MONTH(B402),1),'Client DB &amp; Bed Mgmt'!$M$5:$M$428,DATE(YEAR(B402),MONTH(B402),1))))+1)/DAY(EOMONTH(B402,0))),0)</f>
        <v/>
      </c>
    </row>
    <row r="403" ht="14.25" customHeight="1" s="83">
      <c r="A403" s="103" t="n"/>
      <c r="B403" s="125">
        <f>DATE(YEAR(StartDate),MONTH(StartDate),1)</f>
        <v/>
      </c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Mgmt'!$B:$B,C403,'Client DB &amp; Bed Mgmt'!$E:$E,"Occupied"),0)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>
        <f>IFERROR(J403*SUMPRODUCT(('Client DB &amp; Bed Mgmt'!$A$5:$A$428=A403)*('Client DB &amp; Bed Mgmt'!$B$5:$B$428=C403)*('Client DB &amp; Bed Mgmt'!$D$5:$D$428&lt;&gt;"")*--(('Client DB &amp; Bed Mgmt'!$M$5:$M$428="")+NOT(ISNUMBER('Client DB &amp; Bed Mgmt'!$M$5:$M$428))+IFERROR('Client DB &amp; Bed Mgmt'!$M$5:$M$428&lt;=EOMONTH(B403,0),FALSE)&gt;0)*--(('Client DB &amp; Bed Mgmt'!$N$5:$N$428="")+NOT(ISNUMBER('Client DB &amp; Bed Mgmt'!$N$5:$N$428))+IFERROR('Client DB &amp; Bed Mgmt'!$N$5:$N$428&gt;=DATE(YEAR(B403),MONTH(B403),1),FALSE)&gt;0)*((IF(('Client DB &amp; Bed Mgmt'!$N$5:$N$428="")+NOT(ISNUMBER('Client DB &amp; Bed Mgmt'!$N$5:$N$428)),EOMONTH(B403,0),IF('Client DB &amp; Bed Mgmt'!$N$5:$N$428&lt;EOMONTH(B403,0),'Client DB &amp; Bed Mgmt'!$N$5:$N$428,EOMONTH(B403,0))))-(IF(('Client DB &amp; Bed Mgmt'!$M$5:$M$428="")+NOT(ISNUMBER('Client DB &amp; Bed Mgmt'!$M$5:$M$428)),DATE(YEAR(B403),MONTH(B403),1),IF('Client DB &amp; Bed Mgmt'!$M$5:$M$428&gt;DATE(YEAR(B403),MONTH(B403),1),'Client DB &amp; Bed Mgmt'!$M$5:$M$428,DATE(YEAR(B403),MONTH(B403),1))))+1)/DAY(EOMONTH(B403,0))),0)</f>
        <v/>
      </c>
    </row>
    <row r="404" ht="14.25" customHeight="1" s="83">
      <c r="A404" s="103" t="n"/>
      <c r="B404" s="125">
        <f>DATE(YEAR(StartDate),MONTH(StartDate),1)</f>
        <v/>
      </c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Mgmt'!$B:$B,C404,'Client DB &amp; Bed Mgmt'!$E:$E,"Occupied"),0)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>
        <f>IFERROR(J404*SUMPRODUCT(('Client DB &amp; Bed Mgmt'!$A$5:$A$428=A404)*('Client DB &amp; Bed Mgmt'!$B$5:$B$428=C404)*('Client DB &amp; Bed Mgmt'!$D$5:$D$428&lt;&gt;"")*--(('Client DB &amp; Bed Mgmt'!$M$5:$M$428="")+NOT(ISNUMBER('Client DB &amp; Bed Mgmt'!$M$5:$M$428))+IFERROR('Client DB &amp; Bed Mgmt'!$M$5:$M$428&lt;=EOMONTH(B404,0),FALSE)&gt;0)*--(('Client DB &amp; Bed Mgmt'!$N$5:$N$428="")+NOT(ISNUMBER('Client DB &amp; Bed Mgmt'!$N$5:$N$428))+IFERROR('Client DB &amp; Bed Mgmt'!$N$5:$N$428&gt;=DATE(YEAR(B404),MONTH(B404),1),FALSE)&gt;0)*((IF(('Client DB &amp; Bed Mgmt'!$N$5:$N$428="")+NOT(ISNUMBER('Client DB &amp; Bed Mgmt'!$N$5:$N$428)),EOMONTH(B404,0),IF('Client DB &amp; Bed Mgmt'!$N$5:$N$428&lt;EOMONTH(B404,0),'Client DB &amp; Bed Mgmt'!$N$5:$N$428,EOMONTH(B404,0))))-(IF(('Client DB &amp; Bed Mgmt'!$M$5:$M$428="")+NOT(ISNUMBER('Client DB &amp; Bed Mgmt'!$M$5:$M$428)),DATE(YEAR(B404),MONTH(B404),1),IF('Client DB &amp; Bed Mgmt'!$M$5:$M$428&gt;DATE(YEAR(B404),MONTH(B404),1),'Client DB &amp; Bed Mgmt'!$M$5:$M$428,DATE(YEAR(B404),MONTH(B404),1))))+1)/DAY(EOMONTH(B404,0))),0)</f>
        <v/>
      </c>
    </row>
    <row r="405" ht="14.25" customHeight="1" s="83">
      <c r="A405" s="103" t="n"/>
      <c r="B405" s="125">
        <f>DATE(YEAR(StartDate),MONTH(StartDate),1)</f>
        <v/>
      </c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Mgmt'!$B:$B,C405,'Client DB &amp; Bed Mgmt'!$E:$E,"Occupied"),0)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>
        <f>IFERROR(J405*SUMPRODUCT(('Client DB &amp; Bed Mgmt'!$A$5:$A$428=A405)*('Client DB &amp; Bed Mgmt'!$B$5:$B$428=C405)*('Client DB &amp; Bed Mgmt'!$D$5:$D$428&lt;&gt;"")*--(('Client DB &amp; Bed Mgmt'!$M$5:$M$428="")+NOT(ISNUMBER('Client DB &amp; Bed Mgmt'!$M$5:$M$428))+IFERROR('Client DB &amp; Bed Mgmt'!$M$5:$M$428&lt;=EOMONTH(B405,0),FALSE)&gt;0)*--(('Client DB &amp; Bed Mgmt'!$N$5:$N$428="")+NOT(ISNUMBER('Client DB &amp; Bed Mgmt'!$N$5:$N$428))+IFERROR('Client DB &amp; Bed Mgmt'!$N$5:$N$428&gt;=DATE(YEAR(B405),MONTH(B405),1),FALSE)&gt;0)*((IF(('Client DB &amp; Bed Mgmt'!$N$5:$N$428="")+NOT(ISNUMBER('Client DB &amp; Bed Mgmt'!$N$5:$N$428)),EOMONTH(B405,0),IF('Client DB &amp; Bed Mgmt'!$N$5:$N$428&lt;EOMONTH(B405,0),'Client DB &amp; Bed Mgmt'!$N$5:$N$428,EOMONTH(B405,0))))-(IF(('Client DB &amp; Bed Mgmt'!$M$5:$M$428="")+NOT(ISNUMBER('Client DB &amp; Bed Mgmt'!$M$5:$M$428)),DATE(YEAR(B405),MONTH(B405),1),IF('Client DB &amp; Bed Mgmt'!$M$5:$M$428&gt;DATE(YEAR(B405),MONTH(B405),1),'Client DB &amp; Bed Mgmt'!$M$5:$M$428,DATE(YEAR(B405),MONTH(B405),1))))+1)/DAY(EOMONTH(B405,0))),0)</f>
        <v/>
      </c>
    </row>
    <row r="406" ht="14.25" customHeight="1" s="83">
      <c r="A406" s="103" t="n"/>
      <c r="B406" s="125">
        <f>DATE(YEAR(StartDate),MONTH(StartDate),1)</f>
        <v/>
      </c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Mgmt'!$B:$B,C406,'Client DB &amp; Bed Mgmt'!$E:$E,"Occupied"),0)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>
        <f>IFERROR(J406*SUMPRODUCT(('Client DB &amp; Bed Mgmt'!$A$5:$A$428=A406)*('Client DB &amp; Bed Mgmt'!$B$5:$B$428=C406)*('Client DB &amp; Bed Mgmt'!$D$5:$D$428&lt;&gt;"")*--(('Client DB &amp; Bed Mgmt'!$M$5:$M$428="")+NOT(ISNUMBER('Client DB &amp; Bed Mgmt'!$M$5:$M$428))+IFERROR('Client DB &amp; Bed Mgmt'!$M$5:$M$428&lt;=EOMONTH(B406,0),FALSE)&gt;0)*--(('Client DB &amp; Bed Mgmt'!$N$5:$N$428="")+NOT(ISNUMBER('Client DB &amp; Bed Mgmt'!$N$5:$N$428))+IFERROR('Client DB &amp; Bed Mgmt'!$N$5:$N$428&gt;=DATE(YEAR(B406),MONTH(B406),1),FALSE)&gt;0)*((IF(('Client DB &amp; Bed Mgmt'!$N$5:$N$428="")+NOT(ISNUMBER('Client DB &amp; Bed Mgmt'!$N$5:$N$428)),EOMONTH(B406,0),IF('Client DB &amp; Bed Mgmt'!$N$5:$N$428&lt;EOMONTH(B406,0),'Client DB &amp; Bed Mgmt'!$N$5:$N$428,EOMONTH(B406,0))))-(IF(('Client DB &amp; Bed Mgmt'!$M$5:$M$428="")+NOT(ISNUMBER('Client DB &amp; Bed Mgmt'!$M$5:$M$428)),DATE(YEAR(B406),MONTH(B406),1),IF('Client DB &amp; Bed Mgmt'!$M$5:$M$428&gt;DATE(YEAR(B406),MONTH(B406),1),'Client DB &amp; Bed Mgmt'!$M$5:$M$428,DATE(YEAR(B406),MONTH(B406),1))))+1)/DAY(EOMONTH(B406,0))),0)</f>
        <v/>
      </c>
    </row>
    <row r="407" ht="14.25" customHeight="1" s="83">
      <c r="A407" s="103" t="n"/>
      <c r="B407" s="125">
        <f>DATE(YEAR(StartDate),MONTH(StartDate),1)</f>
        <v/>
      </c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Mgmt'!$B:$B,C407,'Client DB &amp; Bed Mgmt'!$E:$E,"Occupied"),0)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>
        <f>IFERROR(J407*SUMPRODUCT(('Client DB &amp; Bed Mgmt'!$A$5:$A$428=A407)*('Client DB &amp; Bed Mgmt'!$B$5:$B$428=C407)*('Client DB &amp; Bed Mgmt'!$D$5:$D$428&lt;&gt;"")*--(('Client DB &amp; Bed Mgmt'!$M$5:$M$428="")+NOT(ISNUMBER('Client DB &amp; Bed Mgmt'!$M$5:$M$428))+IFERROR('Client DB &amp; Bed Mgmt'!$M$5:$M$428&lt;=EOMONTH(B407,0),FALSE)&gt;0)*--(('Client DB &amp; Bed Mgmt'!$N$5:$N$428="")+NOT(ISNUMBER('Client DB &amp; Bed Mgmt'!$N$5:$N$428))+IFERROR('Client DB &amp; Bed Mgmt'!$N$5:$N$428&gt;=DATE(YEAR(B407),MONTH(B407),1),FALSE)&gt;0)*((IF(('Client DB &amp; Bed Mgmt'!$N$5:$N$428="")+NOT(ISNUMBER('Client DB &amp; Bed Mgmt'!$N$5:$N$428)),EOMONTH(B407,0),IF('Client DB &amp; Bed Mgmt'!$N$5:$N$428&lt;EOMONTH(B407,0),'Client DB &amp; Bed Mgmt'!$N$5:$N$428,EOMONTH(B407,0))))-(IF(('Client DB &amp; Bed Mgmt'!$M$5:$M$428="")+NOT(ISNUMBER('Client DB &amp; Bed Mgmt'!$M$5:$M$428)),DATE(YEAR(B407),MONTH(B407),1),IF('Client DB &amp; Bed Mgmt'!$M$5:$M$428&gt;DATE(YEAR(B407),MONTH(B407),1),'Client DB &amp; Bed Mgmt'!$M$5:$M$428,DATE(YEAR(B407),MONTH(B407),1))))+1)/DAY(EOMONTH(B407,0))),0)</f>
        <v/>
      </c>
    </row>
    <row r="408" ht="14.25" customHeight="1" s="83">
      <c r="A408" s="103" t="n"/>
      <c r="B408" s="125">
        <f>DATE(YEAR(StartDate),MONTH(StartDate),1)</f>
        <v/>
      </c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Mgmt'!$B:$B,C408,'Client DB &amp; Bed Mgmt'!$E:$E,"Occupied"),0)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>
        <f>IFERROR(J408*SUMPRODUCT(('Client DB &amp; Bed Mgmt'!$A$5:$A$428=A408)*('Client DB &amp; Bed Mgmt'!$B$5:$B$428=C408)*('Client DB &amp; Bed Mgmt'!$D$5:$D$428&lt;&gt;"")*--(('Client DB &amp; Bed Mgmt'!$M$5:$M$428="")+NOT(ISNUMBER('Client DB &amp; Bed Mgmt'!$M$5:$M$428))+IFERROR('Client DB &amp; Bed Mgmt'!$M$5:$M$428&lt;=EOMONTH(B408,0),FALSE)&gt;0)*--(('Client DB &amp; Bed Mgmt'!$N$5:$N$428="")+NOT(ISNUMBER('Client DB &amp; Bed Mgmt'!$N$5:$N$428))+IFERROR('Client DB &amp; Bed Mgmt'!$N$5:$N$428&gt;=DATE(YEAR(B408),MONTH(B408),1),FALSE)&gt;0)*((IF(('Client DB &amp; Bed Mgmt'!$N$5:$N$428="")+NOT(ISNUMBER('Client DB &amp; Bed Mgmt'!$N$5:$N$428)),EOMONTH(B408,0),IF('Client DB &amp; Bed Mgmt'!$N$5:$N$428&lt;EOMONTH(B408,0),'Client DB &amp; Bed Mgmt'!$N$5:$N$428,EOMONTH(B408,0))))-(IF(('Client DB &amp; Bed Mgmt'!$M$5:$M$428="")+NOT(ISNUMBER('Client DB &amp; Bed Mgmt'!$M$5:$M$428)),DATE(YEAR(B408),MONTH(B408),1),IF('Client DB &amp; Bed Mgmt'!$M$5:$M$428&gt;DATE(YEAR(B408),MONTH(B408),1),'Client DB &amp; Bed Mgmt'!$M$5:$M$428,DATE(YEAR(B408),MONTH(B408),1))))+1)/DAY(EOMONTH(B408,0))),0)</f>
        <v/>
      </c>
    </row>
    <row r="409" ht="14.25" customHeight="1" s="83">
      <c r="A409" s="103" t="n"/>
      <c r="B409" s="125">
        <f>DATE(YEAR(StartDate),MONTH(StartDate),1)</f>
        <v/>
      </c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Mgmt'!$B:$B,C409,'Client DB &amp; Bed Mgmt'!$E:$E,"Occupied"),0)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>
        <f>IFERROR(J409*SUMPRODUCT(('Client DB &amp; Bed Mgmt'!$A$5:$A$428=A409)*('Client DB &amp; Bed Mgmt'!$B$5:$B$428=C409)*('Client DB &amp; Bed Mgmt'!$D$5:$D$428&lt;&gt;"")*--(('Client DB &amp; Bed Mgmt'!$M$5:$M$428="")+NOT(ISNUMBER('Client DB &amp; Bed Mgmt'!$M$5:$M$428))+IFERROR('Client DB &amp; Bed Mgmt'!$M$5:$M$428&lt;=EOMONTH(B409,0),FALSE)&gt;0)*--(('Client DB &amp; Bed Mgmt'!$N$5:$N$428="")+NOT(ISNUMBER('Client DB &amp; Bed Mgmt'!$N$5:$N$428))+IFERROR('Client DB &amp; Bed Mgmt'!$N$5:$N$428&gt;=DATE(YEAR(B409),MONTH(B409),1),FALSE)&gt;0)*((IF(('Client DB &amp; Bed Mgmt'!$N$5:$N$428="")+NOT(ISNUMBER('Client DB &amp; Bed Mgmt'!$N$5:$N$428)),EOMONTH(B409,0),IF('Client DB &amp; Bed Mgmt'!$N$5:$N$428&lt;EOMONTH(B409,0),'Client DB &amp; Bed Mgmt'!$N$5:$N$428,EOMONTH(B409,0))))-(IF(('Client DB &amp; Bed Mgmt'!$M$5:$M$428="")+NOT(ISNUMBER('Client DB &amp; Bed Mgmt'!$M$5:$M$428)),DATE(YEAR(B409),MONTH(B409),1),IF('Client DB &amp; Bed Mgmt'!$M$5:$M$428&gt;DATE(YEAR(B409),MONTH(B409),1),'Client DB &amp; Bed Mgmt'!$M$5:$M$428,DATE(YEAR(B409),MONTH(B409),1))))+1)/DAY(EOMONTH(B409,0))),0)</f>
        <v/>
      </c>
    </row>
    <row r="410" ht="14.25" customHeight="1" s="83">
      <c r="A410" s="103" t="n"/>
      <c r="B410" s="125">
        <f>DATE(YEAR(StartDate),MONTH(StartDate),1)</f>
        <v/>
      </c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Mgmt'!$B:$B,C410,'Client DB &amp; Bed Mgmt'!$E:$E,"Occupied"),0)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>
        <f>IFERROR(J410*SUMPRODUCT(('Client DB &amp; Bed Mgmt'!$A$5:$A$428=A410)*('Client DB &amp; Bed Mgmt'!$B$5:$B$428=C410)*('Client DB &amp; Bed Mgmt'!$D$5:$D$428&lt;&gt;"")*--(('Client DB &amp; Bed Mgmt'!$M$5:$M$428="")+NOT(ISNUMBER('Client DB &amp; Bed Mgmt'!$M$5:$M$428))+IFERROR('Client DB &amp; Bed Mgmt'!$M$5:$M$428&lt;=EOMONTH(B410,0),FALSE)&gt;0)*--(('Client DB &amp; Bed Mgmt'!$N$5:$N$428="")+NOT(ISNUMBER('Client DB &amp; Bed Mgmt'!$N$5:$N$428))+IFERROR('Client DB &amp; Bed Mgmt'!$N$5:$N$428&gt;=DATE(YEAR(B410),MONTH(B410),1),FALSE)&gt;0)*((IF(('Client DB &amp; Bed Mgmt'!$N$5:$N$428="")+NOT(ISNUMBER('Client DB &amp; Bed Mgmt'!$N$5:$N$428)),EOMONTH(B410,0),IF('Client DB &amp; Bed Mgmt'!$N$5:$N$428&lt;EOMONTH(B410,0),'Client DB &amp; Bed Mgmt'!$N$5:$N$428,EOMONTH(B410,0))))-(IF(('Client DB &amp; Bed Mgmt'!$M$5:$M$428="")+NOT(ISNUMBER('Client DB &amp; Bed Mgmt'!$M$5:$M$428)),DATE(YEAR(B410),MONTH(B410),1),IF('Client DB &amp; Bed Mgmt'!$M$5:$M$428&gt;DATE(YEAR(B410),MONTH(B410),1),'Client DB &amp; Bed Mgmt'!$M$5:$M$428,DATE(YEAR(B410),MONTH(B410),1))))+1)/DAY(EOMONTH(B410,0))),0)</f>
        <v/>
      </c>
    </row>
    <row r="411" ht="14.25" customHeight="1" s="83">
      <c r="A411" s="103" t="n"/>
      <c r="B411" s="125">
        <f>DATE(YEAR(StartDate),MONTH(StartDate),1)</f>
        <v/>
      </c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Mgmt'!$B:$B,C411,'Client DB &amp; Bed Mgmt'!$E:$E,"Occupied"),0)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>
        <f>IFERROR(J411*SUMPRODUCT(('Client DB &amp; Bed Mgmt'!$A$5:$A$428=A411)*('Client DB &amp; Bed Mgmt'!$B$5:$B$428=C411)*('Client DB &amp; Bed Mgmt'!$D$5:$D$428&lt;&gt;"")*--(('Client DB &amp; Bed Mgmt'!$M$5:$M$428="")+NOT(ISNUMBER('Client DB &amp; Bed Mgmt'!$M$5:$M$428))+IFERROR('Client DB &amp; Bed Mgmt'!$M$5:$M$428&lt;=EOMONTH(B411,0),FALSE)&gt;0)*--(('Client DB &amp; Bed Mgmt'!$N$5:$N$428="")+NOT(ISNUMBER('Client DB &amp; Bed Mgmt'!$N$5:$N$428))+IFERROR('Client DB &amp; Bed Mgmt'!$N$5:$N$428&gt;=DATE(YEAR(B411),MONTH(B411),1),FALSE)&gt;0)*((IF(('Client DB &amp; Bed Mgmt'!$N$5:$N$428="")+NOT(ISNUMBER('Client DB &amp; Bed Mgmt'!$N$5:$N$428)),EOMONTH(B411,0),IF('Client DB &amp; Bed Mgmt'!$N$5:$N$428&lt;EOMONTH(B411,0),'Client DB &amp; Bed Mgmt'!$N$5:$N$428,EOMONTH(B411,0))))-(IF(('Client DB &amp; Bed Mgmt'!$M$5:$M$428="")+NOT(ISNUMBER('Client DB &amp; Bed Mgmt'!$M$5:$M$428)),DATE(YEAR(B411),MONTH(B411),1),IF('Client DB &amp; Bed Mgmt'!$M$5:$M$428&gt;DATE(YEAR(B411),MONTH(B411),1),'Client DB &amp; Bed Mgmt'!$M$5:$M$428,DATE(YEAR(B411),MONTH(B411),1))))+1)/DAY(EOMONTH(B411,0))),0)</f>
        <v/>
      </c>
    </row>
    <row r="412" ht="14.25" customHeight="1" s="83">
      <c r="A412" s="103" t="n"/>
      <c r="B412" s="125">
        <f>DATE(YEAR(StartDate),MONTH(StartDate),1)</f>
        <v/>
      </c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Mgmt'!$B:$B,C412,'Client DB &amp; Bed Mgmt'!$E:$E,"Occupied"),0)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>
        <f>IFERROR(J412*SUMPRODUCT(('Client DB &amp; Bed Mgmt'!$A$5:$A$428=A412)*('Client DB &amp; Bed Mgmt'!$B$5:$B$428=C412)*('Client DB &amp; Bed Mgmt'!$D$5:$D$428&lt;&gt;"")*--(('Client DB &amp; Bed Mgmt'!$M$5:$M$428="")+NOT(ISNUMBER('Client DB &amp; Bed Mgmt'!$M$5:$M$428))+IFERROR('Client DB &amp; Bed Mgmt'!$M$5:$M$428&lt;=EOMONTH(B412,0),FALSE)&gt;0)*--(('Client DB &amp; Bed Mgmt'!$N$5:$N$428="")+NOT(ISNUMBER('Client DB &amp; Bed Mgmt'!$N$5:$N$428))+IFERROR('Client DB &amp; Bed Mgmt'!$N$5:$N$428&gt;=DATE(YEAR(B412),MONTH(B412),1),FALSE)&gt;0)*((IF(('Client DB &amp; Bed Mgmt'!$N$5:$N$428="")+NOT(ISNUMBER('Client DB &amp; Bed Mgmt'!$N$5:$N$428)),EOMONTH(B412,0),IF('Client DB &amp; Bed Mgmt'!$N$5:$N$428&lt;EOMONTH(B412,0),'Client DB &amp; Bed Mgmt'!$N$5:$N$428,EOMONTH(B412,0))))-(IF(('Client DB &amp; Bed Mgmt'!$M$5:$M$428="")+NOT(ISNUMBER('Client DB &amp; Bed Mgmt'!$M$5:$M$428)),DATE(YEAR(B412),MONTH(B412),1),IF('Client DB &amp; Bed Mgmt'!$M$5:$M$428&gt;DATE(YEAR(B412),MONTH(B412),1),'Client DB &amp; Bed Mgmt'!$M$5:$M$428,DATE(YEAR(B412),MONTH(B412),1))))+1)/DAY(EOMONTH(B412,0))),0)</f>
        <v/>
      </c>
    </row>
    <row r="413" ht="14.25" customHeight="1" s="83">
      <c r="A413" s="103" t="n"/>
      <c r="B413" s="125">
        <f>DATE(YEAR(StartDate),MONTH(StartDate),1)</f>
        <v/>
      </c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Mgmt'!$B:$B,C413,'Client DB &amp; Bed Mgmt'!$E:$E,"Occupied"),0)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>
        <f>IFERROR(J413*SUMPRODUCT(('Client DB &amp; Bed Mgmt'!$A$5:$A$428=A413)*('Client DB &amp; Bed Mgmt'!$B$5:$B$428=C413)*('Client DB &amp; Bed Mgmt'!$D$5:$D$428&lt;&gt;"")*--(('Client DB &amp; Bed Mgmt'!$M$5:$M$428="")+NOT(ISNUMBER('Client DB &amp; Bed Mgmt'!$M$5:$M$428))+IFERROR('Client DB &amp; Bed Mgmt'!$M$5:$M$428&lt;=EOMONTH(B413,0),FALSE)&gt;0)*--(('Client DB &amp; Bed Mgmt'!$N$5:$N$428="")+NOT(ISNUMBER('Client DB &amp; Bed Mgmt'!$N$5:$N$428))+IFERROR('Client DB &amp; Bed Mgmt'!$N$5:$N$428&gt;=DATE(YEAR(B413),MONTH(B413),1),FALSE)&gt;0)*((IF(('Client DB &amp; Bed Mgmt'!$N$5:$N$428="")+NOT(ISNUMBER('Client DB &amp; Bed Mgmt'!$N$5:$N$428)),EOMONTH(B413,0),IF('Client DB &amp; Bed Mgmt'!$N$5:$N$428&lt;EOMONTH(B413,0),'Client DB &amp; Bed Mgmt'!$N$5:$N$428,EOMONTH(B413,0))))-(IF(('Client DB &amp; Bed Mgmt'!$M$5:$M$428="")+NOT(ISNUMBER('Client DB &amp; Bed Mgmt'!$M$5:$M$428)),DATE(YEAR(B413),MONTH(B413),1),IF('Client DB &amp; Bed Mgmt'!$M$5:$M$428&gt;DATE(YEAR(B413),MONTH(B413),1),'Client DB &amp; Bed Mgmt'!$M$5:$M$428,DATE(YEAR(B413),MONTH(B413),1))))+1)/DAY(EOMONTH(B413,0))),0)</f>
        <v/>
      </c>
    </row>
    <row r="414" ht="14.25" customHeight="1" s="83">
      <c r="A414" s="103" t="n"/>
      <c r="B414" s="125">
        <f>DATE(YEAR(StartDate),MONTH(StartDate),1)</f>
        <v/>
      </c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Mgmt'!$B:$B,C414,'Client DB &amp; Bed Mgmt'!$E:$E,"Occupied"),0)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>
        <f>IFERROR(J414*SUMPRODUCT(('Client DB &amp; Bed Mgmt'!$A$5:$A$428=A414)*('Client DB &amp; Bed Mgmt'!$B$5:$B$428=C414)*('Client DB &amp; Bed Mgmt'!$D$5:$D$428&lt;&gt;"")*--(('Client DB &amp; Bed Mgmt'!$M$5:$M$428="")+NOT(ISNUMBER('Client DB &amp; Bed Mgmt'!$M$5:$M$428))+IFERROR('Client DB &amp; Bed Mgmt'!$M$5:$M$428&lt;=EOMONTH(B414,0),FALSE)&gt;0)*--(('Client DB &amp; Bed Mgmt'!$N$5:$N$428="")+NOT(ISNUMBER('Client DB &amp; Bed Mgmt'!$N$5:$N$428))+IFERROR('Client DB &amp; Bed Mgmt'!$N$5:$N$428&gt;=DATE(YEAR(B414),MONTH(B414),1),FALSE)&gt;0)*((IF(('Client DB &amp; Bed Mgmt'!$N$5:$N$428="")+NOT(ISNUMBER('Client DB &amp; Bed Mgmt'!$N$5:$N$428)),EOMONTH(B414,0),IF('Client DB &amp; Bed Mgmt'!$N$5:$N$428&lt;EOMONTH(B414,0),'Client DB &amp; Bed Mgmt'!$N$5:$N$428,EOMONTH(B414,0))))-(IF(('Client DB &amp; Bed Mgmt'!$M$5:$M$428="")+NOT(ISNUMBER('Client DB &amp; Bed Mgmt'!$M$5:$M$428)),DATE(YEAR(B414),MONTH(B414),1),IF('Client DB &amp; Bed Mgmt'!$M$5:$M$428&gt;DATE(YEAR(B414),MONTH(B414),1),'Client DB &amp; Bed Mgmt'!$M$5:$M$428,DATE(YEAR(B414),MONTH(B414),1))))+1)/DAY(EOMONTH(B414,0))),0)</f>
        <v/>
      </c>
    </row>
    <row r="415" ht="14.25" customHeight="1" s="83">
      <c r="A415" s="103" t="n"/>
      <c r="B415" s="125">
        <f>DATE(YEAR(StartDate),MONTH(StartDate),1)</f>
        <v/>
      </c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Mgmt'!$B:$B,C415,'Client DB &amp; Bed Mgmt'!$E:$E,"Occupied"),0)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>
        <f>IFERROR(J415*SUMPRODUCT(('Client DB &amp; Bed Mgmt'!$A$5:$A$428=A415)*('Client DB &amp; Bed Mgmt'!$B$5:$B$428=C415)*('Client DB &amp; Bed Mgmt'!$D$5:$D$428&lt;&gt;"")*--(('Client DB &amp; Bed Mgmt'!$M$5:$M$428="")+NOT(ISNUMBER('Client DB &amp; Bed Mgmt'!$M$5:$M$428))+IFERROR('Client DB &amp; Bed Mgmt'!$M$5:$M$428&lt;=EOMONTH(B415,0),FALSE)&gt;0)*--(('Client DB &amp; Bed Mgmt'!$N$5:$N$428="")+NOT(ISNUMBER('Client DB &amp; Bed Mgmt'!$N$5:$N$428))+IFERROR('Client DB &amp; Bed Mgmt'!$N$5:$N$428&gt;=DATE(YEAR(B415),MONTH(B415),1),FALSE)&gt;0)*((IF(('Client DB &amp; Bed Mgmt'!$N$5:$N$428="")+NOT(ISNUMBER('Client DB &amp; Bed Mgmt'!$N$5:$N$428)),EOMONTH(B415,0),IF('Client DB &amp; Bed Mgmt'!$N$5:$N$428&lt;EOMONTH(B415,0),'Client DB &amp; Bed Mgmt'!$N$5:$N$428,EOMONTH(B415,0))))-(IF(('Client DB &amp; Bed Mgmt'!$M$5:$M$428="")+NOT(ISNUMBER('Client DB &amp; Bed Mgmt'!$M$5:$M$428)),DATE(YEAR(B415),MONTH(B415),1),IF('Client DB &amp; Bed Mgmt'!$M$5:$M$428&gt;DATE(YEAR(B415),MONTH(B415),1),'Client DB &amp; Bed Mgmt'!$M$5:$M$428,DATE(YEAR(B415),MONTH(B415),1))))+1)/DAY(EOMONTH(B415,0))),0)</f>
        <v/>
      </c>
    </row>
    <row r="416" ht="14.25" customHeight="1" s="83">
      <c r="A416" s="103" t="n"/>
      <c r="B416" s="125">
        <f>DATE(YEAR(StartDate),MONTH(StartDate),1)</f>
        <v/>
      </c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Mgmt'!$B:$B,C416,'Client DB &amp; Bed Mgmt'!$E:$E,"Occupied"),0)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>
        <f>IFERROR(J416*SUMPRODUCT(('Client DB &amp; Bed Mgmt'!$A$5:$A$428=A416)*('Client DB &amp; Bed Mgmt'!$B$5:$B$428=C416)*('Client DB &amp; Bed Mgmt'!$D$5:$D$428&lt;&gt;"")*--(('Client DB &amp; Bed Mgmt'!$M$5:$M$428="")+NOT(ISNUMBER('Client DB &amp; Bed Mgmt'!$M$5:$M$428))+IFERROR('Client DB &amp; Bed Mgmt'!$M$5:$M$428&lt;=EOMONTH(B416,0),FALSE)&gt;0)*--(('Client DB &amp; Bed Mgmt'!$N$5:$N$428="")+NOT(ISNUMBER('Client DB &amp; Bed Mgmt'!$N$5:$N$428))+IFERROR('Client DB &amp; Bed Mgmt'!$N$5:$N$428&gt;=DATE(YEAR(B416),MONTH(B416),1),FALSE)&gt;0)*((IF(('Client DB &amp; Bed Mgmt'!$N$5:$N$428="")+NOT(ISNUMBER('Client DB &amp; Bed Mgmt'!$N$5:$N$428)),EOMONTH(B416,0),IF('Client DB &amp; Bed Mgmt'!$N$5:$N$428&lt;EOMONTH(B416,0),'Client DB &amp; Bed Mgmt'!$N$5:$N$428,EOMONTH(B416,0))))-(IF(('Client DB &amp; Bed Mgmt'!$M$5:$M$428="")+NOT(ISNUMBER('Client DB &amp; Bed Mgmt'!$M$5:$M$428)),DATE(YEAR(B416),MONTH(B416),1),IF('Client DB &amp; Bed Mgmt'!$M$5:$M$428&gt;DATE(YEAR(B416),MONTH(B416),1),'Client DB &amp; Bed Mgmt'!$M$5:$M$428,DATE(YEAR(B416),MONTH(B416),1))))+1)/DAY(EOMONTH(B416,0))),0)</f>
        <v/>
      </c>
    </row>
    <row r="417" ht="14.25" customHeight="1" s="83">
      <c r="A417" s="103" t="n"/>
      <c r="B417" s="125">
        <f>DATE(YEAR(StartDate),MONTH(StartDate),1)</f>
        <v/>
      </c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Mgmt'!$B:$B,C417,'Client DB &amp; Bed Mgmt'!$E:$E,"Occupied"),0)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>
        <f>IFERROR(J417*SUMPRODUCT(('Client DB &amp; Bed Mgmt'!$A$5:$A$428=A417)*('Client DB &amp; Bed Mgmt'!$B$5:$B$428=C417)*('Client DB &amp; Bed Mgmt'!$D$5:$D$428&lt;&gt;"")*--(('Client DB &amp; Bed Mgmt'!$M$5:$M$428="")+NOT(ISNUMBER('Client DB &amp; Bed Mgmt'!$M$5:$M$428))+IFERROR('Client DB &amp; Bed Mgmt'!$M$5:$M$428&lt;=EOMONTH(B417,0),FALSE)&gt;0)*--(('Client DB &amp; Bed Mgmt'!$N$5:$N$428="")+NOT(ISNUMBER('Client DB &amp; Bed Mgmt'!$N$5:$N$428))+IFERROR('Client DB &amp; Bed Mgmt'!$N$5:$N$428&gt;=DATE(YEAR(B417),MONTH(B417),1),FALSE)&gt;0)*((IF(('Client DB &amp; Bed Mgmt'!$N$5:$N$428="")+NOT(ISNUMBER('Client DB &amp; Bed Mgmt'!$N$5:$N$428)),EOMONTH(B417,0),IF('Client DB &amp; Bed Mgmt'!$N$5:$N$428&lt;EOMONTH(B417,0),'Client DB &amp; Bed Mgmt'!$N$5:$N$428,EOMONTH(B417,0))))-(IF(('Client DB &amp; Bed Mgmt'!$M$5:$M$428="")+NOT(ISNUMBER('Client DB &amp; Bed Mgmt'!$M$5:$M$428)),DATE(YEAR(B417),MONTH(B417),1),IF('Client DB &amp; Bed Mgmt'!$M$5:$M$428&gt;DATE(YEAR(B417),MONTH(B417),1),'Client DB &amp; Bed Mgmt'!$M$5:$M$428,DATE(YEAR(B417),MONTH(B417),1))))+1)/DAY(EOMONTH(B417,0))),0)</f>
        <v/>
      </c>
    </row>
    <row r="418" ht="14.25" customHeight="1" s="83">
      <c r="A418" s="103" t="n"/>
      <c r="B418" s="125">
        <f>DATE(YEAR(StartDate),MONTH(StartDate),1)</f>
        <v/>
      </c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Mgmt'!$B:$B,C418,'Client DB &amp; Bed Mgmt'!$E:$E,"Occupied"),0)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>
        <f>IFERROR(J418*SUMPRODUCT(('Client DB &amp; Bed Mgmt'!$A$5:$A$428=A418)*('Client DB &amp; Bed Mgmt'!$B$5:$B$428=C418)*('Client DB &amp; Bed Mgmt'!$D$5:$D$428&lt;&gt;"")*--(('Client DB &amp; Bed Mgmt'!$M$5:$M$428="")+NOT(ISNUMBER('Client DB &amp; Bed Mgmt'!$M$5:$M$428))+IFERROR('Client DB &amp; Bed Mgmt'!$M$5:$M$428&lt;=EOMONTH(B418,0),FALSE)&gt;0)*--(('Client DB &amp; Bed Mgmt'!$N$5:$N$428="")+NOT(ISNUMBER('Client DB &amp; Bed Mgmt'!$N$5:$N$428))+IFERROR('Client DB &amp; Bed Mgmt'!$N$5:$N$428&gt;=DATE(YEAR(B418),MONTH(B418),1),FALSE)&gt;0)*((IF(('Client DB &amp; Bed Mgmt'!$N$5:$N$428="")+NOT(ISNUMBER('Client DB &amp; Bed Mgmt'!$N$5:$N$428)),EOMONTH(B418,0),IF('Client DB &amp; Bed Mgmt'!$N$5:$N$428&lt;EOMONTH(B418,0),'Client DB &amp; Bed Mgmt'!$N$5:$N$428,EOMONTH(B418,0))))-(IF(('Client DB &amp; Bed Mgmt'!$M$5:$M$428="")+NOT(ISNUMBER('Client DB &amp; Bed Mgmt'!$M$5:$M$428)),DATE(YEAR(B418),MONTH(B418),1),IF('Client DB &amp; Bed Mgmt'!$M$5:$M$428&gt;DATE(YEAR(B418),MONTH(B418),1),'Client DB &amp; Bed Mgmt'!$M$5:$M$428,DATE(YEAR(B418),MONTH(B418),1))))+1)/DAY(EOMONTH(B418,0))),0)</f>
        <v/>
      </c>
    </row>
    <row r="419" ht="14.25" customHeight="1" s="83">
      <c r="A419" s="103" t="n"/>
      <c r="B419" s="125">
        <f>DATE(YEAR(StartDate),MONTH(StartDate),1)</f>
        <v/>
      </c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Mgmt'!$B:$B,C419,'Client DB &amp; Bed Mgmt'!$E:$E,"Occupied"),0)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>
        <f>IFERROR(J419*SUMPRODUCT(('Client DB &amp; Bed Mgmt'!$A$5:$A$428=A419)*('Client DB &amp; Bed Mgmt'!$B$5:$B$428=C419)*('Client DB &amp; Bed Mgmt'!$D$5:$D$428&lt;&gt;"")*--(('Client DB &amp; Bed Mgmt'!$M$5:$M$428="")+NOT(ISNUMBER('Client DB &amp; Bed Mgmt'!$M$5:$M$428))+IFERROR('Client DB &amp; Bed Mgmt'!$M$5:$M$428&lt;=EOMONTH(B419,0),FALSE)&gt;0)*--(('Client DB &amp; Bed Mgmt'!$N$5:$N$428="")+NOT(ISNUMBER('Client DB &amp; Bed Mgmt'!$N$5:$N$428))+IFERROR('Client DB &amp; Bed Mgmt'!$N$5:$N$428&gt;=DATE(YEAR(B419),MONTH(B419),1),FALSE)&gt;0)*((IF(('Client DB &amp; Bed Mgmt'!$N$5:$N$428="")+NOT(ISNUMBER('Client DB &amp; Bed Mgmt'!$N$5:$N$428)),EOMONTH(B419,0),IF('Client DB &amp; Bed Mgmt'!$N$5:$N$428&lt;EOMONTH(B419,0),'Client DB &amp; Bed Mgmt'!$N$5:$N$428,EOMONTH(B419,0))))-(IF(('Client DB &amp; Bed Mgmt'!$M$5:$M$428="")+NOT(ISNUMBER('Client DB &amp; Bed Mgmt'!$M$5:$M$428)),DATE(YEAR(B419),MONTH(B419),1),IF('Client DB &amp; Bed Mgmt'!$M$5:$M$428&gt;DATE(YEAR(B419),MONTH(B419),1),'Client DB &amp; Bed Mgmt'!$M$5:$M$428,DATE(YEAR(B419),MONTH(B419),1))))+1)/DAY(EOMONTH(B419,0))),0)</f>
        <v/>
      </c>
    </row>
    <row r="420" ht="14.25" customHeight="1" s="83">
      <c r="A420" s="103" t="n"/>
      <c r="B420" s="125">
        <f>DATE(YEAR(StartDate),MONTH(StartDate),1)</f>
        <v/>
      </c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Mgmt'!$B:$B,C420,'Client DB &amp; Bed Mgmt'!$E:$E,"Occupied"),0)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>
        <f>IFERROR(J420*SUMPRODUCT(('Client DB &amp; Bed Mgmt'!$A$5:$A$428=A420)*('Client DB &amp; Bed Mgmt'!$B$5:$B$428=C420)*('Client DB &amp; Bed Mgmt'!$D$5:$D$428&lt;&gt;"")*--(('Client DB &amp; Bed Mgmt'!$M$5:$M$428="")+NOT(ISNUMBER('Client DB &amp; Bed Mgmt'!$M$5:$M$428))+IFERROR('Client DB &amp; Bed Mgmt'!$M$5:$M$428&lt;=EOMONTH(B420,0),FALSE)&gt;0)*--(('Client DB &amp; Bed Mgmt'!$N$5:$N$428="")+NOT(ISNUMBER('Client DB &amp; Bed Mgmt'!$N$5:$N$428))+IFERROR('Client DB &amp; Bed Mgmt'!$N$5:$N$428&gt;=DATE(YEAR(B420),MONTH(B420),1),FALSE)&gt;0)*((IF(('Client DB &amp; Bed Mgmt'!$N$5:$N$428="")+NOT(ISNUMBER('Client DB &amp; Bed Mgmt'!$N$5:$N$428)),EOMONTH(B420,0),IF('Client DB &amp; Bed Mgmt'!$N$5:$N$428&lt;EOMONTH(B420,0),'Client DB &amp; Bed Mgmt'!$N$5:$N$428,EOMONTH(B420,0))))-(IF(('Client DB &amp; Bed Mgmt'!$M$5:$M$428="")+NOT(ISNUMBER('Client DB &amp; Bed Mgmt'!$M$5:$M$428)),DATE(YEAR(B420),MONTH(B420),1),IF('Client DB &amp; Bed Mgmt'!$M$5:$M$428&gt;DATE(YEAR(B420),MONTH(B420),1),'Client DB &amp; Bed Mgmt'!$M$5:$M$428,DATE(YEAR(B420),MONTH(B420),1))))+1)/DAY(EOMONTH(B420,0))),0)</f>
        <v/>
      </c>
    </row>
    <row r="421" ht="14.25" customHeight="1" s="83">
      <c r="A421" s="103" t="n"/>
      <c r="B421" s="125">
        <f>DATE(YEAR(StartDate),MONTH(StartDate),1)</f>
        <v/>
      </c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Mgmt'!$B:$B,C421,'Client DB &amp; Bed Mgmt'!$E:$E,"Occupied"),0)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>
        <f>IFERROR(J421*SUMPRODUCT(('Client DB &amp; Bed Mgmt'!$A$5:$A$428=A421)*('Client DB &amp; Bed Mgmt'!$B$5:$B$428=C421)*('Client DB &amp; Bed Mgmt'!$D$5:$D$428&lt;&gt;"")*--(('Client DB &amp; Bed Mgmt'!$M$5:$M$428="")+NOT(ISNUMBER('Client DB &amp; Bed Mgmt'!$M$5:$M$428))+IFERROR('Client DB &amp; Bed Mgmt'!$M$5:$M$428&lt;=EOMONTH(B421,0),FALSE)&gt;0)*--(('Client DB &amp; Bed Mgmt'!$N$5:$N$428="")+NOT(ISNUMBER('Client DB &amp; Bed Mgmt'!$N$5:$N$428))+IFERROR('Client DB &amp; Bed Mgmt'!$N$5:$N$428&gt;=DATE(YEAR(B421),MONTH(B421),1),FALSE)&gt;0)*((IF(('Client DB &amp; Bed Mgmt'!$N$5:$N$428="")+NOT(ISNUMBER('Client DB &amp; Bed Mgmt'!$N$5:$N$428)),EOMONTH(B421,0),IF('Client DB &amp; Bed Mgmt'!$N$5:$N$428&lt;EOMONTH(B421,0),'Client DB &amp; Bed Mgmt'!$N$5:$N$428,EOMONTH(B421,0))))-(IF(('Client DB &amp; Bed Mgmt'!$M$5:$M$428="")+NOT(ISNUMBER('Client DB &amp; Bed Mgmt'!$M$5:$M$428)),DATE(YEAR(B421),MONTH(B421),1),IF('Client DB &amp; Bed Mgmt'!$M$5:$M$428&gt;DATE(YEAR(B421),MONTH(B421),1),'Client DB &amp; Bed Mgmt'!$M$5:$M$428,DATE(YEAR(B421),MONTH(B421),1))))+1)/DAY(EOMONTH(B421,0))),0)</f>
        <v/>
      </c>
    </row>
    <row r="422" ht="14.25" customHeight="1" s="83">
      <c r="A422" s="103" t="n"/>
      <c r="B422" s="125">
        <f>DATE(YEAR(StartDate),MONTH(StartDate),1)</f>
        <v/>
      </c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Mgmt'!$B:$B,C422,'Client DB &amp; Bed Mgmt'!$E:$E,"Occupied"),0)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>
        <f>IFERROR(J422*SUMPRODUCT(('Client DB &amp; Bed Mgmt'!$A$5:$A$428=A422)*('Client DB &amp; Bed Mgmt'!$B$5:$B$428=C422)*('Client DB &amp; Bed Mgmt'!$D$5:$D$428&lt;&gt;"")*--(('Client DB &amp; Bed Mgmt'!$M$5:$M$428="")+NOT(ISNUMBER('Client DB &amp; Bed Mgmt'!$M$5:$M$428))+IFERROR('Client DB &amp; Bed Mgmt'!$M$5:$M$428&lt;=EOMONTH(B422,0),FALSE)&gt;0)*--(('Client DB &amp; Bed Mgmt'!$N$5:$N$428="")+NOT(ISNUMBER('Client DB &amp; Bed Mgmt'!$N$5:$N$428))+IFERROR('Client DB &amp; Bed Mgmt'!$N$5:$N$428&gt;=DATE(YEAR(B422),MONTH(B422),1),FALSE)&gt;0)*((IF(('Client DB &amp; Bed Mgmt'!$N$5:$N$428="")+NOT(ISNUMBER('Client DB &amp; Bed Mgmt'!$N$5:$N$428)),EOMONTH(B422,0),IF('Client DB &amp; Bed Mgmt'!$N$5:$N$428&lt;EOMONTH(B422,0),'Client DB &amp; Bed Mgmt'!$N$5:$N$428,EOMONTH(B422,0))))-(IF(('Client DB &amp; Bed Mgmt'!$M$5:$M$428="")+NOT(ISNUMBER('Client DB &amp; Bed Mgmt'!$M$5:$M$428)),DATE(YEAR(B422),MONTH(B422),1),IF('Client DB &amp; Bed Mgmt'!$M$5:$M$428&gt;DATE(YEAR(B422),MONTH(B422),1),'Client DB &amp; Bed Mgmt'!$M$5:$M$428,DATE(YEAR(B422),MONTH(B422),1))))+1)/DAY(EOMONTH(B422,0))),0)</f>
        <v/>
      </c>
    </row>
    <row r="423" ht="14.25" customHeight="1" s="83">
      <c r="A423" s="103" t="n"/>
      <c r="B423" s="125">
        <f>DATE(YEAR(StartDate),MONTH(StartDate),1)</f>
        <v/>
      </c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Mgmt'!$B:$B,C423,'Client DB &amp; Bed Mgmt'!$E:$E,"Occupied"),0)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>
        <f>IFERROR(J423*SUMPRODUCT(('Client DB &amp; Bed Mgmt'!$A$5:$A$428=A423)*('Client DB &amp; Bed Mgmt'!$B$5:$B$428=C423)*('Client DB &amp; Bed Mgmt'!$D$5:$D$428&lt;&gt;"")*--(('Client DB &amp; Bed Mgmt'!$M$5:$M$428="")+NOT(ISNUMBER('Client DB &amp; Bed Mgmt'!$M$5:$M$428))+IFERROR('Client DB &amp; Bed Mgmt'!$M$5:$M$428&lt;=EOMONTH(B423,0),FALSE)&gt;0)*--(('Client DB &amp; Bed Mgmt'!$N$5:$N$428="")+NOT(ISNUMBER('Client DB &amp; Bed Mgmt'!$N$5:$N$428))+IFERROR('Client DB &amp; Bed Mgmt'!$N$5:$N$428&gt;=DATE(YEAR(B423),MONTH(B423),1),FALSE)&gt;0)*((IF(('Client DB &amp; Bed Mgmt'!$N$5:$N$428="")+NOT(ISNUMBER('Client DB &amp; Bed Mgmt'!$N$5:$N$428)),EOMONTH(B423,0),IF('Client DB &amp; Bed Mgmt'!$N$5:$N$428&lt;EOMONTH(B423,0),'Client DB &amp; Bed Mgmt'!$N$5:$N$428,EOMONTH(B423,0))))-(IF(('Client DB &amp; Bed Mgmt'!$M$5:$M$428="")+NOT(ISNUMBER('Client DB &amp; Bed Mgmt'!$M$5:$M$428)),DATE(YEAR(B423),MONTH(B423),1),IF('Client DB &amp; Bed Mgmt'!$M$5:$M$428&gt;DATE(YEAR(B423),MONTH(B423),1),'Client DB &amp; Bed Mgmt'!$M$5:$M$428,DATE(YEAR(B423),MONTH(B423),1))))+1)/DAY(EOMONTH(B423,0))),0)</f>
        <v/>
      </c>
    </row>
    <row r="424" ht="14.25" customHeight="1" s="83">
      <c r="A424" s="103" t="n"/>
      <c r="B424" s="125">
        <f>DATE(YEAR(StartDate),MONTH(StartDate),1)</f>
        <v/>
      </c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Mgmt'!$B:$B,C424,'Client DB &amp; Bed Mgmt'!$E:$E,"Occupied"),0)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>
        <f>IFERROR(J424*SUMPRODUCT(('Client DB &amp; Bed Mgmt'!$A$5:$A$428=A424)*('Client DB &amp; Bed Mgmt'!$B$5:$B$428=C424)*('Client DB &amp; Bed Mgmt'!$D$5:$D$428&lt;&gt;"")*--(('Client DB &amp; Bed Mgmt'!$M$5:$M$428="")+NOT(ISNUMBER('Client DB &amp; Bed Mgmt'!$M$5:$M$428))+IFERROR('Client DB &amp; Bed Mgmt'!$M$5:$M$428&lt;=EOMONTH(B424,0),FALSE)&gt;0)*--(('Client DB &amp; Bed Mgmt'!$N$5:$N$428="")+NOT(ISNUMBER('Client DB &amp; Bed Mgmt'!$N$5:$N$428))+IFERROR('Client DB &amp; Bed Mgmt'!$N$5:$N$428&gt;=DATE(YEAR(B424),MONTH(B424),1),FALSE)&gt;0)*((IF(('Client DB &amp; Bed Mgmt'!$N$5:$N$428="")+NOT(ISNUMBER('Client DB &amp; Bed Mgmt'!$N$5:$N$428)),EOMONTH(B424,0),IF('Client DB &amp; Bed Mgmt'!$N$5:$N$428&lt;EOMONTH(B424,0),'Client DB &amp; Bed Mgmt'!$N$5:$N$428,EOMONTH(B424,0))))-(IF(('Client DB &amp; Bed Mgmt'!$M$5:$M$428="")+NOT(ISNUMBER('Client DB &amp; Bed Mgmt'!$M$5:$M$428)),DATE(YEAR(B424),MONTH(B424),1),IF('Client DB &amp; Bed Mgmt'!$M$5:$M$428&gt;DATE(YEAR(B424),MONTH(B424),1),'Client DB &amp; Bed Mgmt'!$M$5:$M$428,DATE(YEAR(B424),MONTH(B424),1))))+1)/DAY(EOMONTH(B424,0))),0)</f>
        <v/>
      </c>
    </row>
    <row r="425" ht="14.25" customHeight="1" s="83">
      <c r="A425" s="103" t="n"/>
      <c r="B425" s="125">
        <f>DATE(YEAR(StartDate),MONTH(StartDate),1)</f>
        <v/>
      </c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Mgmt'!$B:$B,C425,'Client DB &amp; Bed Mgmt'!$E:$E,"Occupied"),0)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>
        <f>IFERROR(J425*SUMPRODUCT(('Client DB &amp; Bed Mgmt'!$A$5:$A$428=A425)*('Client DB &amp; Bed Mgmt'!$B$5:$B$428=C425)*('Client DB &amp; Bed Mgmt'!$D$5:$D$428&lt;&gt;"")*--(('Client DB &amp; Bed Mgmt'!$M$5:$M$428="")+NOT(ISNUMBER('Client DB &amp; Bed Mgmt'!$M$5:$M$428))+IFERROR('Client DB &amp; Bed Mgmt'!$M$5:$M$428&lt;=EOMONTH(B425,0),FALSE)&gt;0)*--(('Client DB &amp; Bed Mgmt'!$N$5:$N$428="")+NOT(ISNUMBER('Client DB &amp; Bed Mgmt'!$N$5:$N$428))+IFERROR('Client DB &amp; Bed Mgmt'!$N$5:$N$428&gt;=DATE(YEAR(B425),MONTH(B425),1),FALSE)&gt;0)*((IF(('Client DB &amp; Bed Mgmt'!$N$5:$N$428="")+NOT(ISNUMBER('Client DB &amp; Bed Mgmt'!$N$5:$N$428)),EOMONTH(B425,0),IF('Client DB &amp; Bed Mgmt'!$N$5:$N$428&lt;EOMONTH(B425,0),'Client DB &amp; Bed Mgmt'!$N$5:$N$428,EOMONTH(B425,0))))-(IF(('Client DB &amp; Bed Mgmt'!$M$5:$M$428="")+NOT(ISNUMBER('Client DB &amp; Bed Mgmt'!$M$5:$M$428)),DATE(YEAR(B425),MONTH(B425),1),IF('Client DB &amp; Bed Mgmt'!$M$5:$M$428&gt;DATE(YEAR(B425),MONTH(B425),1),'Client DB &amp; Bed Mgmt'!$M$5:$M$428,DATE(YEAR(B425),MONTH(B425),1))))+1)/DAY(EOMONTH(B425,0))),0)</f>
        <v/>
      </c>
    </row>
    <row r="426" ht="14.25" customHeight="1" s="83">
      <c r="A426" s="103" t="n"/>
      <c r="B426" s="125">
        <f>DATE(YEAR(StartDate),MONTH(StartDate),1)</f>
        <v/>
      </c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Mgmt'!$B:$B,C426,'Client DB &amp; Bed Mgmt'!$E:$E,"Occupied"),0)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>
        <f>IFERROR(J426*SUMPRODUCT(('Client DB &amp; Bed Mgmt'!$A$5:$A$428=A426)*('Client DB &amp; Bed Mgmt'!$B$5:$B$428=C426)*('Client DB &amp; Bed Mgmt'!$D$5:$D$428&lt;&gt;"")*--(('Client DB &amp; Bed Mgmt'!$M$5:$M$428="")+NOT(ISNUMBER('Client DB &amp; Bed Mgmt'!$M$5:$M$428))+IFERROR('Client DB &amp; Bed Mgmt'!$M$5:$M$428&lt;=EOMONTH(B426,0),FALSE)&gt;0)*--(('Client DB &amp; Bed Mgmt'!$N$5:$N$428="")+NOT(ISNUMBER('Client DB &amp; Bed Mgmt'!$N$5:$N$428))+IFERROR('Client DB &amp; Bed Mgmt'!$N$5:$N$428&gt;=DATE(YEAR(B426),MONTH(B426),1),FALSE)&gt;0)*((IF(('Client DB &amp; Bed Mgmt'!$N$5:$N$428="")+NOT(ISNUMBER('Client DB &amp; Bed Mgmt'!$N$5:$N$428)),EOMONTH(B426,0),IF('Client DB &amp; Bed Mgmt'!$N$5:$N$428&lt;EOMONTH(B426,0),'Client DB &amp; Bed Mgmt'!$N$5:$N$428,EOMONTH(B426,0))))-(IF(('Client DB &amp; Bed Mgmt'!$M$5:$M$428="")+NOT(ISNUMBER('Client DB &amp; Bed Mgmt'!$M$5:$M$428)),DATE(YEAR(B426),MONTH(B426),1),IF('Client DB &amp; Bed Mgmt'!$M$5:$M$428&gt;DATE(YEAR(B426),MONTH(B426),1),'Client DB &amp; Bed Mgmt'!$M$5:$M$428,DATE(YEAR(B426),MONTH(B426),1))))+1)/DAY(EOMONTH(B426,0))),0)</f>
        <v/>
      </c>
    </row>
    <row r="427" ht="14.25" customHeight="1" s="83">
      <c r="A427" s="103" t="n"/>
      <c r="B427" s="125">
        <f>DATE(YEAR(StartDate),MONTH(StartDate),1)</f>
        <v/>
      </c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Mgmt'!$B:$B,C427,'Client DB &amp; Bed Mgmt'!$E:$E,"Occupied"),0)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>
        <f>IFERROR(J427*SUMPRODUCT(('Client DB &amp; Bed Mgmt'!$A$5:$A$428=A427)*('Client DB &amp; Bed Mgmt'!$B$5:$B$428=C427)*('Client DB &amp; Bed Mgmt'!$D$5:$D$428&lt;&gt;"")*--(('Client DB &amp; Bed Mgmt'!$M$5:$M$428="")+NOT(ISNUMBER('Client DB &amp; Bed Mgmt'!$M$5:$M$428))+IFERROR('Client DB &amp; Bed Mgmt'!$M$5:$M$428&lt;=EOMONTH(B427,0),FALSE)&gt;0)*--(('Client DB &amp; Bed Mgmt'!$N$5:$N$428="")+NOT(ISNUMBER('Client DB &amp; Bed Mgmt'!$N$5:$N$428))+IFERROR('Client DB &amp; Bed Mgmt'!$N$5:$N$428&gt;=DATE(YEAR(B427),MONTH(B427),1),FALSE)&gt;0)*((IF(('Client DB &amp; Bed Mgmt'!$N$5:$N$428="")+NOT(ISNUMBER('Client DB &amp; Bed Mgmt'!$N$5:$N$428)),EOMONTH(B427,0),IF('Client DB &amp; Bed Mgmt'!$N$5:$N$428&lt;EOMONTH(B427,0),'Client DB &amp; Bed Mgmt'!$N$5:$N$428,EOMONTH(B427,0))))-(IF(('Client DB &amp; Bed Mgmt'!$M$5:$M$428="")+NOT(ISNUMBER('Client DB &amp; Bed Mgmt'!$M$5:$M$428)),DATE(YEAR(B427),MONTH(B427),1),IF('Client DB &amp; Bed Mgmt'!$M$5:$M$428&gt;DATE(YEAR(B427),MONTH(B427),1),'Client DB &amp; Bed Mgmt'!$M$5:$M$428,DATE(YEAR(B427),MONTH(B427),1))))+1)/DAY(EOMONTH(B427,0))),0)</f>
        <v/>
      </c>
    </row>
    <row r="428" ht="14.25" customHeight="1" s="83">
      <c r="A428" s="103" t="n"/>
      <c r="B428" s="125">
        <f>DATE(YEAR(StartDate),MONTH(StartDate),1)</f>
        <v/>
      </c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Mgmt'!$B:$B,C428,'Client DB &amp; Bed Mgmt'!$E:$E,"Occupied"),0)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>
        <f>IFERROR(J428*SUMPRODUCT(('Client DB &amp; Bed Mgmt'!$A$5:$A$428=A428)*('Client DB &amp; Bed Mgmt'!$B$5:$B$428=C428)*('Client DB &amp; Bed Mgmt'!$D$5:$D$428&lt;&gt;"")*--(('Client DB &amp; Bed Mgmt'!$M$5:$M$428="")+NOT(ISNUMBER('Client DB &amp; Bed Mgmt'!$M$5:$M$428))+IFERROR('Client DB &amp; Bed Mgmt'!$M$5:$M$428&lt;=EOMONTH(B428,0),FALSE)&gt;0)*--(('Client DB &amp; Bed Mgmt'!$N$5:$N$428="")+NOT(ISNUMBER('Client DB &amp; Bed Mgmt'!$N$5:$N$428))+IFERROR('Client DB &amp; Bed Mgmt'!$N$5:$N$428&gt;=DATE(YEAR(B428),MONTH(B428),1),FALSE)&gt;0)*((IF(('Client DB &amp; Bed Mgmt'!$N$5:$N$428="")+NOT(ISNUMBER('Client DB &amp; Bed Mgmt'!$N$5:$N$428)),EOMONTH(B428,0),IF('Client DB &amp; Bed Mgmt'!$N$5:$N$428&lt;EOMONTH(B428,0),'Client DB &amp; Bed Mgmt'!$N$5:$N$428,EOMONTH(B428,0))))-(IF(('Client DB &amp; Bed Mgmt'!$M$5:$M$428="")+NOT(ISNUMBER('Client DB &amp; Bed Mgmt'!$M$5:$M$428)),DATE(YEAR(B428),MONTH(B428),1),IF('Client DB &amp; Bed Mgmt'!$M$5:$M$428&gt;DATE(YEAR(B428),MONTH(B428),1),'Client DB &amp; Bed Mgmt'!$M$5:$M$428,DATE(YEAR(B428),MONTH(B428),1))))+1)/DAY(EOMONTH(B428,0))),0)</f>
        <v/>
      </c>
    </row>
    <row r="429" ht="14.25" customHeight="1" s="83">
      <c r="A429" s="103" t="n"/>
      <c r="B429" s="125">
        <f>DATE(YEAR(StartDate),MONTH(StartDate),1)</f>
        <v/>
      </c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Mgmt'!$B:$B,C429,'Client DB &amp; Bed Mgmt'!$E:$E,"Occupied"),0)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>
        <f>IFERROR(J429*SUMPRODUCT(('Client DB &amp; Bed Mgmt'!$A$5:$A$428=A429)*('Client DB &amp; Bed Mgmt'!$B$5:$B$428=C429)*('Client DB &amp; Bed Mgmt'!$D$5:$D$428&lt;&gt;"")*--(('Client DB &amp; Bed Mgmt'!$M$5:$M$428="")+NOT(ISNUMBER('Client DB &amp; Bed Mgmt'!$M$5:$M$428))+IFERROR('Client DB &amp; Bed Mgmt'!$M$5:$M$428&lt;=EOMONTH(B429,0),FALSE)&gt;0)*--(('Client DB &amp; Bed Mgmt'!$N$5:$N$428="")+NOT(ISNUMBER('Client DB &amp; Bed Mgmt'!$N$5:$N$428))+IFERROR('Client DB &amp; Bed Mgmt'!$N$5:$N$428&gt;=DATE(YEAR(B429),MONTH(B429),1),FALSE)&gt;0)*((IF(('Client DB &amp; Bed Mgmt'!$N$5:$N$428="")+NOT(ISNUMBER('Client DB &amp; Bed Mgmt'!$N$5:$N$428)),EOMONTH(B429,0),IF('Client DB &amp; Bed Mgmt'!$N$5:$N$428&lt;EOMONTH(B429,0),'Client DB &amp; Bed Mgmt'!$N$5:$N$428,EOMONTH(B429,0))))-(IF(('Client DB &amp; Bed Mgmt'!$M$5:$M$428="")+NOT(ISNUMBER('Client DB &amp; Bed Mgmt'!$M$5:$M$428)),DATE(YEAR(B429),MONTH(B429),1),IF('Client DB &amp; Bed Mgmt'!$M$5:$M$428&gt;DATE(YEAR(B429),MONTH(B429),1),'Client DB &amp; Bed Mgmt'!$M$5:$M$428,DATE(YEAR(B429),MONTH(B429),1))))+1)/DAY(EOMONTH(B429,0))),0)</f>
        <v/>
      </c>
    </row>
    <row r="430" ht="14.25" customHeight="1" s="83">
      <c r="A430" s="103" t="n"/>
      <c r="B430" s="125">
        <f>DATE(YEAR(StartDate),MONTH(StartDate),1)</f>
        <v/>
      </c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Mgmt'!$B:$B,C430,'Client DB &amp; Bed Mgmt'!$E:$E,"Occupied"),0)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>
        <f>IFERROR(J430*SUMPRODUCT(('Client DB &amp; Bed Mgmt'!$A$5:$A$428=A430)*('Client DB &amp; Bed Mgmt'!$B$5:$B$428=C430)*('Client DB &amp; Bed Mgmt'!$D$5:$D$428&lt;&gt;"")*--(('Client DB &amp; Bed Mgmt'!$M$5:$M$428="")+NOT(ISNUMBER('Client DB &amp; Bed Mgmt'!$M$5:$M$428))+IFERROR('Client DB &amp; Bed Mgmt'!$M$5:$M$428&lt;=EOMONTH(B430,0),FALSE)&gt;0)*--(('Client DB &amp; Bed Mgmt'!$N$5:$N$428="")+NOT(ISNUMBER('Client DB &amp; Bed Mgmt'!$N$5:$N$428))+IFERROR('Client DB &amp; Bed Mgmt'!$N$5:$N$428&gt;=DATE(YEAR(B430),MONTH(B430),1),FALSE)&gt;0)*((IF(('Client DB &amp; Bed Mgmt'!$N$5:$N$428="")+NOT(ISNUMBER('Client DB &amp; Bed Mgmt'!$N$5:$N$428)),EOMONTH(B430,0),IF('Client DB &amp; Bed Mgmt'!$N$5:$N$428&lt;EOMONTH(B430,0),'Client DB &amp; Bed Mgmt'!$N$5:$N$428,EOMONTH(B430,0))))-(IF(('Client DB &amp; Bed Mgmt'!$M$5:$M$428="")+NOT(ISNUMBER('Client DB &amp; Bed Mgmt'!$M$5:$M$428)),DATE(YEAR(B430),MONTH(B430),1),IF('Client DB &amp; Bed Mgmt'!$M$5:$M$428&gt;DATE(YEAR(B430),MONTH(B430),1),'Client DB &amp; Bed Mgmt'!$M$5:$M$428,DATE(YEAR(B430),MONTH(B430),1))))+1)/DAY(EOMONTH(B430,0))),0)</f>
        <v/>
      </c>
    </row>
    <row r="431" ht="14.25" customHeight="1" s="83">
      <c r="A431" s="103" t="n"/>
      <c r="B431" s="125">
        <f>DATE(YEAR(StartDate),MONTH(StartDate),1)</f>
        <v/>
      </c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Mgmt'!$B:$B,C431,'Client DB &amp; Bed Mgmt'!$E:$E,"Occupied"),0)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>
        <f>IFERROR(J431*SUMPRODUCT(('Client DB &amp; Bed Mgmt'!$A$5:$A$428=A431)*('Client DB &amp; Bed Mgmt'!$B$5:$B$428=C431)*('Client DB &amp; Bed Mgmt'!$D$5:$D$428&lt;&gt;"")*--(('Client DB &amp; Bed Mgmt'!$M$5:$M$428="")+NOT(ISNUMBER('Client DB &amp; Bed Mgmt'!$M$5:$M$428))+IFERROR('Client DB &amp; Bed Mgmt'!$M$5:$M$428&lt;=EOMONTH(B431,0),FALSE)&gt;0)*--(('Client DB &amp; Bed Mgmt'!$N$5:$N$428="")+NOT(ISNUMBER('Client DB &amp; Bed Mgmt'!$N$5:$N$428))+IFERROR('Client DB &amp; Bed Mgmt'!$N$5:$N$428&gt;=DATE(YEAR(B431),MONTH(B431),1),FALSE)&gt;0)*((IF(('Client DB &amp; Bed Mgmt'!$N$5:$N$428="")+NOT(ISNUMBER('Client DB &amp; Bed Mgmt'!$N$5:$N$428)),EOMONTH(B431,0),IF('Client DB &amp; Bed Mgmt'!$N$5:$N$428&lt;EOMONTH(B431,0),'Client DB &amp; Bed Mgmt'!$N$5:$N$428,EOMONTH(B431,0))))-(IF(('Client DB &amp; Bed Mgmt'!$M$5:$M$428="")+NOT(ISNUMBER('Client DB &amp; Bed Mgmt'!$M$5:$M$428)),DATE(YEAR(B431),MONTH(B431),1),IF('Client DB &amp; Bed Mgmt'!$M$5:$M$428&gt;DATE(YEAR(B431),MONTH(B431),1),'Client DB &amp; Bed Mgmt'!$M$5:$M$428,DATE(YEAR(B431),MONTH(B431),1))))+1)/DAY(EOMONTH(B431,0))),0)</f>
        <v/>
      </c>
    </row>
    <row r="432" ht="14.25" customHeight="1" s="83">
      <c r="A432" s="103" t="n"/>
      <c r="B432" s="125">
        <f>DATE(YEAR(StartDate),MONTH(StartDate),1)</f>
        <v/>
      </c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Mgmt'!$B:$B,C432,'Client DB &amp; Bed Mgmt'!$E:$E,"Occupied"),0)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>
        <f>IFERROR(J432*SUMPRODUCT(('Client DB &amp; Bed Mgmt'!$A$5:$A$428=A432)*('Client DB &amp; Bed Mgmt'!$B$5:$B$428=C432)*('Client DB &amp; Bed Mgmt'!$D$5:$D$428&lt;&gt;"")*--(('Client DB &amp; Bed Mgmt'!$M$5:$M$428="")+NOT(ISNUMBER('Client DB &amp; Bed Mgmt'!$M$5:$M$428))+IFERROR('Client DB &amp; Bed Mgmt'!$M$5:$M$428&lt;=EOMONTH(B432,0),FALSE)&gt;0)*--(('Client DB &amp; Bed Mgmt'!$N$5:$N$428="")+NOT(ISNUMBER('Client DB &amp; Bed Mgmt'!$N$5:$N$428))+IFERROR('Client DB &amp; Bed Mgmt'!$N$5:$N$428&gt;=DATE(YEAR(B432),MONTH(B432),1),FALSE)&gt;0)*((IF(('Client DB &amp; Bed Mgmt'!$N$5:$N$428="")+NOT(ISNUMBER('Client DB &amp; Bed Mgmt'!$N$5:$N$428)),EOMONTH(B432,0),IF('Client DB &amp; Bed Mgmt'!$N$5:$N$428&lt;EOMONTH(B432,0),'Client DB &amp; Bed Mgmt'!$N$5:$N$428,EOMONTH(B432,0))))-(IF(('Client DB &amp; Bed Mgmt'!$M$5:$M$428="")+NOT(ISNUMBER('Client DB &amp; Bed Mgmt'!$M$5:$M$428)),DATE(YEAR(B432),MONTH(B432),1),IF('Client DB &amp; Bed Mgmt'!$M$5:$M$428&gt;DATE(YEAR(B432),MONTH(B432),1),'Client DB &amp; Bed Mgmt'!$M$5:$M$428,DATE(YEAR(B432),MONTH(B432),1))))+1)/DAY(EOMONTH(B432,0))),0)</f>
        <v/>
      </c>
    </row>
    <row r="433" ht="14.25" customHeight="1" s="83">
      <c r="A433" s="103" t="n"/>
      <c r="B433" s="125">
        <f>DATE(YEAR(StartDate),MONTH(StartDate),1)</f>
        <v/>
      </c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Mgmt'!$B:$B,C433,'Client DB &amp; Bed Mgmt'!$E:$E,"Occupied"),0)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>
        <f>IFERROR(J433*SUMPRODUCT(('Client DB &amp; Bed Mgmt'!$A$5:$A$428=A433)*('Client DB &amp; Bed Mgmt'!$B$5:$B$428=C433)*('Client DB &amp; Bed Mgmt'!$D$5:$D$428&lt;&gt;"")*--(('Client DB &amp; Bed Mgmt'!$M$5:$M$428="")+NOT(ISNUMBER('Client DB &amp; Bed Mgmt'!$M$5:$M$428))+IFERROR('Client DB &amp; Bed Mgmt'!$M$5:$M$428&lt;=EOMONTH(B433,0),FALSE)&gt;0)*--(('Client DB &amp; Bed Mgmt'!$N$5:$N$428="")+NOT(ISNUMBER('Client DB &amp; Bed Mgmt'!$N$5:$N$428))+IFERROR('Client DB &amp; Bed Mgmt'!$N$5:$N$428&gt;=DATE(YEAR(B433),MONTH(B433),1),FALSE)&gt;0)*((IF(('Client DB &amp; Bed Mgmt'!$N$5:$N$428="")+NOT(ISNUMBER('Client DB &amp; Bed Mgmt'!$N$5:$N$428)),EOMONTH(B433,0),IF('Client DB &amp; Bed Mgmt'!$N$5:$N$428&lt;EOMONTH(B433,0),'Client DB &amp; Bed Mgmt'!$N$5:$N$428,EOMONTH(B433,0))))-(IF(('Client DB &amp; Bed Mgmt'!$M$5:$M$428="")+NOT(ISNUMBER('Client DB &amp; Bed Mgmt'!$M$5:$M$428)),DATE(YEAR(B433),MONTH(B433),1),IF('Client DB &amp; Bed Mgmt'!$M$5:$M$428&gt;DATE(YEAR(B433),MONTH(B433),1),'Client DB &amp; Bed Mgmt'!$M$5:$M$428,DATE(YEAR(B433),MONTH(B433),1))))+1)/DAY(EOMONTH(B433,0))),0)</f>
        <v/>
      </c>
    </row>
    <row r="434" ht="14.25" customHeight="1" s="83">
      <c r="A434" s="103" t="n"/>
      <c r="B434" s="125">
        <f>DATE(YEAR(StartDate),MONTH(StartDate),1)</f>
        <v/>
      </c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Mgmt'!$B:$B,C434,'Client DB &amp; Bed Mgmt'!$E:$E,"Occupied"),0)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>
        <f>IFERROR(J434*SUMPRODUCT(('Client DB &amp; Bed Mgmt'!$A$5:$A$428=A434)*('Client DB &amp; Bed Mgmt'!$B$5:$B$428=C434)*('Client DB &amp; Bed Mgmt'!$D$5:$D$428&lt;&gt;"")*--(('Client DB &amp; Bed Mgmt'!$M$5:$M$428="")+NOT(ISNUMBER('Client DB &amp; Bed Mgmt'!$M$5:$M$428))+IFERROR('Client DB &amp; Bed Mgmt'!$M$5:$M$428&lt;=EOMONTH(B434,0),FALSE)&gt;0)*--(('Client DB &amp; Bed Mgmt'!$N$5:$N$428="")+NOT(ISNUMBER('Client DB &amp; Bed Mgmt'!$N$5:$N$428))+IFERROR('Client DB &amp; Bed Mgmt'!$N$5:$N$428&gt;=DATE(YEAR(B434),MONTH(B434),1),FALSE)&gt;0)*((IF(('Client DB &amp; Bed Mgmt'!$N$5:$N$428="")+NOT(ISNUMBER('Client DB &amp; Bed Mgmt'!$N$5:$N$428)),EOMONTH(B434,0),IF('Client DB &amp; Bed Mgmt'!$N$5:$N$428&lt;EOMONTH(B434,0),'Client DB &amp; Bed Mgmt'!$N$5:$N$428,EOMONTH(B434,0))))-(IF(('Client DB &amp; Bed Mgmt'!$M$5:$M$428="")+NOT(ISNUMBER('Client DB &amp; Bed Mgmt'!$M$5:$M$428)),DATE(YEAR(B434),MONTH(B434),1),IF('Client DB &amp; Bed Mgmt'!$M$5:$M$428&gt;DATE(YEAR(B434),MONTH(B434),1),'Client DB &amp; Bed Mgmt'!$M$5:$M$428,DATE(YEAR(B434),MONTH(B434),1))))+1)/DAY(EOMONTH(B434,0))),0)</f>
        <v/>
      </c>
    </row>
    <row r="435" ht="14.25" customHeight="1" s="83">
      <c r="A435" s="103" t="n"/>
      <c r="B435" s="125">
        <f>DATE(YEAR(StartDate),MONTH(StartDate),1)</f>
        <v/>
      </c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Mgmt'!$B:$B,C435,'Client DB &amp; Bed Mgmt'!$E:$E,"Occupied"),0)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>
        <f>IFERROR(J435*SUMPRODUCT(('Client DB &amp; Bed Mgmt'!$A$5:$A$428=A435)*('Client DB &amp; Bed Mgmt'!$B$5:$B$428=C435)*('Client DB &amp; Bed Mgmt'!$D$5:$D$428&lt;&gt;"")*--(('Client DB &amp; Bed Mgmt'!$M$5:$M$428="")+NOT(ISNUMBER('Client DB &amp; Bed Mgmt'!$M$5:$M$428))+IFERROR('Client DB &amp; Bed Mgmt'!$M$5:$M$428&lt;=EOMONTH(B435,0),FALSE)&gt;0)*--(('Client DB &amp; Bed Mgmt'!$N$5:$N$428="")+NOT(ISNUMBER('Client DB &amp; Bed Mgmt'!$N$5:$N$428))+IFERROR('Client DB &amp; Bed Mgmt'!$N$5:$N$428&gt;=DATE(YEAR(B435),MONTH(B435),1),FALSE)&gt;0)*((IF(('Client DB &amp; Bed Mgmt'!$N$5:$N$428="")+NOT(ISNUMBER('Client DB &amp; Bed Mgmt'!$N$5:$N$428)),EOMONTH(B435,0),IF('Client DB &amp; Bed Mgmt'!$N$5:$N$428&lt;EOMONTH(B435,0),'Client DB &amp; Bed Mgmt'!$N$5:$N$428,EOMONTH(B435,0))))-(IF(('Client DB &amp; Bed Mgmt'!$M$5:$M$428="")+NOT(ISNUMBER('Client DB &amp; Bed Mgmt'!$M$5:$M$428)),DATE(YEAR(B435),MONTH(B435),1),IF('Client DB &amp; Bed Mgmt'!$M$5:$M$428&gt;DATE(YEAR(B435),MONTH(B435),1),'Client DB &amp; Bed Mgmt'!$M$5:$M$428,DATE(YEAR(B435),MONTH(B435),1))))+1)/DAY(EOMONTH(B435,0))),0)</f>
        <v/>
      </c>
    </row>
    <row r="436" ht="14.25" customHeight="1" s="83">
      <c r="A436" s="103" t="n"/>
      <c r="B436" s="125">
        <f>DATE(YEAR(StartDate),MONTH(StartDate),1)</f>
        <v/>
      </c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Mgmt'!$B:$B,C436,'Client DB &amp; Bed Mgmt'!$E:$E,"Occupied"),0)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>
        <f>IFERROR(J436*SUMPRODUCT(('Client DB &amp; Bed Mgmt'!$A$5:$A$428=A436)*('Client DB &amp; Bed Mgmt'!$B$5:$B$428=C436)*('Client DB &amp; Bed Mgmt'!$D$5:$D$428&lt;&gt;"")*--(('Client DB &amp; Bed Mgmt'!$M$5:$M$428="")+NOT(ISNUMBER('Client DB &amp; Bed Mgmt'!$M$5:$M$428))+IFERROR('Client DB &amp; Bed Mgmt'!$M$5:$M$428&lt;=EOMONTH(B436,0),FALSE)&gt;0)*--(('Client DB &amp; Bed Mgmt'!$N$5:$N$428="")+NOT(ISNUMBER('Client DB &amp; Bed Mgmt'!$N$5:$N$428))+IFERROR('Client DB &amp; Bed Mgmt'!$N$5:$N$428&gt;=DATE(YEAR(B436),MONTH(B436),1),FALSE)&gt;0)*((IF(('Client DB &amp; Bed Mgmt'!$N$5:$N$428="")+NOT(ISNUMBER('Client DB &amp; Bed Mgmt'!$N$5:$N$428)),EOMONTH(B436,0),IF('Client DB &amp; Bed Mgmt'!$N$5:$N$428&lt;EOMONTH(B436,0),'Client DB &amp; Bed Mgmt'!$N$5:$N$428,EOMONTH(B436,0))))-(IF(('Client DB &amp; Bed Mgmt'!$M$5:$M$428="")+NOT(ISNUMBER('Client DB &amp; Bed Mgmt'!$M$5:$M$428)),DATE(YEAR(B436),MONTH(B436),1),IF('Client DB &amp; Bed Mgmt'!$M$5:$M$428&gt;DATE(YEAR(B436),MONTH(B436),1),'Client DB &amp; Bed Mgmt'!$M$5:$M$428,DATE(YEAR(B436),MONTH(B436),1))))+1)/DAY(EOMONTH(B436,0))),0)</f>
        <v/>
      </c>
    </row>
    <row r="437" ht="14.25" customHeight="1" s="83">
      <c r="A437" s="103" t="n"/>
      <c r="B437" s="125">
        <f>DATE(YEAR(StartDate),MONTH(StartDate),1)</f>
        <v/>
      </c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Mgmt'!$B:$B,C437,'Client DB &amp; Bed Mgmt'!$E:$E,"Occupied"),0)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>
        <f>IFERROR(J437*SUMPRODUCT(('Client DB &amp; Bed Mgmt'!$A$5:$A$428=A437)*('Client DB &amp; Bed Mgmt'!$B$5:$B$428=C437)*('Client DB &amp; Bed Mgmt'!$D$5:$D$428&lt;&gt;"")*--(('Client DB &amp; Bed Mgmt'!$M$5:$M$428="")+NOT(ISNUMBER('Client DB &amp; Bed Mgmt'!$M$5:$M$428))+IFERROR('Client DB &amp; Bed Mgmt'!$M$5:$M$428&lt;=EOMONTH(B437,0),FALSE)&gt;0)*--(('Client DB &amp; Bed Mgmt'!$N$5:$N$428="")+NOT(ISNUMBER('Client DB &amp; Bed Mgmt'!$N$5:$N$428))+IFERROR('Client DB &amp; Bed Mgmt'!$N$5:$N$428&gt;=DATE(YEAR(B437),MONTH(B437),1),FALSE)&gt;0)*((IF(('Client DB &amp; Bed Mgmt'!$N$5:$N$428="")+NOT(ISNUMBER('Client DB &amp; Bed Mgmt'!$N$5:$N$428)),EOMONTH(B437,0),IF('Client DB &amp; Bed Mgmt'!$N$5:$N$428&lt;EOMONTH(B437,0),'Client DB &amp; Bed Mgmt'!$N$5:$N$428,EOMONTH(B437,0))))-(IF(('Client DB &amp; Bed Mgmt'!$M$5:$M$428="")+NOT(ISNUMBER('Client DB &amp; Bed Mgmt'!$M$5:$M$428)),DATE(YEAR(B437),MONTH(B437),1),IF('Client DB &amp; Bed Mgmt'!$M$5:$M$428&gt;DATE(YEAR(B437),MONTH(B437),1),'Client DB &amp; Bed Mgmt'!$M$5:$M$428,DATE(YEAR(B437),MONTH(B437),1))))+1)/DAY(EOMONTH(B437,0))),0)</f>
        <v/>
      </c>
    </row>
    <row r="438" ht="14.25" customHeight="1" s="83">
      <c r="A438" s="103" t="n"/>
      <c r="B438" s="125">
        <f>DATE(YEAR(StartDate),MONTH(StartDate),1)</f>
        <v/>
      </c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Mgmt'!$B:$B,C438,'Client DB &amp; Bed Mgmt'!$E:$E,"Occupied"),0)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>
        <f>IFERROR(J438*SUMPRODUCT(('Client DB &amp; Bed Mgmt'!$A$5:$A$428=A438)*('Client DB &amp; Bed Mgmt'!$B$5:$B$428=C438)*('Client DB &amp; Bed Mgmt'!$D$5:$D$428&lt;&gt;"")*--(('Client DB &amp; Bed Mgmt'!$M$5:$M$428="")+NOT(ISNUMBER('Client DB &amp; Bed Mgmt'!$M$5:$M$428))+IFERROR('Client DB &amp; Bed Mgmt'!$M$5:$M$428&lt;=EOMONTH(B438,0),FALSE)&gt;0)*--(('Client DB &amp; Bed Mgmt'!$N$5:$N$428="")+NOT(ISNUMBER('Client DB &amp; Bed Mgmt'!$N$5:$N$428))+IFERROR('Client DB &amp; Bed Mgmt'!$N$5:$N$428&gt;=DATE(YEAR(B438),MONTH(B438),1),FALSE)&gt;0)*((IF(('Client DB &amp; Bed Mgmt'!$N$5:$N$428="")+NOT(ISNUMBER('Client DB &amp; Bed Mgmt'!$N$5:$N$428)),EOMONTH(B438,0),IF('Client DB &amp; Bed Mgmt'!$N$5:$N$428&lt;EOMONTH(B438,0),'Client DB &amp; Bed Mgmt'!$N$5:$N$428,EOMONTH(B438,0))))-(IF(('Client DB &amp; Bed Mgmt'!$M$5:$M$428="")+NOT(ISNUMBER('Client DB &amp; Bed Mgmt'!$M$5:$M$428)),DATE(YEAR(B438),MONTH(B438),1),IF('Client DB &amp; Bed Mgmt'!$M$5:$M$428&gt;DATE(YEAR(B438),MONTH(B438),1),'Client DB &amp; Bed Mgmt'!$M$5:$M$428,DATE(YEAR(B438),MONTH(B438),1))))+1)/DAY(EOMONTH(B438,0))),0)</f>
        <v/>
      </c>
    </row>
    <row r="439" ht="14.25" customHeight="1" s="83">
      <c r="A439" s="103" t="n"/>
      <c r="B439" s="125">
        <f>DATE(YEAR(StartDate),MONTH(StartDate),1)</f>
        <v/>
      </c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Mgmt'!$B:$B,C439,'Client DB &amp; Bed Mgmt'!$E:$E,"Occupied"),0)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>
        <f>IFERROR(J439*SUMPRODUCT(('Client DB &amp; Bed Mgmt'!$A$5:$A$428=A439)*('Client DB &amp; Bed Mgmt'!$B$5:$B$428=C439)*('Client DB &amp; Bed Mgmt'!$D$5:$D$428&lt;&gt;"")*--(('Client DB &amp; Bed Mgmt'!$M$5:$M$428="")+NOT(ISNUMBER('Client DB &amp; Bed Mgmt'!$M$5:$M$428))+IFERROR('Client DB &amp; Bed Mgmt'!$M$5:$M$428&lt;=EOMONTH(B439,0),FALSE)&gt;0)*--(('Client DB &amp; Bed Mgmt'!$N$5:$N$428="")+NOT(ISNUMBER('Client DB &amp; Bed Mgmt'!$N$5:$N$428))+IFERROR('Client DB &amp; Bed Mgmt'!$N$5:$N$428&gt;=DATE(YEAR(B439),MONTH(B439),1),FALSE)&gt;0)*((IF(('Client DB &amp; Bed Mgmt'!$N$5:$N$428="")+NOT(ISNUMBER('Client DB &amp; Bed Mgmt'!$N$5:$N$428)),EOMONTH(B439,0),IF('Client DB &amp; Bed Mgmt'!$N$5:$N$428&lt;EOMONTH(B439,0),'Client DB &amp; Bed Mgmt'!$N$5:$N$428,EOMONTH(B439,0))))-(IF(('Client DB &amp; Bed Mgmt'!$M$5:$M$428="")+NOT(ISNUMBER('Client DB &amp; Bed Mgmt'!$M$5:$M$428)),DATE(YEAR(B439),MONTH(B439),1),IF('Client DB &amp; Bed Mgmt'!$M$5:$M$428&gt;DATE(YEAR(B439),MONTH(B439),1),'Client DB &amp; Bed Mgmt'!$M$5:$M$428,DATE(YEAR(B439),MONTH(B439),1))))+1)/DAY(EOMONTH(B439,0))),0)</f>
        <v/>
      </c>
    </row>
    <row r="440" ht="14.25" customHeight="1" s="83">
      <c r="A440" s="103" t="n"/>
      <c r="B440" s="125">
        <f>DATE(YEAR(StartDate),MONTH(StartDate),1)</f>
        <v/>
      </c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Mgmt'!$B:$B,C440,'Client DB &amp; Bed Mgmt'!$E:$E,"Occupied"),0)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>
        <f>IFERROR(J440*SUMPRODUCT(('Client DB &amp; Bed Mgmt'!$A$5:$A$428=A440)*('Client DB &amp; Bed Mgmt'!$B$5:$B$428=C440)*('Client DB &amp; Bed Mgmt'!$D$5:$D$428&lt;&gt;"")*--(('Client DB &amp; Bed Mgmt'!$M$5:$M$428="")+NOT(ISNUMBER('Client DB &amp; Bed Mgmt'!$M$5:$M$428))+IFERROR('Client DB &amp; Bed Mgmt'!$M$5:$M$428&lt;=EOMONTH(B440,0),FALSE)&gt;0)*--(('Client DB &amp; Bed Mgmt'!$N$5:$N$428="")+NOT(ISNUMBER('Client DB &amp; Bed Mgmt'!$N$5:$N$428))+IFERROR('Client DB &amp; Bed Mgmt'!$N$5:$N$428&gt;=DATE(YEAR(B440),MONTH(B440),1),FALSE)&gt;0)*((IF(('Client DB &amp; Bed Mgmt'!$N$5:$N$428="")+NOT(ISNUMBER('Client DB &amp; Bed Mgmt'!$N$5:$N$428)),EOMONTH(B440,0),IF('Client DB &amp; Bed Mgmt'!$N$5:$N$428&lt;EOMONTH(B440,0),'Client DB &amp; Bed Mgmt'!$N$5:$N$428,EOMONTH(B440,0))))-(IF(('Client DB &amp; Bed Mgmt'!$M$5:$M$428="")+NOT(ISNUMBER('Client DB &amp; Bed Mgmt'!$M$5:$M$428)),DATE(YEAR(B440),MONTH(B440),1),IF('Client DB &amp; Bed Mgmt'!$M$5:$M$428&gt;DATE(YEAR(B440),MONTH(B440),1),'Client DB &amp; Bed Mgmt'!$M$5:$M$428,DATE(YEAR(B440),MONTH(B440),1))))+1)/DAY(EOMONTH(B440,0))),0)</f>
        <v/>
      </c>
    </row>
    <row r="441" ht="14.25" customHeight="1" s="83">
      <c r="A441" s="103" t="n"/>
      <c r="B441" s="125">
        <f>DATE(YEAR(StartDate),MONTH(StartDate),1)</f>
        <v/>
      </c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Mgmt'!$B:$B,C441,'Client DB &amp; Bed Mgmt'!$E:$E,"Occupied"),0)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>
        <f>IFERROR(J441*SUMPRODUCT(('Client DB &amp; Bed Mgmt'!$A$5:$A$428=A441)*('Client DB &amp; Bed Mgmt'!$B$5:$B$428=C441)*('Client DB &amp; Bed Mgmt'!$D$5:$D$428&lt;&gt;"")*--(('Client DB &amp; Bed Mgmt'!$M$5:$M$428="")+NOT(ISNUMBER('Client DB &amp; Bed Mgmt'!$M$5:$M$428))+IFERROR('Client DB &amp; Bed Mgmt'!$M$5:$M$428&lt;=EOMONTH(B441,0),FALSE)&gt;0)*--(('Client DB &amp; Bed Mgmt'!$N$5:$N$428="")+NOT(ISNUMBER('Client DB &amp; Bed Mgmt'!$N$5:$N$428))+IFERROR('Client DB &amp; Bed Mgmt'!$N$5:$N$428&gt;=DATE(YEAR(B441),MONTH(B441),1),FALSE)&gt;0)*((IF(('Client DB &amp; Bed Mgmt'!$N$5:$N$428="")+NOT(ISNUMBER('Client DB &amp; Bed Mgmt'!$N$5:$N$428)),EOMONTH(B441,0),IF('Client DB &amp; Bed Mgmt'!$N$5:$N$428&lt;EOMONTH(B441,0),'Client DB &amp; Bed Mgmt'!$N$5:$N$428,EOMONTH(B441,0))))-(IF(('Client DB &amp; Bed Mgmt'!$M$5:$M$428="")+NOT(ISNUMBER('Client DB &amp; Bed Mgmt'!$M$5:$M$428)),DATE(YEAR(B441),MONTH(B441),1),IF('Client DB &amp; Bed Mgmt'!$M$5:$M$428&gt;DATE(YEAR(B441),MONTH(B441),1),'Client DB &amp; Bed Mgmt'!$M$5:$M$428,DATE(YEAR(B441),MONTH(B441),1))))+1)/DAY(EOMONTH(B441,0))),0)</f>
        <v/>
      </c>
    </row>
    <row r="442" ht="14.25" customHeight="1" s="83">
      <c r="A442" s="103" t="n"/>
      <c r="B442" s="125">
        <f>DATE(YEAR(StartDate),MONTH(StartDate),1)</f>
        <v/>
      </c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Mgmt'!$B:$B,C442,'Client DB &amp; Bed Mgmt'!$E:$E,"Occupied"),0)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>
        <f>IFERROR(J442*SUMPRODUCT(('Client DB &amp; Bed Mgmt'!$A$5:$A$428=A442)*('Client DB &amp; Bed Mgmt'!$B$5:$B$428=C442)*('Client DB &amp; Bed Mgmt'!$D$5:$D$428&lt;&gt;"")*--(('Client DB &amp; Bed Mgmt'!$M$5:$M$428="")+NOT(ISNUMBER('Client DB &amp; Bed Mgmt'!$M$5:$M$428))+IFERROR('Client DB &amp; Bed Mgmt'!$M$5:$M$428&lt;=EOMONTH(B442,0),FALSE)&gt;0)*--(('Client DB &amp; Bed Mgmt'!$N$5:$N$428="")+NOT(ISNUMBER('Client DB &amp; Bed Mgmt'!$N$5:$N$428))+IFERROR('Client DB &amp; Bed Mgmt'!$N$5:$N$428&gt;=DATE(YEAR(B442),MONTH(B442),1),FALSE)&gt;0)*((IF(('Client DB &amp; Bed Mgmt'!$N$5:$N$428="")+NOT(ISNUMBER('Client DB &amp; Bed Mgmt'!$N$5:$N$428)),EOMONTH(B442,0),IF('Client DB &amp; Bed Mgmt'!$N$5:$N$428&lt;EOMONTH(B442,0),'Client DB &amp; Bed Mgmt'!$N$5:$N$428,EOMONTH(B442,0))))-(IF(('Client DB &amp; Bed Mgmt'!$M$5:$M$428="")+NOT(ISNUMBER('Client DB &amp; Bed Mgmt'!$M$5:$M$428)),DATE(YEAR(B442),MONTH(B442),1),IF('Client DB &amp; Bed Mgmt'!$M$5:$M$428&gt;DATE(YEAR(B442),MONTH(B442),1),'Client DB &amp; Bed Mgmt'!$M$5:$M$428,DATE(YEAR(B442),MONTH(B442),1))))+1)/DAY(EOMONTH(B442,0))),0)</f>
        <v/>
      </c>
    </row>
    <row r="443" ht="14.25" customHeight="1" s="83">
      <c r="A443" s="103" t="n"/>
      <c r="B443" s="125">
        <f>DATE(YEAR(StartDate),MONTH(StartDate),1)</f>
        <v/>
      </c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Mgmt'!$B:$B,C443,'Client DB &amp; Bed Mgmt'!$E:$E,"Occupied"),0)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>
        <f>IFERROR(J443*SUMPRODUCT(('Client DB &amp; Bed Mgmt'!$A$5:$A$428=A443)*('Client DB &amp; Bed Mgmt'!$B$5:$B$428=C443)*('Client DB &amp; Bed Mgmt'!$D$5:$D$428&lt;&gt;"")*--(('Client DB &amp; Bed Mgmt'!$M$5:$M$428="")+NOT(ISNUMBER('Client DB &amp; Bed Mgmt'!$M$5:$M$428))+IFERROR('Client DB &amp; Bed Mgmt'!$M$5:$M$428&lt;=EOMONTH(B443,0),FALSE)&gt;0)*--(('Client DB &amp; Bed Mgmt'!$N$5:$N$428="")+NOT(ISNUMBER('Client DB &amp; Bed Mgmt'!$N$5:$N$428))+IFERROR('Client DB &amp; Bed Mgmt'!$N$5:$N$428&gt;=DATE(YEAR(B443),MONTH(B443),1),FALSE)&gt;0)*((IF(('Client DB &amp; Bed Mgmt'!$N$5:$N$428="")+NOT(ISNUMBER('Client DB &amp; Bed Mgmt'!$N$5:$N$428)),EOMONTH(B443,0),IF('Client DB &amp; Bed Mgmt'!$N$5:$N$428&lt;EOMONTH(B443,0),'Client DB &amp; Bed Mgmt'!$N$5:$N$428,EOMONTH(B443,0))))-(IF(('Client DB &amp; Bed Mgmt'!$M$5:$M$428="")+NOT(ISNUMBER('Client DB &amp; Bed Mgmt'!$M$5:$M$428)),DATE(YEAR(B443),MONTH(B443),1),IF('Client DB &amp; Bed Mgmt'!$M$5:$M$428&gt;DATE(YEAR(B443),MONTH(B443),1),'Client DB &amp; Bed Mgmt'!$M$5:$M$428,DATE(YEAR(B443),MONTH(B443),1))))+1)/DAY(EOMONTH(B443,0))),0)</f>
        <v/>
      </c>
    </row>
    <row r="444" ht="14.25" customHeight="1" s="83">
      <c r="A444" s="103" t="n"/>
      <c r="B444" s="125">
        <f>DATE(YEAR(StartDate),MONTH(StartDate),1)</f>
        <v/>
      </c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Mgmt'!$B:$B,C444,'Client DB &amp; Bed Mgmt'!$E:$E,"Occupied"),0)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>
        <f>IFERROR(J444*SUMPRODUCT(('Client DB &amp; Bed Mgmt'!$A$5:$A$428=A444)*('Client DB &amp; Bed Mgmt'!$B$5:$B$428=C444)*('Client DB &amp; Bed Mgmt'!$D$5:$D$428&lt;&gt;"")*--(('Client DB &amp; Bed Mgmt'!$M$5:$M$428="")+NOT(ISNUMBER('Client DB &amp; Bed Mgmt'!$M$5:$M$428))+IFERROR('Client DB &amp; Bed Mgmt'!$M$5:$M$428&lt;=EOMONTH(B444,0),FALSE)&gt;0)*--(('Client DB &amp; Bed Mgmt'!$N$5:$N$428="")+NOT(ISNUMBER('Client DB &amp; Bed Mgmt'!$N$5:$N$428))+IFERROR('Client DB &amp; Bed Mgmt'!$N$5:$N$428&gt;=DATE(YEAR(B444),MONTH(B444),1),FALSE)&gt;0)*((IF(('Client DB &amp; Bed Mgmt'!$N$5:$N$428="")+NOT(ISNUMBER('Client DB &amp; Bed Mgmt'!$N$5:$N$428)),EOMONTH(B444,0),IF('Client DB &amp; Bed Mgmt'!$N$5:$N$428&lt;EOMONTH(B444,0),'Client DB &amp; Bed Mgmt'!$N$5:$N$428,EOMONTH(B444,0))))-(IF(('Client DB &amp; Bed Mgmt'!$M$5:$M$428="")+NOT(ISNUMBER('Client DB &amp; Bed Mgmt'!$M$5:$M$428)),DATE(YEAR(B444),MONTH(B444),1),IF('Client DB &amp; Bed Mgmt'!$M$5:$M$428&gt;DATE(YEAR(B444),MONTH(B444),1),'Client DB &amp; Bed Mgmt'!$M$5:$M$428,DATE(YEAR(B444),MONTH(B444),1))))+1)/DAY(EOMONTH(B444,0))),0)</f>
        <v/>
      </c>
    </row>
    <row r="445" ht="14.25" customHeight="1" s="83">
      <c r="A445" s="103" t="n"/>
      <c r="B445" s="125">
        <f>DATE(YEAR(StartDate),MONTH(StartDate),1)</f>
        <v/>
      </c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Mgmt'!$B:$B,C445,'Client DB &amp; Bed Mgmt'!$E:$E,"Occupied"),0)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>
        <f>IFERROR(J445*SUMPRODUCT(('Client DB &amp; Bed Mgmt'!$A$5:$A$428=A445)*('Client DB &amp; Bed Mgmt'!$B$5:$B$428=C445)*('Client DB &amp; Bed Mgmt'!$D$5:$D$428&lt;&gt;"")*--(('Client DB &amp; Bed Mgmt'!$M$5:$M$428="")+NOT(ISNUMBER('Client DB &amp; Bed Mgmt'!$M$5:$M$428))+IFERROR('Client DB &amp; Bed Mgmt'!$M$5:$M$428&lt;=EOMONTH(B445,0),FALSE)&gt;0)*--(('Client DB &amp; Bed Mgmt'!$N$5:$N$428="")+NOT(ISNUMBER('Client DB &amp; Bed Mgmt'!$N$5:$N$428))+IFERROR('Client DB &amp; Bed Mgmt'!$N$5:$N$428&gt;=DATE(YEAR(B445),MONTH(B445),1),FALSE)&gt;0)*((IF(('Client DB &amp; Bed Mgmt'!$N$5:$N$428="")+NOT(ISNUMBER('Client DB &amp; Bed Mgmt'!$N$5:$N$428)),EOMONTH(B445,0),IF('Client DB &amp; Bed Mgmt'!$N$5:$N$428&lt;EOMONTH(B445,0),'Client DB &amp; Bed Mgmt'!$N$5:$N$428,EOMONTH(B445,0))))-(IF(('Client DB &amp; Bed Mgmt'!$M$5:$M$428="")+NOT(ISNUMBER('Client DB &amp; Bed Mgmt'!$M$5:$M$428)),DATE(YEAR(B445),MONTH(B445),1),IF('Client DB &amp; Bed Mgmt'!$M$5:$M$428&gt;DATE(YEAR(B445),MONTH(B445),1),'Client DB &amp; Bed Mgmt'!$M$5:$M$428,DATE(YEAR(B445),MONTH(B445),1))))+1)/DAY(EOMONTH(B445,0))),0)</f>
        <v/>
      </c>
    </row>
    <row r="446" ht="14.25" customHeight="1" s="83">
      <c r="A446" s="103" t="n"/>
      <c r="B446" s="125">
        <f>DATE(YEAR(StartDate),MONTH(StartDate),1)</f>
        <v/>
      </c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Mgmt'!$B:$B,C446,'Client DB &amp; Bed Mgmt'!$E:$E,"Occupied"),0)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>
        <f>IFERROR(J446*SUMPRODUCT(('Client DB &amp; Bed Mgmt'!$A$5:$A$428=A446)*('Client DB &amp; Bed Mgmt'!$B$5:$B$428=C446)*('Client DB &amp; Bed Mgmt'!$D$5:$D$428&lt;&gt;"")*--(('Client DB &amp; Bed Mgmt'!$M$5:$M$428="")+NOT(ISNUMBER('Client DB &amp; Bed Mgmt'!$M$5:$M$428))+IFERROR('Client DB &amp; Bed Mgmt'!$M$5:$M$428&lt;=EOMONTH(B446,0),FALSE)&gt;0)*--(('Client DB &amp; Bed Mgmt'!$N$5:$N$428="")+NOT(ISNUMBER('Client DB &amp; Bed Mgmt'!$N$5:$N$428))+IFERROR('Client DB &amp; Bed Mgmt'!$N$5:$N$428&gt;=DATE(YEAR(B446),MONTH(B446),1),FALSE)&gt;0)*((IF(('Client DB &amp; Bed Mgmt'!$N$5:$N$428="")+NOT(ISNUMBER('Client DB &amp; Bed Mgmt'!$N$5:$N$428)),EOMONTH(B446,0),IF('Client DB &amp; Bed Mgmt'!$N$5:$N$428&lt;EOMONTH(B446,0),'Client DB &amp; Bed Mgmt'!$N$5:$N$428,EOMONTH(B446,0))))-(IF(('Client DB &amp; Bed Mgmt'!$M$5:$M$428="")+NOT(ISNUMBER('Client DB &amp; Bed Mgmt'!$M$5:$M$428)),DATE(YEAR(B446),MONTH(B446),1),IF('Client DB &amp; Bed Mgmt'!$M$5:$M$428&gt;DATE(YEAR(B446),MONTH(B446),1),'Client DB &amp; Bed Mgmt'!$M$5:$M$428,DATE(YEAR(B446),MONTH(B446),1))))+1)/DAY(EOMONTH(B446,0))),0)</f>
        <v/>
      </c>
    </row>
    <row r="447" ht="14.25" customHeight="1" s="83">
      <c r="A447" s="103" t="n"/>
      <c r="B447" s="125">
        <f>DATE(YEAR(StartDate),MONTH(StartDate),1)</f>
        <v/>
      </c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Mgmt'!$B:$B,C447,'Client DB &amp; Bed Mgmt'!$E:$E,"Occupied"),0)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>
        <f>IFERROR(J447*SUMPRODUCT(('Client DB &amp; Bed Mgmt'!$A$5:$A$428=A447)*('Client DB &amp; Bed Mgmt'!$B$5:$B$428=C447)*('Client DB &amp; Bed Mgmt'!$D$5:$D$428&lt;&gt;"")*--(('Client DB &amp; Bed Mgmt'!$M$5:$M$428="")+NOT(ISNUMBER('Client DB &amp; Bed Mgmt'!$M$5:$M$428))+IFERROR('Client DB &amp; Bed Mgmt'!$M$5:$M$428&lt;=EOMONTH(B447,0),FALSE)&gt;0)*--(('Client DB &amp; Bed Mgmt'!$N$5:$N$428="")+NOT(ISNUMBER('Client DB &amp; Bed Mgmt'!$N$5:$N$428))+IFERROR('Client DB &amp; Bed Mgmt'!$N$5:$N$428&gt;=DATE(YEAR(B447),MONTH(B447),1),FALSE)&gt;0)*((IF(('Client DB &amp; Bed Mgmt'!$N$5:$N$428="")+NOT(ISNUMBER('Client DB &amp; Bed Mgmt'!$N$5:$N$428)),EOMONTH(B447,0),IF('Client DB &amp; Bed Mgmt'!$N$5:$N$428&lt;EOMONTH(B447,0),'Client DB &amp; Bed Mgmt'!$N$5:$N$428,EOMONTH(B447,0))))-(IF(('Client DB &amp; Bed Mgmt'!$M$5:$M$428="")+NOT(ISNUMBER('Client DB &amp; Bed Mgmt'!$M$5:$M$428)),DATE(YEAR(B447),MONTH(B447),1),IF('Client DB &amp; Bed Mgmt'!$M$5:$M$428&gt;DATE(YEAR(B447),MONTH(B447),1),'Client DB &amp; Bed Mgmt'!$M$5:$M$428,DATE(YEAR(B447),MONTH(B447),1))))+1)/DAY(EOMONTH(B447,0))),0)</f>
        <v/>
      </c>
    </row>
    <row r="448" ht="14.25" customHeight="1" s="83">
      <c r="A448" s="103" t="n"/>
      <c r="B448" s="125">
        <f>DATE(YEAR(StartDate),MONTH(StartDate),1)</f>
        <v/>
      </c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Mgmt'!$B:$B,C448,'Client DB &amp; Bed Mgmt'!$E:$E,"Occupied"),0)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>
        <f>IFERROR(J448*SUMPRODUCT(('Client DB &amp; Bed Mgmt'!$A$5:$A$428=A448)*('Client DB &amp; Bed Mgmt'!$B$5:$B$428=C448)*('Client DB &amp; Bed Mgmt'!$D$5:$D$428&lt;&gt;"")*--(('Client DB &amp; Bed Mgmt'!$M$5:$M$428="")+NOT(ISNUMBER('Client DB &amp; Bed Mgmt'!$M$5:$M$428))+IFERROR('Client DB &amp; Bed Mgmt'!$M$5:$M$428&lt;=EOMONTH(B448,0),FALSE)&gt;0)*--(('Client DB &amp; Bed Mgmt'!$N$5:$N$428="")+NOT(ISNUMBER('Client DB &amp; Bed Mgmt'!$N$5:$N$428))+IFERROR('Client DB &amp; Bed Mgmt'!$N$5:$N$428&gt;=DATE(YEAR(B448),MONTH(B448),1),FALSE)&gt;0)*((IF(('Client DB &amp; Bed Mgmt'!$N$5:$N$428="")+NOT(ISNUMBER('Client DB &amp; Bed Mgmt'!$N$5:$N$428)),EOMONTH(B448,0),IF('Client DB &amp; Bed Mgmt'!$N$5:$N$428&lt;EOMONTH(B448,0),'Client DB &amp; Bed Mgmt'!$N$5:$N$428,EOMONTH(B448,0))))-(IF(('Client DB &amp; Bed Mgmt'!$M$5:$M$428="")+NOT(ISNUMBER('Client DB &amp; Bed Mgmt'!$M$5:$M$428)),DATE(YEAR(B448),MONTH(B448),1),IF('Client DB &amp; Bed Mgmt'!$M$5:$M$428&gt;DATE(YEAR(B448),MONTH(B448),1),'Client DB &amp; Bed Mgmt'!$M$5:$M$428,DATE(YEAR(B448),MONTH(B448),1))))+1)/DAY(EOMONTH(B448,0))),0)</f>
        <v/>
      </c>
    </row>
    <row r="449" ht="14.25" customHeight="1" s="83">
      <c r="A449" s="103" t="n"/>
      <c r="B449" s="125">
        <f>DATE(YEAR(StartDate),MONTH(StartDate),1)</f>
        <v/>
      </c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Mgmt'!$B:$B,C449,'Client DB &amp; Bed Mgmt'!$E:$E,"Occupied"),0)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>
        <f>IFERROR(J449*SUMPRODUCT(('Client DB &amp; Bed Mgmt'!$A$5:$A$428=A449)*('Client DB &amp; Bed Mgmt'!$B$5:$B$428=C449)*('Client DB &amp; Bed Mgmt'!$D$5:$D$428&lt;&gt;"")*--(('Client DB &amp; Bed Mgmt'!$M$5:$M$428="")+NOT(ISNUMBER('Client DB &amp; Bed Mgmt'!$M$5:$M$428))+IFERROR('Client DB &amp; Bed Mgmt'!$M$5:$M$428&lt;=EOMONTH(B449,0),FALSE)&gt;0)*--(('Client DB &amp; Bed Mgmt'!$N$5:$N$428="")+NOT(ISNUMBER('Client DB &amp; Bed Mgmt'!$N$5:$N$428))+IFERROR('Client DB &amp; Bed Mgmt'!$N$5:$N$428&gt;=DATE(YEAR(B449),MONTH(B449),1),FALSE)&gt;0)*((IF(('Client DB &amp; Bed Mgmt'!$N$5:$N$428="")+NOT(ISNUMBER('Client DB &amp; Bed Mgmt'!$N$5:$N$428)),EOMONTH(B449,0),IF('Client DB &amp; Bed Mgmt'!$N$5:$N$428&lt;EOMONTH(B449,0),'Client DB &amp; Bed Mgmt'!$N$5:$N$428,EOMONTH(B449,0))))-(IF(('Client DB &amp; Bed Mgmt'!$M$5:$M$428="")+NOT(ISNUMBER('Client DB &amp; Bed Mgmt'!$M$5:$M$428)),DATE(YEAR(B449),MONTH(B449),1),IF('Client DB &amp; Bed Mgmt'!$M$5:$M$428&gt;DATE(YEAR(B449),MONTH(B449),1),'Client DB &amp; Bed Mgmt'!$M$5:$M$428,DATE(YEAR(B449),MONTH(B449),1))))+1)/DAY(EOMONTH(B449,0))),0)</f>
        <v/>
      </c>
    </row>
    <row r="450" ht="14.25" customHeight="1" s="83">
      <c r="A450" s="103" t="n"/>
      <c r="B450" s="125">
        <f>DATE(YEAR(StartDate),MONTH(StartDate),1)</f>
        <v/>
      </c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Mgmt'!$B:$B,C450,'Client DB &amp; Bed Mgmt'!$E:$E,"Occupied"),0)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>
        <f>IFERROR(J450*SUMPRODUCT(('Client DB &amp; Bed Mgmt'!$A$5:$A$428=A450)*('Client DB &amp; Bed Mgmt'!$B$5:$B$428=C450)*('Client DB &amp; Bed Mgmt'!$D$5:$D$428&lt;&gt;"")*--(('Client DB &amp; Bed Mgmt'!$M$5:$M$428="")+NOT(ISNUMBER('Client DB &amp; Bed Mgmt'!$M$5:$M$428))+IFERROR('Client DB &amp; Bed Mgmt'!$M$5:$M$428&lt;=EOMONTH(B450,0),FALSE)&gt;0)*--(('Client DB &amp; Bed Mgmt'!$N$5:$N$428="")+NOT(ISNUMBER('Client DB &amp; Bed Mgmt'!$N$5:$N$428))+IFERROR('Client DB &amp; Bed Mgmt'!$N$5:$N$428&gt;=DATE(YEAR(B450),MONTH(B450),1),FALSE)&gt;0)*((IF(('Client DB &amp; Bed Mgmt'!$N$5:$N$428="")+NOT(ISNUMBER('Client DB &amp; Bed Mgmt'!$N$5:$N$428)),EOMONTH(B450,0),IF('Client DB &amp; Bed Mgmt'!$N$5:$N$428&lt;EOMONTH(B450,0),'Client DB &amp; Bed Mgmt'!$N$5:$N$428,EOMONTH(B450,0))))-(IF(('Client DB &amp; Bed Mgmt'!$M$5:$M$428="")+NOT(ISNUMBER('Client DB &amp; Bed Mgmt'!$M$5:$M$428)),DATE(YEAR(B450),MONTH(B450),1),IF('Client DB &amp; Bed Mgmt'!$M$5:$M$428&gt;DATE(YEAR(B450),MONTH(B450),1),'Client DB &amp; Bed Mgmt'!$M$5:$M$428,DATE(YEAR(B450),MONTH(B450),1))))+1)/DAY(EOMONTH(B450,0))),0)</f>
        <v/>
      </c>
    </row>
    <row r="451" ht="14.25" customHeight="1" s="83">
      <c r="A451" s="103" t="n"/>
      <c r="B451" s="125">
        <f>DATE(YEAR(StartDate),MONTH(StartDate),1)</f>
        <v/>
      </c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Mgmt'!$B:$B,C451,'Client DB &amp; Bed Mgmt'!$E:$E,"Occupied"),0)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>
        <f>IFERROR(J451*SUMPRODUCT(('Client DB &amp; Bed Mgmt'!$A$5:$A$428=A451)*('Client DB &amp; Bed Mgmt'!$B$5:$B$428=C451)*('Client DB &amp; Bed Mgmt'!$D$5:$D$428&lt;&gt;"")*--(('Client DB &amp; Bed Mgmt'!$M$5:$M$428="")+NOT(ISNUMBER('Client DB &amp; Bed Mgmt'!$M$5:$M$428))+IFERROR('Client DB &amp; Bed Mgmt'!$M$5:$M$428&lt;=EOMONTH(B451,0),FALSE)&gt;0)*--(('Client DB &amp; Bed Mgmt'!$N$5:$N$428="")+NOT(ISNUMBER('Client DB &amp; Bed Mgmt'!$N$5:$N$428))+IFERROR('Client DB &amp; Bed Mgmt'!$N$5:$N$428&gt;=DATE(YEAR(B451),MONTH(B451),1),FALSE)&gt;0)*((IF(('Client DB &amp; Bed Mgmt'!$N$5:$N$428="")+NOT(ISNUMBER('Client DB &amp; Bed Mgmt'!$N$5:$N$428)),EOMONTH(B451,0),IF('Client DB &amp; Bed Mgmt'!$N$5:$N$428&lt;EOMONTH(B451,0),'Client DB &amp; Bed Mgmt'!$N$5:$N$428,EOMONTH(B451,0))))-(IF(('Client DB &amp; Bed Mgmt'!$M$5:$M$428="")+NOT(ISNUMBER('Client DB &amp; Bed Mgmt'!$M$5:$M$428)),DATE(YEAR(B451),MONTH(B451),1),IF('Client DB &amp; Bed Mgmt'!$M$5:$M$428&gt;DATE(YEAR(B451),MONTH(B451),1),'Client DB &amp; Bed Mgmt'!$M$5:$M$428,DATE(YEAR(B451),MONTH(B451),1))))+1)/DAY(EOMONTH(B451,0))),0)</f>
        <v/>
      </c>
    </row>
    <row r="452" ht="14.25" customHeight="1" s="83">
      <c r="A452" s="103" t="n"/>
      <c r="B452" s="125">
        <f>DATE(YEAR(StartDate),MONTH(StartDate),1)</f>
        <v/>
      </c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Mgmt'!$B:$B,C452,'Client DB &amp; Bed Mgmt'!$E:$E,"Occupied"),0)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>
        <f>IFERROR(J452*SUMPRODUCT(('Client DB &amp; Bed Mgmt'!$A$5:$A$428=A452)*('Client DB &amp; Bed Mgmt'!$B$5:$B$428=C452)*('Client DB &amp; Bed Mgmt'!$D$5:$D$428&lt;&gt;"")*--(('Client DB &amp; Bed Mgmt'!$M$5:$M$428="")+NOT(ISNUMBER('Client DB &amp; Bed Mgmt'!$M$5:$M$428))+IFERROR('Client DB &amp; Bed Mgmt'!$M$5:$M$428&lt;=EOMONTH(B452,0),FALSE)&gt;0)*--(('Client DB &amp; Bed Mgmt'!$N$5:$N$428="")+NOT(ISNUMBER('Client DB &amp; Bed Mgmt'!$N$5:$N$428))+IFERROR('Client DB &amp; Bed Mgmt'!$N$5:$N$428&gt;=DATE(YEAR(B452),MONTH(B452),1),FALSE)&gt;0)*((IF(('Client DB &amp; Bed Mgmt'!$N$5:$N$428="")+NOT(ISNUMBER('Client DB &amp; Bed Mgmt'!$N$5:$N$428)),EOMONTH(B452,0),IF('Client DB &amp; Bed Mgmt'!$N$5:$N$428&lt;EOMONTH(B452,0),'Client DB &amp; Bed Mgmt'!$N$5:$N$428,EOMONTH(B452,0))))-(IF(('Client DB &amp; Bed Mgmt'!$M$5:$M$428="")+NOT(ISNUMBER('Client DB &amp; Bed Mgmt'!$M$5:$M$428)),DATE(YEAR(B452),MONTH(B452),1),IF('Client DB &amp; Bed Mgmt'!$M$5:$M$428&gt;DATE(YEAR(B452),MONTH(B452),1),'Client DB &amp; Bed Mgmt'!$M$5:$M$428,DATE(YEAR(B452),MONTH(B452),1))))+1)/DAY(EOMONTH(B452,0))),0)</f>
        <v/>
      </c>
    </row>
    <row r="453" ht="14.25" customHeight="1" s="83">
      <c r="A453" s="103" t="n"/>
      <c r="B453" s="125">
        <f>DATE(YEAR(StartDate),MONTH(StartDate),1)</f>
        <v/>
      </c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Mgmt'!$B:$B,C453,'Client DB &amp; Bed Mgmt'!$E:$E,"Occupied"),0)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>
        <f>IFERROR(J453*SUMPRODUCT(('Client DB &amp; Bed Mgmt'!$A$5:$A$428=A453)*('Client DB &amp; Bed Mgmt'!$B$5:$B$428=C453)*('Client DB &amp; Bed Mgmt'!$D$5:$D$428&lt;&gt;"")*--(('Client DB &amp; Bed Mgmt'!$M$5:$M$428="")+NOT(ISNUMBER('Client DB &amp; Bed Mgmt'!$M$5:$M$428))+IFERROR('Client DB &amp; Bed Mgmt'!$M$5:$M$428&lt;=EOMONTH(B453,0),FALSE)&gt;0)*--(('Client DB &amp; Bed Mgmt'!$N$5:$N$428="")+NOT(ISNUMBER('Client DB &amp; Bed Mgmt'!$N$5:$N$428))+IFERROR('Client DB &amp; Bed Mgmt'!$N$5:$N$428&gt;=DATE(YEAR(B453),MONTH(B453),1),FALSE)&gt;0)*((IF(('Client DB &amp; Bed Mgmt'!$N$5:$N$428="")+NOT(ISNUMBER('Client DB &amp; Bed Mgmt'!$N$5:$N$428)),EOMONTH(B453,0),IF('Client DB &amp; Bed Mgmt'!$N$5:$N$428&lt;EOMONTH(B453,0),'Client DB &amp; Bed Mgmt'!$N$5:$N$428,EOMONTH(B453,0))))-(IF(('Client DB &amp; Bed Mgmt'!$M$5:$M$428="")+NOT(ISNUMBER('Client DB &amp; Bed Mgmt'!$M$5:$M$428)),DATE(YEAR(B453),MONTH(B453),1),IF('Client DB &amp; Bed Mgmt'!$M$5:$M$428&gt;DATE(YEAR(B453),MONTH(B453),1),'Client DB &amp; Bed Mgmt'!$M$5:$M$428,DATE(YEAR(B453),MONTH(B453),1))))+1)/DAY(EOMONTH(B453,0))),0)</f>
        <v/>
      </c>
    </row>
    <row r="454" ht="14.25" customHeight="1" s="83">
      <c r="A454" s="103" t="n"/>
      <c r="B454" s="125">
        <f>DATE(YEAR(StartDate),MONTH(StartDate),1)</f>
        <v/>
      </c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Mgmt'!$B:$B,C454,'Client DB &amp; Bed Mgmt'!$E:$E,"Occupied"),0)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>
        <f>IFERROR(J454*SUMPRODUCT(('Client DB &amp; Bed Mgmt'!$A$5:$A$428=A454)*('Client DB &amp; Bed Mgmt'!$B$5:$B$428=C454)*('Client DB &amp; Bed Mgmt'!$D$5:$D$428&lt;&gt;"")*--(('Client DB &amp; Bed Mgmt'!$M$5:$M$428="")+NOT(ISNUMBER('Client DB &amp; Bed Mgmt'!$M$5:$M$428))+IFERROR('Client DB &amp; Bed Mgmt'!$M$5:$M$428&lt;=EOMONTH(B454,0),FALSE)&gt;0)*--(('Client DB &amp; Bed Mgmt'!$N$5:$N$428="")+NOT(ISNUMBER('Client DB &amp; Bed Mgmt'!$N$5:$N$428))+IFERROR('Client DB &amp; Bed Mgmt'!$N$5:$N$428&gt;=DATE(YEAR(B454),MONTH(B454),1),FALSE)&gt;0)*((IF(('Client DB &amp; Bed Mgmt'!$N$5:$N$428="")+NOT(ISNUMBER('Client DB &amp; Bed Mgmt'!$N$5:$N$428)),EOMONTH(B454,0),IF('Client DB &amp; Bed Mgmt'!$N$5:$N$428&lt;EOMONTH(B454,0),'Client DB &amp; Bed Mgmt'!$N$5:$N$428,EOMONTH(B454,0))))-(IF(('Client DB &amp; Bed Mgmt'!$M$5:$M$428="")+NOT(ISNUMBER('Client DB &amp; Bed Mgmt'!$M$5:$M$428)),DATE(YEAR(B454),MONTH(B454),1),IF('Client DB &amp; Bed Mgmt'!$M$5:$M$428&gt;DATE(YEAR(B454),MONTH(B454),1),'Client DB &amp; Bed Mgmt'!$M$5:$M$428,DATE(YEAR(B454),MONTH(B454),1))))+1)/DAY(EOMONTH(B454,0))),0)</f>
        <v/>
      </c>
    </row>
    <row r="455" ht="14.25" customHeight="1" s="83">
      <c r="A455" s="103" t="n"/>
      <c r="B455" s="125">
        <f>DATE(YEAR(StartDate),MONTH(StartDate),1)</f>
        <v/>
      </c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Mgmt'!$B:$B,C455,'Client DB &amp; Bed Mgmt'!$E:$E,"Occupied"),0)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>
        <f>IFERROR(J455*SUMPRODUCT(('Client DB &amp; Bed Mgmt'!$A$5:$A$428=A455)*('Client DB &amp; Bed Mgmt'!$B$5:$B$428=C455)*('Client DB &amp; Bed Mgmt'!$D$5:$D$428&lt;&gt;"")*--(('Client DB &amp; Bed Mgmt'!$M$5:$M$428="")+NOT(ISNUMBER('Client DB &amp; Bed Mgmt'!$M$5:$M$428))+IFERROR('Client DB &amp; Bed Mgmt'!$M$5:$M$428&lt;=EOMONTH(B455,0),FALSE)&gt;0)*--(('Client DB &amp; Bed Mgmt'!$N$5:$N$428="")+NOT(ISNUMBER('Client DB &amp; Bed Mgmt'!$N$5:$N$428))+IFERROR('Client DB &amp; Bed Mgmt'!$N$5:$N$428&gt;=DATE(YEAR(B455),MONTH(B455),1),FALSE)&gt;0)*((IF(('Client DB &amp; Bed Mgmt'!$N$5:$N$428="")+NOT(ISNUMBER('Client DB &amp; Bed Mgmt'!$N$5:$N$428)),EOMONTH(B455,0),IF('Client DB &amp; Bed Mgmt'!$N$5:$N$428&lt;EOMONTH(B455,0),'Client DB &amp; Bed Mgmt'!$N$5:$N$428,EOMONTH(B455,0))))-(IF(('Client DB &amp; Bed Mgmt'!$M$5:$M$428="")+NOT(ISNUMBER('Client DB &amp; Bed Mgmt'!$M$5:$M$428)),DATE(YEAR(B455),MONTH(B455),1),IF('Client DB &amp; Bed Mgmt'!$M$5:$M$428&gt;DATE(YEAR(B455),MONTH(B455),1),'Client DB &amp; Bed Mgmt'!$M$5:$M$428,DATE(YEAR(B455),MONTH(B455),1))))+1)/DAY(EOMONTH(B455,0))),0)</f>
        <v/>
      </c>
    </row>
    <row r="456" ht="14.25" customHeight="1" s="83">
      <c r="A456" s="103" t="n"/>
      <c r="B456" s="125">
        <f>DATE(YEAR(StartDate),MONTH(StartDate),1)</f>
        <v/>
      </c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Mgmt'!$B:$B,C456,'Client DB &amp; Bed Mgmt'!$E:$E,"Occupied"),0)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>
        <f>IFERROR(J456*SUMPRODUCT(('Client DB &amp; Bed Mgmt'!$A$5:$A$428=A456)*('Client DB &amp; Bed Mgmt'!$B$5:$B$428=C456)*('Client DB &amp; Bed Mgmt'!$D$5:$D$428&lt;&gt;"")*--(('Client DB &amp; Bed Mgmt'!$M$5:$M$428="")+NOT(ISNUMBER('Client DB &amp; Bed Mgmt'!$M$5:$M$428))+IFERROR('Client DB &amp; Bed Mgmt'!$M$5:$M$428&lt;=EOMONTH(B456,0),FALSE)&gt;0)*--(('Client DB &amp; Bed Mgmt'!$N$5:$N$428="")+NOT(ISNUMBER('Client DB &amp; Bed Mgmt'!$N$5:$N$428))+IFERROR('Client DB &amp; Bed Mgmt'!$N$5:$N$428&gt;=DATE(YEAR(B456),MONTH(B456),1),FALSE)&gt;0)*((IF(('Client DB &amp; Bed Mgmt'!$N$5:$N$428="")+NOT(ISNUMBER('Client DB &amp; Bed Mgmt'!$N$5:$N$428)),EOMONTH(B456,0),IF('Client DB &amp; Bed Mgmt'!$N$5:$N$428&lt;EOMONTH(B456,0),'Client DB &amp; Bed Mgmt'!$N$5:$N$428,EOMONTH(B456,0))))-(IF(('Client DB &amp; Bed Mgmt'!$M$5:$M$428="")+NOT(ISNUMBER('Client DB &amp; Bed Mgmt'!$M$5:$M$428)),DATE(YEAR(B456),MONTH(B456),1),IF('Client DB &amp; Bed Mgmt'!$M$5:$M$428&gt;DATE(YEAR(B456),MONTH(B456),1),'Client DB &amp; Bed Mgmt'!$M$5:$M$428,DATE(YEAR(B456),MONTH(B456),1))))+1)/DAY(EOMONTH(B456,0))),0)</f>
        <v/>
      </c>
    </row>
    <row r="457" ht="14.25" customHeight="1" s="83">
      <c r="A457" s="103" t="n"/>
      <c r="B457" s="125">
        <f>DATE(YEAR(StartDate),MONTH(StartDate),1)</f>
        <v/>
      </c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Mgmt'!$B:$B,C457,'Client DB &amp; Bed Mgmt'!$E:$E,"Occupied"),0)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>
        <f>IFERROR(J457*SUMPRODUCT(('Client DB &amp; Bed Mgmt'!$A$5:$A$428=A457)*('Client DB &amp; Bed Mgmt'!$B$5:$B$428=C457)*('Client DB &amp; Bed Mgmt'!$D$5:$D$428&lt;&gt;"")*--(('Client DB &amp; Bed Mgmt'!$M$5:$M$428="")+NOT(ISNUMBER('Client DB &amp; Bed Mgmt'!$M$5:$M$428))+IFERROR('Client DB &amp; Bed Mgmt'!$M$5:$M$428&lt;=EOMONTH(B457,0),FALSE)&gt;0)*--(('Client DB &amp; Bed Mgmt'!$N$5:$N$428="")+NOT(ISNUMBER('Client DB &amp; Bed Mgmt'!$N$5:$N$428))+IFERROR('Client DB &amp; Bed Mgmt'!$N$5:$N$428&gt;=DATE(YEAR(B457),MONTH(B457),1),FALSE)&gt;0)*((IF(('Client DB &amp; Bed Mgmt'!$N$5:$N$428="")+NOT(ISNUMBER('Client DB &amp; Bed Mgmt'!$N$5:$N$428)),EOMONTH(B457,0),IF('Client DB &amp; Bed Mgmt'!$N$5:$N$428&lt;EOMONTH(B457,0),'Client DB &amp; Bed Mgmt'!$N$5:$N$428,EOMONTH(B457,0))))-(IF(('Client DB &amp; Bed Mgmt'!$M$5:$M$428="")+NOT(ISNUMBER('Client DB &amp; Bed Mgmt'!$M$5:$M$428)),DATE(YEAR(B457),MONTH(B457),1),IF('Client DB &amp; Bed Mgmt'!$M$5:$M$428&gt;DATE(YEAR(B457),MONTH(B457),1),'Client DB &amp; Bed Mgmt'!$M$5:$M$428,DATE(YEAR(B457),MONTH(B457),1))))+1)/DAY(EOMONTH(B457,0))),0)</f>
        <v/>
      </c>
    </row>
    <row r="458" ht="14.25" customHeight="1" s="83">
      <c r="A458" s="103" t="n"/>
      <c r="B458" s="125">
        <f>DATE(YEAR(StartDate),MONTH(StartDate),1)</f>
        <v/>
      </c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Mgmt'!$B:$B,C458,'Client DB &amp; Bed Mgmt'!$E:$E,"Occupied"),0)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>
        <f>IFERROR(J458*SUMPRODUCT(('Client DB &amp; Bed Mgmt'!$A$5:$A$428=A458)*('Client DB &amp; Bed Mgmt'!$B$5:$B$428=C458)*('Client DB &amp; Bed Mgmt'!$D$5:$D$428&lt;&gt;"")*--(('Client DB &amp; Bed Mgmt'!$M$5:$M$428="")+NOT(ISNUMBER('Client DB &amp; Bed Mgmt'!$M$5:$M$428))+IFERROR('Client DB &amp; Bed Mgmt'!$M$5:$M$428&lt;=EOMONTH(B458,0),FALSE)&gt;0)*--(('Client DB &amp; Bed Mgmt'!$N$5:$N$428="")+NOT(ISNUMBER('Client DB &amp; Bed Mgmt'!$N$5:$N$428))+IFERROR('Client DB &amp; Bed Mgmt'!$N$5:$N$428&gt;=DATE(YEAR(B458),MONTH(B458),1),FALSE)&gt;0)*((IF(('Client DB &amp; Bed Mgmt'!$N$5:$N$428="")+NOT(ISNUMBER('Client DB &amp; Bed Mgmt'!$N$5:$N$428)),EOMONTH(B458,0),IF('Client DB &amp; Bed Mgmt'!$N$5:$N$428&lt;EOMONTH(B458,0),'Client DB &amp; Bed Mgmt'!$N$5:$N$428,EOMONTH(B458,0))))-(IF(('Client DB &amp; Bed Mgmt'!$M$5:$M$428="")+NOT(ISNUMBER('Client DB &amp; Bed Mgmt'!$M$5:$M$428)),DATE(YEAR(B458),MONTH(B458),1),IF('Client DB &amp; Bed Mgmt'!$M$5:$M$428&gt;DATE(YEAR(B458),MONTH(B458),1),'Client DB &amp; Bed Mgmt'!$M$5:$M$428,DATE(YEAR(B458),MONTH(B458),1))))+1)/DAY(EOMONTH(B458,0))),0)</f>
        <v/>
      </c>
    </row>
    <row r="459" ht="14.25" customHeight="1" s="83">
      <c r="A459" s="103" t="n"/>
      <c r="B459" s="125">
        <f>DATE(YEAR(StartDate),MONTH(StartDate),1)</f>
        <v/>
      </c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Mgmt'!$B:$B,C459,'Client DB &amp; Bed Mgmt'!$E:$E,"Occupied"),0)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>
        <f>IFERROR(J459*SUMPRODUCT(('Client DB &amp; Bed Mgmt'!$A$5:$A$428=A459)*('Client DB &amp; Bed Mgmt'!$B$5:$B$428=C459)*('Client DB &amp; Bed Mgmt'!$D$5:$D$428&lt;&gt;"")*--(('Client DB &amp; Bed Mgmt'!$M$5:$M$428="")+NOT(ISNUMBER('Client DB &amp; Bed Mgmt'!$M$5:$M$428))+IFERROR('Client DB &amp; Bed Mgmt'!$M$5:$M$428&lt;=EOMONTH(B459,0),FALSE)&gt;0)*--(('Client DB &amp; Bed Mgmt'!$N$5:$N$428="")+NOT(ISNUMBER('Client DB &amp; Bed Mgmt'!$N$5:$N$428))+IFERROR('Client DB &amp; Bed Mgmt'!$N$5:$N$428&gt;=DATE(YEAR(B459),MONTH(B459),1),FALSE)&gt;0)*((IF(('Client DB &amp; Bed Mgmt'!$N$5:$N$428="")+NOT(ISNUMBER('Client DB &amp; Bed Mgmt'!$N$5:$N$428)),EOMONTH(B459,0),IF('Client DB &amp; Bed Mgmt'!$N$5:$N$428&lt;EOMONTH(B459,0),'Client DB &amp; Bed Mgmt'!$N$5:$N$428,EOMONTH(B459,0))))-(IF(('Client DB &amp; Bed Mgmt'!$M$5:$M$428="")+NOT(ISNUMBER('Client DB &amp; Bed Mgmt'!$M$5:$M$428)),DATE(YEAR(B459),MONTH(B459),1),IF('Client DB &amp; Bed Mgmt'!$M$5:$M$428&gt;DATE(YEAR(B459),MONTH(B459),1),'Client DB &amp; Bed Mgmt'!$M$5:$M$428,DATE(YEAR(B459),MONTH(B459),1))))+1)/DAY(EOMONTH(B459,0))),0)</f>
        <v/>
      </c>
    </row>
    <row r="460" ht="14.25" customHeight="1" s="83">
      <c r="A460" s="103" t="n"/>
      <c r="B460" s="125">
        <f>DATE(YEAR(StartDate),MONTH(StartDate),1)</f>
        <v/>
      </c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Mgmt'!$B:$B,C460,'Client DB &amp; Bed Mgmt'!$E:$E,"Occupied"),0)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>
        <f>IFERROR(J460*SUMPRODUCT(('Client DB &amp; Bed Mgmt'!$A$5:$A$428=A460)*('Client DB &amp; Bed Mgmt'!$B$5:$B$428=C460)*('Client DB &amp; Bed Mgmt'!$D$5:$D$428&lt;&gt;"")*--(('Client DB &amp; Bed Mgmt'!$M$5:$M$428="")+NOT(ISNUMBER('Client DB &amp; Bed Mgmt'!$M$5:$M$428))+IFERROR('Client DB &amp; Bed Mgmt'!$M$5:$M$428&lt;=EOMONTH(B460,0),FALSE)&gt;0)*--(('Client DB &amp; Bed Mgmt'!$N$5:$N$428="")+NOT(ISNUMBER('Client DB &amp; Bed Mgmt'!$N$5:$N$428))+IFERROR('Client DB &amp; Bed Mgmt'!$N$5:$N$428&gt;=DATE(YEAR(B460),MONTH(B460),1),FALSE)&gt;0)*((IF(('Client DB &amp; Bed Mgmt'!$N$5:$N$428="")+NOT(ISNUMBER('Client DB &amp; Bed Mgmt'!$N$5:$N$428)),EOMONTH(B460,0),IF('Client DB &amp; Bed Mgmt'!$N$5:$N$428&lt;EOMONTH(B460,0),'Client DB &amp; Bed Mgmt'!$N$5:$N$428,EOMONTH(B460,0))))-(IF(('Client DB &amp; Bed Mgmt'!$M$5:$M$428="")+NOT(ISNUMBER('Client DB &amp; Bed Mgmt'!$M$5:$M$428)),DATE(YEAR(B460),MONTH(B460),1),IF('Client DB &amp; Bed Mgmt'!$M$5:$M$428&gt;DATE(YEAR(B460),MONTH(B460),1),'Client DB &amp; Bed Mgmt'!$M$5:$M$428,DATE(YEAR(B460),MONTH(B460),1))))+1)/DAY(EOMONTH(B460,0))),0)</f>
        <v/>
      </c>
    </row>
    <row r="461" ht="14.25" customHeight="1" s="83">
      <c r="A461" s="103" t="n"/>
      <c r="B461" s="125">
        <f>DATE(YEAR(StartDate),MONTH(StartDate),1)</f>
        <v/>
      </c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Mgmt'!$B:$B,C461,'Client DB &amp; Bed Mgmt'!$E:$E,"Occupied"),0)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>
        <f>IFERROR(J461*SUMPRODUCT(('Client DB &amp; Bed Mgmt'!$A$5:$A$428=A461)*('Client DB &amp; Bed Mgmt'!$B$5:$B$428=C461)*('Client DB &amp; Bed Mgmt'!$D$5:$D$428&lt;&gt;"")*--(('Client DB &amp; Bed Mgmt'!$M$5:$M$428="")+NOT(ISNUMBER('Client DB &amp; Bed Mgmt'!$M$5:$M$428))+IFERROR('Client DB &amp; Bed Mgmt'!$M$5:$M$428&lt;=EOMONTH(B461,0),FALSE)&gt;0)*--(('Client DB &amp; Bed Mgmt'!$N$5:$N$428="")+NOT(ISNUMBER('Client DB &amp; Bed Mgmt'!$N$5:$N$428))+IFERROR('Client DB &amp; Bed Mgmt'!$N$5:$N$428&gt;=DATE(YEAR(B461),MONTH(B461),1),FALSE)&gt;0)*((IF(('Client DB &amp; Bed Mgmt'!$N$5:$N$428="")+NOT(ISNUMBER('Client DB &amp; Bed Mgmt'!$N$5:$N$428)),EOMONTH(B461,0),IF('Client DB &amp; Bed Mgmt'!$N$5:$N$428&lt;EOMONTH(B461,0),'Client DB &amp; Bed Mgmt'!$N$5:$N$428,EOMONTH(B461,0))))-(IF(('Client DB &amp; Bed Mgmt'!$M$5:$M$428="")+NOT(ISNUMBER('Client DB &amp; Bed Mgmt'!$M$5:$M$428)),DATE(YEAR(B461),MONTH(B461),1),IF('Client DB &amp; Bed Mgmt'!$M$5:$M$428&gt;DATE(YEAR(B461),MONTH(B461),1),'Client DB &amp; Bed Mgmt'!$M$5:$M$428,DATE(YEAR(B461),MONTH(B461),1))))+1)/DAY(EOMONTH(B461,0))),0)</f>
        <v/>
      </c>
    </row>
    <row r="462" ht="14.25" customHeight="1" s="83">
      <c r="A462" s="103" t="n"/>
      <c r="B462" s="125">
        <f>DATE(YEAR(StartDate),MONTH(StartDate),1)</f>
        <v/>
      </c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Mgmt'!$B:$B,C462,'Client DB &amp; Bed Mgmt'!$E:$E,"Occupied"),0)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>
        <f>IFERROR(J462*SUMPRODUCT(('Client DB &amp; Bed Mgmt'!$A$5:$A$428=A462)*('Client DB &amp; Bed Mgmt'!$B$5:$B$428=C462)*('Client DB &amp; Bed Mgmt'!$D$5:$D$428&lt;&gt;"")*--(('Client DB &amp; Bed Mgmt'!$M$5:$M$428="")+NOT(ISNUMBER('Client DB &amp; Bed Mgmt'!$M$5:$M$428))+IFERROR('Client DB &amp; Bed Mgmt'!$M$5:$M$428&lt;=EOMONTH(B462,0),FALSE)&gt;0)*--(('Client DB &amp; Bed Mgmt'!$N$5:$N$428="")+NOT(ISNUMBER('Client DB &amp; Bed Mgmt'!$N$5:$N$428))+IFERROR('Client DB &amp; Bed Mgmt'!$N$5:$N$428&gt;=DATE(YEAR(B462),MONTH(B462),1),FALSE)&gt;0)*((IF(('Client DB &amp; Bed Mgmt'!$N$5:$N$428="")+NOT(ISNUMBER('Client DB &amp; Bed Mgmt'!$N$5:$N$428)),EOMONTH(B462,0),IF('Client DB &amp; Bed Mgmt'!$N$5:$N$428&lt;EOMONTH(B462,0),'Client DB &amp; Bed Mgmt'!$N$5:$N$428,EOMONTH(B462,0))))-(IF(('Client DB &amp; Bed Mgmt'!$M$5:$M$428="")+NOT(ISNUMBER('Client DB &amp; Bed Mgmt'!$M$5:$M$428)),DATE(YEAR(B462),MONTH(B462),1),IF('Client DB &amp; Bed Mgmt'!$M$5:$M$428&gt;DATE(YEAR(B462),MONTH(B462),1),'Client DB &amp; Bed Mgmt'!$M$5:$M$428,DATE(YEAR(B462),MONTH(B462),1))))+1)/DAY(EOMONTH(B462,0))),0)</f>
        <v/>
      </c>
    </row>
    <row r="463" ht="14.25" customHeight="1" s="83">
      <c r="A463" s="103" t="n"/>
      <c r="B463" s="125">
        <f>DATE(YEAR(StartDate),MONTH(StartDate),1)</f>
        <v/>
      </c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Mgmt'!$B:$B,C463,'Client DB &amp; Bed Mgmt'!$E:$E,"Occupied"),0)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>
        <f>IFERROR(J463*SUMPRODUCT(('Client DB &amp; Bed Mgmt'!$A$5:$A$428=A463)*('Client DB &amp; Bed Mgmt'!$B$5:$B$428=C463)*('Client DB &amp; Bed Mgmt'!$D$5:$D$428&lt;&gt;"")*--(('Client DB &amp; Bed Mgmt'!$M$5:$M$428="")+NOT(ISNUMBER('Client DB &amp; Bed Mgmt'!$M$5:$M$428))+IFERROR('Client DB &amp; Bed Mgmt'!$M$5:$M$428&lt;=EOMONTH(B463,0),FALSE)&gt;0)*--(('Client DB &amp; Bed Mgmt'!$N$5:$N$428="")+NOT(ISNUMBER('Client DB &amp; Bed Mgmt'!$N$5:$N$428))+IFERROR('Client DB &amp; Bed Mgmt'!$N$5:$N$428&gt;=DATE(YEAR(B463),MONTH(B463),1),FALSE)&gt;0)*((IF(('Client DB &amp; Bed Mgmt'!$N$5:$N$428="")+NOT(ISNUMBER('Client DB &amp; Bed Mgmt'!$N$5:$N$428)),EOMONTH(B463,0),IF('Client DB &amp; Bed Mgmt'!$N$5:$N$428&lt;EOMONTH(B463,0),'Client DB &amp; Bed Mgmt'!$N$5:$N$428,EOMONTH(B463,0))))-(IF(('Client DB &amp; Bed Mgmt'!$M$5:$M$428="")+NOT(ISNUMBER('Client DB &amp; Bed Mgmt'!$M$5:$M$428)),DATE(YEAR(B463),MONTH(B463),1),IF('Client DB &amp; Bed Mgmt'!$M$5:$M$428&gt;DATE(YEAR(B463),MONTH(B463),1),'Client DB &amp; Bed Mgmt'!$M$5:$M$428,DATE(YEAR(B463),MONTH(B463),1))))+1)/DAY(EOMONTH(B463,0))),0)</f>
        <v/>
      </c>
    </row>
    <row r="464" ht="14.25" customHeight="1" s="83">
      <c r="A464" s="103" t="n"/>
      <c r="B464" s="125">
        <f>DATE(YEAR(StartDate),MONTH(StartDate),1)</f>
        <v/>
      </c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Mgmt'!$B:$B,C464,'Client DB &amp; Bed Mgmt'!$E:$E,"Occupied"),0)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>
        <f>IFERROR(J464*SUMPRODUCT(('Client DB &amp; Bed Mgmt'!$A$5:$A$428=A464)*('Client DB &amp; Bed Mgmt'!$B$5:$B$428=C464)*('Client DB &amp; Bed Mgmt'!$D$5:$D$428&lt;&gt;"")*--(('Client DB &amp; Bed Mgmt'!$M$5:$M$428="")+NOT(ISNUMBER('Client DB &amp; Bed Mgmt'!$M$5:$M$428))+IFERROR('Client DB &amp; Bed Mgmt'!$M$5:$M$428&lt;=EOMONTH(B464,0),FALSE)&gt;0)*--(('Client DB &amp; Bed Mgmt'!$N$5:$N$428="")+NOT(ISNUMBER('Client DB &amp; Bed Mgmt'!$N$5:$N$428))+IFERROR('Client DB &amp; Bed Mgmt'!$N$5:$N$428&gt;=DATE(YEAR(B464),MONTH(B464),1),FALSE)&gt;0)*((IF(('Client DB &amp; Bed Mgmt'!$N$5:$N$428="")+NOT(ISNUMBER('Client DB &amp; Bed Mgmt'!$N$5:$N$428)),EOMONTH(B464,0),IF('Client DB &amp; Bed Mgmt'!$N$5:$N$428&lt;EOMONTH(B464,0),'Client DB &amp; Bed Mgmt'!$N$5:$N$428,EOMONTH(B464,0))))-(IF(('Client DB &amp; Bed Mgmt'!$M$5:$M$428="")+NOT(ISNUMBER('Client DB &amp; Bed Mgmt'!$M$5:$M$428)),DATE(YEAR(B464),MONTH(B464),1),IF('Client DB &amp; Bed Mgmt'!$M$5:$M$428&gt;DATE(YEAR(B464),MONTH(B464),1),'Client DB &amp; Bed Mgmt'!$M$5:$M$428,DATE(YEAR(B464),MONTH(B464),1))))+1)/DAY(EOMONTH(B464,0))),0)</f>
        <v/>
      </c>
    </row>
    <row r="465" ht="14.25" customHeight="1" s="83">
      <c r="A465" s="103" t="n"/>
      <c r="B465" s="125">
        <f>DATE(YEAR(StartDate),MONTH(StartDate),1)</f>
        <v/>
      </c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Mgmt'!$B:$B,C465,'Client DB &amp; Bed Mgmt'!$E:$E,"Occupied"),0)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>
        <f>IFERROR(J465*SUMPRODUCT(('Client DB &amp; Bed Mgmt'!$A$5:$A$428=A465)*('Client DB &amp; Bed Mgmt'!$B$5:$B$428=C465)*('Client DB &amp; Bed Mgmt'!$D$5:$D$428&lt;&gt;"")*--(('Client DB &amp; Bed Mgmt'!$M$5:$M$428="")+NOT(ISNUMBER('Client DB &amp; Bed Mgmt'!$M$5:$M$428))+IFERROR('Client DB &amp; Bed Mgmt'!$M$5:$M$428&lt;=EOMONTH(B465,0),FALSE)&gt;0)*--(('Client DB &amp; Bed Mgmt'!$N$5:$N$428="")+NOT(ISNUMBER('Client DB &amp; Bed Mgmt'!$N$5:$N$428))+IFERROR('Client DB &amp; Bed Mgmt'!$N$5:$N$428&gt;=DATE(YEAR(B465),MONTH(B465),1),FALSE)&gt;0)*((IF(('Client DB &amp; Bed Mgmt'!$N$5:$N$428="")+NOT(ISNUMBER('Client DB &amp; Bed Mgmt'!$N$5:$N$428)),EOMONTH(B465,0),IF('Client DB &amp; Bed Mgmt'!$N$5:$N$428&lt;EOMONTH(B465,0),'Client DB &amp; Bed Mgmt'!$N$5:$N$428,EOMONTH(B465,0))))-(IF(('Client DB &amp; Bed Mgmt'!$M$5:$M$428="")+NOT(ISNUMBER('Client DB &amp; Bed Mgmt'!$M$5:$M$428)),DATE(YEAR(B465),MONTH(B465),1),IF('Client DB &amp; Bed Mgmt'!$M$5:$M$428&gt;DATE(YEAR(B465),MONTH(B465),1),'Client DB &amp; Bed Mgmt'!$M$5:$M$428,DATE(YEAR(B465),MONTH(B465),1))))+1)/DAY(EOMONTH(B465,0))),0)</f>
        <v/>
      </c>
    </row>
    <row r="466" ht="14.25" customHeight="1" s="83">
      <c r="A466" s="103" t="n"/>
      <c r="B466" s="125">
        <f>DATE(YEAR(StartDate),MONTH(StartDate),1)</f>
        <v/>
      </c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Mgmt'!$B:$B,C466,'Client DB &amp; Bed Mgmt'!$E:$E,"Occupied"),0)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>
        <f>IFERROR(J466*SUMPRODUCT(('Client DB &amp; Bed Mgmt'!$A$5:$A$428=A466)*('Client DB &amp; Bed Mgmt'!$B$5:$B$428=C466)*('Client DB &amp; Bed Mgmt'!$D$5:$D$428&lt;&gt;"")*--(('Client DB &amp; Bed Mgmt'!$M$5:$M$428="")+NOT(ISNUMBER('Client DB &amp; Bed Mgmt'!$M$5:$M$428))+IFERROR('Client DB &amp; Bed Mgmt'!$M$5:$M$428&lt;=EOMONTH(B466,0),FALSE)&gt;0)*--(('Client DB &amp; Bed Mgmt'!$N$5:$N$428="")+NOT(ISNUMBER('Client DB &amp; Bed Mgmt'!$N$5:$N$428))+IFERROR('Client DB &amp; Bed Mgmt'!$N$5:$N$428&gt;=DATE(YEAR(B466),MONTH(B466),1),FALSE)&gt;0)*((IF(('Client DB &amp; Bed Mgmt'!$N$5:$N$428="")+NOT(ISNUMBER('Client DB &amp; Bed Mgmt'!$N$5:$N$428)),EOMONTH(B466,0),IF('Client DB &amp; Bed Mgmt'!$N$5:$N$428&lt;EOMONTH(B466,0),'Client DB &amp; Bed Mgmt'!$N$5:$N$428,EOMONTH(B466,0))))-(IF(('Client DB &amp; Bed Mgmt'!$M$5:$M$428="")+NOT(ISNUMBER('Client DB &amp; Bed Mgmt'!$M$5:$M$428)),DATE(YEAR(B466),MONTH(B466),1),IF('Client DB &amp; Bed Mgmt'!$M$5:$M$428&gt;DATE(YEAR(B466),MONTH(B466),1),'Client DB &amp; Bed Mgmt'!$M$5:$M$428,DATE(YEAR(B466),MONTH(B466),1))))+1)/DAY(EOMONTH(B466,0))),0)</f>
        <v/>
      </c>
    </row>
    <row r="467" ht="14.25" customHeight="1" s="83">
      <c r="A467" s="103" t="n"/>
      <c r="B467" s="125">
        <f>DATE(YEAR(StartDate),MONTH(StartDate),1)</f>
        <v/>
      </c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Mgmt'!$B:$B,C467,'Client DB &amp; Bed Mgmt'!$E:$E,"Occupied"),0)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>
        <f>IFERROR(J467*SUMPRODUCT(('Client DB &amp; Bed Mgmt'!$A$5:$A$428=A467)*('Client DB &amp; Bed Mgmt'!$B$5:$B$428=C467)*('Client DB &amp; Bed Mgmt'!$D$5:$D$428&lt;&gt;"")*--(('Client DB &amp; Bed Mgmt'!$M$5:$M$428="")+NOT(ISNUMBER('Client DB &amp; Bed Mgmt'!$M$5:$M$428))+IFERROR('Client DB &amp; Bed Mgmt'!$M$5:$M$428&lt;=EOMONTH(B467,0),FALSE)&gt;0)*--(('Client DB &amp; Bed Mgmt'!$N$5:$N$428="")+NOT(ISNUMBER('Client DB &amp; Bed Mgmt'!$N$5:$N$428))+IFERROR('Client DB &amp; Bed Mgmt'!$N$5:$N$428&gt;=DATE(YEAR(B467),MONTH(B467),1),FALSE)&gt;0)*((IF(('Client DB &amp; Bed Mgmt'!$N$5:$N$428="")+NOT(ISNUMBER('Client DB &amp; Bed Mgmt'!$N$5:$N$428)),EOMONTH(B467,0),IF('Client DB &amp; Bed Mgmt'!$N$5:$N$428&lt;EOMONTH(B467,0),'Client DB &amp; Bed Mgmt'!$N$5:$N$428,EOMONTH(B467,0))))-(IF(('Client DB &amp; Bed Mgmt'!$M$5:$M$428="")+NOT(ISNUMBER('Client DB &amp; Bed Mgmt'!$M$5:$M$428)),DATE(YEAR(B467),MONTH(B467),1),IF('Client DB &amp; Bed Mgmt'!$M$5:$M$428&gt;DATE(YEAR(B467),MONTH(B467),1),'Client DB &amp; Bed Mgmt'!$M$5:$M$428,DATE(YEAR(B467),MONTH(B467),1))))+1)/DAY(EOMONTH(B467,0))),0)</f>
        <v/>
      </c>
    </row>
    <row r="468" ht="14.25" customHeight="1" s="83">
      <c r="A468" s="103" t="n"/>
      <c r="B468" s="125">
        <f>DATE(YEAR(StartDate),MONTH(StartDate),1)</f>
        <v/>
      </c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Mgmt'!$B:$B,C468,'Client DB &amp; Bed Mgmt'!$E:$E,"Occupied"),0)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>
        <f>IFERROR(J468*SUMPRODUCT(('Client DB &amp; Bed Mgmt'!$A$5:$A$428=A468)*('Client DB &amp; Bed Mgmt'!$B$5:$B$428=C468)*('Client DB &amp; Bed Mgmt'!$D$5:$D$428&lt;&gt;"")*--(('Client DB &amp; Bed Mgmt'!$M$5:$M$428="")+NOT(ISNUMBER('Client DB &amp; Bed Mgmt'!$M$5:$M$428))+IFERROR('Client DB &amp; Bed Mgmt'!$M$5:$M$428&lt;=EOMONTH(B468,0),FALSE)&gt;0)*--(('Client DB &amp; Bed Mgmt'!$N$5:$N$428="")+NOT(ISNUMBER('Client DB &amp; Bed Mgmt'!$N$5:$N$428))+IFERROR('Client DB &amp; Bed Mgmt'!$N$5:$N$428&gt;=DATE(YEAR(B468),MONTH(B468),1),FALSE)&gt;0)*((IF(('Client DB &amp; Bed Mgmt'!$N$5:$N$428="")+NOT(ISNUMBER('Client DB &amp; Bed Mgmt'!$N$5:$N$428)),EOMONTH(B468,0),IF('Client DB &amp; Bed Mgmt'!$N$5:$N$428&lt;EOMONTH(B468,0),'Client DB &amp; Bed Mgmt'!$N$5:$N$428,EOMONTH(B468,0))))-(IF(('Client DB &amp; Bed Mgmt'!$M$5:$M$428="")+NOT(ISNUMBER('Client DB &amp; Bed Mgmt'!$M$5:$M$428)),DATE(YEAR(B468),MONTH(B468),1),IF('Client DB &amp; Bed Mgmt'!$M$5:$M$428&gt;DATE(YEAR(B468),MONTH(B468),1),'Client DB &amp; Bed Mgmt'!$M$5:$M$428,DATE(YEAR(B468),MONTH(B468),1))))+1)/DAY(EOMONTH(B468,0))),0)</f>
        <v/>
      </c>
    </row>
    <row r="469" ht="14.25" customHeight="1" s="83">
      <c r="A469" s="103" t="n"/>
      <c r="B469" s="125">
        <f>DATE(YEAR(StartDate),MONTH(StartDate),1)</f>
        <v/>
      </c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Mgmt'!$B:$B,C469,'Client DB &amp; Bed Mgmt'!$E:$E,"Occupied"),0)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>
        <f>IFERROR(J469*SUMPRODUCT(('Client DB &amp; Bed Mgmt'!$A$5:$A$428=A469)*('Client DB &amp; Bed Mgmt'!$B$5:$B$428=C469)*('Client DB &amp; Bed Mgmt'!$D$5:$D$428&lt;&gt;"")*--(('Client DB &amp; Bed Mgmt'!$M$5:$M$428="")+NOT(ISNUMBER('Client DB &amp; Bed Mgmt'!$M$5:$M$428))+IFERROR('Client DB &amp; Bed Mgmt'!$M$5:$M$428&lt;=EOMONTH(B469,0),FALSE)&gt;0)*--(('Client DB &amp; Bed Mgmt'!$N$5:$N$428="")+NOT(ISNUMBER('Client DB &amp; Bed Mgmt'!$N$5:$N$428))+IFERROR('Client DB &amp; Bed Mgmt'!$N$5:$N$428&gt;=DATE(YEAR(B469),MONTH(B469),1),FALSE)&gt;0)*((IF(('Client DB &amp; Bed Mgmt'!$N$5:$N$428="")+NOT(ISNUMBER('Client DB &amp; Bed Mgmt'!$N$5:$N$428)),EOMONTH(B469,0),IF('Client DB &amp; Bed Mgmt'!$N$5:$N$428&lt;EOMONTH(B469,0),'Client DB &amp; Bed Mgmt'!$N$5:$N$428,EOMONTH(B469,0))))-(IF(('Client DB &amp; Bed Mgmt'!$M$5:$M$428="")+NOT(ISNUMBER('Client DB &amp; Bed Mgmt'!$M$5:$M$428)),DATE(YEAR(B469),MONTH(B469),1),IF('Client DB &amp; Bed Mgmt'!$M$5:$M$428&gt;DATE(YEAR(B469),MONTH(B469),1),'Client DB &amp; Bed Mgmt'!$M$5:$M$428,DATE(YEAR(B469),MONTH(B469),1))))+1)/DAY(EOMONTH(B469,0))),0)</f>
        <v/>
      </c>
    </row>
    <row r="470" ht="14.25" customHeight="1" s="83">
      <c r="A470" s="103" t="n"/>
      <c r="B470" s="125">
        <f>DATE(YEAR(StartDate),MONTH(StartDate),1)</f>
        <v/>
      </c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Mgmt'!$B:$B,C470,'Client DB &amp; Bed Mgmt'!$E:$E,"Occupied"),0)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>
        <f>IFERROR(J470*SUMPRODUCT(('Client DB &amp; Bed Mgmt'!$A$5:$A$428=A470)*('Client DB &amp; Bed Mgmt'!$B$5:$B$428=C470)*('Client DB &amp; Bed Mgmt'!$D$5:$D$428&lt;&gt;"")*--(('Client DB &amp; Bed Mgmt'!$M$5:$M$428="")+NOT(ISNUMBER('Client DB &amp; Bed Mgmt'!$M$5:$M$428))+IFERROR('Client DB &amp; Bed Mgmt'!$M$5:$M$428&lt;=EOMONTH(B470,0),FALSE)&gt;0)*--(('Client DB &amp; Bed Mgmt'!$N$5:$N$428="")+NOT(ISNUMBER('Client DB &amp; Bed Mgmt'!$N$5:$N$428))+IFERROR('Client DB &amp; Bed Mgmt'!$N$5:$N$428&gt;=DATE(YEAR(B470),MONTH(B470),1),FALSE)&gt;0)*((IF(('Client DB &amp; Bed Mgmt'!$N$5:$N$428="")+NOT(ISNUMBER('Client DB &amp; Bed Mgmt'!$N$5:$N$428)),EOMONTH(B470,0),IF('Client DB &amp; Bed Mgmt'!$N$5:$N$428&lt;EOMONTH(B470,0),'Client DB &amp; Bed Mgmt'!$N$5:$N$428,EOMONTH(B470,0))))-(IF(('Client DB &amp; Bed Mgmt'!$M$5:$M$428="")+NOT(ISNUMBER('Client DB &amp; Bed Mgmt'!$M$5:$M$428)),DATE(YEAR(B470),MONTH(B470),1),IF('Client DB &amp; Bed Mgmt'!$M$5:$M$428&gt;DATE(YEAR(B470),MONTH(B470),1),'Client DB &amp; Bed Mgmt'!$M$5:$M$428,DATE(YEAR(B470),MONTH(B470),1))))+1)/DAY(EOMONTH(B470,0))),0)</f>
        <v/>
      </c>
    </row>
    <row r="471" ht="14.25" customHeight="1" s="83">
      <c r="A471" s="103" t="n"/>
      <c r="B471" s="125">
        <f>DATE(YEAR(StartDate),MONTH(StartDate),1)</f>
        <v/>
      </c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Mgmt'!$B:$B,C471,'Client DB &amp; Bed Mgmt'!$E:$E,"Occupied"),0)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>
        <f>IFERROR(J471*SUMPRODUCT(('Client DB &amp; Bed Mgmt'!$A$5:$A$428=A471)*('Client DB &amp; Bed Mgmt'!$B$5:$B$428=C471)*('Client DB &amp; Bed Mgmt'!$D$5:$D$428&lt;&gt;"")*--(('Client DB &amp; Bed Mgmt'!$M$5:$M$428="")+NOT(ISNUMBER('Client DB &amp; Bed Mgmt'!$M$5:$M$428))+IFERROR('Client DB &amp; Bed Mgmt'!$M$5:$M$428&lt;=EOMONTH(B471,0),FALSE)&gt;0)*--(('Client DB &amp; Bed Mgmt'!$N$5:$N$428="")+NOT(ISNUMBER('Client DB &amp; Bed Mgmt'!$N$5:$N$428))+IFERROR('Client DB &amp; Bed Mgmt'!$N$5:$N$428&gt;=DATE(YEAR(B471),MONTH(B471),1),FALSE)&gt;0)*((IF(('Client DB &amp; Bed Mgmt'!$N$5:$N$428="")+NOT(ISNUMBER('Client DB &amp; Bed Mgmt'!$N$5:$N$428)),EOMONTH(B471,0),IF('Client DB &amp; Bed Mgmt'!$N$5:$N$428&lt;EOMONTH(B471,0),'Client DB &amp; Bed Mgmt'!$N$5:$N$428,EOMONTH(B471,0))))-(IF(('Client DB &amp; Bed Mgmt'!$M$5:$M$428="")+NOT(ISNUMBER('Client DB &amp; Bed Mgmt'!$M$5:$M$428)),DATE(YEAR(B471),MONTH(B471),1),IF('Client DB &amp; Bed Mgmt'!$M$5:$M$428&gt;DATE(YEAR(B471),MONTH(B471),1),'Client DB &amp; Bed Mgmt'!$M$5:$M$428,DATE(YEAR(B471),MONTH(B471),1))))+1)/DAY(EOMONTH(B471,0))),0)</f>
        <v/>
      </c>
    </row>
    <row r="472" ht="14.25" customHeight="1" s="83">
      <c r="A472" s="103" t="n"/>
      <c r="B472" s="125">
        <f>DATE(YEAR(StartDate),MONTH(StartDate),1)</f>
        <v/>
      </c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Mgmt'!$B:$B,C472,'Client DB &amp; Bed Mgmt'!$E:$E,"Occupied"),0)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>
        <f>IFERROR(J472*SUMPRODUCT(('Client DB &amp; Bed Mgmt'!$A$5:$A$428=A472)*('Client DB &amp; Bed Mgmt'!$B$5:$B$428=C472)*('Client DB &amp; Bed Mgmt'!$D$5:$D$428&lt;&gt;"")*--(('Client DB &amp; Bed Mgmt'!$M$5:$M$428="")+NOT(ISNUMBER('Client DB &amp; Bed Mgmt'!$M$5:$M$428))+IFERROR('Client DB &amp; Bed Mgmt'!$M$5:$M$428&lt;=EOMONTH(B472,0),FALSE)&gt;0)*--(('Client DB &amp; Bed Mgmt'!$N$5:$N$428="")+NOT(ISNUMBER('Client DB &amp; Bed Mgmt'!$N$5:$N$428))+IFERROR('Client DB &amp; Bed Mgmt'!$N$5:$N$428&gt;=DATE(YEAR(B472),MONTH(B472),1),FALSE)&gt;0)*((IF(('Client DB &amp; Bed Mgmt'!$N$5:$N$428="")+NOT(ISNUMBER('Client DB &amp; Bed Mgmt'!$N$5:$N$428)),EOMONTH(B472,0),IF('Client DB &amp; Bed Mgmt'!$N$5:$N$428&lt;EOMONTH(B472,0),'Client DB &amp; Bed Mgmt'!$N$5:$N$428,EOMONTH(B472,0))))-(IF(('Client DB &amp; Bed Mgmt'!$M$5:$M$428="")+NOT(ISNUMBER('Client DB &amp; Bed Mgmt'!$M$5:$M$428)),DATE(YEAR(B472),MONTH(B472),1),IF('Client DB &amp; Bed Mgmt'!$M$5:$M$428&gt;DATE(YEAR(B472),MONTH(B472),1),'Client DB &amp; Bed Mgmt'!$M$5:$M$428,DATE(YEAR(B472),MONTH(B472),1))))+1)/DAY(EOMONTH(B472,0))),0)</f>
        <v/>
      </c>
    </row>
    <row r="473" ht="14.25" customHeight="1" s="83">
      <c r="A473" s="103" t="n"/>
      <c r="B473" s="125">
        <f>DATE(YEAR(StartDate),MONTH(StartDate),1)</f>
        <v/>
      </c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Mgmt'!$B:$B,C473,'Client DB &amp; Bed Mgmt'!$E:$E,"Occupied"),0)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>
        <f>IFERROR(J473*SUMPRODUCT(('Client DB &amp; Bed Mgmt'!$A$5:$A$428=A473)*('Client DB &amp; Bed Mgmt'!$B$5:$B$428=C473)*('Client DB &amp; Bed Mgmt'!$D$5:$D$428&lt;&gt;"")*--(('Client DB &amp; Bed Mgmt'!$M$5:$M$428="")+NOT(ISNUMBER('Client DB &amp; Bed Mgmt'!$M$5:$M$428))+IFERROR('Client DB &amp; Bed Mgmt'!$M$5:$M$428&lt;=EOMONTH(B473,0),FALSE)&gt;0)*--(('Client DB &amp; Bed Mgmt'!$N$5:$N$428="")+NOT(ISNUMBER('Client DB &amp; Bed Mgmt'!$N$5:$N$428))+IFERROR('Client DB &amp; Bed Mgmt'!$N$5:$N$428&gt;=DATE(YEAR(B473),MONTH(B473),1),FALSE)&gt;0)*((IF(('Client DB &amp; Bed Mgmt'!$N$5:$N$428="")+NOT(ISNUMBER('Client DB &amp; Bed Mgmt'!$N$5:$N$428)),EOMONTH(B473,0),IF('Client DB &amp; Bed Mgmt'!$N$5:$N$428&lt;EOMONTH(B473,0),'Client DB &amp; Bed Mgmt'!$N$5:$N$428,EOMONTH(B473,0))))-(IF(('Client DB &amp; Bed Mgmt'!$M$5:$M$428="")+NOT(ISNUMBER('Client DB &amp; Bed Mgmt'!$M$5:$M$428)),DATE(YEAR(B473),MONTH(B473),1),IF('Client DB &amp; Bed Mgmt'!$M$5:$M$428&gt;DATE(YEAR(B473),MONTH(B473),1),'Client DB &amp; Bed Mgmt'!$M$5:$M$428,DATE(YEAR(B473),MONTH(B473),1))))+1)/DAY(EOMONTH(B473,0))),0)</f>
        <v/>
      </c>
    </row>
    <row r="474" ht="14.25" customHeight="1" s="83">
      <c r="A474" s="103" t="n"/>
      <c r="B474" s="125">
        <f>DATE(YEAR(StartDate),MONTH(StartDate),1)</f>
        <v/>
      </c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Mgmt'!$B:$B,C474,'Client DB &amp; Bed Mgmt'!$E:$E,"Occupied"),0)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>
        <f>IFERROR(J474*SUMPRODUCT(('Client DB &amp; Bed Mgmt'!$A$5:$A$428=A474)*('Client DB &amp; Bed Mgmt'!$B$5:$B$428=C474)*('Client DB &amp; Bed Mgmt'!$D$5:$D$428&lt;&gt;"")*--(('Client DB &amp; Bed Mgmt'!$M$5:$M$428="")+NOT(ISNUMBER('Client DB &amp; Bed Mgmt'!$M$5:$M$428))+IFERROR('Client DB &amp; Bed Mgmt'!$M$5:$M$428&lt;=EOMONTH(B474,0),FALSE)&gt;0)*--(('Client DB &amp; Bed Mgmt'!$N$5:$N$428="")+NOT(ISNUMBER('Client DB &amp; Bed Mgmt'!$N$5:$N$428))+IFERROR('Client DB &amp; Bed Mgmt'!$N$5:$N$428&gt;=DATE(YEAR(B474),MONTH(B474),1),FALSE)&gt;0)*((IF(('Client DB &amp; Bed Mgmt'!$N$5:$N$428="")+NOT(ISNUMBER('Client DB &amp; Bed Mgmt'!$N$5:$N$428)),EOMONTH(B474,0),IF('Client DB &amp; Bed Mgmt'!$N$5:$N$428&lt;EOMONTH(B474,0),'Client DB &amp; Bed Mgmt'!$N$5:$N$428,EOMONTH(B474,0))))-(IF(('Client DB &amp; Bed Mgmt'!$M$5:$M$428="")+NOT(ISNUMBER('Client DB &amp; Bed Mgmt'!$M$5:$M$428)),DATE(YEAR(B474),MONTH(B474),1),IF('Client DB &amp; Bed Mgmt'!$M$5:$M$428&gt;DATE(YEAR(B474),MONTH(B474),1),'Client DB &amp; Bed Mgmt'!$M$5:$M$428,DATE(YEAR(B474),MONTH(B474),1))))+1)/DAY(EOMONTH(B474,0))),0)</f>
        <v/>
      </c>
    </row>
    <row r="475" ht="14.25" customHeight="1" s="83">
      <c r="A475" s="103" t="n"/>
      <c r="B475" s="125">
        <f>DATE(YEAR(StartDate),MONTH(StartDate),1)</f>
        <v/>
      </c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Mgmt'!$B:$B,C475,'Client DB &amp; Bed Mgmt'!$E:$E,"Occupied"),0)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>
        <f>IFERROR(J475*SUMPRODUCT(('Client DB &amp; Bed Mgmt'!$A$5:$A$428=A475)*('Client DB &amp; Bed Mgmt'!$B$5:$B$428=C475)*('Client DB &amp; Bed Mgmt'!$D$5:$D$428&lt;&gt;"")*--(('Client DB &amp; Bed Mgmt'!$M$5:$M$428="")+NOT(ISNUMBER('Client DB &amp; Bed Mgmt'!$M$5:$M$428))+IFERROR('Client DB &amp; Bed Mgmt'!$M$5:$M$428&lt;=EOMONTH(B475,0),FALSE)&gt;0)*--(('Client DB &amp; Bed Mgmt'!$N$5:$N$428="")+NOT(ISNUMBER('Client DB &amp; Bed Mgmt'!$N$5:$N$428))+IFERROR('Client DB &amp; Bed Mgmt'!$N$5:$N$428&gt;=DATE(YEAR(B475),MONTH(B475),1),FALSE)&gt;0)*((IF(('Client DB &amp; Bed Mgmt'!$N$5:$N$428="")+NOT(ISNUMBER('Client DB &amp; Bed Mgmt'!$N$5:$N$428)),EOMONTH(B475,0),IF('Client DB &amp; Bed Mgmt'!$N$5:$N$428&lt;EOMONTH(B475,0),'Client DB &amp; Bed Mgmt'!$N$5:$N$428,EOMONTH(B475,0))))-(IF(('Client DB &amp; Bed Mgmt'!$M$5:$M$428="")+NOT(ISNUMBER('Client DB &amp; Bed Mgmt'!$M$5:$M$428)),DATE(YEAR(B475),MONTH(B475),1),IF('Client DB &amp; Bed Mgmt'!$M$5:$M$428&gt;DATE(YEAR(B475),MONTH(B475),1),'Client DB &amp; Bed Mgmt'!$M$5:$M$428,DATE(YEAR(B475),MONTH(B475),1))))+1)/DAY(EOMONTH(B475,0))),0)</f>
        <v/>
      </c>
    </row>
    <row r="476" ht="14.25" customHeight="1" s="83">
      <c r="A476" s="103" t="n"/>
      <c r="B476" s="125">
        <f>DATE(YEAR(StartDate),MONTH(StartDate),1)</f>
        <v/>
      </c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Mgmt'!$B:$B,C476,'Client DB &amp; Bed Mgmt'!$E:$E,"Occupied"),0)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>
        <f>IFERROR(J476*SUMPRODUCT(('Client DB &amp; Bed Mgmt'!$A$5:$A$428=A476)*('Client DB &amp; Bed Mgmt'!$B$5:$B$428=C476)*('Client DB &amp; Bed Mgmt'!$D$5:$D$428&lt;&gt;"")*--(('Client DB &amp; Bed Mgmt'!$M$5:$M$428="")+NOT(ISNUMBER('Client DB &amp; Bed Mgmt'!$M$5:$M$428))+IFERROR('Client DB &amp; Bed Mgmt'!$M$5:$M$428&lt;=EOMONTH(B476,0),FALSE)&gt;0)*--(('Client DB &amp; Bed Mgmt'!$N$5:$N$428="")+NOT(ISNUMBER('Client DB &amp; Bed Mgmt'!$N$5:$N$428))+IFERROR('Client DB &amp; Bed Mgmt'!$N$5:$N$428&gt;=DATE(YEAR(B476),MONTH(B476),1),FALSE)&gt;0)*((IF(('Client DB &amp; Bed Mgmt'!$N$5:$N$428="")+NOT(ISNUMBER('Client DB &amp; Bed Mgmt'!$N$5:$N$428)),EOMONTH(B476,0),IF('Client DB &amp; Bed Mgmt'!$N$5:$N$428&lt;EOMONTH(B476,0),'Client DB &amp; Bed Mgmt'!$N$5:$N$428,EOMONTH(B476,0))))-(IF(('Client DB &amp; Bed Mgmt'!$M$5:$M$428="")+NOT(ISNUMBER('Client DB &amp; Bed Mgmt'!$M$5:$M$428)),DATE(YEAR(B476),MONTH(B476),1),IF('Client DB &amp; Bed Mgmt'!$M$5:$M$428&gt;DATE(YEAR(B476),MONTH(B476),1),'Client DB &amp; Bed Mgmt'!$M$5:$M$428,DATE(YEAR(B476),MONTH(B476),1))))+1)/DAY(EOMONTH(B476,0))),0)</f>
        <v/>
      </c>
    </row>
    <row r="477" ht="14.25" customHeight="1" s="83">
      <c r="A477" s="103" t="n"/>
      <c r="B477" s="125">
        <f>DATE(YEAR(StartDate),MONTH(StartDate),1)</f>
        <v/>
      </c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Mgmt'!$B:$B,C477,'Client DB &amp; Bed Mgmt'!$E:$E,"Occupied"),0)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>
        <f>IFERROR(J477*SUMPRODUCT(('Client DB &amp; Bed Mgmt'!$A$5:$A$428=A477)*('Client DB &amp; Bed Mgmt'!$B$5:$B$428=C477)*('Client DB &amp; Bed Mgmt'!$D$5:$D$428&lt;&gt;"")*--(('Client DB &amp; Bed Mgmt'!$M$5:$M$428="")+NOT(ISNUMBER('Client DB &amp; Bed Mgmt'!$M$5:$M$428))+IFERROR('Client DB &amp; Bed Mgmt'!$M$5:$M$428&lt;=EOMONTH(B477,0),FALSE)&gt;0)*--(('Client DB &amp; Bed Mgmt'!$N$5:$N$428="")+NOT(ISNUMBER('Client DB &amp; Bed Mgmt'!$N$5:$N$428))+IFERROR('Client DB &amp; Bed Mgmt'!$N$5:$N$428&gt;=DATE(YEAR(B477),MONTH(B477),1),FALSE)&gt;0)*((IF(('Client DB &amp; Bed Mgmt'!$N$5:$N$428="")+NOT(ISNUMBER('Client DB &amp; Bed Mgmt'!$N$5:$N$428)),EOMONTH(B477,0),IF('Client DB &amp; Bed Mgmt'!$N$5:$N$428&lt;EOMONTH(B477,0),'Client DB &amp; Bed Mgmt'!$N$5:$N$428,EOMONTH(B477,0))))-(IF(('Client DB &amp; Bed Mgmt'!$M$5:$M$428="")+NOT(ISNUMBER('Client DB &amp; Bed Mgmt'!$M$5:$M$428)),DATE(YEAR(B477),MONTH(B477),1),IF('Client DB &amp; Bed Mgmt'!$M$5:$M$428&gt;DATE(YEAR(B477),MONTH(B477),1),'Client DB &amp; Bed Mgmt'!$M$5:$M$428,DATE(YEAR(B477),MONTH(B477),1))))+1)/DAY(EOMONTH(B477,0))),0)</f>
        <v/>
      </c>
    </row>
    <row r="478" ht="14.25" customHeight="1" s="83">
      <c r="A478" s="103" t="n"/>
      <c r="B478" s="125">
        <f>DATE(YEAR(StartDate),MONTH(StartDate),1)</f>
        <v/>
      </c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Mgmt'!$B:$B,C478,'Client DB &amp; Bed Mgmt'!$E:$E,"Occupied"),0)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>
        <f>IFERROR(J478*SUMPRODUCT(('Client DB &amp; Bed Mgmt'!$A$5:$A$428=A478)*('Client DB &amp; Bed Mgmt'!$B$5:$B$428=C478)*('Client DB &amp; Bed Mgmt'!$D$5:$D$428&lt;&gt;"")*--(('Client DB &amp; Bed Mgmt'!$M$5:$M$428="")+NOT(ISNUMBER('Client DB &amp; Bed Mgmt'!$M$5:$M$428))+IFERROR('Client DB &amp; Bed Mgmt'!$M$5:$M$428&lt;=EOMONTH(B478,0),FALSE)&gt;0)*--(('Client DB &amp; Bed Mgmt'!$N$5:$N$428="")+NOT(ISNUMBER('Client DB &amp; Bed Mgmt'!$N$5:$N$428))+IFERROR('Client DB &amp; Bed Mgmt'!$N$5:$N$428&gt;=DATE(YEAR(B478),MONTH(B478),1),FALSE)&gt;0)*((IF(('Client DB &amp; Bed Mgmt'!$N$5:$N$428="")+NOT(ISNUMBER('Client DB &amp; Bed Mgmt'!$N$5:$N$428)),EOMONTH(B478,0),IF('Client DB &amp; Bed Mgmt'!$N$5:$N$428&lt;EOMONTH(B478,0),'Client DB &amp; Bed Mgmt'!$N$5:$N$428,EOMONTH(B478,0))))-(IF(('Client DB &amp; Bed Mgmt'!$M$5:$M$428="")+NOT(ISNUMBER('Client DB &amp; Bed Mgmt'!$M$5:$M$428)),DATE(YEAR(B478),MONTH(B478),1),IF('Client DB &amp; Bed Mgmt'!$M$5:$M$428&gt;DATE(YEAR(B478),MONTH(B478),1),'Client DB &amp; Bed Mgmt'!$M$5:$M$428,DATE(YEAR(B478),MONTH(B478),1))))+1)/DAY(EOMONTH(B478,0))),0)</f>
        <v/>
      </c>
    </row>
    <row r="479" ht="14.25" customHeight="1" s="83">
      <c r="A479" s="103" t="n"/>
      <c r="B479" s="125">
        <f>DATE(YEAR(StartDate),MONTH(StartDate),1)</f>
        <v/>
      </c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Mgmt'!$B:$B,C479,'Client DB &amp; Bed Mgmt'!$E:$E,"Occupied"),0)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>
        <f>IFERROR(J479*SUMPRODUCT(('Client DB &amp; Bed Mgmt'!$A$5:$A$428=A479)*('Client DB &amp; Bed Mgmt'!$B$5:$B$428=C479)*('Client DB &amp; Bed Mgmt'!$D$5:$D$428&lt;&gt;"")*--(('Client DB &amp; Bed Mgmt'!$M$5:$M$428="")+NOT(ISNUMBER('Client DB &amp; Bed Mgmt'!$M$5:$M$428))+IFERROR('Client DB &amp; Bed Mgmt'!$M$5:$M$428&lt;=EOMONTH(B479,0),FALSE)&gt;0)*--(('Client DB &amp; Bed Mgmt'!$N$5:$N$428="")+NOT(ISNUMBER('Client DB &amp; Bed Mgmt'!$N$5:$N$428))+IFERROR('Client DB &amp; Bed Mgmt'!$N$5:$N$428&gt;=DATE(YEAR(B479),MONTH(B479),1),FALSE)&gt;0)*((IF(('Client DB &amp; Bed Mgmt'!$N$5:$N$428="")+NOT(ISNUMBER('Client DB &amp; Bed Mgmt'!$N$5:$N$428)),EOMONTH(B479,0),IF('Client DB &amp; Bed Mgmt'!$N$5:$N$428&lt;EOMONTH(B479,0),'Client DB &amp; Bed Mgmt'!$N$5:$N$428,EOMONTH(B479,0))))-(IF(('Client DB &amp; Bed Mgmt'!$M$5:$M$428="")+NOT(ISNUMBER('Client DB &amp; Bed Mgmt'!$M$5:$M$428)),DATE(YEAR(B479),MONTH(B479),1),IF('Client DB &amp; Bed Mgmt'!$M$5:$M$428&gt;DATE(YEAR(B479),MONTH(B479),1),'Client DB &amp; Bed Mgmt'!$M$5:$M$428,DATE(YEAR(B479),MONTH(B479),1))))+1)/DAY(EOMONTH(B479,0))),0)</f>
        <v/>
      </c>
    </row>
    <row r="480" ht="14.25" customHeight="1" s="83">
      <c r="A480" s="103" t="n"/>
      <c r="B480" s="125">
        <f>DATE(YEAR(StartDate),MONTH(StartDate),1)</f>
        <v/>
      </c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Mgmt'!$B:$B,C480,'Client DB &amp; Bed Mgmt'!$E:$E,"Occupied"),0)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>
        <f>IFERROR(J480*SUMPRODUCT(('Client DB &amp; Bed Mgmt'!$A$5:$A$428=A480)*('Client DB &amp; Bed Mgmt'!$B$5:$B$428=C480)*('Client DB &amp; Bed Mgmt'!$D$5:$D$428&lt;&gt;"")*--(('Client DB &amp; Bed Mgmt'!$M$5:$M$428="")+NOT(ISNUMBER('Client DB &amp; Bed Mgmt'!$M$5:$M$428))+IFERROR('Client DB &amp; Bed Mgmt'!$M$5:$M$428&lt;=EOMONTH(B480,0),FALSE)&gt;0)*--(('Client DB &amp; Bed Mgmt'!$N$5:$N$428="")+NOT(ISNUMBER('Client DB &amp; Bed Mgmt'!$N$5:$N$428))+IFERROR('Client DB &amp; Bed Mgmt'!$N$5:$N$428&gt;=DATE(YEAR(B480),MONTH(B480),1),FALSE)&gt;0)*((IF(('Client DB &amp; Bed Mgmt'!$N$5:$N$428="")+NOT(ISNUMBER('Client DB &amp; Bed Mgmt'!$N$5:$N$428)),EOMONTH(B480,0),IF('Client DB &amp; Bed Mgmt'!$N$5:$N$428&lt;EOMONTH(B480,0),'Client DB &amp; Bed Mgmt'!$N$5:$N$428,EOMONTH(B480,0))))-(IF(('Client DB &amp; Bed Mgmt'!$M$5:$M$428="")+NOT(ISNUMBER('Client DB &amp; Bed Mgmt'!$M$5:$M$428)),DATE(YEAR(B480),MONTH(B480),1),IF('Client DB &amp; Bed Mgmt'!$M$5:$M$428&gt;DATE(YEAR(B480),MONTH(B480),1),'Client DB &amp; Bed Mgmt'!$M$5:$M$428,DATE(YEAR(B480),MONTH(B480),1))))+1)/DAY(EOMONTH(B480,0))),0)</f>
        <v/>
      </c>
    </row>
    <row r="481" ht="14.25" customHeight="1" s="83">
      <c r="A481" s="103" t="n"/>
      <c r="B481" s="125">
        <f>DATE(YEAR(StartDate),MONTH(StartDate),1)</f>
        <v/>
      </c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Mgmt'!$B:$B,C481,'Client DB &amp; Bed Mgmt'!$E:$E,"Occupied"),0)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>
        <f>IFERROR(J481*SUMPRODUCT(('Client DB &amp; Bed Mgmt'!$A$5:$A$428=A481)*('Client DB &amp; Bed Mgmt'!$B$5:$B$428=C481)*('Client DB &amp; Bed Mgmt'!$D$5:$D$428&lt;&gt;"")*--(('Client DB &amp; Bed Mgmt'!$M$5:$M$428="")+NOT(ISNUMBER('Client DB &amp; Bed Mgmt'!$M$5:$M$428))+IFERROR('Client DB &amp; Bed Mgmt'!$M$5:$M$428&lt;=EOMONTH(B481,0),FALSE)&gt;0)*--(('Client DB &amp; Bed Mgmt'!$N$5:$N$428="")+NOT(ISNUMBER('Client DB &amp; Bed Mgmt'!$N$5:$N$428))+IFERROR('Client DB &amp; Bed Mgmt'!$N$5:$N$428&gt;=DATE(YEAR(B481),MONTH(B481),1),FALSE)&gt;0)*((IF(('Client DB &amp; Bed Mgmt'!$N$5:$N$428="")+NOT(ISNUMBER('Client DB &amp; Bed Mgmt'!$N$5:$N$428)),EOMONTH(B481,0),IF('Client DB &amp; Bed Mgmt'!$N$5:$N$428&lt;EOMONTH(B481,0),'Client DB &amp; Bed Mgmt'!$N$5:$N$428,EOMONTH(B481,0))))-(IF(('Client DB &amp; Bed Mgmt'!$M$5:$M$428="")+NOT(ISNUMBER('Client DB &amp; Bed Mgmt'!$M$5:$M$428)),DATE(YEAR(B481),MONTH(B481),1),IF('Client DB &amp; Bed Mgmt'!$M$5:$M$428&gt;DATE(YEAR(B481),MONTH(B481),1),'Client DB &amp; Bed Mgmt'!$M$5:$M$428,DATE(YEAR(B481),MONTH(B481),1))))+1)/DAY(EOMONTH(B481,0))),0)</f>
        <v/>
      </c>
    </row>
    <row r="482" ht="14.25" customHeight="1" s="83">
      <c r="A482" s="103" t="n"/>
      <c r="B482" s="125">
        <f>DATE(YEAR(StartDate),MONTH(StartDate),1)</f>
        <v/>
      </c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Mgmt'!$B:$B,C482,'Client DB &amp; Bed Mgmt'!$E:$E,"Occupied"),0)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>
        <f>IFERROR(J482*SUMPRODUCT(('Client DB &amp; Bed Mgmt'!$A$5:$A$428=A482)*('Client DB &amp; Bed Mgmt'!$B$5:$B$428=C482)*('Client DB &amp; Bed Mgmt'!$D$5:$D$428&lt;&gt;"")*--(('Client DB &amp; Bed Mgmt'!$M$5:$M$428="")+NOT(ISNUMBER('Client DB &amp; Bed Mgmt'!$M$5:$M$428))+IFERROR('Client DB &amp; Bed Mgmt'!$M$5:$M$428&lt;=EOMONTH(B482,0),FALSE)&gt;0)*--(('Client DB &amp; Bed Mgmt'!$N$5:$N$428="")+NOT(ISNUMBER('Client DB &amp; Bed Mgmt'!$N$5:$N$428))+IFERROR('Client DB &amp; Bed Mgmt'!$N$5:$N$428&gt;=DATE(YEAR(B482),MONTH(B482),1),FALSE)&gt;0)*((IF(('Client DB &amp; Bed Mgmt'!$N$5:$N$428="")+NOT(ISNUMBER('Client DB &amp; Bed Mgmt'!$N$5:$N$428)),EOMONTH(B482,0),IF('Client DB &amp; Bed Mgmt'!$N$5:$N$428&lt;EOMONTH(B482,0),'Client DB &amp; Bed Mgmt'!$N$5:$N$428,EOMONTH(B482,0))))-(IF(('Client DB &amp; Bed Mgmt'!$M$5:$M$428="")+NOT(ISNUMBER('Client DB &amp; Bed Mgmt'!$M$5:$M$428)),DATE(YEAR(B482),MONTH(B482),1),IF('Client DB &amp; Bed Mgmt'!$M$5:$M$428&gt;DATE(YEAR(B482),MONTH(B482),1),'Client DB &amp; Bed Mgmt'!$M$5:$M$428,DATE(YEAR(B482),MONTH(B482),1))))+1)/DAY(EOMONTH(B482,0))),0)</f>
        <v/>
      </c>
    </row>
    <row r="483" ht="14.25" customHeight="1" s="83">
      <c r="A483" s="103" t="n"/>
      <c r="B483" s="125">
        <f>DATE(YEAR(StartDate),MONTH(StartDate),1)</f>
        <v/>
      </c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Mgmt'!$B:$B,C483,'Client DB &amp; Bed Mgmt'!$E:$E,"Occupied"),0)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>
        <f>IFERROR(J483*SUMPRODUCT(('Client DB &amp; Bed Mgmt'!$A$5:$A$428=A483)*('Client DB &amp; Bed Mgmt'!$B$5:$B$428=C483)*('Client DB &amp; Bed Mgmt'!$D$5:$D$428&lt;&gt;"")*--(('Client DB &amp; Bed Mgmt'!$M$5:$M$428="")+NOT(ISNUMBER('Client DB &amp; Bed Mgmt'!$M$5:$M$428))+IFERROR('Client DB &amp; Bed Mgmt'!$M$5:$M$428&lt;=EOMONTH(B483,0),FALSE)&gt;0)*--(('Client DB &amp; Bed Mgmt'!$N$5:$N$428="")+NOT(ISNUMBER('Client DB &amp; Bed Mgmt'!$N$5:$N$428))+IFERROR('Client DB &amp; Bed Mgmt'!$N$5:$N$428&gt;=DATE(YEAR(B483),MONTH(B483),1),FALSE)&gt;0)*((IF(('Client DB &amp; Bed Mgmt'!$N$5:$N$428="")+NOT(ISNUMBER('Client DB &amp; Bed Mgmt'!$N$5:$N$428)),EOMONTH(B483,0),IF('Client DB &amp; Bed Mgmt'!$N$5:$N$428&lt;EOMONTH(B483,0),'Client DB &amp; Bed Mgmt'!$N$5:$N$428,EOMONTH(B483,0))))-(IF(('Client DB &amp; Bed Mgmt'!$M$5:$M$428="")+NOT(ISNUMBER('Client DB &amp; Bed Mgmt'!$M$5:$M$428)),DATE(YEAR(B483),MONTH(B483),1),IF('Client DB &amp; Bed Mgmt'!$M$5:$M$428&gt;DATE(YEAR(B483),MONTH(B483),1),'Client DB &amp; Bed Mgmt'!$M$5:$M$428,DATE(YEAR(B483),MONTH(B483),1))))+1)/DAY(EOMONTH(B483,0))),0)</f>
        <v/>
      </c>
    </row>
    <row r="484" ht="14.25" customHeight="1" s="83">
      <c r="A484" s="103" t="n"/>
      <c r="B484" s="125">
        <f>DATE(YEAR(StartDate),MONTH(StartDate),1)</f>
        <v/>
      </c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Mgmt'!$B:$B,C484,'Client DB &amp; Bed Mgmt'!$E:$E,"Occupied"),0)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>
        <f>IFERROR(J484*SUMPRODUCT(('Client DB &amp; Bed Mgmt'!$A$5:$A$428=A484)*('Client DB &amp; Bed Mgmt'!$B$5:$B$428=C484)*('Client DB &amp; Bed Mgmt'!$D$5:$D$428&lt;&gt;"")*--(('Client DB &amp; Bed Mgmt'!$M$5:$M$428="")+NOT(ISNUMBER('Client DB &amp; Bed Mgmt'!$M$5:$M$428))+IFERROR('Client DB &amp; Bed Mgmt'!$M$5:$M$428&lt;=EOMONTH(B484,0),FALSE)&gt;0)*--(('Client DB &amp; Bed Mgmt'!$N$5:$N$428="")+NOT(ISNUMBER('Client DB &amp; Bed Mgmt'!$N$5:$N$428))+IFERROR('Client DB &amp; Bed Mgmt'!$N$5:$N$428&gt;=DATE(YEAR(B484),MONTH(B484),1),FALSE)&gt;0)*((IF(('Client DB &amp; Bed Mgmt'!$N$5:$N$428="")+NOT(ISNUMBER('Client DB &amp; Bed Mgmt'!$N$5:$N$428)),EOMONTH(B484,0),IF('Client DB &amp; Bed Mgmt'!$N$5:$N$428&lt;EOMONTH(B484,0),'Client DB &amp; Bed Mgmt'!$N$5:$N$428,EOMONTH(B484,0))))-(IF(('Client DB &amp; Bed Mgmt'!$M$5:$M$428="")+NOT(ISNUMBER('Client DB &amp; Bed Mgmt'!$M$5:$M$428)),DATE(YEAR(B484),MONTH(B484),1),IF('Client DB &amp; Bed Mgmt'!$M$5:$M$428&gt;DATE(YEAR(B484),MONTH(B484),1),'Client DB &amp; Bed Mgmt'!$M$5:$M$428,DATE(YEAR(B484),MONTH(B484),1))))+1)/DAY(EOMONTH(B484,0))),0)</f>
        <v/>
      </c>
    </row>
    <row r="485" ht="14.25" customHeight="1" s="83">
      <c r="A485" s="103" t="n"/>
      <c r="B485" s="125">
        <f>DATE(YEAR(StartDate),MONTH(StartDate),1)</f>
        <v/>
      </c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Mgmt'!$B:$B,C485,'Client DB &amp; Bed Mgmt'!$E:$E,"Occupied"),0)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>
        <f>IFERROR(J485*SUMPRODUCT(('Client DB &amp; Bed Mgmt'!$A$5:$A$428=A485)*('Client DB &amp; Bed Mgmt'!$B$5:$B$428=C485)*('Client DB &amp; Bed Mgmt'!$D$5:$D$428&lt;&gt;"")*--(('Client DB &amp; Bed Mgmt'!$M$5:$M$428="")+NOT(ISNUMBER('Client DB &amp; Bed Mgmt'!$M$5:$M$428))+IFERROR('Client DB &amp; Bed Mgmt'!$M$5:$M$428&lt;=EOMONTH(B485,0),FALSE)&gt;0)*--(('Client DB &amp; Bed Mgmt'!$N$5:$N$428="")+NOT(ISNUMBER('Client DB &amp; Bed Mgmt'!$N$5:$N$428))+IFERROR('Client DB &amp; Bed Mgmt'!$N$5:$N$428&gt;=DATE(YEAR(B485),MONTH(B485),1),FALSE)&gt;0)*((IF(('Client DB &amp; Bed Mgmt'!$N$5:$N$428="")+NOT(ISNUMBER('Client DB &amp; Bed Mgmt'!$N$5:$N$428)),EOMONTH(B485,0),IF('Client DB &amp; Bed Mgmt'!$N$5:$N$428&lt;EOMONTH(B485,0),'Client DB &amp; Bed Mgmt'!$N$5:$N$428,EOMONTH(B485,0))))-(IF(('Client DB &amp; Bed Mgmt'!$M$5:$M$428="")+NOT(ISNUMBER('Client DB &amp; Bed Mgmt'!$M$5:$M$428)),DATE(YEAR(B485),MONTH(B485),1),IF('Client DB &amp; Bed Mgmt'!$M$5:$M$428&gt;DATE(YEAR(B485),MONTH(B485),1),'Client DB &amp; Bed Mgmt'!$M$5:$M$428,DATE(YEAR(B485),MONTH(B485),1))))+1)/DAY(EOMONTH(B485,0))),0)</f>
        <v/>
      </c>
    </row>
    <row r="486" ht="14.25" customHeight="1" s="83">
      <c r="A486" s="103" t="n"/>
      <c r="B486" s="125">
        <f>DATE(YEAR(StartDate),MONTH(StartDate),1)</f>
        <v/>
      </c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Mgmt'!$B:$B,C486,'Client DB &amp; Bed Mgmt'!$E:$E,"Occupied"),0)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>
        <f>IFERROR(J486*SUMPRODUCT(('Client DB &amp; Bed Mgmt'!$A$5:$A$428=A486)*('Client DB &amp; Bed Mgmt'!$B$5:$B$428=C486)*('Client DB &amp; Bed Mgmt'!$D$5:$D$428&lt;&gt;"")*--(('Client DB &amp; Bed Mgmt'!$M$5:$M$428="")+NOT(ISNUMBER('Client DB &amp; Bed Mgmt'!$M$5:$M$428))+IFERROR('Client DB &amp; Bed Mgmt'!$M$5:$M$428&lt;=EOMONTH(B486,0),FALSE)&gt;0)*--(('Client DB &amp; Bed Mgmt'!$N$5:$N$428="")+NOT(ISNUMBER('Client DB &amp; Bed Mgmt'!$N$5:$N$428))+IFERROR('Client DB &amp; Bed Mgmt'!$N$5:$N$428&gt;=DATE(YEAR(B486),MONTH(B486),1),FALSE)&gt;0)*((IF(('Client DB &amp; Bed Mgmt'!$N$5:$N$428="")+NOT(ISNUMBER('Client DB &amp; Bed Mgmt'!$N$5:$N$428)),EOMONTH(B486,0),IF('Client DB &amp; Bed Mgmt'!$N$5:$N$428&lt;EOMONTH(B486,0),'Client DB &amp; Bed Mgmt'!$N$5:$N$428,EOMONTH(B486,0))))-(IF(('Client DB &amp; Bed Mgmt'!$M$5:$M$428="")+NOT(ISNUMBER('Client DB &amp; Bed Mgmt'!$M$5:$M$428)),DATE(YEAR(B486),MONTH(B486),1),IF('Client DB &amp; Bed Mgmt'!$M$5:$M$428&gt;DATE(YEAR(B486),MONTH(B486),1),'Client DB &amp; Bed Mgmt'!$M$5:$M$428,DATE(YEAR(B486),MONTH(B486),1))))+1)/DAY(EOMONTH(B486,0))),0)</f>
        <v/>
      </c>
    </row>
    <row r="487" ht="14.25" customHeight="1" s="83">
      <c r="A487" s="103" t="n"/>
      <c r="B487" s="125">
        <f>DATE(YEAR(StartDate),MONTH(StartDate),1)</f>
        <v/>
      </c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Mgmt'!$B:$B,C487,'Client DB &amp; Bed Mgmt'!$E:$E,"Occupied"),0)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>
        <f>IFERROR(J487*SUMPRODUCT(('Client DB &amp; Bed Mgmt'!$A$5:$A$428=A487)*('Client DB &amp; Bed Mgmt'!$B$5:$B$428=C487)*('Client DB &amp; Bed Mgmt'!$D$5:$D$428&lt;&gt;"")*--(('Client DB &amp; Bed Mgmt'!$M$5:$M$428="")+NOT(ISNUMBER('Client DB &amp; Bed Mgmt'!$M$5:$M$428))+IFERROR('Client DB &amp; Bed Mgmt'!$M$5:$M$428&lt;=EOMONTH(B487,0),FALSE)&gt;0)*--(('Client DB &amp; Bed Mgmt'!$N$5:$N$428="")+NOT(ISNUMBER('Client DB &amp; Bed Mgmt'!$N$5:$N$428))+IFERROR('Client DB &amp; Bed Mgmt'!$N$5:$N$428&gt;=DATE(YEAR(B487),MONTH(B487),1),FALSE)&gt;0)*((IF(('Client DB &amp; Bed Mgmt'!$N$5:$N$428="")+NOT(ISNUMBER('Client DB &amp; Bed Mgmt'!$N$5:$N$428)),EOMONTH(B487,0),IF('Client DB &amp; Bed Mgmt'!$N$5:$N$428&lt;EOMONTH(B487,0),'Client DB &amp; Bed Mgmt'!$N$5:$N$428,EOMONTH(B487,0))))-(IF(('Client DB &amp; Bed Mgmt'!$M$5:$M$428="")+NOT(ISNUMBER('Client DB &amp; Bed Mgmt'!$M$5:$M$428)),DATE(YEAR(B487),MONTH(B487),1),IF('Client DB &amp; Bed Mgmt'!$M$5:$M$428&gt;DATE(YEAR(B487),MONTH(B487),1),'Client DB &amp; Bed Mgmt'!$M$5:$M$428,DATE(YEAR(B487),MONTH(B487),1))))+1)/DAY(EOMONTH(B487,0))),0)</f>
        <v/>
      </c>
    </row>
    <row r="488" ht="14.25" customHeight="1" s="83">
      <c r="A488" s="103" t="n"/>
      <c r="B488" s="125">
        <f>DATE(YEAR(StartDate),MONTH(StartDate),1)</f>
        <v/>
      </c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Mgmt'!$B:$B,C488,'Client DB &amp; Bed Mgmt'!$E:$E,"Occupied"),0)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>
        <f>IFERROR(J488*SUMPRODUCT(('Client DB &amp; Bed Mgmt'!$A$5:$A$428=A488)*('Client DB &amp; Bed Mgmt'!$B$5:$B$428=C488)*('Client DB &amp; Bed Mgmt'!$D$5:$D$428&lt;&gt;"")*--(('Client DB &amp; Bed Mgmt'!$M$5:$M$428="")+NOT(ISNUMBER('Client DB &amp; Bed Mgmt'!$M$5:$M$428))+IFERROR('Client DB &amp; Bed Mgmt'!$M$5:$M$428&lt;=EOMONTH(B488,0),FALSE)&gt;0)*--(('Client DB &amp; Bed Mgmt'!$N$5:$N$428="")+NOT(ISNUMBER('Client DB &amp; Bed Mgmt'!$N$5:$N$428))+IFERROR('Client DB &amp; Bed Mgmt'!$N$5:$N$428&gt;=DATE(YEAR(B488),MONTH(B488),1),FALSE)&gt;0)*((IF(('Client DB &amp; Bed Mgmt'!$N$5:$N$428="")+NOT(ISNUMBER('Client DB &amp; Bed Mgmt'!$N$5:$N$428)),EOMONTH(B488,0),IF('Client DB &amp; Bed Mgmt'!$N$5:$N$428&lt;EOMONTH(B488,0),'Client DB &amp; Bed Mgmt'!$N$5:$N$428,EOMONTH(B488,0))))-(IF(('Client DB &amp; Bed Mgmt'!$M$5:$M$428="")+NOT(ISNUMBER('Client DB &amp; Bed Mgmt'!$M$5:$M$428)),DATE(YEAR(B488),MONTH(B488),1),IF('Client DB &amp; Bed Mgmt'!$M$5:$M$428&gt;DATE(YEAR(B488),MONTH(B488),1),'Client DB &amp; Bed Mgmt'!$M$5:$M$428,DATE(YEAR(B488),MONTH(B488),1))))+1)/DAY(EOMONTH(B488,0))),0)</f>
        <v/>
      </c>
    </row>
    <row r="489" ht="14.25" customHeight="1" s="83">
      <c r="A489" s="103" t="n"/>
      <c r="B489" s="125">
        <f>DATE(YEAR(StartDate),MONTH(StartDate),1)</f>
        <v/>
      </c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Mgmt'!$B:$B,C489,'Client DB &amp; Bed Mgmt'!$E:$E,"Occupied"),0)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>
        <f>IFERROR(J489*SUMPRODUCT(('Client DB &amp; Bed Mgmt'!$A$5:$A$428=A489)*('Client DB &amp; Bed Mgmt'!$B$5:$B$428=C489)*('Client DB &amp; Bed Mgmt'!$D$5:$D$428&lt;&gt;"")*--(('Client DB &amp; Bed Mgmt'!$M$5:$M$428="")+NOT(ISNUMBER('Client DB &amp; Bed Mgmt'!$M$5:$M$428))+IFERROR('Client DB &amp; Bed Mgmt'!$M$5:$M$428&lt;=EOMONTH(B489,0),FALSE)&gt;0)*--(('Client DB &amp; Bed Mgmt'!$N$5:$N$428="")+NOT(ISNUMBER('Client DB &amp; Bed Mgmt'!$N$5:$N$428))+IFERROR('Client DB &amp; Bed Mgmt'!$N$5:$N$428&gt;=DATE(YEAR(B489),MONTH(B489),1),FALSE)&gt;0)*((IF(('Client DB &amp; Bed Mgmt'!$N$5:$N$428="")+NOT(ISNUMBER('Client DB &amp; Bed Mgmt'!$N$5:$N$428)),EOMONTH(B489,0),IF('Client DB &amp; Bed Mgmt'!$N$5:$N$428&lt;EOMONTH(B489,0),'Client DB &amp; Bed Mgmt'!$N$5:$N$428,EOMONTH(B489,0))))-(IF(('Client DB &amp; Bed Mgmt'!$M$5:$M$428="")+NOT(ISNUMBER('Client DB &amp; Bed Mgmt'!$M$5:$M$428)),DATE(YEAR(B489),MONTH(B489),1),IF('Client DB &amp; Bed Mgmt'!$M$5:$M$428&gt;DATE(YEAR(B489),MONTH(B489),1),'Client DB &amp; Bed Mgmt'!$M$5:$M$428,DATE(YEAR(B489),MONTH(B489),1))))+1)/DAY(EOMONTH(B489,0))),0)</f>
        <v/>
      </c>
    </row>
    <row r="490" ht="14.25" customHeight="1" s="83">
      <c r="A490" s="103" t="n"/>
      <c r="B490" s="125">
        <f>DATE(YEAR(StartDate),MONTH(StartDate),1)</f>
        <v/>
      </c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Mgmt'!$B:$B,C490,'Client DB &amp; Bed Mgmt'!$E:$E,"Occupied"),0)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>
        <f>IFERROR(J490*SUMPRODUCT(('Client DB &amp; Bed Mgmt'!$A$5:$A$428=A490)*('Client DB &amp; Bed Mgmt'!$B$5:$B$428=C490)*('Client DB &amp; Bed Mgmt'!$D$5:$D$428&lt;&gt;"")*--(('Client DB &amp; Bed Mgmt'!$M$5:$M$428="")+NOT(ISNUMBER('Client DB &amp; Bed Mgmt'!$M$5:$M$428))+IFERROR('Client DB &amp; Bed Mgmt'!$M$5:$M$428&lt;=EOMONTH(B490,0),FALSE)&gt;0)*--(('Client DB &amp; Bed Mgmt'!$N$5:$N$428="")+NOT(ISNUMBER('Client DB &amp; Bed Mgmt'!$N$5:$N$428))+IFERROR('Client DB &amp; Bed Mgmt'!$N$5:$N$428&gt;=DATE(YEAR(B490),MONTH(B490),1),FALSE)&gt;0)*((IF(('Client DB &amp; Bed Mgmt'!$N$5:$N$428="")+NOT(ISNUMBER('Client DB &amp; Bed Mgmt'!$N$5:$N$428)),EOMONTH(B490,0),IF('Client DB &amp; Bed Mgmt'!$N$5:$N$428&lt;EOMONTH(B490,0),'Client DB &amp; Bed Mgmt'!$N$5:$N$428,EOMONTH(B490,0))))-(IF(('Client DB &amp; Bed Mgmt'!$M$5:$M$428="")+NOT(ISNUMBER('Client DB &amp; Bed Mgmt'!$M$5:$M$428)),DATE(YEAR(B490),MONTH(B490),1),IF('Client DB &amp; Bed Mgmt'!$M$5:$M$428&gt;DATE(YEAR(B490),MONTH(B490),1),'Client DB &amp; Bed Mgmt'!$M$5:$M$428,DATE(YEAR(B490),MONTH(B490),1))))+1)/DAY(EOMONTH(B490,0))),0)</f>
        <v/>
      </c>
    </row>
    <row r="491" ht="14.25" customHeight="1" s="83">
      <c r="A491" s="103" t="n"/>
      <c r="B491" s="125">
        <f>DATE(YEAR(StartDate),MONTH(StartDate),1)</f>
        <v/>
      </c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Mgmt'!$B:$B,C491,'Client DB &amp; Bed Mgmt'!$E:$E,"Occupied"),0)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>
        <f>IFERROR(J491*SUMPRODUCT(('Client DB &amp; Bed Mgmt'!$A$5:$A$428=A491)*('Client DB &amp; Bed Mgmt'!$B$5:$B$428=C491)*('Client DB &amp; Bed Mgmt'!$D$5:$D$428&lt;&gt;"")*--(('Client DB &amp; Bed Mgmt'!$M$5:$M$428="")+NOT(ISNUMBER('Client DB &amp; Bed Mgmt'!$M$5:$M$428))+IFERROR('Client DB &amp; Bed Mgmt'!$M$5:$M$428&lt;=EOMONTH(B491,0),FALSE)&gt;0)*--(('Client DB &amp; Bed Mgmt'!$N$5:$N$428="")+NOT(ISNUMBER('Client DB &amp; Bed Mgmt'!$N$5:$N$428))+IFERROR('Client DB &amp; Bed Mgmt'!$N$5:$N$428&gt;=DATE(YEAR(B491),MONTH(B491),1),FALSE)&gt;0)*((IF(('Client DB &amp; Bed Mgmt'!$N$5:$N$428="")+NOT(ISNUMBER('Client DB &amp; Bed Mgmt'!$N$5:$N$428)),EOMONTH(B491,0),IF('Client DB &amp; Bed Mgmt'!$N$5:$N$428&lt;EOMONTH(B491,0),'Client DB &amp; Bed Mgmt'!$N$5:$N$428,EOMONTH(B491,0))))-(IF(('Client DB &amp; Bed Mgmt'!$M$5:$M$428="")+NOT(ISNUMBER('Client DB &amp; Bed Mgmt'!$M$5:$M$428)),DATE(YEAR(B491),MONTH(B491),1),IF('Client DB &amp; Bed Mgmt'!$M$5:$M$428&gt;DATE(YEAR(B491),MONTH(B491),1),'Client DB &amp; Bed Mgmt'!$M$5:$M$428,DATE(YEAR(B491),MONTH(B491),1))))+1)/DAY(EOMONTH(B491,0))),0)</f>
        <v/>
      </c>
    </row>
    <row r="492" ht="14.25" customHeight="1" s="83">
      <c r="A492" s="103" t="n"/>
      <c r="B492" s="125">
        <f>DATE(YEAR(StartDate),MONTH(StartDate),1)</f>
        <v/>
      </c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Mgmt'!$B:$B,C492,'Client DB &amp; Bed Mgmt'!$E:$E,"Occupied"),0)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>
        <f>IFERROR(J492*SUMPRODUCT(('Client DB &amp; Bed Mgmt'!$A$5:$A$428=A492)*('Client DB &amp; Bed Mgmt'!$B$5:$B$428=C492)*('Client DB &amp; Bed Mgmt'!$D$5:$D$428&lt;&gt;"")*--(('Client DB &amp; Bed Mgmt'!$M$5:$M$428="")+NOT(ISNUMBER('Client DB &amp; Bed Mgmt'!$M$5:$M$428))+IFERROR('Client DB &amp; Bed Mgmt'!$M$5:$M$428&lt;=EOMONTH(B492,0),FALSE)&gt;0)*--(('Client DB &amp; Bed Mgmt'!$N$5:$N$428="")+NOT(ISNUMBER('Client DB &amp; Bed Mgmt'!$N$5:$N$428))+IFERROR('Client DB &amp; Bed Mgmt'!$N$5:$N$428&gt;=DATE(YEAR(B492),MONTH(B492),1),FALSE)&gt;0)*((IF(('Client DB &amp; Bed Mgmt'!$N$5:$N$428="")+NOT(ISNUMBER('Client DB &amp; Bed Mgmt'!$N$5:$N$428)),EOMONTH(B492,0),IF('Client DB &amp; Bed Mgmt'!$N$5:$N$428&lt;EOMONTH(B492,0),'Client DB &amp; Bed Mgmt'!$N$5:$N$428,EOMONTH(B492,0))))-(IF(('Client DB &amp; Bed Mgmt'!$M$5:$M$428="")+NOT(ISNUMBER('Client DB &amp; Bed Mgmt'!$M$5:$M$428)),DATE(YEAR(B492),MONTH(B492),1),IF('Client DB &amp; Bed Mgmt'!$M$5:$M$428&gt;DATE(YEAR(B492),MONTH(B492),1),'Client DB &amp; Bed Mgmt'!$M$5:$M$428,DATE(YEAR(B492),MONTH(B492),1))))+1)/DAY(EOMONTH(B492,0))),0)</f>
        <v/>
      </c>
    </row>
    <row r="493" ht="14.25" customHeight="1" s="83">
      <c r="A493" s="103" t="n"/>
      <c r="B493" s="125">
        <f>DATE(YEAR(StartDate),MONTH(StartDate),1)</f>
        <v/>
      </c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Mgmt'!$B:$B,C493,'Client DB &amp; Bed Mgmt'!$E:$E,"Occupied"),0)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>
        <f>IFERROR(J493*SUMPRODUCT(('Client DB &amp; Bed Mgmt'!$A$5:$A$428=A493)*('Client DB &amp; Bed Mgmt'!$B$5:$B$428=C493)*('Client DB &amp; Bed Mgmt'!$D$5:$D$428&lt;&gt;"")*--(('Client DB &amp; Bed Mgmt'!$M$5:$M$428="")+NOT(ISNUMBER('Client DB &amp; Bed Mgmt'!$M$5:$M$428))+IFERROR('Client DB &amp; Bed Mgmt'!$M$5:$M$428&lt;=EOMONTH(B493,0),FALSE)&gt;0)*--(('Client DB &amp; Bed Mgmt'!$N$5:$N$428="")+NOT(ISNUMBER('Client DB &amp; Bed Mgmt'!$N$5:$N$428))+IFERROR('Client DB &amp; Bed Mgmt'!$N$5:$N$428&gt;=DATE(YEAR(B493),MONTH(B493),1),FALSE)&gt;0)*((IF(('Client DB &amp; Bed Mgmt'!$N$5:$N$428="")+NOT(ISNUMBER('Client DB &amp; Bed Mgmt'!$N$5:$N$428)),EOMONTH(B493,0),IF('Client DB &amp; Bed Mgmt'!$N$5:$N$428&lt;EOMONTH(B493,0),'Client DB &amp; Bed Mgmt'!$N$5:$N$428,EOMONTH(B493,0))))-(IF(('Client DB &amp; Bed Mgmt'!$M$5:$M$428="")+NOT(ISNUMBER('Client DB &amp; Bed Mgmt'!$M$5:$M$428)),DATE(YEAR(B493),MONTH(B493),1),IF('Client DB &amp; Bed Mgmt'!$M$5:$M$428&gt;DATE(YEAR(B493),MONTH(B493),1),'Client DB &amp; Bed Mgmt'!$M$5:$M$428,DATE(YEAR(B493),MONTH(B493),1))))+1)/DAY(EOMONTH(B493,0))),0)</f>
        <v/>
      </c>
    </row>
    <row r="494" ht="14.25" customHeight="1" s="83">
      <c r="A494" s="103" t="n"/>
      <c r="B494" s="125">
        <f>DATE(YEAR(StartDate),MONTH(StartDate),1)</f>
        <v/>
      </c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Mgmt'!$B:$B,C494,'Client DB &amp; Bed Mgmt'!$E:$E,"Occupied"),0)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>
        <f>IFERROR(J494*SUMPRODUCT(('Client DB &amp; Bed Mgmt'!$A$5:$A$428=A494)*('Client DB &amp; Bed Mgmt'!$B$5:$B$428=C494)*('Client DB &amp; Bed Mgmt'!$D$5:$D$428&lt;&gt;"")*--(('Client DB &amp; Bed Mgmt'!$M$5:$M$428="")+NOT(ISNUMBER('Client DB &amp; Bed Mgmt'!$M$5:$M$428))+IFERROR('Client DB &amp; Bed Mgmt'!$M$5:$M$428&lt;=EOMONTH(B494,0),FALSE)&gt;0)*--(('Client DB &amp; Bed Mgmt'!$N$5:$N$428="")+NOT(ISNUMBER('Client DB &amp; Bed Mgmt'!$N$5:$N$428))+IFERROR('Client DB &amp; Bed Mgmt'!$N$5:$N$428&gt;=DATE(YEAR(B494),MONTH(B494),1),FALSE)&gt;0)*((IF(('Client DB &amp; Bed Mgmt'!$N$5:$N$428="")+NOT(ISNUMBER('Client DB &amp; Bed Mgmt'!$N$5:$N$428)),EOMONTH(B494,0),IF('Client DB &amp; Bed Mgmt'!$N$5:$N$428&lt;EOMONTH(B494,0),'Client DB &amp; Bed Mgmt'!$N$5:$N$428,EOMONTH(B494,0))))-(IF(('Client DB &amp; Bed Mgmt'!$M$5:$M$428="")+NOT(ISNUMBER('Client DB &amp; Bed Mgmt'!$M$5:$M$428)),DATE(YEAR(B494),MONTH(B494),1),IF('Client DB &amp; Bed Mgmt'!$M$5:$M$428&gt;DATE(YEAR(B494),MONTH(B494),1),'Client DB &amp; Bed Mgmt'!$M$5:$M$428,DATE(YEAR(B494),MONTH(B494),1))))+1)/DAY(EOMONTH(B494,0))),0)</f>
        <v/>
      </c>
    </row>
    <row r="495" ht="14.25" customHeight="1" s="83">
      <c r="A495" s="103" t="n"/>
      <c r="B495" s="125">
        <f>DATE(YEAR(StartDate),MONTH(StartDate),1)</f>
        <v/>
      </c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Mgmt'!$B:$B,C495,'Client DB &amp; Bed Mgmt'!$E:$E,"Occupied"),0)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>
        <f>IFERROR(J495*SUMPRODUCT(('Client DB &amp; Bed Mgmt'!$A$5:$A$428=A495)*('Client DB &amp; Bed Mgmt'!$B$5:$B$428=C495)*('Client DB &amp; Bed Mgmt'!$D$5:$D$428&lt;&gt;"")*--(('Client DB &amp; Bed Mgmt'!$M$5:$M$428="")+NOT(ISNUMBER('Client DB &amp; Bed Mgmt'!$M$5:$M$428))+IFERROR('Client DB &amp; Bed Mgmt'!$M$5:$M$428&lt;=EOMONTH(B495,0),FALSE)&gt;0)*--(('Client DB &amp; Bed Mgmt'!$N$5:$N$428="")+NOT(ISNUMBER('Client DB &amp; Bed Mgmt'!$N$5:$N$428))+IFERROR('Client DB &amp; Bed Mgmt'!$N$5:$N$428&gt;=DATE(YEAR(B495),MONTH(B495),1),FALSE)&gt;0)*((IF(('Client DB &amp; Bed Mgmt'!$N$5:$N$428="")+NOT(ISNUMBER('Client DB &amp; Bed Mgmt'!$N$5:$N$428)),EOMONTH(B495,0),IF('Client DB &amp; Bed Mgmt'!$N$5:$N$428&lt;EOMONTH(B495,0),'Client DB &amp; Bed Mgmt'!$N$5:$N$428,EOMONTH(B495,0))))-(IF(('Client DB &amp; Bed Mgmt'!$M$5:$M$428="")+NOT(ISNUMBER('Client DB &amp; Bed Mgmt'!$M$5:$M$428)),DATE(YEAR(B495),MONTH(B495),1),IF('Client DB &amp; Bed Mgmt'!$M$5:$M$428&gt;DATE(YEAR(B495),MONTH(B495),1),'Client DB &amp; Bed Mgmt'!$M$5:$M$428,DATE(YEAR(B495),MONTH(B495),1))))+1)/DAY(EOMONTH(B495,0))),0)</f>
        <v/>
      </c>
    </row>
    <row r="496" ht="14.25" customHeight="1" s="83">
      <c r="A496" s="103" t="n"/>
      <c r="B496" s="125">
        <f>DATE(YEAR(StartDate),MONTH(StartDate),1)</f>
        <v/>
      </c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Mgmt'!$B:$B,C496,'Client DB &amp; Bed Mgmt'!$E:$E,"Occupied"),0)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>
        <f>IFERROR(J496*SUMPRODUCT(('Client DB &amp; Bed Mgmt'!$A$5:$A$428=A496)*('Client DB &amp; Bed Mgmt'!$B$5:$B$428=C496)*('Client DB &amp; Bed Mgmt'!$D$5:$D$428&lt;&gt;"")*--(('Client DB &amp; Bed Mgmt'!$M$5:$M$428="")+NOT(ISNUMBER('Client DB &amp; Bed Mgmt'!$M$5:$M$428))+IFERROR('Client DB &amp; Bed Mgmt'!$M$5:$M$428&lt;=EOMONTH(B496,0),FALSE)&gt;0)*--(('Client DB &amp; Bed Mgmt'!$N$5:$N$428="")+NOT(ISNUMBER('Client DB &amp; Bed Mgmt'!$N$5:$N$428))+IFERROR('Client DB &amp; Bed Mgmt'!$N$5:$N$428&gt;=DATE(YEAR(B496),MONTH(B496),1),FALSE)&gt;0)*((IF(('Client DB &amp; Bed Mgmt'!$N$5:$N$428="")+NOT(ISNUMBER('Client DB &amp; Bed Mgmt'!$N$5:$N$428)),EOMONTH(B496,0),IF('Client DB &amp; Bed Mgmt'!$N$5:$N$428&lt;EOMONTH(B496,0),'Client DB &amp; Bed Mgmt'!$N$5:$N$428,EOMONTH(B496,0))))-(IF(('Client DB &amp; Bed Mgmt'!$M$5:$M$428="")+NOT(ISNUMBER('Client DB &amp; Bed Mgmt'!$M$5:$M$428)),DATE(YEAR(B496),MONTH(B496),1),IF('Client DB &amp; Bed Mgmt'!$M$5:$M$428&gt;DATE(YEAR(B496),MONTH(B496),1),'Client DB &amp; Bed Mgmt'!$M$5:$M$428,DATE(YEAR(B496),MONTH(B496),1))))+1)/DAY(EOMONTH(B496,0))),0)</f>
        <v/>
      </c>
    </row>
    <row r="497" ht="14.25" customHeight="1" s="83">
      <c r="A497" s="103" t="n"/>
      <c r="B497" s="125">
        <f>DATE(YEAR(StartDate),MONTH(StartDate),1)</f>
        <v/>
      </c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Mgmt'!$B:$B,C497,'Client DB &amp; Bed Mgmt'!$E:$E,"Occupied"),0)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>
        <f>IFERROR(J497*SUMPRODUCT(('Client DB &amp; Bed Mgmt'!$A$5:$A$428=A497)*('Client DB &amp; Bed Mgmt'!$B$5:$B$428=C497)*('Client DB &amp; Bed Mgmt'!$D$5:$D$428&lt;&gt;"")*--(('Client DB &amp; Bed Mgmt'!$M$5:$M$428="")+NOT(ISNUMBER('Client DB &amp; Bed Mgmt'!$M$5:$M$428))+IFERROR('Client DB &amp; Bed Mgmt'!$M$5:$M$428&lt;=EOMONTH(B497,0),FALSE)&gt;0)*--(('Client DB &amp; Bed Mgmt'!$N$5:$N$428="")+NOT(ISNUMBER('Client DB &amp; Bed Mgmt'!$N$5:$N$428))+IFERROR('Client DB &amp; Bed Mgmt'!$N$5:$N$428&gt;=DATE(YEAR(B497),MONTH(B497),1),FALSE)&gt;0)*((IF(('Client DB &amp; Bed Mgmt'!$N$5:$N$428="")+NOT(ISNUMBER('Client DB &amp; Bed Mgmt'!$N$5:$N$428)),EOMONTH(B497,0),IF('Client DB &amp; Bed Mgmt'!$N$5:$N$428&lt;EOMONTH(B497,0),'Client DB &amp; Bed Mgmt'!$N$5:$N$428,EOMONTH(B497,0))))-(IF(('Client DB &amp; Bed Mgmt'!$M$5:$M$428="")+NOT(ISNUMBER('Client DB &amp; Bed Mgmt'!$M$5:$M$428)),DATE(YEAR(B497),MONTH(B497),1),IF('Client DB &amp; Bed Mgmt'!$M$5:$M$428&gt;DATE(YEAR(B497),MONTH(B497),1),'Client DB &amp; Bed Mgmt'!$M$5:$M$428,DATE(YEAR(B497),MONTH(B497),1))))+1)/DAY(EOMONTH(B497,0))),0)</f>
        <v/>
      </c>
    </row>
    <row r="498" ht="14.25" customHeight="1" s="83">
      <c r="A498" s="103" t="n"/>
      <c r="B498" s="125">
        <f>DATE(YEAR(StartDate),MONTH(StartDate),1)</f>
        <v/>
      </c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Mgmt'!$B:$B,C498,'Client DB &amp; Bed Mgmt'!$E:$E,"Occupied"),0)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>
        <f>IFERROR(J498*SUMPRODUCT(('Client DB &amp; Bed Mgmt'!$A$5:$A$428=A498)*('Client DB &amp; Bed Mgmt'!$B$5:$B$428=C498)*('Client DB &amp; Bed Mgmt'!$D$5:$D$428&lt;&gt;"")*--(('Client DB &amp; Bed Mgmt'!$M$5:$M$428="")+NOT(ISNUMBER('Client DB &amp; Bed Mgmt'!$M$5:$M$428))+IFERROR('Client DB &amp; Bed Mgmt'!$M$5:$M$428&lt;=EOMONTH(B498,0),FALSE)&gt;0)*--(('Client DB &amp; Bed Mgmt'!$N$5:$N$428="")+NOT(ISNUMBER('Client DB &amp; Bed Mgmt'!$N$5:$N$428))+IFERROR('Client DB &amp; Bed Mgmt'!$N$5:$N$428&gt;=DATE(YEAR(B498),MONTH(B498),1),FALSE)&gt;0)*((IF(('Client DB &amp; Bed Mgmt'!$N$5:$N$428="")+NOT(ISNUMBER('Client DB &amp; Bed Mgmt'!$N$5:$N$428)),EOMONTH(B498,0),IF('Client DB &amp; Bed Mgmt'!$N$5:$N$428&lt;EOMONTH(B498,0),'Client DB &amp; Bed Mgmt'!$N$5:$N$428,EOMONTH(B498,0))))-(IF(('Client DB &amp; Bed Mgmt'!$M$5:$M$428="")+NOT(ISNUMBER('Client DB &amp; Bed Mgmt'!$M$5:$M$428)),DATE(YEAR(B498),MONTH(B498),1),IF('Client DB &amp; Bed Mgmt'!$M$5:$M$428&gt;DATE(YEAR(B498),MONTH(B498),1),'Client DB &amp; Bed Mgmt'!$M$5:$M$428,DATE(YEAR(B498),MONTH(B498),1))))+1)/DAY(EOMONTH(B498,0))),0)</f>
        <v/>
      </c>
    </row>
    <row r="499" ht="14.25" customHeight="1" s="83">
      <c r="A499" s="103" t="n"/>
      <c r="B499" s="125">
        <f>DATE(YEAR(StartDate),MONTH(StartDate),1)</f>
        <v/>
      </c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Mgmt'!$B:$B,C499,'Client DB &amp; Bed Mgmt'!$E:$E,"Occupied"),0)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>
        <f>IFERROR(J499*SUMPRODUCT(('Client DB &amp; Bed Mgmt'!$A$5:$A$428=A499)*('Client DB &amp; Bed Mgmt'!$B$5:$B$428=C499)*('Client DB &amp; Bed Mgmt'!$D$5:$D$428&lt;&gt;"")*--(('Client DB &amp; Bed Mgmt'!$M$5:$M$428="")+NOT(ISNUMBER('Client DB &amp; Bed Mgmt'!$M$5:$M$428))+IFERROR('Client DB &amp; Bed Mgmt'!$M$5:$M$428&lt;=EOMONTH(B499,0),FALSE)&gt;0)*--(('Client DB &amp; Bed Mgmt'!$N$5:$N$428="")+NOT(ISNUMBER('Client DB &amp; Bed Mgmt'!$N$5:$N$428))+IFERROR('Client DB &amp; Bed Mgmt'!$N$5:$N$428&gt;=DATE(YEAR(B499),MONTH(B499),1),FALSE)&gt;0)*((IF(('Client DB &amp; Bed Mgmt'!$N$5:$N$428="")+NOT(ISNUMBER('Client DB &amp; Bed Mgmt'!$N$5:$N$428)),EOMONTH(B499,0),IF('Client DB &amp; Bed Mgmt'!$N$5:$N$428&lt;EOMONTH(B499,0),'Client DB &amp; Bed Mgmt'!$N$5:$N$428,EOMONTH(B499,0))))-(IF(('Client DB &amp; Bed Mgmt'!$M$5:$M$428="")+NOT(ISNUMBER('Client DB &amp; Bed Mgmt'!$M$5:$M$428)),DATE(YEAR(B499),MONTH(B499),1),IF('Client DB &amp; Bed Mgmt'!$M$5:$M$428&gt;DATE(YEAR(B499),MONTH(B499),1),'Client DB &amp; Bed Mgmt'!$M$5:$M$428,DATE(YEAR(B499),MONTH(B499),1))))+1)/DAY(EOMONTH(B499,0))),0)</f>
        <v/>
      </c>
    </row>
    <row r="500" ht="14.25" customHeight="1" s="83">
      <c r="A500" s="103" t="n"/>
      <c r="B500" s="125">
        <f>DATE(YEAR(StartDate),MONTH(StartDate),1)</f>
        <v/>
      </c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Mgmt'!$B:$B,C500,'Client DB &amp; Bed Mgmt'!$E:$E,"Occupied"),0)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>
        <f>IFERROR(J500*SUMPRODUCT(('Client DB &amp; Bed Mgmt'!$A$5:$A$428=A500)*('Client DB &amp; Bed Mgmt'!$B$5:$B$428=C500)*('Client DB &amp; Bed Mgmt'!$D$5:$D$428&lt;&gt;"")*--(('Client DB &amp; Bed Mgmt'!$M$5:$M$428="")+NOT(ISNUMBER('Client DB &amp; Bed Mgmt'!$M$5:$M$428))+IFERROR('Client DB &amp; Bed Mgmt'!$M$5:$M$428&lt;=EOMONTH(B500,0),FALSE)&gt;0)*--(('Client DB &amp; Bed Mgmt'!$N$5:$N$428="")+NOT(ISNUMBER('Client DB &amp; Bed Mgmt'!$N$5:$N$428))+IFERROR('Client DB &amp; Bed Mgmt'!$N$5:$N$428&gt;=DATE(YEAR(B500),MONTH(B500),1),FALSE)&gt;0)*((IF(('Client DB &amp; Bed Mgmt'!$N$5:$N$428="")+NOT(ISNUMBER('Client DB &amp; Bed Mgmt'!$N$5:$N$428)),EOMONTH(B500,0),IF('Client DB &amp; Bed Mgmt'!$N$5:$N$428&lt;EOMONTH(B500,0),'Client DB &amp; Bed Mgmt'!$N$5:$N$428,EOMONTH(B500,0))))-(IF(('Client DB &amp; Bed Mgmt'!$M$5:$M$428="")+NOT(ISNUMBER('Client DB &amp; Bed Mgmt'!$M$5:$M$428)),DATE(YEAR(B500),MONTH(B500),1),IF('Client DB &amp; Bed Mgmt'!$M$5:$M$428&gt;DATE(YEAR(B500),MONTH(B500),1),'Client DB &amp; Bed Mgmt'!$M$5:$M$428,DATE(YEAR(B500),MONTH(B500),1))))+1)/DAY(EOMONTH(B500,0))),0)</f>
        <v/>
      </c>
    </row>
    <row r="501" ht="14.25" customHeight="1" s="83">
      <c r="A501" s="103" t="n"/>
      <c r="B501" s="125">
        <f>DATE(YEAR(StartDate),MONTH(StartDate),1)</f>
        <v/>
      </c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Mgmt'!$B:$B,C501,'Client DB &amp; Bed Mgmt'!$E:$E,"Occupied"),0)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>
        <f>IFERROR(J501*SUMPRODUCT(('Client DB &amp; Bed Mgmt'!$A$5:$A$428=A501)*('Client DB &amp; Bed Mgmt'!$B$5:$B$428=C501)*('Client DB &amp; Bed Mgmt'!$D$5:$D$428&lt;&gt;"")*--(('Client DB &amp; Bed Mgmt'!$M$5:$M$428="")+NOT(ISNUMBER('Client DB &amp; Bed Mgmt'!$M$5:$M$428))+IFERROR('Client DB &amp; Bed Mgmt'!$M$5:$M$428&lt;=EOMONTH(B501,0),FALSE)&gt;0)*--(('Client DB &amp; Bed Mgmt'!$N$5:$N$428="")+NOT(ISNUMBER('Client DB &amp; Bed Mgmt'!$N$5:$N$428))+IFERROR('Client DB &amp; Bed Mgmt'!$N$5:$N$428&gt;=DATE(YEAR(B501),MONTH(B501),1),FALSE)&gt;0)*((IF(('Client DB &amp; Bed Mgmt'!$N$5:$N$428="")+NOT(ISNUMBER('Client DB &amp; Bed Mgmt'!$N$5:$N$428)),EOMONTH(B501,0),IF('Client DB &amp; Bed Mgmt'!$N$5:$N$428&lt;EOMONTH(B501,0),'Client DB &amp; Bed Mgmt'!$N$5:$N$428,EOMONTH(B501,0))))-(IF(('Client DB &amp; Bed Mgmt'!$M$5:$M$428="")+NOT(ISNUMBER('Client DB &amp; Bed Mgmt'!$M$5:$M$428)),DATE(YEAR(B501),MONTH(B501),1),IF('Client DB &amp; Bed Mgmt'!$M$5:$M$428&gt;DATE(YEAR(B501),MONTH(B501),1),'Client DB &amp; Bed Mgmt'!$M$5:$M$428,DATE(YEAR(B501),MONTH(B501),1))))+1)/DAY(EOMONTH(B501,0))),0)</f>
        <v/>
      </c>
    </row>
    <row r="502" ht="14.25" customHeight="1" s="83">
      <c r="A502" s="103" t="n"/>
      <c r="B502" s="125">
        <f>DATE(YEAR(StartDate),MONTH(StartDate),1)</f>
        <v/>
      </c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Mgmt'!$B:$B,C502,'Client DB &amp; Bed Mgmt'!$E:$E,"Occupied"),0)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>
        <f>IFERROR(J502*SUMPRODUCT(('Client DB &amp; Bed Mgmt'!$A$5:$A$428=A502)*('Client DB &amp; Bed Mgmt'!$B$5:$B$428=C502)*('Client DB &amp; Bed Mgmt'!$D$5:$D$428&lt;&gt;"")*--(('Client DB &amp; Bed Mgmt'!$M$5:$M$428="")+NOT(ISNUMBER('Client DB &amp; Bed Mgmt'!$M$5:$M$428))+IFERROR('Client DB &amp; Bed Mgmt'!$M$5:$M$428&lt;=EOMONTH(B502,0),FALSE)&gt;0)*--(('Client DB &amp; Bed Mgmt'!$N$5:$N$428="")+NOT(ISNUMBER('Client DB &amp; Bed Mgmt'!$N$5:$N$428))+IFERROR('Client DB &amp; Bed Mgmt'!$N$5:$N$428&gt;=DATE(YEAR(B502),MONTH(B502),1),FALSE)&gt;0)*((IF(('Client DB &amp; Bed Mgmt'!$N$5:$N$428="")+NOT(ISNUMBER('Client DB &amp; Bed Mgmt'!$N$5:$N$428)),EOMONTH(B502,0),IF('Client DB &amp; Bed Mgmt'!$N$5:$N$428&lt;EOMONTH(B502,0),'Client DB &amp; Bed Mgmt'!$N$5:$N$428,EOMONTH(B502,0))))-(IF(('Client DB &amp; Bed Mgmt'!$M$5:$M$428="")+NOT(ISNUMBER('Client DB &amp; Bed Mgmt'!$M$5:$M$428)),DATE(YEAR(B502),MONTH(B502),1),IF('Client DB &amp; Bed Mgmt'!$M$5:$M$428&gt;DATE(YEAR(B502),MONTH(B502),1),'Client DB &amp; Bed Mgmt'!$M$5:$M$428,DATE(YEAR(B502),MONTH(B502),1))))+1)/DAY(EOMONTH(B502,0))),0)</f>
        <v/>
      </c>
    </row>
    <row r="503" ht="14.25" customHeight="1" s="83">
      <c r="A503" s="103" t="n"/>
      <c r="B503" s="125">
        <f>DATE(YEAR(StartDate),MONTH(StartDate),1)</f>
        <v/>
      </c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Mgmt'!$B:$B,C503,'Client DB &amp; Bed Mgmt'!$E:$E,"Occupied"),0)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>
        <f>IFERROR(J503*SUMPRODUCT(('Client DB &amp; Bed Mgmt'!$A$5:$A$428=A503)*('Client DB &amp; Bed Mgmt'!$B$5:$B$428=C503)*('Client DB &amp; Bed Mgmt'!$D$5:$D$428&lt;&gt;"")*--(('Client DB &amp; Bed Mgmt'!$M$5:$M$428="")+NOT(ISNUMBER('Client DB &amp; Bed Mgmt'!$M$5:$M$428))+IFERROR('Client DB &amp; Bed Mgmt'!$M$5:$M$428&lt;=EOMONTH(B503,0),FALSE)&gt;0)*--(('Client DB &amp; Bed Mgmt'!$N$5:$N$428="")+NOT(ISNUMBER('Client DB &amp; Bed Mgmt'!$N$5:$N$428))+IFERROR('Client DB &amp; Bed Mgmt'!$N$5:$N$428&gt;=DATE(YEAR(B503),MONTH(B503),1),FALSE)&gt;0)*((IF(('Client DB &amp; Bed Mgmt'!$N$5:$N$428="")+NOT(ISNUMBER('Client DB &amp; Bed Mgmt'!$N$5:$N$428)),EOMONTH(B503,0),IF('Client DB &amp; Bed Mgmt'!$N$5:$N$428&lt;EOMONTH(B503,0),'Client DB &amp; Bed Mgmt'!$N$5:$N$428,EOMONTH(B503,0))))-(IF(('Client DB &amp; Bed Mgmt'!$M$5:$M$428="")+NOT(ISNUMBER('Client DB &amp; Bed Mgmt'!$M$5:$M$428)),DATE(YEAR(B503),MONTH(B503),1),IF('Client DB &amp; Bed Mgmt'!$M$5:$M$428&gt;DATE(YEAR(B503),MONTH(B503),1),'Client DB &amp; Bed Mgmt'!$M$5:$M$428,DATE(YEAR(B503),MONTH(B503),1))))+1)/DAY(EOMONTH(B503,0))),0)</f>
        <v/>
      </c>
    </row>
    <row r="504" ht="14.25" customHeight="1" s="83">
      <c r="A504" s="103" t="n"/>
      <c r="B504" s="125">
        <f>DATE(YEAR(StartDate),MONTH(StartDate),1)</f>
        <v/>
      </c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Mgmt'!$B:$B,C504,'Client DB &amp; Bed Mgmt'!$E:$E,"Occupied"),0)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>
        <f>IFERROR(J504*SUMPRODUCT(('Client DB &amp; Bed Mgmt'!$A$5:$A$428=A504)*('Client DB &amp; Bed Mgmt'!$B$5:$B$428=C504)*('Client DB &amp; Bed Mgmt'!$D$5:$D$428&lt;&gt;"")*--(('Client DB &amp; Bed Mgmt'!$M$5:$M$428="")+NOT(ISNUMBER('Client DB &amp; Bed Mgmt'!$M$5:$M$428))+IFERROR('Client DB &amp; Bed Mgmt'!$M$5:$M$428&lt;=EOMONTH(B504,0),FALSE)&gt;0)*--(('Client DB &amp; Bed Mgmt'!$N$5:$N$428="")+NOT(ISNUMBER('Client DB &amp; Bed Mgmt'!$N$5:$N$428))+IFERROR('Client DB &amp; Bed Mgmt'!$N$5:$N$428&gt;=DATE(YEAR(B504),MONTH(B504),1),FALSE)&gt;0)*((IF(('Client DB &amp; Bed Mgmt'!$N$5:$N$428="")+NOT(ISNUMBER('Client DB &amp; Bed Mgmt'!$N$5:$N$428)),EOMONTH(B504,0),IF('Client DB &amp; Bed Mgmt'!$N$5:$N$428&lt;EOMONTH(B504,0),'Client DB &amp; Bed Mgmt'!$N$5:$N$428,EOMONTH(B504,0))))-(IF(('Client DB &amp; Bed Mgmt'!$M$5:$M$428="")+NOT(ISNUMBER('Client DB &amp; Bed Mgmt'!$M$5:$M$428)),DATE(YEAR(B504),MONTH(B504),1),IF('Client DB &amp; Bed Mgmt'!$M$5:$M$428&gt;DATE(YEAR(B504),MONTH(B504),1),'Client DB &amp; Bed Mgmt'!$M$5:$M$428,DATE(YEAR(B504),MONTH(B504),1))))+1)/DAY(EOMONTH(B504,0))),0)</f>
        <v/>
      </c>
    </row>
    <row r="505" ht="14.25" customHeight="1" s="83">
      <c r="A505" s="103" t="n"/>
      <c r="B505" s="125">
        <f>DATE(YEAR(StartDate),MONTH(StartDate),1)</f>
        <v/>
      </c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Mgmt'!$B:$B,C505,'Client DB &amp; Bed Mgmt'!$E:$E,"Occupied"),0)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>
        <f>IFERROR(J505*SUMPRODUCT(('Client DB &amp; Bed Mgmt'!$A$5:$A$428=A505)*('Client DB &amp; Bed Mgmt'!$B$5:$B$428=C505)*('Client DB &amp; Bed Mgmt'!$D$5:$D$428&lt;&gt;"")*--(('Client DB &amp; Bed Mgmt'!$M$5:$M$428="")+NOT(ISNUMBER('Client DB &amp; Bed Mgmt'!$M$5:$M$428))+IFERROR('Client DB &amp; Bed Mgmt'!$M$5:$M$428&lt;=EOMONTH(B505,0),FALSE)&gt;0)*--(('Client DB &amp; Bed Mgmt'!$N$5:$N$428="")+NOT(ISNUMBER('Client DB &amp; Bed Mgmt'!$N$5:$N$428))+IFERROR('Client DB &amp; Bed Mgmt'!$N$5:$N$428&gt;=DATE(YEAR(B505),MONTH(B505),1),FALSE)&gt;0)*((IF(('Client DB &amp; Bed Mgmt'!$N$5:$N$428="")+NOT(ISNUMBER('Client DB &amp; Bed Mgmt'!$N$5:$N$428)),EOMONTH(B505,0),IF('Client DB &amp; Bed Mgmt'!$N$5:$N$428&lt;EOMONTH(B505,0),'Client DB &amp; Bed Mgmt'!$N$5:$N$428,EOMONTH(B505,0))))-(IF(('Client DB &amp; Bed Mgmt'!$M$5:$M$428="")+NOT(ISNUMBER('Client DB &amp; Bed Mgmt'!$M$5:$M$428)),DATE(YEAR(B505),MONTH(B505),1),IF('Client DB &amp; Bed Mgmt'!$M$5:$M$428&gt;DATE(YEAR(B505),MONTH(B505),1),'Client DB &amp; Bed Mgmt'!$M$5:$M$428,DATE(YEAR(B505),MONTH(B505),1))))+1)/DAY(EOMONTH(B505,0))),0)</f>
        <v/>
      </c>
    </row>
    <row r="506" ht="14.25" customHeight="1" s="83">
      <c r="A506" s="103" t="n"/>
      <c r="B506" s="125">
        <f>DATE(YEAR(StartDate),MONTH(StartDate),1)</f>
        <v/>
      </c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Mgmt'!$B:$B,C506,'Client DB &amp; Bed Mgmt'!$E:$E,"Occupied"),0)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>
        <f>IFERROR(J506*SUMPRODUCT(('Client DB &amp; Bed Mgmt'!$A$5:$A$428=A506)*('Client DB &amp; Bed Mgmt'!$B$5:$B$428=C506)*('Client DB &amp; Bed Mgmt'!$D$5:$D$428&lt;&gt;"")*--(('Client DB &amp; Bed Mgmt'!$M$5:$M$428="")+NOT(ISNUMBER('Client DB &amp; Bed Mgmt'!$M$5:$M$428))+IFERROR('Client DB &amp; Bed Mgmt'!$M$5:$M$428&lt;=EOMONTH(B506,0),FALSE)&gt;0)*--(('Client DB &amp; Bed Mgmt'!$N$5:$N$428="")+NOT(ISNUMBER('Client DB &amp; Bed Mgmt'!$N$5:$N$428))+IFERROR('Client DB &amp; Bed Mgmt'!$N$5:$N$428&gt;=DATE(YEAR(B506),MONTH(B506),1),FALSE)&gt;0)*((IF(('Client DB &amp; Bed Mgmt'!$N$5:$N$428="")+NOT(ISNUMBER('Client DB &amp; Bed Mgmt'!$N$5:$N$428)),EOMONTH(B506,0),IF('Client DB &amp; Bed Mgmt'!$N$5:$N$428&lt;EOMONTH(B506,0),'Client DB &amp; Bed Mgmt'!$N$5:$N$428,EOMONTH(B506,0))))-(IF(('Client DB &amp; Bed Mgmt'!$M$5:$M$428="")+NOT(ISNUMBER('Client DB &amp; Bed Mgmt'!$M$5:$M$428)),DATE(YEAR(B506),MONTH(B506),1),IF('Client DB &amp; Bed Mgmt'!$M$5:$M$428&gt;DATE(YEAR(B506),MONTH(B506),1),'Client DB &amp; Bed Mgmt'!$M$5:$M$428,DATE(YEAR(B506),MONTH(B506),1))))+1)/DAY(EOMONTH(B506,0))),0)</f>
        <v/>
      </c>
    </row>
    <row r="507" ht="14.25" customHeight="1" s="83">
      <c r="A507" s="103" t="n"/>
      <c r="B507" s="125">
        <f>DATE(YEAR(StartDate),MONTH(StartDate),1)</f>
        <v/>
      </c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Mgmt'!$B:$B,C507,'Client DB &amp; Bed Mgmt'!$E:$E,"Occupied"),0)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>
        <f>IFERROR(J507*SUMPRODUCT(('Client DB &amp; Bed Mgmt'!$A$5:$A$428=A507)*('Client DB &amp; Bed Mgmt'!$B$5:$B$428=C507)*('Client DB &amp; Bed Mgmt'!$D$5:$D$428&lt;&gt;"")*--(('Client DB &amp; Bed Mgmt'!$M$5:$M$428="")+NOT(ISNUMBER('Client DB &amp; Bed Mgmt'!$M$5:$M$428))+IFERROR('Client DB &amp; Bed Mgmt'!$M$5:$M$428&lt;=EOMONTH(B507,0),FALSE)&gt;0)*--(('Client DB &amp; Bed Mgmt'!$N$5:$N$428="")+NOT(ISNUMBER('Client DB &amp; Bed Mgmt'!$N$5:$N$428))+IFERROR('Client DB &amp; Bed Mgmt'!$N$5:$N$428&gt;=DATE(YEAR(B507),MONTH(B507),1),FALSE)&gt;0)*((IF(('Client DB &amp; Bed Mgmt'!$N$5:$N$428="")+NOT(ISNUMBER('Client DB &amp; Bed Mgmt'!$N$5:$N$428)),EOMONTH(B507,0),IF('Client DB &amp; Bed Mgmt'!$N$5:$N$428&lt;EOMONTH(B507,0),'Client DB &amp; Bed Mgmt'!$N$5:$N$428,EOMONTH(B507,0))))-(IF(('Client DB &amp; Bed Mgmt'!$M$5:$M$428="")+NOT(ISNUMBER('Client DB &amp; Bed Mgmt'!$M$5:$M$428)),DATE(YEAR(B507),MONTH(B507),1),IF('Client DB &amp; Bed Mgmt'!$M$5:$M$428&gt;DATE(YEAR(B507),MONTH(B507),1),'Client DB &amp; Bed Mgmt'!$M$5:$M$428,DATE(YEAR(B507),MONTH(B507),1))))+1)/DAY(EOMONTH(B507,0))),0)</f>
        <v/>
      </c>
    </row>
    <row r="508" ht="14.25" customHeight="1" s="83">
      <c r="A508" s="103" t="n"/>
      <c r="B508" s="125">
        <f>DATE(YEAR(StartDate),MONTH(StartDate),1)</f>
        <v/>
      </c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Mgmt'!$B:$B,C508,'Client DB &amp; Bed Mgmt'!$E:$E,"Occupied"),0)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>
        <f>IFERROR(J508*SUMPRODUCT(('Client DB &amp; Bed Mgmt'!$A$5:$A$428=A508)*('Client DB &amp; Bed Mgmt'!$B$5:$B$428=C508)*('Client DB &amp; Bed Mgmt'!$D$5:$D$428&lt;&gt;"")*--(('Client DB &amp; Bed Mgmt'!$M$5:$M$428="")+NOT(ISNUMBER('Client DB &amp; Bed Mgmt'!$M$5:$M$428))+IFERROR('Client DB &amp; Bed Mgmt'!$M$5:$M$428&lt;=EOMONTH(B508,0),FALSE)&gt;0)*--(('Client DB &amp; Bed Mgmt'!$N$5:$N$428="")+NOT(ISNUMBER('Client DB &amp; Bed Mgmt'!$N$5:$N$428))+IFERROR('Client DB &amp; Bed Mgmt'!$N$5:$N$428&gt;=DATE(YEAR(B508),MONTH(B508),1),FALSE)&gt;0)*((IF(('Client DB &amp; Bed Mgmt'!$N$5:$N$428="")+NOT(ISNUMBER('Client DB &amp; Bed Mgmt'!$N$5:$N$428)),EOMONTH(B508,0),IF('Client DB &amp; Bed Mgmt'!$N$5:$N$428&lt;EOMONTH(B508,0),'Client DB &amp; Bed Mgmt'!$N$5:$N$428,EOMONTH(B508,0))))-(IF(('Client DB &amp; Bed Mgmt'!$M$5:$M$428="")+NOT(ISNUMBER('Client DB &amp; Bed Mgmt'!$M$5:$M$428)),DATE(YEAR(B508),MONTH(B508),1),IF('Client DB &amp; Bed Mgmt'!$M$5:$M$428&gt;DATE(YEAR(B508),MONTH(B508),1),'Client DB &amp; Bed Mgmt'!$M$5:$M$428,DATE(YEAR(B508),MONTH(B508),1))))+1)/DAY(EOMONTH(B508,0))),0)</f>
        <v/>
      </c>
    </row>
    <row r="509" ht="14.25" customHeight="1" s="83">
      <c r="A509" s="103" t="n"/>
      <c r="B509" s="125">
        <f>DATE(YEAR(StartDate),MONTH(StartDate),1)</f>
        <v/>
      </c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Mgmt'!$B:$B,C509,'Client DB &amp; Bed Mgmt'!$E:$E,"Occupied"),0)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>
        <f>IFERROR(J509*SUMPRODUCT(('Client DB &amp; Bed Mgmt'!$A$5:$A$428=A509)*('Client DB &amp; Bed Mgmt'!$B$5:$B$428=C509)*('Client DB &amp; Bed Mgmt'!$D$5:$D$428&lt;&gt;"")*--(('Client DB &amp; Bed Mgmt'!$M$5:$M$428="")+NOT(ISNUMBER('Client DB &amp; Bed Mgmt'!$M$5:$M$428))+IFERROR('Client DB &amp; Bed Mgmt'!$M$5:$M$428&lt;=EOMONTH(B509,0),FALSE)&gt;0)*--(('Client DB &amp; Bed Mgmt'!$N$5:$N$428="")+NOT(ISNUMBER('Client DB &amp; Bed Mgmt'!$N$5:$N$428))+IFERROR('Client DB &amp; Bed Mgmt'!$N$5:$N$428&gt;=DATE(YEAR(B509),MONTH(B509),1),FALSE)&gt;0)*((IF(('Client DB &amp; Bed Mgmt'!$N$5:$N$428="")+NOT(ISNUMBER('Client DB &amp; Bed Mgmt'!$N$5:$N$428)),EOMONTH(B509,0),IF('Client DB &amp; Bed Mgmt'!$N$5:$N$428&lt;EOMONTH(B509,0),'Client DB &amp; Bed Mgmt'!$N$5:$N$428,EOMONTH(B509,0))))-(IF(('Client DB &amp; Bed Mgmt'!$M$5:$M$428="")+NOT(ISNUMBER('Client DB &amp; Bed Mgmt'!$M$5:$M$428)),DATE(YEAR(B509),MONTH(B509),1),IF('Client DB &amp; Bed Mgmt'!$M$5:$M$428&gt;DATE(YEAR(B509),MONTH(B509),1),'Client DB &amp; Bed Mgmt'!$M$5:$M$428,DATE(YEAR(B509),MONTH(B509),1))))+1)/DAY(EOMONTH(B509,0))),0)</f>
        <v/>
      </c>
    </row>
    <row r="510" ht="14.25" customHeight="1" s="83">
      <c r="A510" s="103" t="n"/>
      <c r="B510" s="125">
        <f>DATE(YEAR(StartDate),MONTH(StartDate),1)</f>
        <v/>
      </c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Mgmt'!$B:$B,C510,'Client DB &amp; Bed Mgmt'!$E:$E,"Occupied"),0)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>
        <f>IFERROR(J510*SUMPRODUCT(('Client DB &amp; Bed Mgmt'!$A$5:$A$428=A510)*('Client DB &amp; Bed Mgmt'!$B$5:$B$428=C510)*('Client DB &amp; Bed Mgmt'!$D$5:$D$428&lt;&gt;"")*--(('Client DB &amp; Bed Mgmt'!$M$5:$M$428="")+NOT(ISNUMBER('Client DB &amp; Bed Mgmt'!$M$5:$M$428))+IFERROR('Client DB &amp; Bed Mgmt'!$M$5:$M$428&lt;=EOMONTH(B510,0),FALSE)&gt;0)*--(('Client DB &amp; Bed Mgmt'!$N$5:$N$428="")+NOT(ISNUMBER('Client DB &amp; Bed Mgmt'!$N$5:$N$428))+IFERROR('Client DB &amp; Bed Mgmt'!$N$5:$N$428&gt;=DATE(YEAR(B510),MONTH(B510),1),FALSE)&gt;0)*((IF(('Client DB &amp; Bed Mgmt'!$N$5:$N$428="")+NOT(ISNUMBER('Client DB &amp; Bed Mgmt'!$N$5:$N$428)),EOMONTH(B510,0),IF('Client DB &amp; Bed Mgmt'!$N$5:$N$428&lt;EOMONTH(B510,0),'Client DB &amp; Bed Mgmt'!$N$5:$N$428,EOMONTH(B510,0))))-(IF(('Client DB &amp; Bed Mgmt'!$M$5:$M$428="")+NOT(ISNUMBER('Client DB &amp; Bed Mgmt'!$M$5:$M$428)),DATE(YEAR(B510),MONTH(B510),1),IF('Client DB &amp; Bed Mgmt'!$M$5:$M$428&gt;DATE(YEAR(B510),MONTH(B510),1),'Client DB &amp; Bed Mgmt'!$M$5:$M$428,DATE(YEAR(B510),MONTH(B510),1))))+1)/DAY(EOMONTH(B510,0))),0)</f>
        <v/>
      </c>
    </row>
    <row r="511" ht="14.25" customHeight="1" s="83">
      <c r="A511" s="103" t="n"/>
      <c r="B511" s="125">
        <f>DATE(YEAR(StartDate),MONTH(StartDate),1)</f>
        <v/>
      </c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Mgmt'!$B:$B,C511,'Client DB &amp; Bed Mgmt'!$E:$E,"Occupied"),0)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>
        <f>IFERROR(J511*SUMPRODUCT(('Client DB &amp; Bed Mgmt'!$A$5:$A$428=A511)*('Client DB &amp; Bed Mgmt'!$B$5:$B$428=C511)*('Client DB &amp; Bed Mgmt'!$D$5:$D$428&lt;&gt;"")*--(('Client DB &amp; Bed Mgmt'!$M$5:$M$428="")+NOT(ISNUMBER('Client DB &amp; Bed Mgmt'!$M$5:$M$428))+IFERROR('Client DB &amp; Bed Mgmt'!$M$5:$M$428&lt;=EOMONTH(B511,0),FALSE)&gt;0)*--(('Client DB &amp; Bed Mgmt'!$N$5:$N$428="")+NOT(ISNUMBER('Client DB &amp; Bed Mgmt'!$N$5:$N$428))+IFERROR('Client DB &amp; Bed Mgmt'!$N$5:$N$428&gt;=DATE(YEAR(B511),MONTH(B511),1),FALSE)&gt;0)*((IF(('Client DB &amp; Bed Mgmt'!$N$5:$N$428="")+NOT(ISNUMBER('Client DB &amp; Bed Mgmt'!$N$5:$N$428)),EOMONTH(B511,0),IF('Client DB &amp; Bed Mgmt'!$N$5:$N$428&lt;EOMONTH(B511,0),'Client DB &amp; Bed Mgmt'!$N$5:$N$428,EOMONTH(B511,0))))-(IF(('Client DB &amp; Bed Mgmt'!$M$5:$M$428="")+NOT(ISNUMBER('Client DB &amp; Bed Mgmt'!$M$5:$M$428)),DATE(YEAR(B511),MONTH(B511),1),IF('Client DB &amp; Bed Mgmt'!$M$5:$M$428&gt;DATE(YEAR(B511),MONTH(B511),1),'Client DB &amp; Bed Mgmt'!$M$5:$M$428,DATE(YEAR(B511),MONTH(B511),1))))+1)/DAY(EOMONTH(B511,0))),0)</f>
        <v/>
      </c>
    </row>
    <row r="512" ht="14.25" customHeight="1" s="83">
      <c r="A512" s="103" t="n"/>
      <c r="B512" s="125">
        <f>DATE(YEAR(StartDate),MONTH(StartDate),1)</f>
        <v/>
      </c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Mgmt'!$B:$B,C512,'Client DB &amp; Bed Mgmt'!$E:$E,"Occupied"),0)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>
        <f>IFERROR(J512*SUMPRODUCT(('Client DB &amp; Bed Mgmt'!$A$5:$A$428=A512)*('Client DB &amp; Bed Mgmt'!$B$5:$B$428=C512)*('Client DB &amp; Bed Mgmt'!$D$5:$D$428&lt;&gt;"")*--(('Client DB &amp; Bed Mgmt'!$M$5:$M$428="")+NOT(ISNUMBER('Client DB &amp; Bed Mgmt'!$M$5:$M$428))+IFERROR('Client DB &amp; Bed Mgmt'!$M$5:$M$428&lt;=EOMONTH(B512,0),FALSE)&gt;0)*--(('Client DB &amp; Bed Mgmt'!$N$5:$N$428="")+NOT(ISNUMBER('Client DB &amp; Bed Mgmt'!$N$5:$N$428))+IFERROR('Client DB &amp; Bed Mgmt'!$N$5:$N$428&gt;=DATE(YEAR(B512),MONTH(B512),1),FALSE)&gt;0)*((IF(('Client DB &amp; Bed Mgmt'!$N$5:$N$428="")+NOT(ISNUMBER('Client DB &amp; Bed Mgmt'!$N$5:$N$428)),EOMONTH(B512,0),IF('Client DB &amp; Bed Mgmt'!$N$5:$N$428&lt;EOMONTH(B512,0),'Client DB &amp; Bed Mgmt'!$N$5:$N$428,EOMONTH(B512,0))))-(IF(('Client DB &amp; Bed Mgmt'!$M$5:$M$428="")+NOT(ISNUMBER('Client DB &amp; Bed Mgmt'!$M$5:$M$428)),DATE(YEAR(B512),MONTH(B512),1),IF('Client DB &amp; Bed Mgmt'!$M$5:$M$428&gt;DATE(YEAR(B512),MONTH(B512),1),'Client DB &amp; Bed Mgmt'!$M$5:$M$428,DATE(YEAR(B512),MONTH(B512),1))))+1)/DAY(EOMONTH(B512,0))),0)</f>
        <v/>
      </c>
    </row>
    <row r="513" ht="14.25" customHeight="1" s="83">
      <c r="A513" s="103" t="n"/>
      <c r="B513" s="125">
        <f>DATE(YEAR(StartDate),MONTH(StartDate),1)</f>
        <v/>
      </c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Mgmt'!$B:$B,C513,'Client DB &amp; Bed Mgmt'!$E:$E,"Occupied"),0)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>
        <f>IFERROR(J513*SUMPRODUCT(('Client DB &amp; Bed Mgmt'!$A$5:$A$428=A513)*('Client DB &amp; Bed Mgmt'!$B$5:$B$428=C513)*('Client DB &amp; Bed Mgmt'!$D$5:$D$428&lt;&gt;"")*--(('Client DB &amp; Bed Mgmt'!$M$5:$M$428="")+NOT(ISNUMBER('Client DB &amp; Bed Mgmt'!$M$5:$M$428))+IFERROR('Client DB &amp; Bed Mgmt'!$M$5:$M$428&lt;=EOMONTH(B513,0),FALSE)&gt;0)*--(('Client DB &amp; Bed Mgmt'!$N$5:$N$428="")+NOT(ISNUMBER('Client DB &amp; Bed Mgmt'!$N$5:$N$428))+IFERROR('Client DB &amp; Bed Mgmt'!$N$5:$N$428&gt;=DATE(YEAR(B513),MONTH(B513),1),FALSE)&gt;0)*((IF(('Client DB &amp; Bed Mgmt'!$N$5:$N$428="")+NOT(ISNUMBER('Client DB &amp; Bed Mgmt'!$N$5:$N$428)),EOMONTH(B513,0),IF('Client DB &amp; Bed Mgmt'!$N$5:$N$428&lt;EOMONTH(B513,0),'Client DB &amp; Bed Mgmt'!$N$5:$N$428,EOMONTH(B513,0))))-(IF(('Client DB &amp; Bed Mgmt'!$M$5:$M$428="")+NOT(ISNUMBER('Client DB &amp; Bed Mgmt'!$M$5:$M$428)),DATE(YEAR(B513),MONTH(B513),1),IF('Client DB &amp; Bed Mgmt'!$M$5:$M$428&gt;DATE(YEAR(B513),MONTH(B513),1),'Client DB &amp; Bed Mgmt'!$M$5:$M$428,DATE(YEAR(B513),MONTH(B513),1))))+1)/DAY(EOMONTH(B513,0))),0)</f>
        <v/>
      </c>
    </row>
    <row r="514" ht="14.25" customHeight="1" s="83">
      <c r="A514" s="103" t="n"/>
      <c r="B514" s="125">
        <f>DATE(YEAR(StartDate),MONTH(StartDate),1)</f>
        <v/>
      </c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Mgmt'!$B:$B,C514,'Client DB &amp; Bed Mgmt'!$E:$E,"Occupied"),0)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>
        <f>IFERROR(J514*SUMPRODUCT(('Client DB &amp; Bed Mgmt'!$A$5:$A$428=A514)*('Client DB &amp; Bed Mgmt'!$B$5:$B$428=C514)*('Client DB &amp; Bed Mgmt'!$D$5:$D$428&lt;&gt;"")*--(('Client DB &amp; Bed Mgmt'!$M$5:$M$428="")+NOT(ISNUMBER('Client DB &amp; Bed Mgmt'!$M$5:$M$428))+IFERROR('Client DB &amp; Bed Mgmt'!$M$5:$M$428&lt;=EOMONTH(B514,0),FALSE)&gt;0)*--(('Client DB &amp; Bed Mgmt'!$N$5:$N$428="")+NOT(ISNUMBER('Client DB &amp; Bed Mgmt'!$N$5:$N$428))+IFERROR('Client DB &amp; Bed Mgmt'!$N$5:$N$428&gt;=DATE(YEAR(B514),MONTH(B514),1),FALSE)&gt;0)*((IF(('Client DB &amp; Bed Mgmt'!$N$5:$N$428="")+NOT(ISNUMBER('Client DB &amp; Bed Mgmt'!$N$5:$N$428)),EOMONTH(B514,0),IF('Client DB &amp; Bed Mgmt'!$N$5:$N$428&lt;EOMONTH(B514,0),'Client DB &amp; Bed Mgmt'!$N$5:$N$428,EOMONTH(B514,0))))-(IF(('Client DB &amp; Bed Mgmt'!$M$5:$M$428="")+NOT(ISNUMBER('Client DB &amp; Bed Mgmt'!$M$5:$M$428)),DATE(YEAR(B514),MONTH(B514),1),IF('Client DB &amp; Bed Mgmt'!$M$5:$M$428&gt;DATE(YEAR(B514),MONTH(B514),1),'Client DB &amp; Bed Mgmt'!$M$5:$M$428,DATE(YEAR(B514),MONTH(B514),1))))+1)/DAY(EOMONTH(B514,0))),0)</f>
        <v/>
      </c>
    </row>
    <row r="515" ht="14.25" customHeight="1" s="83">
      <c r="A515" s="103" t="n"/>
      <c r="B515" s="125">
        <f>DATE(YEAR(StartDate),MONTH(StartDate),1)</f>
        <v/>
      </c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Mgmt'!$B:$B,C515,'Client DB &amp; Bed Mgmt'!$E:$E,"Occupied"),0)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>
        <f>IFERROR(J515*SUMPRODUCT(('Client DB &amp; Bed Mgmt'!$A$5:$A$428=A515)*('Client DB &amp; Bed Mgmt'!$B$5:$B$428=C515)*('Client DB &amp; Bed Mgmt'!$D$5:$D$428&lt;&gt;"")*--(('Client DB &amp; Bed Mgmt'!$M$5:$M$428="")+NOT(ISNUMBER('Client DB &amp; Bed Mgmt'!$M$5:$M$428))+IFERROR('Client DB &amp; Bed Mgmt'!$M$5:$M$428&lt;=EOMONTH(B515,0),FALSE)&gt;0)*--(('Client DB &amp; Bed Mgmt'!$N$5:$N$428="")+NOT(ISNUMBER('Client DB &amp; Bed Mgmt'!$N$5:$N$428))+IFERROR('Client DB &amp; Bed Mgmt'!$N$5:$N$428&gt;=DATE(YEAR(B515),MONTH(B515),1),FALSE)&gt;0)*((IF(('Client DB &amp; Bed Mgmt'!$N$5:$N$428="")+NOT(ISNUMBER('Client DB &amp; Bed Mgmt'!$N$5:$N$428)),EOMONTH(B515,0),IF('Client DB &amp; Bed Mgmt'!$N$5:$N$428&lt;EOMONTH(B515,0),'Client DB &amp; Bed Mgmt'!$N$5:$N$428,EOMONTH(B515,0))))-(IF(('Client DB &amp; Bed Mgmt'!$M$5:$M$428="")+NOT(ISNUMBER('Client DB &amp; Bed Mgmt'!$M$5:$M$428)),DATE(YEAR(B515),MONTH(B515),1),IF('Client DB &amp; Bed Mgmt'!$M$5:$M$428&gt;DATE(YEAR(B515),MONTH(B515),1),'Client DB &amp; Bed Mgmt'!$M$5:$M$428,DATE(YEAR(B515),MONTH(B515),1))))+1)/DAY(EOMONTH(B515,0))),0)</f>
        <v/>
      </c>
    </row>
    <row r="516" ht="14.25" customHeight="1" s="83">
      <c r="A516" s="103" t="n"/>
      <c r="B516" s="125">
        <f>DATE(YEAR(StartDate),MONTH(StartDate),1)</f>
        <v/>
      </c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Mgmt'!$B:$B,C516,'Client DB &amp; Bed Mgmt'!$E:$E,"Occupied"),0)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>
        <f>IFERROR(J516*SUMPRODUCT(('Client DB &amp; Bed Mgmt'!$A$5:$A$428=A516)*('Client DB &amp; Bed Mgmt'!$B$5:$B$428=C516)*('Client DB &amp; Bed Mgmt'!$D$5:$D$428&lt;&gt;"")*--(('Client DB &amp; Bed Mgmt'!$M$5:$M$428="")+NOT(ISNUMBER('Client DB &amp; Bed Mgmt'!$M$5:$M$428))+IFERROR('Client DB &amp; Bed Mgmt'!$M$5:$M$428&lt;=EOMONTH(B516,0),FALSE)&gt;0)*--(('Client DB &amp; Bed Mgmt'!$N$5:$N$428="")+NOT(ISNUMBER('Client DB &amp; Bed Mgmt'!$N$5:$N$428))+IFERROR('Client DB &amp; Bed Mgmt'!$N$5:$N$428&gt;=DATE(YEAR(B516),MONTH(B516),1),FALSE)&gt;0)*((IF(('Client DB &amp; Bed Mgmt'!$N$5:$N$428="")+NOT(ISNUMBER('Client DB &amp; Bed Mgmt'!$N$5:$N$428)),EOMONTH(B516,0),IF('Client DB &amp; Bed Mgmt'!$N$5:$N$428&lt;EOMONTH(B516,0),'Client DB &amp; Bed Mgmt'!$N$5:$N$428,EOMONTH(B516,0))))-(IF(('Client DB &amp; Bed Mgmt'!$M$5:$M$428="")+NOT(ISNUMBER('Client DB &amp; Bed Mgmt'!$M$5:$M$428)),DATE(YEAR(B516),MONTH(B516),1),IF('Client DB &amp; Bed Mgmt'!$M$5:$M$428&gt;DATE(YEAR(B516),MONTH(B516),1),'Client DB &amp; Bed Mgmt'!$M$5:$M$428,DATE(YEAR(B516),MONTH(B516),1))))+1)/DAY(EOMONTH(B516,0))),0)</f>
        <v/>
      </c>
    </row>
    <row r="517" ht="14.25" customHeight="1" s="83">
      <c r="A517" s="103" t="n"/>
      <c r="B517" s="125">
        <f>DATE(YEAR(StartDate),MONTH(StartDate),1)</f>
        <v/>
      </c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Mgmt'!$B:$B,C517,'Client DB &amp; Bed Mgmt'!$E:$E,"Occupied"),0)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>
        <f>IFERROR(J517*SUMPRODUCT(('Client DB &amp; Bed Mgmt'!$A$5:$A$428=A517)*('Client DB &amp; Bed Mgmt'!$B$5:$B$428=C517)*('Client DB &amp; Bed Mgmt'!$D$5:$D$428&lt;&gt;"")*--(('Client DB &amp; Bed Mgmt'!$M$5:$M$428="")+NOT(ISNUMBER('Client DB &amp; Bed Mgmt'!$M$5:$M$428))+IFERROR('Client DB &amp; Bed Mgmt'!$M$5:$M$428&lt;=EOMONTH(B517,0),FALSE)&gt;0)*--(('Client DB &amp; Bed Mgmt'!$N$5:$N$428="")+NOT(ISNUMBER('Client DB &amp; Bed Mgmt'!$N$5:$N$428))+IFERROR('Client DB &amp; Bed Mgmt'!$N$5:$N$428&gt;=DATE(YEAR(B517),MONTH(B517),1),FALSE)&gt;0)*((IF(('Client DB &amp; Bed Mgmt'!$N$5:$N$428="")+NOT(ISNUMBER('Client DB &amp; Bed Mgmt'!$N$5:$N$428)),EOMONTH(B517,0),IF('Client DB &amp; Bed Mgmt'!$N$5:$N$428&lt;EOMONTH(B517,0),'Client DB &amp; Bed Mgmt'!$N$5:$N$428,EOMONTH(B517,0))))-(IF(('Client DB &amp; Bed Mgmt'!$M$5:$M$428="")+NOT(ISNUMBER('Client DB &amp; Bed Mgmt'!$M$5:$M$428)),DATE(YEAR(B517),MONTH(B517),1),IF('Client DB &amp; Bed Mgmt'!$M$5:$M$428&gt;DATE(YEAR(B517),MONTH(B517),1),'Client DB &amp; Bed Mgmt'!$M$5:$M$428,DATE(YEAR(B517),MONTH(B517),1))))+1)/DAY(EOMONTH(B517,0))),0)</f>
        <v/>
      </c>
    </row>
    <row r="518" ht="14.25" customHeight="1" s="83">
      <c r="A518" s="103" t="n"/>
      <c r="B518" s="125">
        <f>DATE(YEAR(StartDate),MONTH(StartDate),1)</f>
        <v/>
      </c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Mgmt'!$B:$B,C518,'Client DB &amp; Bed Mgmt'!$E:$E,"Occupied"),0)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>
        <f>IFERROR(J518*SUMPRODUCT(('Client DB &amp; Bed Mgmt'!$A$5:$A$428=A518)*('Client DB &amp; Bed Mgmt'!$B$5:$B$428=C518)*('Client DB &amp; Bed Mgmt'!$D$5:$D$428&lt;&gt;"")*--(('Client DB &amp; Bed Mgmt'!$M$5:$M$428="")+NOT(ISNUMBER('Client DB &amp; Bed Mgmt'!$M$5:$M$428))+IFERROR('Client DB &amp; Bed Mgmt'!$M$5:$M$428&lt;=EOMONTH(B518,0),FALSE)&gt;0)*--(('Client DB &amp; Bed Mgmt'!$N$5:$N$428="")+NOT(ISNUMBER('Client DB &amp; Bed Mgmt'!$N$5:$N$428))+IFERROR('Client DB &amp; Bed Mgmt'!$N$5:$N$428&gt;=DATE(YEAR(B518),MONTH(B518),1),FALSE)&gt;0)*((IF(('Client DB &amp; Bed Mgmt'!$N$5:$N$428="")+NOT(ISNUMBER('Client DB &amp; Bed Mgmt'!$N$5:$N$428)),EOMONTH(B518,0),IF('Client DB &amp; Bed Mgmt'!$N$5:$N$428&lt;EOMONTH(B518,0),'Client DB &amp; Bed Mgmt'!$N$5:$N$428,EOMONTH(B518,0))))-(IF(('Client DB &amp; Bed Mgmt'!$M$5:$M$428="")+NOT(ISNUMBER('Client DB &amp; Bed Mgmt'!$M$5:$M$428)),DATE(YEAR(B518),MONTH(B518),1),IF('Client DB &amp; Bed Mgmt'!$M$5:$M$428&gt;DATE(YEAR(B518),MONTH(B518),1),'Client DB &amp; Bed Mgmt'!$M$5:$M$428,DATE(YEAR(B518),MONTH(B518),1))))+1)/DAY(EOMONTH(B518,0))),0)</f>
        <v/>
      </c>
    </row>
    <row r="519" ht="14.25" customHeight="1" s="83">
      <c r="A519" s="103" t="n"/>
      <c r="B519" s="125">
        <f>DATE(YEAR(StartDate),MONTH(StartDate),1)</f>
        <v/>
      </c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Mgmt'!$B:$B,C519,'Client DB &amp; Bed Mgmt'!$E:$E,"Occupied"),0)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>
        <f>IFERROR(J519*SUMPRODUCT(('Client DB &amp; Bed Mgmt'!$A$5:$A$428=A519)*('Client DB &amp; Bed Mgmt'!$B$5:$B$428=C519)*('Client DB &amp; Bed Mgmt'!$D$5:$D$428&lt;&gt;"")*--(('Client DB &amp; Bed Mgmt'!$M$5:$M$428="")+NOT(ISNUMBER('Client DB &amp; Bed Mgmt'!$M$5:$M$428))+IFERROR('Client DB &amp; Bed Mgmt'!$M$5:$M$428&lt;=EOMONTH(B519,0),FALSE)&gt;0)*--(('Client DB &amp; Bed Mgmt'!$N$5:$N$428="")+NOT(ISNUMBER('Client DB &amp; Bed Mgmt'!$N$5:$N$428))+IFERROR('Client DB &amp; Bed Mgmt'!$N$5:$N$428&gt;=DATE(YEAR(B519),MONTH(B519),1),FALSE)&gt;0)*((IF(('Client DB &amp; Bed Mgmt'!$N$5:$N$428="")+NOT(ISNUMBER('Client DB &amp; Bed Mgmt'!$N$5:$N$428)),EOMONTH(B519,0),IF('Client DB &amp; Bed Mgmt'!$N$5:$N$428&lt;EOMONTH(B519,0),'Client DB &amp; Bed Mgmt'!$N$5:$N$428,EOMONTH(B519,0))))-(IF(('Client DB &amp; Bed Mgmt'!$M$5:$M$428="")+NOT(ISNUMBER('Client DB &amp; Bed Mgmt'!$M$5:$M$428)),DATE(YEAR(B519),MONTH(B519),1),IF('Client DB &amp; Bed Mgmt'!$M$5:$M$428&gt;DATE(YEAR(B519),MONTH(B519),1),'Client DB &amp; Bed Mgmt'!$M$5:$M$428,DATE(YEAR(B519),MONTH(B519),1))))+1)/DAY(EOMONTH(B519,0))),0)</f>
        <v/>
      </c>
    </row>
    <row r="520" ht="14.25" customHeight="1" s="83">
      <c r="A520" s="103" t="n"/>
      <c r="B520" s="125">
        <f>DATE(YEAR(StartDate),MONTH(StartDate),1)</f>
        <v/>
      </c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Mgmt'!$B:$B,C520,'Client DB &amp; Bed Mgmt'!$E:$E,"Occupied"),0)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>
        <f>IFERROR(J520*SUMPRODUCT(('Client DB &amp; Bed Mgmt'!$A$5:$A$428=A520)*('Client DB &amp; Bed Mgmt'!$B$5:$B$428=C520)*('Client DB &amp; Bed Mgmt'!$D$5:$D$428&lt;&gt;"")*--(('Client DB &amp; Bed Mgmt'!$M$5:$M$428="")+NOT(ISNUMBER('Client DB &amp; Bed Mgmt'!$M$5:$M$428))+IFERROR('Client DB &amp; Bed Mgmt'!$M$5:$M$428&lt;=EOMONTH(B520,0),FALSE)&gt;0)*--(('Client DB &amp; Bed Mgmt'!$N$5:$N$428="")+NOT(ISNUMBER('Client DB &amp; Bed Mgmt'!$N$5:$N$428))+IFERROR('Client DB &amp; Bed Mgmt'!$N$5:$N$428&gt;=DATE(YEAR(B520),MONTH(B520),1),FALSE)&gt;0)*((IF(('Client DB &amp; Bed Mgmt'!$N$5:$N$428="")+NOT(ISNUMBER('Client DB &amp; Bed Mgmt'!$N$5:$N$428)),EOMONTH(B520,0),IF('Client DB &amp; Bed Mgmt'!$N$5:$N$428&lt;EOMONTH(B520,0),'Client DB &amp; Bed Mgmt'!$N$5:$N$428,EOMONTH(B520,0))))-(IF(('Client DB &amp; Bed Mgmt'!$M$5:$M$428="")+NOT(ISNUMBER('Client DB &amp; Bed Mgmt'!$M$5:$M$428)),DATE(YEAR(B520),MONTH(B520),1),IF('Client DB &amp; Bed Mgmt'!$M$5:$M$428&gt;DATE(YEAR(B520),MONTH(B520),1),'Client DB &amp; Bed Mgmt'!$M$5:$M$428,DATE(YEAR(B520),MONTH(B520),1))))+1)/DAY(EOMONTH(B520,0))),0)</f>
        <v/>
      </c>
    </row>
    <row r="521" ht="14.25" customHeight="1" s="83">
      <c r="A521" s="103" t="n"/>
      <c r="B521" s="125">
        <f>DATE(YEAR(StartDate),MONTH(StartDate),1)</f>
        <v/>
      </c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Mgmt'!$B:$B,C521,'Client DB &amp; Bed Mgmt'!$E:$E,"Occupied"),0)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>
        <f>IFERROR(J521*SUMPRODUCT(('Client DB &amp; Bed Mgmt'!$A$5:$A$428=A521)*('Client DB &amp; Bed Mgmt'!$B$5:$B$428=C521)*('Client DB &amp; Bed Mgmt'!$D$5:$D$428&lt;&gt;"")*--(('Client DB &amp; Bed Mgmt'!$M$5:$M$428="")+NOT(ISNUMBER('Client DB &amp; Bed Mgmt'!$M$5:$M$428))+IFERROR('Client DB &amp; Bed Mgmt'!$M$5:$M$428&lt;=EOMONTH(B521,0),FALSE)&gt;0)*--(('Client DB &amp; Bed Mgmt'!$N$5:$N$428="")+NOT(ISNUMBER('Client DB &amp; Bed Mgmt'!$N$5:$N$428))+IFERROR('Client DB &amp; Bed Mgmt'!$N$5:$N$428&gt;=DATE(YEAR(B521),MONTH(B521),1),FALSE)&gt;0)*((IF(('Client DB &amp; Bed Mgmt'!$N$5:$N$428="")+NOT(ISNUMBER('Client DB &amp; Bed Mgmt'!$N$5:$N$428)),EOMONTH(B521,0),IF('Client DB &amp; Bed Mgmt'!$N$5:$N$428&lt;EOMONTH(B521,0),'Client DB &amp; Bed Mgmt'!$N$5:$N$428,EOMONTH(B521,0))))-(IF(('Client DB &amp; Bed Mgmt'!$M$5:$M$428="")+NOT(ISNUMBER('Client DB &amp; Bed Mgmt'!$M$5:$M$428)),DATE(YEAR(B521),MONTH(B521),1),IF('Client DB &amp; Bed Mgmt'!$M$5:$M$428&gt;DATE(YEAR(B521),MONTH(B521),1),'Client DB &amp; Bed Mgmt'!$M$5:$M$428,DATE(YEAR(B521),MONTH(B521),1))))+1)/DAY(EOMONTH(B521,0))),0)</f>
        <v/>
      </c>
    </row>
    <row r="522" ht="14.25" customHeight="1" s="83">
      <c r="A522" s="103" t="n"/>
      <c r="B522" s="125">
        <f>DATE(YEAR(StartDate),MONTH(StartDate),1)</f>
        <v/>
      </c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Mgmt'!$B:$B,C522,'Client DB &amp; Bed Mgmt'!$E:$E,"Occupied"),0)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>
        <f>IFERROR(J522*SUMPRODUCT(('Client DB &amp; Bed Mgmt'!$A$5:$A$428=A522)*('Client DB &amp; Bed Mgmt'!$B$5:$B$428=C522)*('Client DB &amp; Bed Mgmt'!$D$5:$D$428&lt;&gt;"")*--(('Client DB &amp; Bed Mgmt'!$M$5:$M$428="")+NOT(ISNUMBER('Client DB &amp; Bed Mgmt'!$M$5:$M$428))+IFERROR('Client DB &amp; Bed Mgmt'!$M$5:$M$428&lt;=EOMONTH(B522,0),FALSE)&gt;0)*--(('Client DB &amp; Bed Mgmt'!$N$5:$N$428="")+NOT(ISNUMBER('Client DB &amp; Bed Mgmt'!$N$5:$N$428))+IFERROR('Client DB &amp; Bed Mgmt'!$N$5:$N$428&gt;=DATE(YEAR(B522),MONTH(B522),1),FALSE)&gt;0)*((IF(('Client DB &amp; Bed Mgmt'!$N$5:$N$428="")+NOT(ISNUMBER('Client DB &amp; Bed Mgmt'!$N$5:$N$428)),EOMONTH(B522,0),IF('Client DB &amp; Bed Mgmt'!$N$5:$N$428&lt;EOMONTH(B522,0),'Client DB &amp; Bed Mgmt'!$N$5:$N$428,EOMONTH(B522,0))))-(IF(('Client DB &amp; Bed Mgmt'!$M$5:$M$428="")+NOT(ISNUMBER('Client DB &amp; Bed Mgmt'!$M$5:$M$428)),DATE(YEAR(B522),MONTH(B522),1),IF('Client DB &amp; Bed Mgmt'!$M$5:$M$428&gt;DATE(YEAR(B522),MONTH(B522),1),'Client DB &amp; Bed Mgmt'!$M$5:$M$428,DATE(YEAR(B522),MONTH(B522),1))))+1)/DAY(EOMONTH(B522,0))),0)</f>
        <v/>
      </c>
    </row>
    <row r="523" ht="14.25" customHeight="1" s="83">
      <c r="A523" s="103" t="n"/>
      <c r="B523" s="125">
        <f>DATE(YEAR(StartDate),MONTH(StartDate),1)</f>
        <v/>
      </c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Mgmt'!$B:$B,C523,'Client DB &amp; Bed Mgmt'!$E:$E,"Occupied"),0)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>
        <f>IFERROR(J523*SUMPRODUCT(('Client DB &amp; Bed Mgmt'!$A$5:$A$428=A523)*('Client DB &amp; Bed Mgmt'!$B$5:$B$428=C523)*('Client DB &amp; Bed Mgmt'!$D$5:$D$428&lt;&gt;"")*--(('Client DB &amp; Bed Mgmt'!$M$5:$M$428="")+NOT(ISNUMBER('Client DB &amp; Bed Mgmt'!$M$5:$M$428))+IFERROR('Client DB &amp; Bed Mgmt'!$M$5:$M$428&lt;=EOMONTH(B523,0),FALSE)&gt;0)*--(('Client DB &amp; Bed Mgmt'!$N$5:$N$428="")+NOT(ISNUMBER('Client DB &amp; Bed Mgmt'!$N$5:$N$428))+IFERROR('Client DB &amp; Bed Mgmt'!$N$5:$N$428&gt;=DATE(YEAR(B523),MONTH(B523),1),FALSE)&gt;0)*((IF(('Client DB &amp; Bed Mgmt'!$N$5:$N$428="")+NOT(ISNUMBER('Client DB &amp; Bed Mgmt'!$N$5:$N$428)),EOMONTH(B523,0),IF('Client DB &amp; Bed Mgmt'!$N$5:$N$428&lt;EOMONTH(B523,0),'Client DB &amp; Bed Mgmt'!$N$5:$N$428,EOMONTH(B523,0))))-(IF(('Client DB &amp; Bed Mgmt'!$M$5:$M$428="")+NOT(ISNUMBER('Client DB &amp; Bed Mgmt'!$M$5:$M$428)),DATE(YEAR(B523),MONTH(B523),1),IF('Client DB &amp; Bed Mgmt'!$M$5:$M$428&gt;DATE(YEAR(B523),MONTH(B523),1),'Client DB &amp; Bed Mgmt'!$M$5:$M$428,DATE(YEAR(B523),MONTH(B523),1))))+1)/DAY(EOMONTH(B523,0))),0)</f>
        <v/>
      </c>
    </row>
    <row r="524" ht="14.25" customHeight="1" s="83">
      <c r="A524" s="103" t="n"/>
      <c r="B524" s="125">
        <f>DATE(YEAR(StartDate),MONTH(StartDate),1)</f>
        <v/>
      </c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Mgmt'!$B:$B,C524,'Client DB &amp; Bed Mgmt'!$E:$E,"Occupied"),0)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>
        <f>IFERROR(J524*SUMPRODUCT(('Client DB &amp; Bed Mgmt'!$A$5:$A$428=A524)*('Client DB &amp; Bed Mgmt'!$B$5:$B$428=C524)*('Client DB &amp; Bed Mgmt'!$D$5:$D$428&lt;&gt;"")*--(('Client DB &amp; Bed Mgmt'!$M$5:$M$428="")+NOT(ISNUMBER('Client DB &amp; Bed Mgmt'!$M$5:$M$428))+IFERROR('Client DB &amp; Bed Mgmt'!$M$5:$M$428&lt;=EOMONTH(B524,0),FALSE)&gt;0)*--(('Client DB &amp; Bed Mgmt'!$N$5:$N$428="")+NOT(ISNUMBER('Client DB &amp; Bed Mgmt'!$N$5:$N$428))+IFERROR('Client DB &amp; Bed Mgmt'!$N$5:$N$428&gt;=DATE(YEAR(B524),MONTH(B524),1),FALSE)&gt;0)*((IF(('Client DB &amp; Bed Mgmt'!$N$5:$N$428="")+NOT(ISNUMBER('Client DB &amp; Bed Mgmt'!$N$5:$N$428)),EOMONTH(B524,0),IF('Client DB &amp; Bed Mgmt'!$N$5:$N$428&lt;EOMONTH(B524,0),'Client DB &amp; Bed Mgmt'!$N$5:$N$428,EOMONTH(B524,0))))-(IF(('Client DB &amp; Bed Mgmt'!$M$5:$M$428="")+NOT(ISNUMBER('Client DB &amp; Bed Mgmt'!$M$5:$M$428)),DATE(YEAR(B524),MONTH(B524),1),IF('Client DB &amp; Bed Mgmt'!$M$5:$M$428&gt;DATE(YEAR(B524),MONTH(B524),1),'Client DB &amp; Bed Mgmt'!$M$5:$M$428,DATE(YEAR(B524),MONTH(B524),1))))+1)/DAY(EOMONTH(B524,0))),0)</f>
        <v/>
      </c>
    </row>
    <row r="525" ht="14.25" customHeight="1" s="83">
      <c r="A525" s="103" t="n"/>
      <c r="B525" s="125">
        <f>DATE(YEAR(StartDate),MONTH(StartDate),1)</f>
        <v/>
      </c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Mgmt'!$B:$B,C525,'Client DB &amp; Bed Mgmt'!$E:$E,"Occupied"),0)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>
        <f>IFERROR(J525*SUMPRODUCT(('Client DB &amp; Bed Mgmt'!$A$5:$A$428=A525)*('Client DB &amp; Bed Mgmt'!$B$5:$B$428=C525)*('Client DB &amp; Bed Mgmt'!$D$5:$D$428&lt;&gt;"")*--(('Client DB &amp; Bed Mgmt'!$M$5:$M$428="")+NOT(ISNUMBER('Client DB &amp; Bed Mgmt'!$M$5:$M$428))+IFERROR('Client DB &amp; Bed Mgmt'!$M$5:$M$428&lt;=EOMONTH(B525,0),FALSE)&gt;0)*--(('Client DB &amp; Bed Mgmt'!$N$5:$N$428="")+NOT(ISNUMBER('Client DB &amp; Bed Mgmt'!$N$5:$N$428))+IFERROR('Client DB &amp; Bed Mgmt'!$N$5:$N$428&gt;=DATE(YEAR(B525),MONTH(B525),1),FALSE)&gt;0)*((IF(('Client DB &amp; Bed Mgmt'!$N$5:$N$428="")+NOT(ISNUMBER('Client DB &amp; Bed Mgmt'!$N$5:$N$428)),EOMONTH(B525,0),IF('Client DB &amp; Bed Mgmt'!$N$5:$N$428&lt;EOMONTH(B525,0),'Client DB &amp; Bed Mgmt'!$N$5:$N$428,EOMONTH(B525,0))))-(IF(('Client DB &amp; Bed Mgmt'!$M$5:$M$428="")+NOT(ISNUMBER('Client DB &amp; Bed Mgmt'!$M$5:$M$428)),DATE(YEAR(B525),MONTH(B525),1),IF('Client DB &amp; Bed Mgmt'!$M$5:$M$428&gt;DATE(YEAR(B525),MONTH(B525),1),'Client DB &amp; Bed Mgmt'!$M$5:$M$428,DATE(YEAR(B525),MONTH(B525),1))))+1)/DAY(EOMONTH(B525,0))),0)</f>
        <v/>
      </c>
    </row>
    <row r="526" ht="14.25" customHeight="1" s="83">
      <c r="A526" s="103" t="n"/>
      <c r="B526" s="125">
        <f>DATE(YEAR(StartDate),MONTH(StartDate),1)</f>
        <v/>
      </c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Mgmt'!$B:$B,C526,'Client DB &amp; Bed Mgmt'!$E:$E,"Occupied"),0)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>
        <f>IFERROR(J526*SUMPRODUCT(('Client DB &amp; Bed Mgmt'!$A$5:$A$428=A526)*('Client DB &amp; Bed Mgmt'!$B$5:$B$428=C526)*('Client DB &amp; Bed Mgmt'!$D$5:$D$428&lt;&gt;"")*--(('Client DB &amp; Bed Mgmt'!$M$5:$M$428="")+NOT(ISNUMBER('Client DB &amp; Bed Mgmt'!$M$5:$M$428))+IFERROR('Client DB &amp; Bed Mgmt'!$M$5:$M$428&lt;=EOMONTH(B526,0),FALSE)&gt;0)*--(('Client DB &amp; Bed Mgmt'!$N$5:$N$428="")+NOT(ISNUMBER('Client DB &amp; Bed Mgmt'!$N$5:$N$428))+IFERROR('Client DB &amp; Bed Mgmt'!$N$5:$N$428&gt;=DATE(YEAR(B526),MONTH(B526),1),FALSE)&gt;0)*((IF(('Client DB &amp; Bed Mgmt'!$N$5:$N$428="")+NOT(ISNUMBER('Client DB &amp; Bed Mgmt'!$N$5:$N$428)),EOMONTH(B526,0),IF('Client DB &amp; Bed Mgmt'!$N$5:$N$428&lt;EOMONTH(B526,0),'Client DB &amp; Bed Mgmt'!$N$5:$N$428,EOMONTH(B526,0))))-(IF(('Client DB &amp; Bed Mgmt'!$M$5:$M$428="")+NOT(ISNUMBER('Client DB &amp; Bed Mgmt'!$M$5:$M$428)),DATE(YEAR(B526),MONTH(B526),1),IF('Client DB &amp; Bed Mgmt'!$M$5:$M$428&gt;DATE(YEAR(B526),MONTH(B526),1),'Client DB &amp; Bed Mgmt'!$M$5:$M$428,DATE(YEAR(B526),MONTH(B526),1))))+1)/DAY(EOMONTH(B526,0))),0)</f>
        <v/>
      </c>
    </row>
    <row r="527" ht="14.25" customHeight="1" s="83">
      <c r="A527" s="103" t="n"/>
      <c r="B527" s="125">
        <f>DATE(YEAR(StartDate),MONTH(StartDate),1)</f>
        <v/>
      </c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Mgmt'!$B:$B,C527,'Client DB &amp; Bed Mgmt'!$E:$E,"Occupied"),0)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>
        <f>IFERROR(J527*SUMPRODUCT(('Client DB &amp; Bed Mgmt'!$A$5:$A$428=A527)*('Client DB &amp; Bed Mgmt'!$B$5:$B$428=C527)*('Client DB &amp; Bed Mgmt'!$D$5:$D$428&lt;&gt;"")*--(('Client DB &amp; Bed Mgmt'!$M$5:$M$428="")+NOT(ISNUMBER('Client DB &amp; Bed Mgmt'!$M$5:$M$428))+IFERROR('Client DB &amp; Bed Mgmt'!$M$5:$M$428&lt;=EOMONTH(B527,0),FALSE)&gt;0)*--(('Client DB &amp; Bed Mgmt'!$N$5:$N$428="")+NOT(ISNUMBER('Client DB &amp; Bed Mgmt'!$N$5:$N$428))+IFERROR('Client DB &amp; Bed Mgmt'!$N$5:$N$428&gt;=DATE(YEAR(B527),MONTH(B527),1),FALSE)&gt;0)*((IF(('Client DB &amp; Bed Mgmt'!$N$5:$N$428="")+NOT(ISNUMBER('Client DB &amp; Bed Mgmt'!$N$5:$N$428)),EOMONTH(B527,0),IF('Client DB &amp; Bed Mgmt'!$N$5:$N$428&lt;EOMONTH(B527,0),'Client DB &amp; Bed Mgmt'!$N$5:$N$428,EOMONTH(B527,0))))-(IF(('Client DB &amp; Bed Mgmt'!$M$5:$M$428="")+NOT(ISNUMBER('Client DB &amp; Bed Mgmt'!$M$5:$M$428)),DATE(YEAR(B527),MONTH(B527),1),IF('Client DB &amp; Bed Mgmt'!$M$5:$M$428&gt;DATE(YEAR(B527),MONTH(B527),1),'Client DB &amp; Bed Mgmt'!$M$5:$M$428,DATE(YEAR(B527),MONTH(B527),1))))+1)/DAY(EOMONTH(B527,0))),0)</f>
        <v/>
      </c>
    </row>
    <row r="528" ht="14.25" customHeight="1" s="83">
      <c r="A528" s="103" t="n"/>
      <c r="B528" s="125">
        <f>DATE(YEAR(StartDate),MONTH(StartDate),1)</f>
        <v/>
      </c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Mgmt'!$B:$B,C528,'Client DB &amp; Bed Mgmt'!$E:$E,"Occupied"),0)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>
        <f>IFERROR(J528*SUMPRODUCT(('Client DB &amp; Bed Mgmt'!$A$5:$A$428=A528)*('Client DB &amp; Bed Mgmt'!$B$5:$B$428=C528)*('Client DB &amp; Bed Mgmt'!$D$5:$D$428&lt;&gt;"")*--(('Client DB &amp; Bed Mgmt'!$M$5:$M$428="")+NOT(ISNUMBER('Client DB &amp; Bed Mgmt'!$M$5:$M$428))+IFERROR('Client DB &amp; Bed Mgmt'!$M$5:$M$428&lt;=EOMONTH(B528,0),FALSE)&gt;0)*--(('Client DB &amp; Bed Mgmt'!$N$5:$N$428="")+NOT(ISNUMBER('Client DB &amp; Bed Mgmt'!$N$5:$N$428))+IFERROR('Client DB &amp; Bed Mgmt'!$N$5:$N$428&gt;=DATE(YEAR(B528),MONTH(B528),1),FALSE)&gt;0)*((IF(('Client DB &amp; Bed Mgmt'!$N$5:$N$428="")+NOT(ISNUMBER('Client DB &amp; Bed Mgmt'!$N$5:$N$428)),EOMONTH(B528,0),IF('Client DB &amp; Bed Mgmt'!$N$5:$N$428&lt;EOMONTH(B528,0),'Client DB &amp; Bed Mgmt'!$N$5:$N$428,EOMONTH(B528,0))))-(IF(('Client DB &amp; Bed Mgmt'!$M$5:$M$428="")+NOT(ISNUMBER('Client DB &amp; Bed Mgmt'!$M$5:$M$428)),DATE(YEAR(B528),MONTH(B528),1),IF('Client DB &amp; Bed Mgmt'!$M$5:$M$428&gt;DATE(YEAR(B528),MONTH(B528),1),'Client DB &amp; Bed Mgmt'!$M$5:$M$428,DATE(YEAR(B528),MONTH(B528),1))))+1)/DAY(EOMONTH(B528,0))),0)</f>
        <v/>
      </c>
    </row>
    <row r="529" ht="14.25" customHeight="1" s="83">
      <c r="A529" s="103" t="n"/>
      <c r="B529" s="125">
        <f>DATE(YEAR(StartDate),MONTH(StartDate),1)</f>
        <v/>
      </c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Mgmt'!$B:$B,C529,'Client DB &amp; Bed Mgmt'!$E:$E,"Occupied"),0)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>
        <f>IFERROR(J529*SUMPRODUCT(('Client DB &amp; Bed Mgmt'!$A$5:$A$428=A529)*('Client DB &amp; Bed Mgmt'!$B$5:$B$428=C529)*('Client DB &amp; Bed Mgmt'!$D$5:$D$428&lt;&gt;"")*--(('Client DB &amp; Bed Mgmt'!$M$5:$M$428="")+NOT(ISNUMBER('Client DB &amp; Bed Mgmt'!$M$5:$M$428))+IFERROR('Client DB &amp; Bed Mgmt'!$M$5:$M$428&lt;=EOMONTH(B529,0),FALSE)&gt;0)*--(('Client DB &amp; Bed Mgmt'!$N$5:$N$428="")+NOT(ISNUMBER('Client DB &amp; Bed Mgmt'!$N$5:$N$428))+IFERROR('Client DB &amp; Bed Mgmt'!$N$5:$N$428&gt;=DATE(YEAR(B529),MONTH(B529),1),FALSE)&gt;0)*((IF(('Client DB &amp; Bed Mgmt'!$N$5:$N$428="")+NOT(ISNUMBER('Client DB &amp; Bed Mgmt'!$N$5:$N$428)),EOMONTH(B529,0),IF('Client DB &amp; Bed Mgmt'!$N$5:$N$428&lt;EOMONTH(B529,0),'Client DB &amp; Bed Mgmt'!$N$5:$N$428,EOMONTH(B529,0))))-(IF(('Client DB &amp; Bed Mgmt'!$M$5:$M$428="")+NOT(ISNUMBER('Client DB &amp; Bed Mgmt'!$M$5:$M$428)),DATE(YEAR(B529),MONTH(B529),1),IF('Client DB &amp; Bed Mgmt'!$M$5:$M$428&gt;DATE(YEAR(B529),MONTH(B529),1),'Client DB &amp; Bed Mgmt'!$M$5:$M$428,DATE(YEAR(B529),MONTH(B529),1))))+1)/DAY(EOMONTH(B529,0))),0)</f>
        <v/>
      </c>
    </row>
    <row r="530" ht="14.25" customHeight="1" s="83">
      <c r="A530" s="103" t="n"/>
      <c r="B530" s="125">
        <f>DATE(YEAR(StartDate),MONTH(StartDate),1)</f>
        <v/>
      </c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Mgmt'!$B:$B,C530,'Client DB &amp; Bed Mgmt'!$E:$E,"Occupied"),0)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>
        <f>IFERROR(J530*SUMPRODUCT(('Client DB &amp; Bed Mgmt'!$A$5:$A$428=A530)*('Client DB &amp; Bed Mgmt'!$B$5:$B$428=C530)*('Client DB &amp; Bed Mgmt'!$D$5:$D$428&lt;&gt;"")*--(('Client DB &amp; Bed Mgmt'!$M$5:$M$428="")+NOT(ISNUMBER('Client DB &amp; Bed Mgmt'!$M$5:$M$428))+IFERROR('Client DB &amp; Bed Mgmt'!$M$5:$M$428&lt;=EOMONTH(B530,0),FALSE)&gt;0)*--(('Client DB &amp; Bed Mgmt'!$N$5:$N$428="")+NOT(ISNUMBER('Client DB &amp; Bed Mgmt'!$N$5:$N$428))+IFERROR('Client DB &amp; Bed Mgmt'!$N$5:$N$428&gt;=DATE(YEAR(B530),MONTH(B530),1),FALSE)&gt;0)*((IF(('Client DB &amp; Bed Mgmt'!$N$5:$N$428="")+NOT(ISNUMBER('Client DB &amp; Bed Mgmt'!$N$5:$N$428)),EOMONTH(B530,0),IF('Client DB &amp; Bed Mgmt'!$N$5:$N$428&lt;EOMONTH(B530,0),'Client DB &amp; Bed Mgmt'!$N$5:$N$428,EOMONTH(B530,0))))-(IF(('Client DB &amp; Bed Mgmt'!$M$5:$M$428="")+NOT(ISNUMBER('Client DB &amp; Bed Mgmt'!$M$5:$M$428)),DATE(YEAR(B530),MONTH(B530),1),IF('Client DB &amp; Bed Mgmt'!$M$5:$M$428&gt;DATE(YEAR(B530),MONTH(B530),1),'Client DB &amp; Bed Mgmt'!$M$5:$M$428,DATE(YEAR(B530),MONTH(B530),1))))+1)/DAY(EOMONTH(B530,0))),0)</f>
        <v/>
      </c>
    </row>
    <row r="531" ht="14.25" customHeight="1" s="83">
      <c r="A531" s="103" t="n"/>
      <c r="B531" s="125">
        <f>DATE(YEAR(StartDate),MONTH(StartDate),1)</f>
        <v/>
      </c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Mgmt'!$B:$B,C531,'Client DB &amp; Bed Mgmt'!$E:$E,"Occupied"),0)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>
        <f>IFERROR(J531*SUMPRODUCT(('Client DB &amp; Bed Mgmt'!$A$5:$A$428=A531)*('Client DB &amp; Bed Mgmt'!$B$5:$B$428=C531)*('Client DB &amp; Bed Mgmt'!$D$5:$D$428&lt;&gt;"")*--(('Client DB &amp; Bed Mgmt'!$M$5:$M$428="")+NOT(ISNUMBER('Client DB &amp; Bed Mgmt'!$M$5:$M$428))+IFERROR('Client DB &amp; Bed Mgmt'!$M$5:$M$428&lt;=EOMONTH(B531,0),FALSE)&gt;0)*--(('Client DB &amp; Bed Mgmt'!$N$5:$N$428="")+NOT(ISNUMBER('Client DB &amp; Bed Mgmt'!$N$5:$N$428))+IFERROR('Client DB &amp; Bed Mgmt'!$N$5:$N$428&gt;=DATE(YEAR(B531),MONTH(B531),1),FALSE)&gt;0)*((IF(('Client DB &amp; Bed Mgmt'!$N$5:$N$428="")+NOT(ISNUMBER('Client DB &amp; Bed Mgmt'!$N$5:$N$428)),EOMONTH(B531,0),IF('Client DB &amp; Bed Mgmt'!$N$5:$N$428&lt;EOMONTH(B531,0),'Client DB &amp; Bed Mgmt'!$N$5:$N$428,EOMONTH(B531,0))))-(IF(('Client DB &amp; Bed Mgmt'!$M$5:$M$428="")+NOT(ISNUMBER('Client DB &amp; Bed Mgmt'!$M$5:$M$428)),DATE(YEAR(B531),MONTH(B531),1),IF('Client DB &amp; Bed Mgmt'!$M$5:$M$428&gt;DATE(YEAR(B531),MONTH(B531),1),'Client DB &amp; Bed Mgmt'!$M$5:$M$428,DATE(YEAR(B531),MONTH(B531),1))))+1)/DAY(EOMONTH(B531,0))),0)</f>
        <v/>
      </c>
    </row>
    <row r="532" ht="14.25" customHeight="1" s="83">
      <c r="A532" s="103" t="n"/>
      <c r="B532" s="125">
        <f>DATE(YEAR(StartDate),MONTH(StartDate),1)</f>
        <v/>
      </c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Mgmt'!$B:$B,C532,'Client DB &amp; Bed Mgmt'!$E:$E,"Occupied"),0)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>
        <f>IFERROR(J532*SUMPRODUCT(('Client DB &amp; Bed Mgmt'!$A$5:$A$428=A532)*('Client DB &amp; Bed Mgmt'!$B$5:$B$428=C532)*('Client DB &amp; Bed Mgmt'!$D$5:$D$428&lt;&gt;"")*--(('Client DB &amp; Bed Mgmt'!$M$5:$M$428="")+NOT(ISNUMBER('Client DB &amp; Bed Mgmt'!$M$5:$M$428))+IFERROR('Client DB &amp; Bed Mgmt'!$M$5:$M$428&lt;=EOMONTH(B532,0),FALSE)&gt;0)*--(('Client DB &amp; Bed Mgmt'!$N$5:$N$428="")+NOT(ISNUMBER('Client DB &amp; Bed Mgmt'!$N$5:$N$428))+IFERROR('Client DB &amp; Bed Mgmt'!$N$5:$N$428&gt;=DATE(YEAR(B532),MONTH(B532),1),FALSE)&gt;0)*((IF(('Client DB &amp; Bed Mgmt'!$N$5:$N$428="")+NOT(ISNUMBER('Client DB &amp; Bed Mgmt'!$N$5:$N$428)),EOMONTH(B532,0),IF('Client DB &amp; Bed Mgmt'!$N$5:$N$428&lt;EOMONTH(B532,0),'Client DB &amp; Bed Mgmt'!$N$5:$N$428,EOMONTH(B532,0))))-(IF(('Client DB &amp; Bed Mgmt'!$M$5:$M$428="")+NOT(ISNUMBER('Client DB &amp; Bed Mgmt'!$M$5:$M$428)),DATE(YEAR(B532),MONTH(B532),1),IF('Client DB &amp; Bed Mgmt'!$M$5:$M$428&gt;DATE(YEAR(B532),MONTH(B532),1),'Client DB &amp; Bed Mgmt'!$M$5:$M$428,DATE(YEAR(B532),MONTH(B532),1))))+1)/DAY(EOMONTH(B532,0))),0)</f>
        <v/>
      </c>
    </row>
    <row r="533" ht="14.25" customHeight="1" s="83">
      <c r="A533" s="103" t="n"/>
      <c r="B533" s="125">
        <f>DATE(YEAR(StartDate),MONTH(StartDate),1)</f>
        <v/>
      </c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Mgmt'!$B:$B,C533,'Client DB &amp; Bed Mgmt'!$E:$E,"Occupied"),0)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>
        <f>IFERROR(J533*SUMPRODUCT(('Client DB &amp; Bed Mgmt'!$A$5:$A$428=A533)*('Client DB &amp; Bed Mgmt'!$B$5:$B$428=C533)*('Client DB &amp; Bed Mgmt'!$D$5:$D$428&lt;&gt;"")*--(('Client DB &amp; Bed Mgmt'!$M$5:$M$428="")+NOT(ISNUMBER('Client DB &amp; Bed Mgmt'!$M$5:$M$428))+IFERROR('Client DB &amp; Bed Mgmt'!$M$5:$M$428&lt;=EOMONTH(B533,0),FALSE)&gt;0)*--(('Client DB &amp; Bed Mgmt'!$N$5:$N$428="")+NOT(ISNUMBER('Client DB &amp; Bed Mgmt'!$N$5:$N$428))+IFERROR('Client DB &amp; Bed Mgmt'!$N$5:$N$428&gt;=DATE(YEAR(B533),MONTH(B533),1),FALSE)&gt;0)*((IF(('Client DB &amp; Bed Mgmt'!$N$5:$N$428="")+NOT(ISNUMBER('Client DB &amp; Bed Mgmt'!$N$5:$N$428)),EOMONTH(B533,0),IF('Client DB &amp; Bed Mgmt'!$N$5:$N$428&lt;EOMONTH(B533,0),'Client DB &amp; Bed Mgmt'!$N$5:$N$428,EOMONTH(B533,0))))-(IF(('Client DB &amp; Bed Mgmt'!$M$5:$M$428="")+NOT(ISNUMBER('Client DB &amp; Bed Mgmt'!$M$5:$M$428)),DATE(YEAR(B533),MONTH(B533),1),IF('Client DB &amp; Bed Mgmt'!$M$5:$M$428&gt;DATE(YEAR(B533),MONTH(B533),1),'Client DB &amp; Bed Mgmt'!$M$5:$M$428,DATE(YEAR(B533),MONTH(B533),1))))+1)/DAY(EOMONTH(B533,0))),0)</f>
        <v/>
      </c>
    </row>
    <row r="534" ht="14.25" customHeight="1" s="83">
      <c r="A534" s="103" t="n"/>
      <c r="B534" s="125">
        <f>DATE(YEAR(StartDate),MONTH(StartDate),1)</f>
        <v/>
      </c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Mgmt'!$B:$B,C534,'Client DB &amp; Bed Mgmt'!$E:$E,"Occupied"),0)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>
        <f>IFERROR(J534*SUMPRODUCT(('Client DB &amp; Bed Mgmt'!$A$5:$A$428=A534)*('Client DB &amp; Bed Mgmt'!$B$5:$B$428=C534)*('Client DB &amp; Bed Mgmt'!$D$5:$D$428&lt;&gt;"")*--(('Client DB &amp; Bed Mgmt'!$M$5:$M$428="")+NOT(ISNUMBER('Client DB &amp; Bed Mgmt'!$M$5:$M$428))+IFERROR('Client DB &amp; Bed Mgmt'!$M$5:$M$428&lt;=EOMONTH(B534,0),FALSE)&gt;0)*--(('Client DB &amp; Bed Mgmt'!$N$5:$N$428="")+NOT(ISNUMBER('Client DB &amp; Bed Mgmt'!$N$5:$N$428))+IFERROR('Client DB &amp; Bed Mgmt'!$N$5:$N$428&gt;=DATE(YEAR(B534),MONTH(B534),1),FALSE)&gt;0)*((IF(('Client DB &amp; Bed Mgmt'!$N$5:$N$428="")+NOT(ISNUMBER('Client DB &amp; Bed Mgmt'!$N$5:$N$428)),EOMONTH(B534,0),IF('Client DB &amp; Bed Mgmt'!$N$5:$N$428&lt;EOMONTH(B534,0),'Client DB &amp; Bed Mgmt'!$N$5:$N$428,EOMONTH(B534,0))))-(IF(('Client DB &amp; Bed Mgmt'!$M$5:$M$428="")+NOT(ISNUMBER('Client DB &amp; Bed Mgmt'!$M$5:$M$428)),DATE(YEAR(B534),MONTH(B534),1),IF('Client DB &amp; Bed Mgmt'!$M$5:$M$428&gt;DATE(YEAR(B534),MONTH(B534),1),'Client DB &amp; Bed Mgmt'!$M$5:$M$428,DATE(YEAR(B534),MONTH(B534),1))))+1)/DAY(EOMONTH(B534,0))),0)</f>
        <v/>
      </c>
    </row>
    <row r="535" ht="14.25" customHeight="1" s="83">
      <c r="A535" s="103" t="n"/>
      <c r="B535" s="125">
        <f>DATE(YEAR(StartDate),MONTH(StartDate),1)</f>
        <v/>
      </c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Mgmt'!$B:$B,C535,'Client DB &amp; Bed Mgmt'!$E:$E,"Occupied"),0)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>
        <f>IFERROR(J535*SUMPRODUCT(('Client DB &amp; Bed Mgmt'!$A$5:$A$428=A535)*('Client DB &amp; Bed Mgmt'!$B$5:$B$428=C535)*('Client DB &amp; Bed Mgmt'!$D$5:$D$428&lt;&gt;"")*--(('Client DB &amp; Bed Mgmt'!$M$5:$M$428="")+NOT(ISNUMBER('Client DB &amp; Bed Mgmt'!$M$5:$M$428))+IFERROR('Client DB &amp; Bed Mgmt'!$M$5:$M$428&lt;=EOMONTH(B535,0),FALSE)&gt;0)*--(('Client DB &amp; Bed Mgmt'!$N$5:$N$428="")+NOT(ISNUMBER('Client DB &amp; Bed Mgmt'!$N$5:$N$428))+IFERROR('Client DB &amp; Bed Mgmt'!$N$5:$N$428&gt;=DATE(YEAR(B535),MONTH(B535),1),FALSE)&gt;0)*((IF(('Client DB &amp; Bed Mgmt'!$N$5:$N$428="")+NOT(ISNUMBER('Client DB &amp; Bed Mgmt'!$N$5:$N$428)),EOMONTH(B535,0),IF('Client DB &amp; Bed Mgmt'!$N$5:$N$428&lt;EOMONTH(B535,0),'Client DB &amp; Bed Mgmt'!$N$5:$N$428,EOMONTH(B535,0))))-(IF(('Client DB &amp; Bed Mgmt'!$M$5:$M$428="")+NOT(ISNUMBER('Client DB &amp; Bed Mgmt'!$M$5:$M$428)),DATE(YEAR(B535),MONTH(B535),1),IF('Client DB &amp; Bed Mgmt'!$M$5:$M$428&gt;DATE(YEAR(B535),MONTH(B535),1),'Client DB &amp; Bed Mgmt'!$M$5:$M$428,DATE(YEAR(B535),MONTH(B535),1))))+1)/DAY(EOMONTH(B535,0))),0)</f>
        <v/>
      </c>
    </row>
    <row r="536" ht="14.25" customHeight="1" s="83">
      <c r="A536" s="103" t="n"/>
      <c r="B536" s="125">
        <f>DATE(YEAR(StartDate),MONTH(StartDate),1)</f>
        <v/>
      </c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Mgmt'!$B:$B,C536,'Client DB &amp; Bed Mgmt'!$E:$E,"Occupied"),0)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>
        <f>IFERROR(J536*SUMPRODUCT(('Client DB &amp; Bed Mgmt'!$A$5:$A$428=A536)*('Client DB &amp; Bed Mgmt'!$B$5:$B$428=C536)*('Client DB &amp; Bed Mgmt'!$D$5:$D$428&lt;&gt;"")*--(('Client DB &amp; Bed Mgmt'!$M$5:$M$428="")+NOT(ISNUMBER('Client DB &amp; Bed Mgmt'!$M$5:$M$428))+IFERROR('Client DB &amp; Bed Mgmt'!$M$5:$M$428&lt;=EOMONTH(B536,0),FALSE)&gt;0)*--(('Client DB &amp; Bed Mgmt'!$N$5:$N$428="")+NOT(ISNUMBER('Client DB &amp; Bed Mgmt'!$N$5:$N$428))+IFERROR('Client DB &amp; Bed Mgmt'!$N$5:$N$428&gt;=DATE(YEAR(B536),MONTH(B536),1),FALSE)&gt;0)*((IF(('Client DB &amp; Bed Mgmt'!$N$5:$N$428="")+NOT(ISNUMBER('Client DB &amp; Bed Mgmt'!$N$5:$N$428)),EOMONTH(B536,0),IF('Client DB &amp; Bed Mgmt'!$N$5:$N$428&lt;EOMONTH(B536,0),'Client DB &amp; Bed Mgmt'!$N$5:$N$428,EOMONTH(B536,0))))-(IF(('Client DB &amp; Bed Mgmt'!$M$5:$M$428="")+NOT(ISNUMBER('Client DB &amp; Bed Mgmt'!$M$5:$M$428)),DATE(YEAR(B536),MONTH(B536),1),IF('Client DB &amp; Bed Mgmt'!$M$5:$M$428&gt;DATE(YEAR(B536),MONTH(B536),1),'Client DB &amp; Bed Mgmt'!$M$5:$M$428,DATE(YEAR(B536),MONTH(B536),1))))+1)/DAY(EOMONTH(B536,0))),0)</f>
        <v/>
      </c>
    </row>
    <row r="537" ht="14.25" customHeight="1" s="83">
      <c r="A537" s="103" t="n"/>
      <c r="B537" s="125">
        <f>DATE(YEAR(StartDate),MONTH(StartDate),1)</f>
        <v/>
      </c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Mgmt'!$B:$B,C537,'Client DB &amp; Bed Mgmt'!$E:$E,"Occupied"),0)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>
        <f>IFERROR(J537*SUMPRODUCT(('Client DB &amp; Bed Mgmt'!$A$5:$A$428=A537)*('Client DB &amp; Bed Mgmt'!$B$5:$B$428=C537)*('Client DB &amp; Bed Mgmt'!$D$5:$D$428&lt;&gt;"")*--(('Client DB &amp; Bed Mgmt'!$M$5:$M$428="")+NOT(ISNUMBER('Client DB &amp; Bed Mgmt'!$M$5:$M$428))+IFERROR('Client DB &amp; Bed Mgmt'!$M$5:$M$428&lt;=EOMONTH(B537,0),FALSE)&gt;0)*--(('Client DB &amp; Bed Mgmt'!$N$5:$N$428="")+NOT(ISNUMBER('Client DB &amp; Bed Mgmt'!$N$5:$N$428))+IFERROR('Client DB &amp; Bed Mgmt'!$N$5:$N$428&gt;=DATE(YEAR(B537),MONTH(B537),1),FALSE)&gt;0)*((IF(('Client DB &amp; Bed Mgmt'!$N$5:$N$428="")+NOT(ISNUMBER('Client DB &amp; Bed Mgmt'!$N$5:$N$428)),EOMONTH(B537,0),IF('Client DB &amp; Bed Mgmt'!$N$5:$N$428&lt;EOMONTH(B537,0),'Client DB &amp; Bed Mgmt'!$N$5:$N$428,EOMONTH(B537,0))))-(IF(('Client DB &amp; Bed Mgmt'!$M$5:$M$428="")+NOT(ISNUMBER('Client DB &amp; Bed Mgmt'!$M$5:$M$428)),DATE(YEAR(B537),MONTH(B537),1),IF('Client DB &amp; Bed Mgmt'!$M$5:$M$428&gt;DATE(YEAR(B537),MONTH(B537),1),'Client DB &amp; Bed Mgmt'!$M$5:$M$428,DATE(YEAR(B537),MONTH(B537),1))))+1)/DAY(EOMONTH(B537,0))),0)</f>
        <v/>
      </c>
    </row>
    <row r="538" ht="14.25" customHeight="1" s="83">
      <c r="A538" s="103" t="n"/>
      <c r="B538" s="125">
        <f>DATE(YEAR(StartDate),MONTH(StartDate),1)</f>
        <v/>
      </c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Mgmt'!$B:$B,C538,'Client DB &amp; Bed Mgmt'!$E:$E,"Occupied"),0)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>
        <f>IFERROR(J538*SUMPRODUCT(('Client DB &amp; Bed Mgmt'!$A$5:$A$428=A538)*('Client DB &amp; Bed Mgmt'!$B$5:$B$428=C538)*('Client DB &amp; Bed Mgmt'!$D$5:$D$428&lt;&gt;"")*--(('Client DB &amp; Bed Mgmt'!$M$5:$M$428="")+NOT(ISNUMBER('Client DB &amp; Bed Mgmt'!$M$5:$M$428))+IFERROR('Client DB &amp; Bed Mgmt'!$M$5:$M$428&lt;=EOMONTH(B538,0),FALSE)&gt;0)*--(('Client DB &amp; Bed Mgmt'!$N$5:$N$428="")+NOT(ISNUMBER('Client DB &amp; Bed Mgmt'!$N$5:$N$428))+IFERROR('Client DB &amp; Bed Mgmt'!$N$5:$N$428&gt;=DATE(YEAR(B538),MONTH(B538),1),FALSE)&gt;0)*((IF(('Client DB &amp; Bed Mgmt'!$N$5:$N$428="")+NOT(ISNUMBER('Client DB &amp; Bed Mgmt'!$N$5:$N$428)),EOMONTH(B538,0),IF('Client DB &amp; Bed Mgmt'!$N$5:$N$428&lt;EOMONTH(B538,0),'Client DB &amp; Bed Mgmt'!$N$5:$N$428,EOMONTH(B538,0))))-(IF(('Client DB &amp; Bed Mgmt'!$M$5:$M$428="")+NOT(ISNUMBER('Client DB &amp; Bed Mgmt'!$M$5:$M$428)),DATE(YEAR(B538),MONTH(B538),1),IF('Client DB &amp; Bed Mgmt'!$M$5:$M$428&gt;DATE(YEAR(B538),MONTH(B538),1),'Client DB &amp; Bed Mgmt'!$M$5:$M$428,DATE(YEAR(B538),MONTH(B538),1))))+1)/DAY(EOMONTH(B538,0))),0)</f>
        <v/>
      </c>
    </row>
    <row r="539" ht="14.25" customHeight="1" s="83">
      <c r="A539" s="103" t="n"/>
      <c r="B539" s="125">
        <f>DATE(YEAR(StartDate),MONTH(StartDate),1)</f>
        <v/>
      </c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Mgmt'!$B:$B,C539,'Client DB &amp; Bed Mgmt'!$E:$E,"Occupied"),0)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>
        <f>IFERROR(J539*SUMPRODUCT(('Client DB &amp; Bed Mgmt'!$A$5:$A$428=A539)*('Client DB &amp; Bed Mgmt'!$B$5:$B$428=C539)*('Client DB &amp; Bed Mgmt'!$D$5:$D$428&lt;&gt;"")*--(('Client DB &amp; Bed Mgmt'!$M$5:$M$428="")+NOT(ISNUMBER('Client DB &amp; Bed Mgmt'!$M$5:$M$428))+IFERROR('Client DB &amp; Bed Mgmt'!$M$5:$M$428&lt;=EOMONTH(B539,0),FALSE)&gt;0)*--(('Client DB &amp; Bed Mgmt'!$N$5:$N$428="")+NOT(ISNUMBER('Client DB &amp; Bed Mgmt'!$N$5:$N$428))+IFERROR('Client DB &amp; Bed Mgmt'!$N$5:$N$428&gt;=DATE(YEAR(B539),MONTH(B539),1),FALSE)&gt;0)*((IF(('Client DB &amp; Bed Mgmt'!$N$5:$N$428="")+NOT(ISNUMBER('Client DB &amp; Bed Mgmt'!$N$5:$N$428)),EOMONTH(B539,0),IF('Client DB &amp; Bed Mgmt'!$N$5:$N$428&lt;EOMONTH(B539,0),'Client DB &amp; Bed Mgmt'!$N$5:$N$428,EOMONTH(B539,0))))-(IF(('Client DB &amp; Bed Mgmt'!$M$5:$M$428="")+NOT(ISNUMBER('Client DB &amp; Bed Mgmt'!$M$5:$M$428)),DATE(YEAR(B539),MONTH(B539),1),IF('Client DB &amp; Bed Mgmt'!$M$5:$M$428&gt;DATE(YEAR(B539),MONTH(B539),1),'Client DB &amp; Bed Mgmt'!$M$5:$M$428,DATE(YEAR(B539),MONTH(B539),1))))+1)/DAY(EOMONTH(B539,0))),0)</f>
        <v/>
      </c>
    </row>
    <row r="540" ht="14.25" customHeight="1" s="83">
      <c r="A540" s="103" t="n"/>
      <c r="B540" s="125">
        <f>DATE(YEAR(StartDate),MONTH(StartDate),1)</f>
        <v/>
      </c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Mgmt'!$B:$B,C540,'Client DB &amp; Bed Mgmt'!$E:$E,"Occupied"),0)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>
        <f>IFERROR(J540*SUMPRODUCT(('Client DB &amp; Bed Mgmt'!$A$5:$A$428=A540)*('Client DB &amp; Bed Mgmt'!$B$5:$B$428=C540)*('Client DB &amp; Bed Mgmt'!$D$5:$D$428&lt;&gt;"")*--(('Client DB &amp; Bed Mgmt'!$M$5:$M$428="")+NOT(ISNUMBER('Client DB &amp; Bed Mgmt'!$M$5:$M$428))+IFERROR('Client DB &amp; Bed Mgmt'!$M$5:$M$428&lt;=EOMONTH(B540,0),FALSE)&gt;0)*--(('Client DB &amp; Bed Mgmt'!$N$5:$N$428="")+NOT(ISNUMBER('Client DB &amp; Bed Mgmt'!$N$5:$N$428))+IFERROR('Client DB &amp; Bed Mgmt'!$N$5:$N$428&gt;=DATE(YEAR(B540),MONTH(B540),1),FALSE)&gt;0)*((IF(('Client DB &amp; Bed Mgmt'!$N$5:$N$428="")+NOT(ISNUMBER('Client DB &amp; Bed Mgmt'!$N$5:$N$428)),EOMONTH(B540,0),IF('Client DB &amp; Bed Mgmt'!$N$5:$N$428&lt;EOMONTH(B540,0),'Client DB &amp; Bed Mgmt'!$N$5:$N$428,EOMONTH(B540,0))))-(IF(('Client DB &amp; Bed Mgmt'!$M$5:$M$428="")+NOT(ISNUMBER('Client DB &amp; Bed Mgmt'!$M$5:$M$428)),DATE(YEAR(B540),MONTH(B540),1),IF('Client DB &amp; Bed Mgmt'!$M$5:$M$428&gt;DATE(YEAR(B540),MONTH(B540),1),'Client DB &amp; Bed Mgmt'!$M$5:$M$428,DATE(YEAR(B540),MONTH(B540),1))))+1)/DAY(EOMONTH(B540,0))),0)</f>
        <v/>
      </c>
    </row>
    <row r="541" ht="14.25" customHeight="1" s="83">
      <c r="A541" s="103" t="n"/>
      <c r="B541" s="125">
        <f>DATE(YEAR(StartDate),MONTH(StartDate),1)</f>
        <v/>
      </c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Mgmt'!$B:$B,C541,'Client DB &amp; Bed Mgmt'!$E:$E,"Occupied"),0)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>
        <f>IFERROR(J541*SUMPRODUCT(('Client DB &amp; Bed Mgmt'!$A$5:$A$428=A541)*('Client DB &amp; Bed Mgmt'!$B$5:$B$428=C541)*('Client DB &amp; Bed Mgmt'!$D$5:$D$428&lt;&gt;"")*--(('Client DB &amp; Bed Mgmt'!$M$5:$M$428="")+NOT(ISNUMBER('Client DB &amp; Bed Mgmt'!$M$5:$M$428))+IFERROR('Client DB &amp; Bed Mgmt'!$M$5:$M$428&lt;=EOMONTH(B541,0),FALSE)&gt;0)*--(('Client DB &amp; Bed Mgmt'!$N$5:$N$428="")+NOT(ISNUMBER('Client DB &amp; Bed Mgmt'!$N$5:$N$428))+IFERROR('Client DB &amp; Bed Mgmt'!$N$5:$N$428&gt;=DATE(YEAR(B541),MONTH(B541),1),FALSE)&gt;0)*((IF(('Client DB &amp; Bed Mgmt'!$N$5:$N$428="")+NOT(ISNUMBER('Client DB &amp; Bed Mgmt'!$N$5:$N$428)),EOMONTH(B541,0),IF('Client DB &amp; Bed Mgmt'!$N$5:$N$428&lt;EOMONTH(B541,0),'Client DB &amp; Bed Mgmt'!$N$5:$N$428,EOMONTH(B541,0))))-(IF(('Client DB &amp; Bed Mgmt'!$M$5:$M$428="")+NOT(ISNUMBER('Client DB &amp; Bed Mgmt'!$M$5:$M$428)),DATE(YEAR(B541),MONTH(B541),1),IF('Client DB &amp; Bed Mgmt'!$M$5:$M$428&gt;DATE(YEAR(B541),MONTH(B541),1),'Client DB &amp; Bed Mgmt'!$M$5:$M$428,DATE(YEAR(B541),MONTH(B541),1))))+1)/DAY(EOMONTH(B541,0))),0)</f>
        <v/>
      </c>
    </row>
    <row r="542" ht="14.25" customHeight="1" s="83">
      <c r="A542" s="103" t="n"/>
      <c r="B542" s="125">
        <f>DATE(YEAR(StartDate),MONTH(StartDate),1)</f>
        <v/>
      </c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Mgmt'!$B:$B,C542,'Client DB &amp; Bed Mgmt'!$E:$E,"Occupied"),0)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>
        <f>IFERROR(J542*SUMPRODUCT(('Client DB &amp; Bed Mgmt'!$A$5:$A$428=A542)*('Client DB &amp; Bed Mgmt'!$B$5:$B$428=C542)*('Client DB &amp; Bed Mgmt'!$D$5:$D$428&lt;&gt;"")*--(('Client DB &amp; Bed Mgmt'!$M$5:$M$428="")+NOT(ISNUMBER('Client DB &amp; Bed Mgmt'!$M$5:$M$428))+IFERROR('Client DB &amp; Bed Mgmt'!$M$5:$M$428&lt;=EOMONTH(B542,0),FALSE)&gt;0)*--(('Client DB &amp; Bed Mgmt'!$N$5:$N$428="")+NOT(ISNUMBER('Client DB &amp; Bed Mgmt'!$N$5:$N$428))+IFERROR('Client DB &amp; Bed Mgmt'!$N$5:$N$428&gt;=DATE(YEAR(B542),MONTH(B542),1),FALSE)&gt;0)*((IF(('Client DB &amp; Bed Mgmt'!$N$5:$N$428="")+NOT(ISNUMBER('Client DB &amp; Bed Mgmt'!$N$5:$N$428)),EOMONTH(B542,0),IF('Client DB &amp; Bed Mgmt'!$N$5:$N$428&lt;EOMONTH(B542,0),'Client DB &amp; Bed Mgmt'!$N$5:$N$428,EOMONTH(B542,0))))-(IF(('Client DB &amp; Bed Mgmt'!$M$5:$M$428="")+NOT(ISNUMBER('Client DB &amp; Bed Mgmt'!$M$5:$M$428)),DATE(YEAR(B542),MONTH(B542),1),IF('Client DB &amp; Bed Mgmt'!$M$5:$M$428&gt;DATE(YEAR(B542),MONTH(B542),1),'Client DB &amp; Bed Mgmt'!$M$5:$M$428,DATE(YEAR(B542),MONTH(B542),1))))+1)/DAY(EOMONTH(B542,0))),0)</f>
        <v/>
      </c>
    </row>
    <row r="543" ht="14.25" customHeight="1" s="83">
      <c r="A543" s="103" t="n"/>
      <c r="B543" s="125">
        <f>DATE(YEAR(StartDate),MONTH(StartDate),1)</f>
        <v/>
      </c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Mgmt'!$B:$B,C543,'Client DB &amp; Bed Mgmt'!$E:$E,"Occupied"),0)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>
        <f>IFERROR(J543*SUMPRODUCT(('Client DB &amp; Bed Mgmt'!$A$5:$A$428=A543)*('Client DB &amp; Bed Mgmt'!$B$5:$B$428=C543)*('Client DB &amp; Bed Mgmt'!$D$5:$D$428&lt;&gt;"")*--(('Client DB &amp; Bed Mgmt'!$M$5:$M$428="")+NOT(ISNUMBER('Client DB &amp; Bed Mgmt'!$M$5:$M$428))+IFERROR('Client DB &amp; Bed Mgmt'!$M$5:$M$428&lt;=EOMONTH(B543,0),FALSE)&gt;0)*--(('Client DB &amp; Bed Mgmt'!$N$5:$N$428="")+NOT(ISNUMBER('Client DB &amp; Bed Mgmt'!$N$5:$N$428))+IFERROR('Client DB &amp; Bed Mgmt'!$N$5:$N$428&gt;=DATE(YEAR(B543),MONTH(B543),1),FALSE)&gt;0)*((IF(('Client DB &amp; Bed Mgmt'!$N$5:$N$428="")+NOT(ISNUMBER('Client DB &amp; Bed Mgmt'!$N$5:$N$428)),EOMONTH(B543,0),IF('Client DB &amp; Bed Mgmt'!$N$5:$N$428&lt;EOMONTH(B543,0),'Client DB &amp; Bed Mgmt'!$N$5:$N$428,EOMONTH(B543,0))))-(IF(('Client DB &amp; Bed Mgmt'!$M$5:$M$428="")+NOT(ISNUMBER('Client DB &amp; Bed Mgmt'!$M$5:$M$428)),DATE(YEAR(B543),MONTH(B543),1),IF('Client DB &amp; Bed Mgmt'!$M$5:$M$428&gt;DATE(YEAR(B543),MONTH(B543),1),'Client DB &amp; Bed Mgmt'!$M$5:$M$428,DATE(YEAR(B543),MONTH(B543),1))))+1)/DAY(EOMONTH(B543,0))),0)</f>
        <v/>
      </c>
    </row>
    <row r="544" ht="14.25" customHeight="1" s="83">
      <c r="A544" s="103" t="n"/>
      <c r="B544" s="125">
        <f>DATE(YEAR(StartDate),MONTH(StartDate),1)</f>
        <v/>
      </c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Mgmt'!$B:$B,C544,'Client DB &amp; Bed Mgmt'!$E:$E,"Occupied"),0)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>
        <f>IFERROR(J544*SUMPRODUCT(('Client DB &amp; Bed Mgmt'!$A$5:$A$428=A544)*('Client DB &amp; Bed Mgmt'!$B$5:$B$428=C544)*('Client DB &amp; Bed Mgmt'!$D$5:$D$428&lt;&gt;"")*--(('Client DB &amp; Bed Mgmt'!$M$5:$M$428="")+NOT(ISNUMBER('Client DB &amp; Bed Mgmt'!$M$5:$M$428))+IFERROR('Client DB &amp; Bed Mgmt'!$M$5:$M$428&lt;=EOMONTH(B544,0),FALSE)&gt;0)*--(('Client DB &amp; Bed Mgmt'!$N$5:$N$428="")+NOT(ISNUMBER('Client DB &amp; Bed Mgmt'!$N$5:$N$428))+IFERROR('Client DB &amp; Bed Mgmt'!$N$5:$N$428&gt;=DATE(YEAR(B544),MONTH(B544),1),FALSE)&gt;0)*((IF(('Client DB &amp; Bed Mgmt'!$N$5:$N$428="")+NOT(ISNUMBER('Client DB &amp; Bed Mgmt'!$N$5:$N$428)),EOMONTH(B544,0),IF('Client DB &amp; Bed Mgmt'!$N$5:$N$428&lt;EOMONTH(B544,0),'Client DB &amp; Bed Mgmt'!$N$5:$N$428,EOMONTH(B544,0))))-(IF(('Client DB &amp; Bed Mgmt'!$M$5:$M$428="")+NOT(ISNUMBER('Client DB &amp; Bed Mgmt'!$M$5:$M$428)),DATE(YEAR(B544),MONTH(B544),1),IF('Client DB &amp; Bed Mgmt'!$M$5:$M$428&gt;DATE(YEAR(B544),MONTH(B544),1),'Client DB &amp; Bed Mgmt'!$M$5:$M$428,DATE(YEAR(B544),MONTH(B544),1))))+1)/DAY(EOMONTH(B544,0))),0)</f>
        <v/>
      </c>
    </row>
    <row r="545" ht="14.25" customHeight="1" s="83">
      <c r="A545" s="103" t="n"/>
      <c r="B545" s="125">
        <f>DATE(YEAR(StartDate),MONTH(StartDate),1)</f>
        <v/>
      </c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Mgmt'!$B:$B,C545,'Client DB &amp; Bed Mgmt'!$E:$E,"Occupied"),0)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>
        <f>IFERROR(J545*SUMPRODUCT(('Client DB &amp; Bed Mgmt'!$A$5:$A$428=A545)*('Client DB &amp; Bed Mgmt'!$B$5:$B$428=C545)*('Client DB &amp; Bed Mgmt'!$D$5:$D$428&lt;&gt;"")*--(('Client DB &amp; Bed Mgmt'!$M$5:$M$428="")+NOT(ISNUMBER('Client DB &amp; Bed Mgmt'!$M$5:$M$428))+IFERROR('Client DB &amp; Bed Mgmt'!$M$5:$M$428&lt;=EOMONTH(B545,0),FALSE)&gt;0)*--(('Client DB &amp; Bed Mgmt'!$N$5:$N$428="")+NOT(ISNUMBER('Client DB &amp; Bed Mgmt'!$N$5:$N$428))+IFERROR('Client DB &amp; Bed Mgmt'!$N$5:$N$428&gt;=DATE(YEAR(B545),MONTH(B545),1),FALSE)&gt;0)*((IF(('Client DB &amp; Bed Mgmt'!$N$5:$N$428="")+NOT(ISNUMBER('Client DB &amp; Bed Mgmt'!$N$5:$N$428)),EOMONTH(B545,0),IF('Client DB &amp; Bed Mgmt'!$N$5:$N$428&lt;EOMONTH(B545,0),'Client DB &amp; Bed Mgmt'!$N$5:$N$428,EOMONTH(B545,0))))-(IF(('Client DB &amp; Bed Mgmt'!$M$5:$M$428="")+NOT(ISNUMBER('Client DB &amp; Bed Mgmt'!$M$5:$M$428)),DATE(YEAR(B545),MONTH(B545),1),IF('Client DB &amp; Bed Mgmt'!$M$5:$M$428&gt;DATE(YEAR(B545),MONTH(B545),1),'Client DB &amp; Bed Mgmt'!$M$5:$M$428,DATE(YEAR(B545),MONTH(B545),1))))+1)/DAY(EOMONTH(B545,0))),0)</f>
        <v/>
      </c>
    </row>
    <row r="546" ht="14.25" customHeight="1" s="83">
      <c r="A546" s="103" t="n"/>
      <c r="B546" s="125">
        <f>DATE(YEAR(StartDate),MONTH(StartDate),1)</f>
        <v/>
      </c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Mgmt'!$B:$B,C546,'Client DB &amp; Bed Mgmt'!$E:$E,"Occupied"),0)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>
        <f>IFERROR(J546*SUMPRODUCT(('Client DB &amp; Bed Mgmt'!$A$5:$A$428=A546)*('Client DB &amp; Bed Mgmt'!$B$5:$B$428=C546)*('Client DB &amp; Bed Mgmt'!$D$5:$D$428&lt;&gt;"")*--(('Client DB &amp; Bed Mgmt'!$M$5:$M$428="")+NOT(ISNUMBER('Client DB &amp; Bed Mgmt'!$M$5:$M$428))+IFERROR('Client DB &amp; Bed Mgmt'!$M$5:$M$428&lt;=EOMONTH(B546,0),FALSE)&gt;0)*--(('Client DB &amp; Bed Mgmt'!$N$5:$N$428="")+NOT(ISNUMBER('Client DB &amp; Bed Mgmt'!$N$5:$N$428))+IFERROR('Client DB &amp; Bed Mgmt'!$N$5:$N$428&gt;=DATE(YEAR(B546),MONTH(B546),1),FALSE)&gt;0)*((IF(('Client DB &amp; Bed Mgmt'!$N$5:$N$428="")+NOT(ISNUMBER('Client DB &amp; Bed Mgmt'!$N$5:$N$428)),EOMONTH(B546,0),IF('Client DB &amp; Bed Mgmt'!$N$5:$N$428&lt;EOMONTH(B546,0),'Client DB &amp; Bed Mgmt'!$N$5:$N$428,EOMONTH(B546,0))))-(IF(('Client DB &amp; Bed Mgmt'!$M$5:$M$428="")+NOT(ISNUMBER('Client DB &amp; Bed Mgmt'!$M$5:$M$428)),DATE(YEAR(B546),MONTH(B546),1),IF('Client DB &amp; Bed Mgmt'!$M$5:$M$428&gt;DATE(YEAR(B546),MONTH(B546),1),'Client DB &amp; Bed Mgmt'!$M$5:$M$428,DATE(YEAR(B546),MONTH(B546),1))))+1)/DAY(EOMONTH(B546,0))),0)</f>
        <v/>
      </c>
    </row>
    <row r="547" ht="14.25" customHeight="1" s="83">
      <c r="A547" s="103" t="n"/>
      <c r="B547" s="125">
        <f>DATE(YEAR(StartDate),MONTH(StartDate),1)</f>
        <v/>
      </c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Mgmt'!$B:$B,C547,'Client DB &amp; Bed Mgmt'!$E:$E,"Occupied"),0)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>
        <f>IFERROR(J547*SUMPRODUCT(('Client DB &amp; Bed Mgmt'!$A$5:$A$428=A547)*('Client DB &amp; Bed Mgmt'!$B$5:$B$428=C547)*('Client DB &amp; Bed Mgmt'!$D$5:$D$428&lt;&gt;"")*--(('Client DB &amp; Bed Mgmt'!$M$5:$M$428="")+NOT(ISNUMBER('Client DB &amp; Bed Mgmt'!$M$5:$M$428))+IFERROR('Client DB &amp; Bed Mgmt'!$M$5:$M$428&lt;=EOMONTH(B547,0),FALSE)&gt;0)*--(('Client DB &amp; Bed Mgmt'!$N$5:$N$428="")+NOT(ISNUMBER('Client DB &amp; Bed Mgmt'!$N$5:$N$428))+IFERROR('Client DB &amp; Bed Mgmt'!$N$5:$N$428&gt;=DATE(YEAR(B547),MONTH(B547),1),FALSE)&gt;0)*((IF(('Client DB &amp; Bed Mgmt'!$N$5:$N$428="")+NOT(ISNUMBER('Client DB &amp; Bed Mgmt'!$N$5:$N$428)),EOMONTH(B547,0),IF('Client DB &amp; Bed Mgmt'!$N$5:$N$428&lt;EOMONTH(B547,0),'Client DB &amp; Bed Mgmt'!$N$5:$N$428,EOMONTH(B547,0))))-(IF(('Client DB &amp; Bed Mgmt'!$M$5:$M$428="")+NOT(ISNUMBER('Client DB &amp; Bed Mgmt'!$M$5:$M$428)),DATE(YEAR(B547),MONTH(B547),1),IF('Client DB &amp; Bed Mgmt'!$M$5:$M$428&gt;DATE(YEAR(B547),MONTH(B547),1),'Client DB &amp; Bed Mgmt'!$M$5:$M$428,DATE(YEAR(B547),MONTH(B547),1))))+1)/DAY(EOMONTH(B547,0))),0)</f>
        <v/>
      </c>
    </row>
    <row r="548" ht="14.25" customHeight="1" s="83">
      <c r="A548" s="103" t="n"/>
      <c r="B548" s="125">
        <f>DATE(YEAR(StartDate),MONTH(StartDate),1)</f>
        <v/>
      </c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Mgmt'!$B:$B,C548,'Client DB &amp; Bed Mgmt'!$E:$E,"Occupied"),0)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>
        <f>IFERROR(J548*SUMPRODUCT(('Client DB &amp; Bed Mgmt'!$A$5:$A$428=A548)*('Client DB &amp; Bed Mgmt'!$B$5:$B$428=C548)*('Client DB &amp; Bed Mgmt'!$D$5:$D$428&lt;&gt;"")*--(('Client DB &amp; Bed Mgmt'!$M$5:$M$428="")+NOT(ISNUMBER('Client DB &amp; Bed Mgmt'!$M$5:$M$428))+IFERROR('Client DB &amp; Bed Mgmt'!$M$5:$M$428&lt;=EOMONTH(B548,0),FALSE)&gt;0)*--(('Client DB &amp; Bed Mgmt'!$N$5:$N$428="")+NOT(ISNUMBER('Client DB &amp; Bed Mgmt'!$N$5:$N$428))+IFERROR('Client DB &amp; Bed Mgmt'!$N$5:$N$428&gt;=DATE(YEAR(B548),MONTH(B548),1),FALSE)&gt;0)*((IF(('Client DB &amp; Bed Mgmt'!$N$5:$N$428="")+NOT(ISNUMBER('Client DB &amp; Bed Mgmt'!$N$5:$N$428)),EOMONTH(B548,0),IF('Client DB &amp; Bed Mgmt'!$N$5:$N$428&lt;EOMONTH(B548,0),'Client DB &amp; Bed Mgmt'!$N$5:$N$428,EOMONTH(B548,0))))-(IF(('Client DB &amp; Bed Mgmt'!$M$5:$M$428="")+NOT(ISNUMBER('Client DB &amp; Bed Mgmt'!$M$5:$M$428)),DATE(YEAR(B548),MONTH(B548),1),IF('Client DB &amp; Bed Mgmt'!$M$5:$M$428&gt;DATE(YEAR(B548),MONTH(B548),1),'Client DB &amp; Bed Mgmt'!$M$5:$M$428,DATE(YEAR(B548),MONTH(B548),1))))+1)/DAY(EOMONTH(B548,0))),0)</f>
        <v/>
      </c>
    </row>
    <row r="549" ht="14.25" customHeight="1" s="83">
      <c r="A549" s="103" t="n"/>
      <c r="B549" s="125">
        <f>DATE(YEAR(StartDate),MONTH(StartDate),1)</f>
        <v/>
      </c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Mgmt'!$B:$B,C549,'Client DB &amp; Bed Mgmt'!$E:$E,"Occupied"),0)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>
        <f>IFERROR(J549*SUMPRODUCT(('Client DB &amp; Bed Mgmt'!$A$5:$A$428=A549)*('Client DB &amp; Bed Mgmt'!$B$5:$B$428=C549)*('Client DB &amp; Bed Mgmt'!$D$5:$D$428&lt;&gt;"")*--(('Client DB &amp; Bed Mgmt'!$M$5:$M$428="")+NOT(ISNUMBER('Client DB &amp; Bed Mgmt'!$M$5:$M$428))+IFERROR('Client DB &amp; Bed Mgmt'!$M$5:$M$428&lt;=EOMONTH(B549,0),FALSE)&gt;0)*--(('Client DB &amp; Bed Mgmt'!$N$5:$N$428="")+NOT(ISNUMBER('Client DB &amp; Bed Mgmt'!$N$5:$N$428))+IFERROR('Client DB &amp; Bed Mgmt'!$N$5:$N$428&gt;=DATE(YEAR(B549),MONTH(B549),1),FALSE)&gt;0)*((IF(('Client DB &amp; Bed Mgmt'!$N$5:$N$428="")+NOT(ISNUMBER('Client DB &amp; Bed Mgmt'!$N$5:$N$428)),EOMONTH(B549,0),IF('Client DB &amp; Bed Mgmt'!$N$5:$N$428&lt;EOMONTH(B549,0),'Client DB &amp; Bed Mgmt'!$N$5:$N$428,EOMONTH(B549,0))))-(IF(('Client DB &amp; Bed Mgmt'!$M$5:$M$428="")+NOT(ISNUMBER('Client DB &amp; Bed Mgmt'!$M$5:$M$428)),DATE(YEAR(B549),MONTH(B549),1),IF('Client DB &amp; Bed Mgmt'!$M$5:$M$428&gt;DATE(YEAR(B549),MONTH(B549),1),'Client DB &amp; Bed Mgmt'!$M$5:$M$428,DATE(YEAR(B549),MONTH(B549),1))))+1)/DAY(EOMONTH(B549,0))),0)</f>
        <v/>
      </c>
    </row>
    <row r="550" ht="14.25" customHeight="1" s="83">
      <c r="A550" s="103" t="n"/>
      <c r="B550" s="125">
        <f>DATE(YEAR(StartDate),MONTH(StartDate),1)</f>
        <v/>
      </c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Mgmt'!$B:$B,C550,'Client DB &amp; Bed Mgmt'!$E:$E,"Occupied"),0)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>
        <f>IFERROR(J550*SUMPRODUCT(('Client DB &amp; Bed Mgmt'!$A$5:$A$428=A550)*('Client DB &amp; Bed Mgmt'!$B$5:$B$428=C550)*('Client DB &amp; Bed Mgmt'!$D$5:$D$428&lt;&gt;"")*--(('Client DB &amp; Bed Mgmt'!$M$5:$M$428="")+NOT(ISNUMBER('Client DB &amp; Bed Mgmt'!$M$5:$M$428))+IFERROR('Client DB &amp; Bed Mgmt'!$M$5:$M$428&lt;=EOMONTH(B550,0),FALSE)&gt;0)*--(('Client DB &amp; Bed Mgmt'!$N$5:$N$428="")+NOT(ISNUMBER('Client DB &amp; Bed Mgmt'!$N$5:$N$428))+IFERROR('Client DB &amp; Bed Mgmt'!$N$5:$N$428&gt;=DATE(YEAR(B550),MONTH(B550),1),FALSE)&gt;0)*((IF(('Client DB &amp; Bed Mgmt'!$N$5:$N$428="")+NOT(ISNUMBER('Client DB &amp; Bed Mgmt'!$N$5:$N$428)),EOMONTH(B550,0),IF('Client DB &amp; Bed Mgmt'!$N$5:$N$428&lt;EOMONTH(B550,0),'Client DB &amp; Bed Mgmt'!$N$5:$N$428,EOMONTH(B550,0))))-(IF(('Client DB &amp; Bed Mgmt'!$M$5:$M$428="")+NOT(ISNUMBER('Client DB &amp; Bed Mgmt'!$M$5:$M$428)),DATE(YEAR(B550),MONTH(B550),1),IF('Client DB &amp; Bed Mgmt'!$M$5:$M$428&gt;DATE(YEAR(B550),MONTH(B550),1),'Client DB &amp; Bed Mgmt'!$M$5:$M$428,DATE(YEAR(B550),MONTH(B550),1))))+1)/DAY(EOMONTH(B550,0))),0)</f>
        <v/>
      </c>
    </row>
    <row r="551" ht="14.25" customHeight="1" s="83">
      <c r="A551" s="103" t="n"/>
      <c r="B551" s="125">
        <f>DATE(YEAR(StartDate),MONTH(StartDate),1)</f>
        <v/>
      </c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Mgmt'!$B:$B,C551,'Client DB &amp; Bed Mgmt'!$E:$E,"Occupied"),0)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>
        <f>IFERROR(J551*SUMPRODUCT(('Client DB &amp; Bed Mgmt'!$A$5:$A$428=A551)*('Client DB &amp; Bed Mgmt'!$B$5:$B$428=C551)*('Client DB &amp; Bed Mgmt'!$D$5:$D$428&lt;&gt;"")*--(('Client DB &amp; Bed Mgmt'!$M$5:$M$428="")+NOT(ISNUMBER('Client DB &amp; Bed Mgmt'!$M$5:$M$428))+IFERROR('Client DB &amp; Bed Mgmt'!$M$5:$M$428&lt;=EOMONTH(B551,0),FALSE)&gt;0)*--(('Client DB &amp; Bed Mgmt'!$N$5:$N$428="")+NOT(ISNUMBER('Client DB &amp; Bed Mgmt'!$N$5:$N$428))+IFERROR('Client DB &amp; Bed Mgmt'!$N$5:$N$428&gt;=DATE(YEAR(B551),MONTH(B551),1),FALSE)&gt;0)*((IF(('Client DB &amp; Bed Mgmt'!$N$5:$N$428="")+NOT(ISNUMBER('Client DB &amp; Bed Mgmt'!$N$5:$N$428)),EOMONTH(B551,0),IF('Client DB &amp; Bed Mgmt'!$N$5:$N$428&lt;EOMONTH(B551,0),'Client DB &amp; Bed Mgmt'!$N$5:$N$428,EOMONTH(B551,0))))-(IF(('Client DB &amp; Bed Mgmt'!$M$5:$M$428="")+NOT(ISNUMBER('Client DB &amp; Bed Mgmt'!$M$5:$M$428)),DATE(YEAR(B551),MONTH(B551),1),IF('Client DB &amp; Bed Mgmt'!$M$5:$M$428&gt;DATE(YEAR(B551),MONTH(B551),1),'Client DB &amp; Bed Mgmt'!$M$5:$M$428,DATE(YEAR(B551),MONTH(B551),1))))+1)/DAY(EOMONTH(B551,0))),0)</f>
        <v/>
      </c>
    </row>
    <row r="552" ht="14.25" customHeight="1" s="83">
      <c r="A552" s="103" t="n"/>
      <c r="B552" s="125">
        <f>DATE(YEAR(StartDate),MONTH(StartDate),1)</f>
        <v/>
      </c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Mgmt'!$B:$B,C552,'Client DB &amp; Bed Mgmt'!$E:$E,"Occupied"),0)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>
        <f>IFERROR(J552*SUMPRODUCT(('Client DB &amp; Bed Mgmt'!$A$5:$A$428=A552)*('Client DB &amp; Bed Mgmt'!$B$5:$B$428=C552)*('Client DB &amp; Bed Mgmt'!$D$5:$D$428&lt;&gt;"")*--(('Client DB &amp; Bed Mgmt'!$M$5:$M$428="")+NOT(ISNUMBER('Client DB &amp; Bed Mgmt'!$M$5:$M$428))+IFERROR('Client DB &amp; Bed Mgmt'!$M$5:$M$428&lt;=EOMONTH(B552,0),FALSE)&gt;0)*--(('Client DB &amp; Bed Mgmt'!$N$5:$N$428="")+NOT(ISNUMBER('Client DB &amp; Bed Mgmt'!$N$5:$N$428))+IFERROR('Client DB &amp; Bed Mgmt'!$N$5:$N$428&gt;=DATE(YEAR(B552),MONTH(B552),1),FALSE)&gt;0)*((IF(('Client DB &amp; Bed Mgmt'!$N$5:$N$428="")+NOT(ISNUMBER('Client DB &amp; Bed Mgmt'!$N$5:$N$428)),EOMONTH(B552,0),IF('Client DB &amp; Bed Mgmt'!$N$5:$N$428&lt;EOMONTH(B552,0),'Client DB &amp; Bed Mgmt'!$N$5:$N$428,EOMONTH(B552,0))))-(IF(('Client DB &amp; Bed Mgmt'!$M$5:$M$428="")+NOT(ISNUMBER('Client DB &amp; Bed Mgmt'!$M$5:$M$428)),DATE(YEAR(B552),MONTH(B552),1),IF('Client DB &amp; Bed Mgmt'!$M$5:$M$428&gt;DATE(YEAR(B552),MONTH(B552),1),'Client DB &amp; Bed Mgmt'!$M$5:$M$428,DATE(YEAR(B552),MONTH(B552),1))))+1)/DAY(EOMONTH(B552,0))),0)</f>
        <v/>
      </c>
    </row>
    <row r="553" ht="14.25" customHeight="1" s="83">
      <c r="A553" s="103" t="n"/>
      <c r="B553" s="125">
        <f>DATE(YEAR(StartDate),MONTH(StartDate),1)</f>
        <v/>
      </c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Mgmt'!$B:$B,C553,'Client DB &amp; Bed Mgmt'!$E:$E,"Occupied"),0)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>
        <f>IFERROR(J553*SUMPRODUCT(('Client DB &amp; Bed Mgmt'!$A$5:$A$428=A553)*('Client DB &amp; Bed Mgmt'!$B$5:$B$428=C553)*('Client DB &amp; Bed Mgmt'!$D$5:$D$428&lt;&gt;"")*--(('Client DB &amp; Bed Mgmt'!$M$5:$M$428="")+NOT(ISNUMBER('Client DB &amp; Bed Mgmt'!$M$5:$M$428))+IFERROR('Client DB &amp; Bed Mgmt'!$M$5:$M$428&lt;=EOMONTH(B553,0),FALSE)&gt;0)*--(('Client DB &amp; Bed Mgmt'!$N$5:$N$428="")+NOT(ISNUMBER('Client DB &amp; Bed Mgmt'!$N$5:$N$428))+IFERROR('Client DB &amp; Bed Mgmt'!$N$5:$N$428&gt;=DATE(YEAR(B553),MONTH(B553),1),FALSE)&gt;0)*((IF(('Client DB &amp; Bed Mgmt'!$N$5:$N$428="")+NOT(ISNUMBER('Client DB &amp; Bed Mgmt'!$N$5:$N$428)),EOMONTH(B553,0),IF('Client DB &amp; Bed Mgmt'!$N$5:$N$428&lt;EOMONTH(B553,0),'Client DB &amp; Bed Mgmt'!$N$5:$N$428,EOMONTH(B553,0))))-(IF(('Client DB &amp; Bed Mgmt'!$M$5:$M$428="")+NOT(ISNUMBER('Client DB &amp; Bed Mgmt'!$M$5:$M$428)),DATE(YEAR(B553),MONTH(B553),1),IF('Client DB &amp; Bed Mgmt'!$M$5:$M$428&gt;DATE(YEAR(B553),MONTH(B553),1),'Client DB &amp; Bed Mgmt'!$M$5:$M$428,DATE(YEAR(B553),MONTH(B553),1))))+1)/DAY(EOMONTH(B553,0))),0)</f>
        <v/>
      </c>
    </row>
    <row r="554" ht="14.25" customHeight="1" s="83">
      <c r="A554" s="103" t="n"/>
      <c r="B554" s="125">
        <f>DATE(YEAR(StartDate),MONTH(StartDate),1)</f>
        <v/>
      </c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Mgmt'!$B:$B,C554,'Client DB &amp; Bed Mgmt'!$E:$E,"Occupied"),0)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>
        <f>IFERROR(J554*SUMPRODUCT(('Client DB &amp; Bed Mgmt'!$A$5:$A$428=A554)*('Client DB &amp; Bed Mgmt'!$B$5:$B$428=C554)*('Client DB &amp; Bed Mgmt'!$D$5:$D$428&lt;&gt;"")*--(('Client DB &amp; Bed Mgmt'!$M$5:$M$428="")+NOT(ISNUMBER('Client DB &amp; Bed Mgmt'!$M$5:$M$428))+IFERROR('Client DB &amp; Bed Mgmt'!$M$5:$M$428&lt;=EOMONTH(B554,0),FALSE)&gt;0)*--(('Client DB &amp; Bed Mgmt'!$N$5:$N$428="")+NOT(ISNUMBER('Client DB &amp; Bed Mgmt'!$N$5:$N$428))+IFERROR('Client DB &amp; Bed Mgmt'!$N$5:$N$428&gt;=DATE(YEAR(B554),MONTH(B554),1),FALSE)&gt;0)*((IF(('Client DB &amp; Bed Mgmt'!$N$5:$N$428="")+NOT(ISNUMBER('Client DB &amp; Bed Mgmt'!$N$5:$N$428)),EOMONTH(B554,0),IF('Client DB &amp; Bed Mgmt'!$N$5:$N$428&lt;EOMONTH(B554,0),'Client DB &amp; Bed Mgmt'!$N$5:$N$428,EOMONTH(B554,0))))-(IF(('Client DB &amp; Bed Mgmt'!$M$5:$M$428="")+NOT(ISNUMBER('Client DB &amp; Bed Mgmt'!$M$5:$M$428)),DATE(YEAR(B554),MONTH(B554),1),IF('Client DB &amp; Bed Mgmt'!$M$5:$M$428&gt;DATE(YEAR(B554),MONTH(B554),1),'Client DB &amp; Bed Mgmt'!$M$5:$M$428,DATE(YEAR(B554),MONTH(B554),1))))+1)/DAY(EOMONTH(B554,0))),0)</f>
        <v/>
      </c>
    </row>
    <row r="555" ht="14.25" customHeight="1" s="83">
      <c r="A555" s="103" t="n"/>
      <c r="B555" s="125">
        <f>DATE(YEAR(StartDate),MONTH(StartDate),1)</f>
        <v/>
      </c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Mgmt'!$B:$B,C555,'Client DB &amp; Bed Mgmt'!$E:$E,"Occupied"),0)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>
        <f>IFERROR(J555*SUMPRODUCT(('Client DB &amp; Bed Mgmt'!$A$5:$A$428=A555)*('Client DB &amp; Bed Mgmt'!$B$5:$B$428=C555)*('Client DB &amp; Bed Mgmt'!$D$5:$D$428&lt;&gt;"")*--(('Client DB &amp; Bed Mgmt'!$M$5:$M$428="")+NOT(ISNUMBER('Client DB &amp; Bed Mgmt'!$M$5:$M$428))+IFERROR('Client DB &amp; Bed Mgmt'!$M$5:$M$428&lt;=EOMONTH(B555,0),FALSE)&gt;0)*--(('Client DB &amp; Bed Mgmt'!$N$5:$N$428="")+NOT(ISNUMBER('Client DB &amp; Bed Mgmt'!$N$5:$N$428))+IFERROR('Client DB &amp; Bed Mgmt'!$N$5:$N$428&gt;=DATE(YEAR(B555),MONTH(B555),1),FALSE)&gt;0)*((IF(('Client DB &amp; Bed Mgmt'!$N$5:$N$428="")+NOT(ISNUMBER('Client DB &amp; Bed Mgmt'!$N$5:$N$428)),EOMONTH(B555,0),IF('Client DB &amp; Bed Mgmt'!$N$5:$N$428&lt;EOMONTH(B555,0),'Client DB &amp; Bed Mgmt'!$N$5:$N$428,EOMONTH(B555,0))))-(IF(('Client DB &amp; Bed Mgmt'!$M$5:$M$428="")+NOT(ISNUMBER('Client DB &amp; Bed Mgmt'!$M$5:$M$428)),DATE(YEAR(B555),MONTH(B555),1),IF('Client DB &amp; Bed Mgmt'!$M$5:$M$428&gt;DATE(YEAR(B555),MONTH(B555),1),'Client DB &amp; Bed Mgmt'!$M$5:$M$428,DATE(YEAR(B555),MONTH(B555),1))))+1)/DAY(EOMONTH(B555,0))),0)</f>
        <v/>
      </c>
    </row>
    <row r="556" ht="14.25" customHeight="1" s="83">
      <c r="A556" s="103" t="n"/>
      <c r="B556" s="125">
        <f>DATE(YEAR(StartDate),MONTH(StartDate),1)</f>
        <v/>
      </c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Mgmt'!$B:$B,C556,'Client DB &amp; Bed Mgmt'!$E:$E,"Occupied"),0)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>
        <f>IFERROR(J556*SUMPRODUCT(('Client DB &amp; Bed Mgmt'!$A$5:$A$428=A556)*('Client DB &amp; Bed Mgmt'!$B$5:$B$428=C556)*('Client DB &amp; Bed Mgmt'!$D$5:$D$428&lt;&gt;"")*--(('Client DB &amp; Bed Mgmt'!$M$5:$M$428="")+NOT(ISNUMBER('Client DB &amp; Bed Mgmt'!$M$5:$M$428))+IFERROR('Client DB &amp; Bed Mgmt'!$M$5:$M$428&lt;=EOMONTH(B556,0),FALSE)&gt;0)*--(('Client DB &amp; Bed Mgmt'!$N$5:$N$428="")+NOT(ISNUMBER('Client DB &amp; Bed Mgmt'!$N$5:$N$428))+IFERROR('Client DB &amp; Bed Mgmt'!$N$5:$N$428&gt;=DATE(YEAR(B556),MONTH(B556),1),FALSE)&gt;0)*((IF(('Client DB &amp; Bed Mgmt'!$N$5:$N$428="")+NOT(ISNUMBER('Client DB &amp; Bed Mgmt'!$N$5:$N$428)),EOMONTH(B556,0),IF('Client DB &amp; Bed Mgmt'!$N$5:$N$428&lt;EOMONTH(B556,0),'Client DB &amp; Bed Mgmt'!$N$5:$N$428,EOMONTH(B556,0))))-(IF(('Client DB &amp; Bed Mgmt'!$M$5:$M$428="")+NOT(ISNUMBER('Client DB &amp; Bed Mgmt'!$M$5:$M$428)),DATE(YEAR(B556),MONTH(B556),1),IF('Client DB &amp; Bed Mgmt'!$M$5:$M$428&gt;DATE(YEAR(B556),MONTH(B556),1),'Client DB &amp; Bed Mgmt'!$M$5:$M$428,DATE(YEAR(B556),MONTH(B556),1))))+1)/DAY(EOMONTH(B556,0))),0)</f>
        <v/>
      </c>
    </row>
    <row r="557" ht="14.25" customHeight="1" s="83">
      <c r="A557" s="103" t="n"/>
      <c r="B557" s="125">
        <f>DATE(YEAR(StartDate),MONTH(StartDate),1)</f>
        <v/>
      </c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Mgmt'!$B:$B,C557,'Client DB &amp; Bed Mgmt'!$E:$E,"Occupied"),0)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>
        <f>IFERROR(J557*SUMPRODUCT(('Client DB &amp; Bed Mgmt'!$A$5:$A$428=A557)*('Client DB &amp; Bed Mgmt'!$B$5:$B$428=C557)*('Client DB &amp; Bed Mgmt'!$D$5:$D$428&lt;&gt;"")*--(('Client DB &amp; Bed Mgmt'!$M$5:$M$428="")+NOT(ISNUMBER('Client DB &amp; Bed Mgmt'!$M$5:$M$428))+IFERROR('Client DB &amp; Bed Mgmt'!$M$5:$M$428&lt;=EOMONTH(B557,0),FALSE)&gt;0)*--(('Client DB &amp; Bed Mgmt'!$N$5:$N$428="")+NOT(ISNUMBER('Client DB &amp; Bed Mgmt'!$N$5:$N$428))+IFERROR('Client DB &amp; Bed Mgmt'!$N$5:$N$428&gt;=DATE(YEAR(B557),MONTH(B557),1),FALSE)&gt;0)*((IF(('Client DB &amp; Bed Mgmt'!$N$5:$N$428="")+NOT(ISNUMBER('Client DB &amp; Bed Mgmt'!$N$5:$N$428)),EOMONTH(B557,0),IF('Client DB &amp; Bed Mgmt'!$N$5:$N$428&lt;EOMONTH(B557,0),'Client DB &amp; Bed Mgmt'!$N$5:$N$428,EOMONTH(B557,0))))-(IF(('Client DB &amp; Bed Mgmt'!$M$5:$M$428="")+NOT(ISNUMBER('Client DB &amp; Bed Mgmt'!$M$5:$M$428)),DATE(YEAR(B557),MONTH(B557),1),IF('Client DB &amp; Bed Mgmt'!$M$5:$M$428&gt;DATE(YEAR(B557),MONTH(B557),1),'Client DB &amp; Bed Mgmt'!$M$5:$M$428,DATE(YEAR(B557),MONTH(B557),1))))+1)/DAY(EOMONTH(B557,0))),0)</f>
        <v/>
      </c>
    </row>
    <row r="558" ht="14.25" customHeight="1" s="83">
      <c r="A558" s="103" t="n"/>
      <c r="B558" s="125">
        <f>DATE(YEAR(StartDate),MONTH(StartDate),1)</f>
        <v/>
      </c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Mgmt'!$B:$B,C558,'Client DB &amp; Bed Mgmt'!$E:$E,"Occupied"),0)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>
        <f>IFERROR(J558*SUMPRODUCT(('Client DB &amp; Bed Mgmt'!$A$5:$A$428=A558)*('Client DB &amp; Bed Mgmt'!$B$5:$B$428=C558)*('Client DB &amp; Bed Mgmt'!$D$5:$D$428&lt;&gt;"")*--(('Client DB &amp; Bed Mgmt'!$M$5:$M$428="")+NOT(ISNUMBER('Client DB &amp; Bed Mgmt'!$M$5:$M$428))+IFERROR('Client DB &amp; Bed Mgmt'!$M$5:$M$428&lt;=EOMONTH(B558,0),FALSE)&gt;0)*--(('Client DB &amp; Bed Mgmt'!$N$5:$N$428="")+NOT(ISNUMBER('Client DB &amp; Bed Mgmt'!$N$5:$N$428))+IFERROR('Client DB &amp; Bed Mgmt'!$N$5:$N$428&gt;=DATE(YEAR(B558),MONTH(B558),1),FALSE)&gt;0)*((IF(('Client DB &amp; Bed Mgmt'!$N$5:$N$428="")+NOT(ISNUMBER('Client DB &amp; Bed Mgmt'!$N$5:$N$428)),EOMONTH(B558,0),IF('Client DB &amp; Bed Mgmt'!$N$5:$N$428&lt;EOMONTH(B558,0),'Client DB &amp; Bed Mgmt'!$N$5:$N$428,EOMONTH(B558,0))))-(IF(('Client DB &amp; Bed Mgmt'!$M$5:$M$428="")+NOT(ISNUMBER('Client DB &amp; Bed Mgmt'!$M$5:$M$428)),DATE(YEAR(B558),MONTH(B558),1),IF('Client DB &amp; Bed Mgmt'!$M$5:$M$428&gt;DATE(YEAR(B558),MONTH(B558),1),'Client DB &amp; Bed Mgmt'!$M$5:$M$428,DATE(YEAR(B558),MONTH(B558),1))))+1)/DAY(EOMONTH(B558,0))),0)</f>
        <v/>
      </c>
    </row>
    <row r="559" ht="14.25" customHeight="1" s="83">
      <c r="A559" s="103" t="n"/>
      <c r="B559" s="125">
        <f>DATE(YEAR(StartDate),MONTH(StartDate),1)</f>
        <v/>
      </c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Mgmt'!$B:$B,C559,'Client DB &amp; Bed Mgmt'!$E:$E,"Occupied"),0)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>
        <f>IFERROR(J559*SUMPRODUCT(('Client DB &amp; Bed Mgmt'!$A$5:$A$428=A559)*('Client DB &amp; Bed Mgmt'!$B$5:$B$428=C559)*('Client DB &amp; Bed Mgmt'!$D$5:$D$428&lt;&gt;"")*--(('Client DB &amp; Bed Mgmt'!$M$5:$M$428="")+NOT(ISNUMBER('Client DB &amp; Bed Mgmt'!$M$5:$M$428))+IFERROR('Client DB &amp; Bed Mgmt'!$M$5:$M$428&lt;=EOMONTH(B559,0),FALSE)&gt;0)*--(('Client DB &amp; Bed Mgmt'!$N$5:$N$428="")+NOT(ISNUMBER('Client DB &amp; Bed Mgmt'!$N$5:$N$428))+IFERROR('Client DB &amp; Bed Mgmt'!$N$5:$N$428&gt;=DATE(YEAR(B559),MONTH(B559),1),FALSE)&gt;0)*((IF(('Client DB &amp; Bed Mgmt'!$N$5:$N$428="")+NOT(ISNUMBER('Client DB &amp; Bed Mgmt'!$N$5:$N$428)),EOMONTH(B559,0),IF('Client DB &amp; Bed Mgmt'!$N$5:$N$428&lt;EOMONTH(B559,0),'Client DB &amp; Bed Mgmt'!$N$5:$N$428,EOMONTH(B559,0))))-(IF(('Client DB &amp; Bed Mgmt'!$M$5:$M$428="")+NOT(ISNUMBER('Client DB &amp; Bed Mgmt'!$M$5:$M$428)),DATE(YEAR(B559),MONTH(B559),1),IF('Client DB &amp; Bed Mgmt'!$M$5:$M$428&gt;DATE(YEAR(B559),MONTH(B559),1),'Client DB &amp; Bed Mgmt'!$M$5:$M$428,DATE(YEAR(B559),MONTH(B559),1))))+1)/DAY(EOMONTH(B559,0))),0)</f>
        <v/>
      </c>
    </row>
    <row r="560" ht="14.25" customHeight="1" s="83">
      <c r="A560" s="103" t="n"/>
      <c r="B560" s="125">
        <f>DATE(YEAR(StartDate),MONTH(StartDate),1)</f>
        <v/>
      </c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Mgmt'!$B:$B,C560,'Client DB &amp; Bed Mgmt'!$E:$E,"Occupied"),0)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>
        <f>IFERROR(J560*SUMPRODUCT(('Client DB &amp; Bed Mgmt'!$A$5:$A$428=A560)*('Client DB &amp; Bed Mgmt'!$B$5:$B$428=C560)*('Client DB &amp; Bed Mgmt'!$D$5:$D$428&lt;&gt;"")*--(('Client DB &amp; Bed Mgmt'!$M$5:$M$428="")+NOT(ISNUMBER('Client DB &amp; Bed Mgmt'!$M$5:$M$428))+IFERROR('Client DB &amp; Bed Mgmt'!$M$5:$M$428&lt;=EOMONTH(B560,0),FALSE)&gt;0)*--(('Client DB &amp; Bed Mgmt'!$N$5:$N$428="")+NOT(ISNUMBER('Client DB &amp; Bed Mgmt'!$N$5:$N$428))+IFERROR('Client DB &amp; Bed Mgmt'!$N$5:$N$428&gt;=DATE(YEAR(B560),MONTH(B560),1),FALSE)&gt;0)*((IF(('Client DB &amp; Bed Mgmt'!$N$5:$N$428="")+NOT(ISNUMBER('Client DB &amp; Bed Mgmt'!$N$5:$N$428)),EOMONTH(B560,0),IF('Client DB &amp; Bed Mgmt'!$N$5:$N$428&lt;EOMONTH(B560,0),'Client DB &amp; Bed Mgmt'!$N$5:$N$428,EOMONTH(B560,0))))-(IF(('Client DB &amp; Bed Mgmt'!$M$5:$M$428="")+NOT(ISNUMBER('Client DB &amp; Bed Mgmt'!$M$5:$M$428)),DATE(YEAR(B560),MONTH(B560),1),IF('Client DB &amp; Bed Mgmt'!$M$5:$M$428&gt;DATE(YEAR(B560),MONTH(B560),1),'Client DB &amp; Bed Mgmt'!$M$5:$M$428,DATE(YEAR(B560),MONTH(B560),1))))+1)/DAY(EOMONTH(B560,0))),0)</f>
        <v/>
      </c>
    </row>
    <row r="561" ht="14.25" customHeight="1" s="83">
      <c r="A561" s="103" t="n"/>
      <c r="B561" s="125">
        <f>DATE(YEAR(StartDate),MONTH(StartDate),1)</f>
        <v/>
      </c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Mgmt'!$B:$B,C561,'Client DB &amp; Bed Mgmt'!$E:$E,"Occupied"),0)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>
        <f>IFERROR(J561*SUMPRODUCT(('Client DB &amp; Bed Mgmt'!$A$5:$A$428=A561)*('Client DB &amp; Bed Mgmt'!$B$5:$B$428=C561)*('Client DB &amp; Bed Mgmt'!$D$5:$D$428&lt;&gt;"")*--(('Client DB &amp; Bed Mgmt'!$M$5:$M$428="")+NOT(ISNUMBER('Client DB &amp; Bed Mgmt'!$M$5:$M$428))+IFERROR('Client DB &amp; Bed Mgmt'!$M$5:$M$428&lt;=EOMONTH(B561,0),FALSE)&gt;0)*--(('Client DB &amp; Bed Mgmt'!$N$5:$N$428="")+NOT(ISNUMBER('Client DB &amp; Bed Mgmt'!$N$5:$N$428))+IFERROR('Client DB &amp; Bed Mgmt'!$N$5:$N$428&gt;=DATE(YEAR(B561),MONTH(B561),1),FALSE)&gt;0)*((IF(('Client DB &amp; Bed Mgmt'!$N$5:$N$428="")+NOT(ISNUMBER('Client DB &amp; Bed Mgmt'!$N$5:$N$428)),EOMONTH(B561,0),IF('Client DB &amp; Bed Mgmt'!$N$5:$N$428&lt;EOMONTH(B561,0),'Client DB &amp; Bed Mgmt'!$N$5:$N$428,EOMONTH(B561,0))))-(IF(('Client DB &amp; Bed Mgmt'!$M$5:$M$428="")+NOT(ISNUMBER('Client DB &amp; Bed Mgmt'!$M$5:$M$428)),DATE(YEAR(B561),MONTH(B561),1),IF('Client DB &amp; Bed Mgmt'!$M$5:$M$428&gt;DATE(YEAR(B561),MONTH(B561),1),'Client DB &amp; Bed Mgmt'!$M$5:$M$428,DATE(YEAR(B561),MONTH(B561),1))))+1)/DAY(EOMONTH(B561,0))),0)</f>
        <v/>
      </c>
    </row>
    <row r="562" ht="14.25" customHeight="1" s="83">
      <c r="A562" s="103" t="n"/>
      <c r="B562" s="125">
        <f>DATE(YEAR(StartDate),MONTH(StartDate),1)</f>
        <v/>
      </c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Mgmt'!$B:$B,C562,'Client DB &amp; Bed Mgmt'!$E:$E,"Occupied"),0)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>
        <f>IFERROR(J562*SUMPRODUCT(('Client DB &amp; Bed Mgmt'!$A$5:$A$428=A562)*('Client DB &amp; Bed Mgmt'!$B$5:$B$428=C562)*('Client DB &amp; Bed Mgmt'!$D$5:$D$428&lt;&gt;"")*--(('Client DB &amp; Bed Mgmt'!$M$5:$M$428="")+NOT(ISNUMBER('Client DB &amp; Bed Mgmt'!$M$5:$M$428))+IFERROR('Client DB &amp; Bed Mgmt'!$M$5:$M$428&lt;=EOMONTH(B562,0),FALSE)&gt;0)*--(('Client DB &amp; Bed Mgmt'!$N$5:$N$428="")+NOT(ISNUMBER('Client DB &amp; Bed Mgmt'!$N$5:$N$428))+IFERROR('Client DB &amp; Bed Mgmt'!$N$5:$N$428&gt;=DATE(YEAR(B562),MONTH(B562),1),FALSE)&gt;0)*((IF(('Client DB &amp; Bed Mgmt'!$N$5:$N$428="")+NOT(ISNUMBER('Client DB &amp; Bed Mgmt'!$N$5:$N$428)),EOMONTH(B562,0),IF('Client DB &amp; Bed Mgmt'!$N$5:$N$428&lt;EOMONTH(B562,0),'Client DB &amp; Bed Mgmt'!$N$5:$N$428,EOMONTH(B562,0))))-(IF(('Client DB &amp; Bed Mgmt'!$M$5:$M$428="")+NOT(ISNUMBER('Client DB &amp; Bed Mgmt'!$M$5:$M$428)),DATE(YEAR(B562),MONTH(B562),1),IF('Client DB &amp; Bed Mgmt'!$M$5:$M$428&gt;DATE(YEAR(B562),MONTH(B562),1),'Client DB &amp; Bed Mgmt'!$M$5:$M$428,DATE(YEAR(B562),MONTH(B562),1))))+1)/DAY(EOMONTH(B562,0))),0)</f>
        <v/>
      </c>
    </row>
    <row r="563" ht="14.25" customHeight="1" s="83">
      <c r="A563" s="103" t="n"/>
      <c r="B563" s="125">
        <f>DATE(YEAR(StartDate),MONTH(StartDate),1)</f>
        <v/>
      </c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Mgmt'!$B:$B,C563,'Client DB &amp; Bed Mgmt'!$E:$E,"Occupied"),0)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>
        <f>IFERROR(J563*SUMPRODUCT(('Client DB &amp; Bed Mgmt'!$A$5:$A$428=A563)*('Client DB &amp; Bed Mgmt'!$B$5:$B$428=C563)*('Client DB &amp; Bed Mgmt'!$D$5:$D$428&lt;&gt;"")*--(('Client DB &amp; Bed Mgmt'!$M$5:$M$428="")+NOT(ISNUMBER('Client DB &amp; Bed Mgmt'!$M$5:$M$428))+IFERROR('Client DB &amp; Bed Mgmt'!$M$5:$M$428&lt;=EOMONTH(B563,0),FALSE)&gt;0)*--(('Client DB &amp; Bed Mgmt'!$N$5:$N$428="")+NOT(ISNUMBER('Client DB &amp; Bed Mgmt'!$N$5:$N$428))+IFERROR('Client DB &amp; Bed Mgmt'!$N$5:$N$428&gt;=DATE(YEAR(B563),MONTH(B563),1),FALSE)&gt;0)*((IF(('Client DB &amp; Bed Mgmt'!$N$5:$N$428="")+NOT(ISNUMBER('Client DB &amp; Bed Mgmt'!$N$5:$N$428)),EOMONTH(B563,0),IF('Client DB &amp; Bed Mgmt'!$N$5:$N$428&lt;EOMONTH(B563,0),'Client DB &amp; Bed Mgmt'!$N$5:$N$428,EOMONTH(B563,0))))-(IF(('Client DB &amp; Bed Mgmt'!$M$5:$M$428="")+NOT(ISNUMBER('Client DB &amp; Bed Mgmt'!$M$5:$M$428)),DATE(YEAR(B563),MONTH(B563),1),IF('Client DB &amp; Bed Mgmt'!$M$5:$M$428&gt;DATE(YEAR(B563),MONTH(B563),1),'Client DB &amp; Bed Mgmt'!$M$5:$M$428,DATE(YEAR(B563),MONTH(B563),1))))+1)/DAY(EOMONTH(B563,0))),0)</f>
        <v/>
      </c>
    </row>
    <row r="564" ht="14.25" customHeight="1" s="83">
      <c r="A564" s="103" t="n"/>
      <c r="B564" s="125">
        <f>DATE(YEAR(StartDate),MONTH(StartDate),1)</f>
        <v/>
      </c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Mgmt'!$B:$B,C564,'Client DB &amp; Bed Mgmt'!$E:$E,"Occupied"),0)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>
        <f>IFERROR(J564*SUMPRODUCT(('Client DB &amp; Bed Mgmt'!$A$5:$A$428=A564)*('Client DB &amp; Bed Mgmt'!$B$5:$B$428=C564)*('Client DB &amp; Bed Mgmt'!$D$5:$D$428&lt;&gt;"")*--(('Client DB &amp; Bed Mgmt'!$M$5:$M$428="")+NOT(ISNUMBER('Client DB &amp; Bed Mgmt'!$M$5:$M$428))+IFERROR('Client DB &amp; Bed Mgmt'!$M$5:$M$428&lt;=EOMONTH(B564,0),FALSE)&gt;0)*--(('Client DB &amp; Bed Mgmt'!$N$5:$N$428="")+NOT(ISNUMBER('Client DB &amp; Bed Mgmt'!$N$5:$N$428))+IFERROR('Client DB &amp; Bed Mgmt'!$N$5:$N$428&gt;=DATE(YEAR(B564),MONTH(B564),1),FALSE)&gt;0)*((IF(('Client DB &amp; Bed Mgmt'!$N$5:$N$428="")+NOT(ISNUMBER('Client DB &amp; Bed Mgmt'!$N$5:$N$428)),EOMONTH(B564,0),IF('Client DB &amp; Bed Mgmt'!$N$5:$N$428&lt;EOMONTH(B564,0),'Client DB &amp; Bed Mgmt'!$N$5:$N$428,EOMONTH(B564,0))))-(IF(('Client DB &amp; Bed Mgmt'!$M$5:$M$428="")+NOT(ISNUMBER('Client DB &amp; Bed Mgmt'!$M$5:$M$428)),DATE(YEAR(B564),MONTH(B564),1),IF('Client DB &amp; Bed Mgmt'!$M$5:$M$428&gt;DATE(YEAR(B564),MONTH(B564),1),'Client DB &amp; Bed Mgmt'!$M$5:$M$428,DATE(YEAR(B564),MONTH(B564),1))))+1)/DAY(EOMONTH(B564,0))),0)</f>
        <v/>
      </c>
    </row>
    <row r="565" ht="14.25" customHeight="1" s="83">
      <c r="A565" s="103" t="n"/>
      <c r="B565" s="125">
        <f>DATE(YEAR(StartDate),MONTH(StartDate),1)</f>
        <v/>
      </c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Mgmt'!$B:$B,C565,'Client DB &amp; Bed Mgmt'!$E:$E,"Occupied"),0)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>
        <f>IFERROR(J565*SUMPRODUCT(('Client DB &amp; Bed Mgmt'!$A$5:$A$428=A565)*('Client DB &amp; Bed Mgmt'!$B$5:$B$428=C565)*('Client DB &amp; Bed Mgmt'!$D$5:$D$428&lt;&gt;"")*--(('Client DB &amp; Bed Mgmt'!$M$5:$M$428="")+NOT(ISNUMBER('Client DB &amp; Bed Mgmt'!$M$5:$M$428))+IFERROR('Client DB &amp; Bed Mgmt'!$M$5:$M$428&lt;=EOMONTH(B565,0),FALSE)&gt;0)*--(('Client DB &amp; Bed Mgmt'!$N$5:$N$428="")+NOT(ISNUMBER('Client DB &amp; Bed Mgmt'!$N$5:$N$428))+IFERROR('Client DB &amp; Bed Mgmt'!$N$5:$N$428&gt;=DATE(YEAR(B565),MONTH(B565),1),FALSE)&gt;0)*((IF(('Client DB &amp; Bed Mgmt'!$N$5:$N$428="")+NOT(ISNUMBER('Client DB &amp; Bed Mgmt'!$N$5:$N$428)),EOMONTH(B565,0),IF('Client DB &amp; Bed Mgmt'!$N$5:$N$428&lt;EOMONTH(B565,0),'Client DB &amp; Bed Mgmt'!$N$5:$N$428,EOMONTH(B565,0))))-(IF(('Client DB &amp; Bed Mgmt'!$M$5:$M$428="")+NOT(ISNUMBER('Client DB &amp; Bed Mgmt'!$M$5:$M$428)),DATE(YEAR(B565),MONTH(B565),1),IF('Client DB &amp; Bed Mgmt'!$M$5:$M$428&gt;DATE(YEAR(B565),MONTH(B565),1),'Client DB &amp; Bed Mgmt'!$M$5:$M$428,DATE(YEAR(B565),MONTH(B565),1))))+1)/DAY(EOMONTH(B565,0))),0)</f>
        <v/>
      </c>
    </row>
    <row r="566" ht="14.25" customHeight="1" s="83">
      <c r="A566" s="103" t="n"/>
      <c r="B566" s="125">
        <f>DATE(YEAR(StartDate),MONTH(StartDate),1)</f>
        <v/>
      </c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Mgmt'!$B:$B,C566,'Client DB &amp; Bed Mgmt'!$E:$E,"Occupied"),0)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>
        <f>IFERROR(J566*SUMPRODUCT(('Client DB &amp; Bed Mgmt'!$A$5:$A$428=A566)*('Client DB &amp; Bed Mgmt'!$B$5:$B$428=C566)*('Client DB &amp; Bed Mgmt'!$D$5:$D$428&lt;&gt;"")*--(('Client DB &amp; Bed Mgmt'!$M$5:$M$428="")+NOT(ISNUMBER('Client DB &amp; Bed Mgmt'!$M$5:$M$428))+IFERROR('Client DB &amp; Bed Mgmt'!$M$5:$M$428&lt;=EOMONTH(B566,0),FALSE)&gt;0)*--(('Client DB &amp; Bed Mgmt'!$N$5:$N$428="")+NOT(ISNUMBER('Client DB &amp; Bed Mgmt'!$N$5:$N$428))+IFERROR('Client DB &amp; Bed Mgmt'!$N$5:$N$428&gt;=DATE(YEAR(B566),MONTH(B566),1),FALSE)&gt;0)*((IF(('Client DB &amp; Bed Mgmt'!$N$5:$N$428="")+NOT(ISNUMBER('Client DB &amp; Bed Mgmt'!$N$5:$N$428)),EOMONTH(B566,0),IF('Client DB &amp; Bed Mgmt'!$N$5:$N$428&lt;EOMONTH(B566,0),'Client DB &amp; Bed Mgmt'!$N$5:$N$428,EOMONTH(B566,0))))-(IF(('Client DB &amp; Bed Mgmt'!$M$5:$M$428="")+NOT(ISNUMBER('Client DB &amp; Bed Mgmt'!$M$5:$M$428)),DATE(YEAR(B566),MONTH(B566),1),IF('Client DB &amp; Bed Mgmt'!$M$5:$M$428&gt;DATE(YEAR(B566),MONTH(B566),1),'Client DB &amp; Bed Mgmt'!$M$5:$M$428,DATE(YEAR(B566),MONTH(B566),1))))+1)/DAY(EOMONTH(B566,0))),0)</f>
        <v/>
      </c>
    </row>
    <row r="567" ht="14.25" customHeight="1" s="83">
      <c r="A567" s="103" t="n"/>
      <c r="B567" s="125">
        <f>DATE(YEAR(StartDate),MONTH(StartDate),1)</f>
        <v/>
      </c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Mgmt'!$B:$B,C567,'Client DB &amp; Bed Mgmt'!$E:$E,"Occupied"),0)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>
        <f>IFERROR(J567*SUMPRODUCT(('Client DB &amp; Bed Mgmt'!$A$5:$A$428=A567)*('Client DB &amp; Bed Mgmt'!$B$5:$B$428=C567)*('Client DB &amp; Bed Mgmt'!$D$5:$D$428&lt;&gt;"")*--(('Client DB &amp; Bed Mgmt'!$M$5:$M$428="")+NOT(ISNUMBER('Client DB &amp; Bed Mgmt'!$M$5:$M$428))+IFERROR('Client DB &amp; Bed Mgmt'!$M$5:$M$428&lt;=EOMONTH(B567,0),FALSE)&gt;0)*--(('Client DB &amp; Bed Mgmt'!$N$5:$N$428="")+NOT(ISNUMBER('Client DB &amp; Bed Mgmt'!$N$5:$N$428))+IFERROR('Client DB &amp; Bed Mgmt'!$N$5:$N$428&gt;=DATE(YEAR(B567),MONTH(B567),1),FALSE)&gt;0)*((IF(('Client DB &amp; Bed Mgmt'!$N$5:$N$428="")+NOT(ISNUMBER('Client DB &amp; Bed Mgmt'!$N$5:$N$428)),EOMONTH(B567,0),IF('Client DB &amp; Bed Mgmt'!$N$5:$N$428&lt;EOMONTH(B567,0),'Client DB &amp; Bed Mgmt'!$N$5:$N$428,EOMONTH(B567,0))))-(IF(('Client DB &amp; Bed Mgmt'!$M$5:$M$428="")+NOT(ISNUMBER('Client DB &amp; Bed Mgmt'!$M$5:$M$428)),DATE(YEAR(B567),MONTH(B567),1),IF('Client DB &amp; Bed Mgmt'!$M$5:$M$428&gt;DATE(YEAR(B567),MONTH(B567),1),'Client DB &amp; Bed Mgmt'!$M$5:$M$428,DATE(YEAR(B567),MONTH(B567),1))))+1)/DAY(EOMONTH(B567,0))),0)</f>
        <v/>
      </c>
    </row>
    <row r="568" ht="14.25" customHeight="1" s="83">
      <c r="A568" s="103" t="n"/>
      <c r="B568" s="125">
        <f>DATE(YEAR(StartDate),MONTH(StartDate),1)</f>
        <v/>
      </c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Mgmt'!$B:$B,C568,'Client DB &amp; Bed Mgmt'!$E:$E,"Occupied"),0)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>
        <f>IFERROR(J568*SUMPRODUCT(('Client DB &amp; Bed Mgmt'!$A$5:$A$428=A568)*('Client DB &amp; Bed Mgmt'!$B$5:$B$428=C568)*('Client DB &amp; Bed Mgmt'!$D$5:$D$428&lt;&gt;"")*--(('Client DB &amp; Bed Mgmt'!$M$5:$M$428="")+NOT(ISNUMBER('Client DB &amp; Bed Mgmt'!$M$5:$M$428))+IFERROR('Client DB &amp; Bed Mgmt'!$M$5:$M$428&lt;=EOMONTH(B568,0),FALSE)&gt;0)*--(('Client DB &amp; Bed Mgmt'!$N$5:$N$428="")+NOT(ISNUMBER('Client DB &amp; Bed Mgmt'!$N$5:$N$428))+IFERROR('Client DB &amp; Bed Mgmt'!$N$5:$N$428&gt;=DATE(YEAR(B568),MONTH(B568),1),FALSE)&gt;0)*((IF(('Client DB &amp; Bed Mgmt'!$N$5:$N$428="")+NOT(ISNUMBER('Client DB &amp; Bed Mgmt'!$N$5:$N$428)),EOMONTH(B568,0),IF('Client DB &amp; Bed Mgmt'!$N$5:$N$428&lt;EOMONTH(B568,0),'Client DB &amp; Bed Mgmt'!$N$5:$N$428,EOMONTH(B568,0))))-(IF(('Client DB &amp; Bed Mgmt'!$M$5:$M$428="")+NOT(ISNUMBER('Client DB &amp; Bed Mgmt'!$M$5:$M$428)),DATE(YEAR(B568),MONTH(B568),1),IF('Client DB &amp; Bed Mgmt'!$M$5:$M$428&gt;DATE(YEAR(B568),MONTH(B568),1),'Client DB &amp; Bed Mgmt'!$M$5:$M$428,DATE(YEAR(B568),MONTH(B568),1))))+1)/DAY(EOMONTH(B568,0))),0)</f>
        <v/>
      </c>
    </row>
    <row r="569" ht="14.25" customHeight="1" s="83">
      <c r="A569" s="103" t="n"/>
      <c r="B569" s="125">
        <f>DATE(YEAR(StartDate),MONTH(StartDate),1)</f>
        <v/>
      </c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Mgmt'!$B:$B,C569,'Client DB &amp; Bed Mgmt'!$E:$E,"Occupied"),0)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>
        <f>IFERROR(J569*SUMPRODUCT(('Client DB &amp; Bed Mgmt'!$A$5:$A$428=A569)*('Client DB &amp; Bed Mgmt'!$B$5:$B$428=C569)*('Client DB &amp; Bed Mgmt'!$D$5:$D$428&lt;&gt;"")*--(('Client DB &amp; Bed Mgmt'!$M$5:$M$428="")+NOT(ISNUMBER('Client DB &amp; Bed Mgmt'!$M$5:$M$428))+IFERROR('Client DB &amp; Bed Mgmt'!$M$5:$M$428&lt;=EOMONTH(B569,0),FALSE)&gt;0)*--(('Client DB &amp; Bed Mgmt'!$N$5:$N$428="")+NOT(ISNUMBER('Client DB &amp; Bed Mgmt'!$N$5:$N$428))+IFERROR('Client DB &amp; Bed Mgmt'!$N$5:$N$428&gt;=DATE(YEAR(B569),MONTH(B569),1),FALSE)&gt;0)*((IF(('Client DB &amp; Bed Mgmt'!$N$5:$N$428="")+NOT(ISNUMBER('Client DB &amp; Bed Mgmt'!$N$5:$N$428)),EOMONTH(B569,0),IF('Client DB &amp; Bed Mgmt'!$N$5:$N$428&lt;EOMONTH(B569,0),'Client DB &amp; Bed Mgmt'!$N$5:$N$428,EOMONTH(B569,0))))-(IF(('Client DB &amp; Bed Mgmt'!$M$5:$M$428="")+NOT(ISNUMBER('Client DB &amp; Bed Mgmt'!$M$5:$M$428)),DATE(YEAR(B569),MONTH(B569),1),IF('Client DB &amp; Bed Mgmt'!$M$5:$M$428&gt;DATE(YEAR(B569),MONTH(B569),1),'Client DB &amp; Bed Mgmt'!$M$5:$M$428,DATE(YEAR(B569),MONTH(B569),1))))+1)/DAY(EOMONTH(B569,0))),0)</f>
        <v/>
      </c>
    </row>
    <row r="570" ht="14.25" customHeight="1" s="83">
      <c r="A570" s="103" t="n"/>
      <c r="B570" s="125">
        <f>DATE(YEAR(StartDate),MONTH(StartDate),1)</f>
        <v/>
      </c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Mgmt'!$B:$B,C570,'Client DB &amp; Bed Mgmt'!$E:$E,"Occupied"),0)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>
        <f>IFERROR(J570*SUMPRODUCT(('Client DB &amp; Bed Mgmt'!$A$5:$A$428=A570)*('Client DB &amp; Bed Mgmt'!$B$5:$B$428=C570)*('Client DB &amp; Bed Mgmt'!$D$5:$D$428&lt;&gt;"")*--(('Client DB &amp; Bed Mgmt'!$M$5:$M$428="")+NOT(ISNUMBER('Client DB &amp; Bed Mgmt'!$M$5:$M$428))+IFERROR('Client DB &amp; Bed Mgmt'!$M$5:$M$428&lt;=EOMONTH(B570,0),FALSE)&gt;0)*--(('Client DB &amp; Bed Mgmt'!$N$5:$N$428="")+NOT(ISNUMBER('Client DB &amp; Bed Mgmt'!$N$5:$N$428))+IFERROR('Client DB &amp; Bed Mgmt'!$N$5:$N$428&gt;=DATE(YEAR(B570),MONTH(B570),1),FALSE)&gt;0)*((IF(('Client DB &amp; Bed Mgmt'!$N$5:$N$428="")+NOT(ISNUMBER('Client DB &amp; Bed Mgmt'!$N$5:$N$428)),EOMONTH(B570,0),IF('Client DB &amp; Bed Mgmt'!$N$5:$N$428&lt;EOMONTH(B570,0),'Client DB &amp; Bed Mgmt'!$N$5:$N$428,EOMONTH(B570,0))))-(IF(('Client DB &amp; Bed Mgmt'!$M$5:$M$428="")+NOT(ISNUMBER('Client DB &amp; Bed Mgmt'!$M$5:$M$428)),DATE(YEAR(B570),MONTH(B570),1),IF('Client DB &amp; Bed Mgmt'!$M$5:$M$428&gt;DATE(YEAR(B570),MONTH(B570),1),'Client DB &amp; Bed Mgmt'!$M$5:$M$428,DATE(YEAR(B570),MONTH(B570),1))))+1)/DAY(EOMONTH(B570,0))),0)</f>
        <v/>
      </c>
    </row>
    <row r="571" ht="14.25" customHeight="1" s="83">
      <c r="A571" s="103" t="n"/>
      <c r="B571" s="125">
        <f>DATE(YEAR(StartDate),MONTH(StartDate),1)</f>
        <v/>
      </c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Mgmt'!$B:$B,C571,'Client DB &amp; Bed Mgmt'!$E:$E,"Occupied"),0)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>
        <f>IFERROR(J571*SUMPRODUCT(('Client DB &amp; Bed Mgmt'!$A$5:$A$428=A571)*('Client DB &amp; Bed Mgmt'!$B$5:$B$428=C571)*('Client DB &amp; Bed Mgmt'!$D$5:$D$428&lt;&gt;"")*--(('Client DB &amp; Bed Mgmt'!$M$5:$M$428="")+NOT(ISNUMBER('Client DB &amp; Bed Mgmt'!$M$5:$M$428))+IFERROR('Client DB &amp; Bed Mgmt'!$M$5:$M$428&lt;=EOMONTH(B571,0),FALSE)&gt;0)*--(('Client DB &amp; Bed Mgmt'!$N$5:$N$428="")+NOT(ISNUMBER('Client DB &amp; Bed Mgmt'!$N$5:$N$428))+IFERROR('Client DB &amp; Bed Mgmt'!$N$5:$N$428&gt;=DATE(YEAR(B571),MONTH(B571),1),FALSE)&gt;0)*((IF(('Client DB &amp; Bed Mgmt'!$N$5:$N$428="")+NOT(ISNUMBER('Client DB &amp; Bed Mgmt'!$N$5:$N$428)),EOMONTH(B571,0),IF('Client DB &amp; Bed Mgmt'!$N$5:$N$428&lt;EOMONTH(B571,0),'Client DB &amp; Bed Mgmt'!$N$5:$N$428,EOMONTH(B571,0))))-(IF(('Client DB &amp; Bed Mgmt'!$M$5:$M$428="")+NOT(ISNUMBER('Client DB &amp; Bed Mgmt'!$M$5:$M$428)),DATE(YEAR(B571),MONTH(B571),1),IF('Client DB &amp; Bed Mgmt'!$M$5:$M$428&gt;DATE(YEAR(B571),MONTH(B571),1),'Client DB &amp; Bed Mgmt'!$M$5:$M$428,DATE(YEAR(B571),MONTH(B571),1))))+1)/DAY(EOMONTH(B571,0))),0)</f>
        <v/>
      </c>
    </row>
    <row r="572" ht="14.25" customHeight="1" s="83">
      <c r="A572" s="103" t="n"/>
      <c r="B572" s="125">
        <f>DATE(YEAR(StartDate),MONTH(StartDate),1)</f>
        <v/>
      </c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Mgmt'!$B:$B,C572,'Client DB &amp; Bed Mgmt'!$E:$E,"Occupied"),0)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>
        <f>IFERROR(J572*SUMPRODUCT(('Client DB &amp; Bed Mgmt'!$A$5:$A$428=A572)*('Client DB &amp; Bed Mgmt'!$B$5:$B$428=C572)*('Client DB &amp; Bed Mgmt'!$D$5:$D$428&lt;&gt;"")*--(('Client DB &amp; Bed Mgmt'!$M$5:$M$428="")+NOT(ISNUMBER('Client DB &amp; Bed Mgmt'!$M$5:$M$428))+IFERROR('Client DB &amp; Bed Mgmt'!$M$5:$M$428&lt;=EOMONTH(B572,0),FALSE)&gt;0)*--(('Client DB &amp; Bed Mgmt'!$N$5:$N$428="")+NOT(ISNUMBER('Client DB &amp; Bed Mgmt'!$N$5:$N$428))+IFERROR('Client DB &amp; Bed Mgmt'!$N$5:$N$428&gt;=DATE(YEAR(B572),MONTH(B572),1),FALSE)&gt;0)*((IF(('Client DB &amp; Bed Mgmt'!$N$5:$N$428="")+NOT(ISNUMBER('Client DB &amp; Bed Mgmt'!$N$5:$N$428)),EOMONTH(B572,0),IF('Client DB &amp; Bed Mgmt'!$N$5:$N$428&lt;EOMONTH(B572,0),'Client DB &amp; Bed Mgmt'!$N$5:$N$428,EOMONTH(B572,0))))-(IF(('Client DB &amp; Bed Mgmt'!$M$5:$M$428="")+NOT(ISNUMBER('Client DB &amp; Bed Mgmt'!$M$5:$M$428)),DATE(YEAR(B572),MONTH(B572),1),IF('Client DB &amp; Bed Mgmt'!$M$5:$M$428&gt;DATE(YEAR(B572),MONTH(B572),1),'Client DB &amp; Bed Mgmt'!$M$5:$M$428,DATE(YEAR(B572),MONTH(B572),1))))+1)/DAY(EOMONTH(B572,0))),0)</f>
        <v/>
      </c>
    </row>
    <row r="573" ht="14.25" customHeight="1" s="83">
      <c r="A573" s="103" t="n"/>
      <c r="B573" s="125">
        <f>DATE(YEAR(StartDate),MONTH(StartDate),1)</f>
        <v/>
      </c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Mgmt'!$B:$B,C573,'Client DB &amp; Bed Mgmt'!$E:$E,"Occupied"),0)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>
        <f>IFERROR(J573*SUMPRODUCT(('Client DB &amp; Bed Mgmt'!$A$5:$A$428=A573)*('Client DB &amp; Bed Mgmt'!$B$5:$B$428=C573)*('Client DB &amp; Bed Mgmt'!$D$5:$D$428&lt;&gt;"")*--(('Client DB &amp; Bed Mgmt'!$M$5:$M$428="")+NOT(ISNUMBER('Client DB &amp; Bed Mgmt'!$M$5:$M$428))+IFERROR('Client DB &amp; Bed Mgmt'!$M$5:$M$428&lt;=EOMONTH(B573,0),FALSE)&gt;0)*--(('Client DB &amp; Bed Mgmt'!$N$5:$N$428="")+NOT(ISNUMBER('Client DB &amp; Bed Mgmt'!$N$5:$N$428))+IFERROR('Client DB &amp; Bed Mgmt'!$N$5:$N$428&gt;=DATE(YEAR(B573),MONTH(B573),1),FALSE)&gt;0)*((IF(('Client DB &amp; Bed Mgmt'!$N$5:$N$428="")+NOT(ISNUMBER('Client DB &amp; Bed Mgmt'!$N$5:$N$428)),EOMONTH(B573,0),IF('Client DB &amp; Bed Mgmt'!$N$5:$N$428&lt;EOMONTH(B573,0),'Client DB &amp; Bed Mgmt'!$N$5:$N$428,EOMONTH(B573,0))))-(IF(('Client DB &amp; Bed Mgmt'!$M$5:$M$428="")+NOT(ISNUMBER('Client DB &amp; Bed Mgmt'!$M$5:$M$428)),DATE(YEAR(B573),MONTH(B573),1),IF('Client DB &amp; Bed Mgmt'!$M$5:$M$428&gt;DATE(YEAR(B573),MONTH(B573),1),'Client DB &amp; Bed Mgmt'!$M$5:$M$428,DATE(YEAR(B573),MONTH(B573),1))))+1)/DAY(EOMONTH(B573,0))),0)</f>
        <v/>
      </c>
    </row>
    <row r="574" ht="14.25" customHeight="1" s="83">
      <c r="A574" s="103" t="n"/>
      <c r="B574" s="125">
        <f>DATE(YEAR(StartDate),MONTH(StartDate),1)</f>
        <v/>
      </c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Mgmt'!$B:$B,C574,'Client DB &amp; Bed Mgmt'!$E:$E,"Occupied"),0)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>
        <f>IFERROR(J574*SUMPRODUCT(('Client DB &amp; Bed Mgmt'!$A$5:$A$428=A574)*('Client DB &amp; Bed Mgmt'!$B$5:$B$428=C574)*('Client DB &amp; Bed Mgmt'!$D$5:$D$428&lt;&gt;"")*--(('Client DB &amp; Bed Mgmt'!$M$5:$M$428="")+NOT(ISNUMBER('Client DB &amp; Bed Mgmt'!$M$5:$M$428))+IFERROR('Client DB &amp; Bed Mgmt'!$M$5:$M$428&lt;=EOMONTH(B574,0),FALSE)&gt;0)*--(('Client DB &amp; Bed Mgmt'!$N$5:$N$428="")+NOT(ISNUMBER('Client DB &amp; Bed Mgmt'!$N$5:$N$428))+IFERROR('Client DB &amp; Bed Mgmt'!$N$5:$N$428&gt;=DATE(YEAR(B574),MONTH(B574),1),FALSE)&gt;0)*((IF(('Client DB &amp; Bed Mgmt'!$N$5:$N$428="")+NOT(ISNUMBER('Client DB &amp; Bed Mgmt'!$N$5:$N$428)),EOMONTH(B574,0),IF('Client DB &amp; Bed Mgmt'!$N$5:$N$428&lt;EOMONTH(B574,0),'Client DB &amp; Bed Mgmt'!$N$5:$N$428,EOMONTH(B574,0))))-(IF(('Client DB &amp; Bed Mgmt'!$M$5:$M$428="")+NOT(ISNUMBER('Client DB &amp; Bed Mgmt'!$M$5:$M$428)),DATE(YEAR(B574),MONTH(B574),1),IF('Client DB &amp; Bed Mgmt'!$M$5:$M$428&gt;DATE(YEAR(B574),MONTH(B574),1),'Client DB &amp; Bed Mgmt'!$M$5:$M$428,DATE(YEAR(B574),MONTH(B574),1))))+1)/DAY(EOMONTH(B574,0))),0)</f>
        <v/>
      </c>
    </row>
    <row r="575" ht="14.25" customHeight="1" s="83">
      <c r="A575" s="103" t="n"/>
      <c r="B575" s="125">
        <f>DATE(YEAR(StartDate),MONTH(StartDate),1)</f>
        <v/>
      </c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Mgmt'!$B:$B,C575,'Client DB &amp; Bed Mgmt'!$E:$E,"Occupied"),0)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>
        <f>IFERROR(J575*SUMPRODUCT(('Client DB &amp; Bed Mgmt'!$A$5:$A$428=A575)*('Client DB &amp; Bed Mgmt'!$B$5:$B$428=C575)*('Client DB &amp; Bed Mgmt'!$D$5:$D$428&lt;&gt;"")*--(('Client DB &amp; Bed Mgmt'!$M$5:$M$428="")+NOT(ISNUMBER('Client DB &amp; Bed Mgmt'!$M$5:$M$428))+IFERROR('Client DB &amp; Bed Mgmt'!$M$5:$M$428&lt;=EOMONTH(B575,0),FALSE)&gt;0)*--(('Client DB &amp; Bed Mgmt'!$N$5:$N$428="")+NOT(ISNUMBER('Client DB &amp; Bed Mgmt'!$N$5:$N$428))+IFERROR('Client DB &amp; Bed Mgmt'!$N$5:$N$428&gt;=DATE(YEAR(B575),MONTH(B575),1),FALSE)&gt;0)*((IF(('Client DB &amp; Bed Mgmt'!$N$5:$N$428="")+NOT(ISNUMBER('Client DB &amp; Bed Mgmt'!$N$5:$N$428)),EOMONTH(B575,0),IF('Client DB &amp; Bed Mgmt'!$N$5:$N$428&lt;EOMONTH(B575,0),'Client DB &amp; Bed Mgmt'!$N$5:$N$428,EOMONTH(B575,0))))-(IF(('Client DB &amp; Bed Mgmt'!$M$5:$M$428="")+NOT(ISNUMBER('Client DB &amp; Bed Mgmt'!$M$5:$M$428)),DATE(YEAR(B575),MONTH(B575),1),IF('Client DB &amp; Bed Mgmt'!$M$5:$M$428&gt;DATE(YEAR(B575),MONTH(B575),1),'Client DB &amp; Bed Mgmt'!$M$5:$M$428,DATE(YEAR(B575),MONTH(B575),1))))+1)/DAY(EOMONTH(B575,0))),0)</f>
        <v/>
      </c>
    </row>
    <row r="576" ht="14.25" customHeight="1" s="83">
      <c r="A576" s="103" t="n"/>
      <c r="B576" s="125">
        <f>DATE(YEAR(StartDate),MONTH(StartDate),1)</f>
        <v/>
      </c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Mgmt'!$B:$B,C576,'Client DB &amp; Bed Mgmt'!$E:$E,"Occupied"),0)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>
        <f>IFERROR(J576*SUMPRODUCT(('Client DB &amp; Bed Mgmt'!$A$5:$A$428=A576)*('Client DB &amp; Bed Mgmt'!$B$5:$B$428=C576)*('Client DB &amp; Bed Mgmt'!$D$5:$D$428&lt;&gt;"")*--(('Client DB &amp; Bed Mgmt'!$M$5:$M$428="")+NOT(ISNUMBER('Client DB &amp; Bed Mgmt'!$M$5:$M$428))+IFERROR('Client DB &amp; Bed Mgmt'!$M$5:$M$428&lt;=EOMONTH(B576,0),FALSE)&gt;0)*--(('Client DB &amp; Bed Mgmt'!$N$5:$N$428="")+NOT(ISNUMBER('Client DB &amp; Bed Mgmt'!$N$5:$N$428))+IFERROR('Client DB &amp; Bed Mgmt'!$N$5:$N$428&gt;=DATE(YEAR(B576),MONTH(B576),1),FALSE)&gt;0)*((IF(('Client DB &amp; Bed Mgmt'!$N$5:$N$428="")+NOT(ISNUMBER('Client DB &amp; Bed Mgmt'!$N$5:$N$428)),EOMONTH(B576,0),IF('Client DB &amp; Bed Mgmt'!$N$5:$N$428&lt;EOMONTH(B576,0),'Client DB &amp; Bed Mgmt'!$N$5:$N$428,EOMONTH(B576,0))))-(IF(('Client DB &amp; Bed Mgmt'!$M$5:$M$428="")+NOT(ISNUMBER('Client DB &amp; Bed Mgmt'!$M$5:$M$428)),DATE(YEAR(B576),MONTH(B576),1),IF('Client DB &amp; Bed Mgmt'!$M$5:$M$428&gt;DATE(YEAR(B576),MONTH(B576),1),'Client DB &amp; Bed Mgmt'!$M$5:$M$428,DATE(YEAR(B576),MONTH(B576),1))))+1)/DAY(EOMONTH(B576,0))),0)</f>
        <v/>
      </c>
    </row>
    <row r="577" ht="14.25" customHeight="1" s="83">
      <c r="A577" s="103" t="n"/>
      <c r="B577" s="125">
        <f>DATE(YEAR(StartDate),MONTH(StartDate),1)</f>
        <v/>
      </c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Mgmt'!$B:$B,C577,'Client DB &amp; Bed Mgmt'!$E:$E,"Occupied"),0)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>
        <f>IFERROR(J577*SUMPRODUCT(('Client DB &amp; Bed Mgmt'!$A$5:$A$428=A577)*('Client DB &amp; Bed Mgmt'!$B$5:$B$428=C577)*('Client DB &amp; Bed Mgmt'!$D$5:$D$428&lt;&gt;"")*--(('Client DB &amp; Bed Mgmt'!$M$5:$M$428="")+NOT(ISNUMBER('Client DB &amp; Bed Mgmt'!$M$5:$M$428))+IFERROR('Client DB &amp; Bed Mgmt'!$M$5:$M$428&lt;=EOMONTH(B577,0),FALSE)&gt;0)*--(('Client DB &amp; Bed Mgmt'!$N$5:$N$428="")+NOT(ISNUMBER('Client DB &amp; Bed Mgmt'!$N$5:$N$428))+IFERROR('Client DB &amp; Bed Mgmt'!$N$5:$N$428&gt;=DATE(YEAR(B577),MONTH(B577),1),FALSE)&gt;0)*((IF(('Client DB &amp; Bed Mgmt'!$N$5:$N$428="")+NOT(ISNUMBER('Client DB &amp; Bed Mgmt'!$N$5:$N$428)),EOMONTH(B577,0),IF('Client DB &amp; Bed Mgmt'!$N$5:$N$428&lt;EOMONTH(B577,0),'Client DB &amp; Bed Mgmt'!$N$5:$N$428,EOMONTH(B577,0))))-(IF(('Client DB &amp; Bed Mgmt'!$M$5:$M$428="")+NOT(ISNUMBER('Client DB &amp; Bed Mgmt'!$M$5:$M$428)),DATE(YEAR(B577),MONTH(B577),1),IF('Client DB &amp; Bed Mgmt'!$M$5:$M$428&gt;DATE(YEAR(B577),MONTH(B577),1),'Client DB &amp; Bed Mgmt'!$M$5:$M$428,DATE(YEAR(B577),MONTH(B577),1))))+1)/DAY(EOMONTH(B577,0))),0)</f>
        <v/>
      </c>
    </row>
    <row r="578" ht="14.25" customHeight="1" s="83">
      <c r="A578" s="103" t="n"/>
      <c r="B578" s="125">
        <f>DATE(YEAR(StartDate),MONTH(StartDate),1)</f>
        <v/>
      </c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Mgmt'!$B:$B,C578,'Client DB &amp; Bed Mgmt'!$E:$E,"Occupied"),0)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>
        <f>IFERROR(J578*SUMPRODUCT(('Client DB &amp; Bed Mgmt'!$A$5:$A$428=A578)*('Client DB &amp; Bed Mgmt'!$B$5:$B$428=C578)*('Client DB &amp; Bed Mgmt'!$D$5:$D$428&lt;&gt;"")*--(('Client DB &amp; Bed Mgmt'!$M$5:$M$428="")+NOT(ISNUMBER('Client DB &amp; Bed Mgmt'!$M$5:$M$428))+IFERROR('Client DB &amp; Bed Mgmt'!$M$5:$M$428&lt;=EOMONTH(B578,0),FALSE)&gt;0)*--(('Client DB &amp; Bed Mgmt'!$N$5:$N$428="")+NOT(ISNUMBER('Client DB &amp; Bed Mgmt'!$N$5:$N$428))+IFERROR('Client DB &amp; Bed Mgmt'!$N$5:$N$428&gt;=DATE(YEAR(B578),MONTH(B578),1),FALSE)&gt;0)*((IF(('Client DB &amp; Bed Mgmt'!$N$5:$N$428="")+NOT(ISNUMBER('Client DB &amp; Bed Mgmt'!$N$5:$N$428)),EOMONTH(B578,0),IF('Client DB &amp; Bed Mgmt'!$N$5:$N$428&lt;EOMONTH(B578,0),'Client DB &amp; Bed Mgmt'!$N$5:$N$428,EOMONTH(B578,0))))-(IF(('Client DB &amp; Bed Mgmt'!$M$5:$M$428="")+NOT(ISNUMBER('Client DB &amp; Bed Mgmt'!$M$5:$M$428)),DATE(YEAR(B578),MONTH(B578),1),IF('Client DB &amp; Bed Mgmt'!$M$5:$M$428&gt;DATE(YEAR(B578),MONTH(B578),1),'Client DB &amp; Bed Mgmt'!$M$5:$M$428,DATE(YEAR(B578),MONTH(B578),1))))+1)/DAY(EOMONTH(B578,0))),0)</f>
        <v/>
      </c>
    </row>
    <row r="579" ht="14.25" customHeight="1" s="83">
      <c r="A579" s="103" t="n"/>
      <c r="B579" s="125">
        <f>DATE(YEAR(StartDate),MONTH(StartDate),1)</f>
        <v/>
      </c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Mgmt'!$B:$B,C579,'Client DB &amp; Bed Mgmt'!$E:$E,"Occupied"),0)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>
        <f>IFERROR(J579*SUMPRODUCT(('Client DB &amp; Bed Mgmt'!$A$5:$A$428=A579)*('Client DB &amp; Bed Mgmt'!$B$5:$B$428=C579)*('Client DB &amp; Bed Mgmt'!$D$5:$D$428&lt;&gt;"")*--(('Client DB &amp; Bed Mgmt'!$M$5:$M$428="")+NOT(ISNUMBER('Client DB &amp; Bed Mgmt'!$M$5:$M$428))+IFERROR('Client DB &amp; Bed Mgmt'!$M$5:$M$428&lt;=EOMONTH(B579,0),FALSE)&gt;0)*--(('Client DB &amp; Bed Mgmt'!$N$5:$N$428="")+NOT(ISNUMBER('Client DB &amp; Bed Mgmt'!$N$5:$N$428))+IFERROR('Client DB &amp; Bed Mgmt'!$N$5:$N$428&gt;=DATE(YEAR(B579),MONTH(B579),1),FALSE)&gt;0)*((IF(('Client DB &amp; Bed Mgmt'!$N$5:$N$428="")+NOT(ISNUMBER('Client DB &amp; Bed Mgmt'!$N$5:$N$428)),EOMONTH(B579,0),IF('Client DB &amp; Bed Mgmt'!$N$5:$N$428&lt;EOMONTH(B579,0),'Client DB &amp; Bed Mgmt'!$N$5:$N$428,EOMONTH(B579,0))))-(IF(('Client DB &amp; Bed Mgmt'!$M$5:$M$428="")+NOT(ISNUMBER('Client DB &amp; Bed Mgmt'!$M$5:$M$428)),DATE(YEAR(B579),MONTH(B579),1),IF('Client DB &amp; Bed Mgmt'!$M$5:$M$428&gt;DATE(YEAR(B579),MONTH(B579),1),'Client DB &amp; Bed Mgmt'!$M$5:$M$428,DATE(YEAR(B579),MONTH(B579),1))))+1)/DAY(EOMONTH(B579,0))),0)</f>
        <v/>
      </c>
    </row>
    <row r="580" ht="14.25" customHeight="1" s="83">
      <c r="A580" s="103" t="n"/>
      <c r="B580" s="125">
        <f>DATE(YEAR(StartDate),MONTH(StartDate),1)</f>
        <v/>
      </c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Mgmt'!$B:$B,C580,'Client DB &amp; Bed Mgmt'!$E:$E,"Occupied"),0)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>
        <f>IFERROR(J580*SUMPRODUCT(('Client DB &amp; Bed Mgmt'!$A$5:$A$428=A580)*('Client DB &amp; Bed Mgmt'!$B$5:$B$428=C580)*('Client DB &amp; Bed Mgmt'!$D$5:$D$428&lt;&gt;"")*--(('Client DB &amp; Bed Mgmt'!$M$5:$M$428="")+NOT(ISNUMBER('Client DB &amp; Bed Mgmt'!$M$5:$M$428))+IFERROR('Client DB &amp; Bed Mgmt'!$M$5:$M$428&lt;=EOMONTH(B580,0),FALSE)&gt;0)*--(('Client DB &amp; Bed Mgmt'!$N$5:$N$428="")+NOT(ISNUMBER('Client DB &amp; Bed Mgmt'!$N$5:$N$428))+IFERROR('Client DB &amp; Bed Mgmt'!$N$5:$N$428&gt;=DATE(YEAR(B580),MONTH(B580),1),FALSE)&gt;0)*((IF(('Client DB &amp; Bed Mgmt'!$N$5:$N$428="")+NOT(ISNUMBER('Client DB &amp; Bed Mgmt'!$N$5:$N$428)),EOMONTH(B580,0),IF('Client DB &amp; Bed Mgmt'!$N$5:$N$428&lt;EOMONTH(B580,0),'Client DB &amp; Bed Mgmt'!$N$5:$N$428,EOMONTH(B580,0))))-(IF(('Client DB &amp; Bed Mgmt'!$M$5:$M$428="")+NOT(ISNUMBER('Client DB &amp; Bed Mgmt'!$M$5:$M$428)),DATE(YEAR(B580),MONTH(B580),1),IF('Client DB &amp; Bed Mgmt'!$M$5:$M$428&gt;DATE(YEAR(B580),MONTH(B580),1),'Client DB &amp; Bed Mgmt'!$M$5:$M$428,DATE(YEAR(B580),MONTH(B580),1))))+1)/DAY(EOMONTH(B580,0))),0)</f>
        <v/>
      </c>
    </row>
    <row r="581" ht="14.25" customHeight="1" s="83">
      <c r="A581" s="103" t="n"/>
      <c r="B581" s="125">
        <f>DATE(YEAR(StartDate),MONTH(StartDate),1)</f>
        <v/>
      </c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Mgmt'!$B:$B,C581,'Client DB &amp; Bed Mgmt'!$E:$E,"Occupied"),0)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>
        <f>IFERROR(J581*SUMPRODUCT(('Client DB &amp; Bed Mgmt'!$A$5:$A$428=A581)*('Client DB &amp; Bed Mgmt'!$B$5:$B$428=C581)*('Client DB &amp; Bed Mgmt'!$D$5:$D$428&lt;&gt;"")*--(('Client DB &amp; Bed Mgmt'!$M$5:$M$428="")+NOT(ISNUMBER('Client DB &amp; Bed Mgmt'!$M$5:$M$428))+IFERROR('Client DB &amp; Bed Mgmt'!$M$5:$M$428&lt;=EOMONTH(B581,0),FALSE)&gt;0)*--(('Client DB &amp; Bed Mgmt'!$N$5:$N$428="")+NOT(ISNUMBER('Client DB &amp; Bed Mgmt'!$N$5:$N$428))+IFERROR('Client DB &amp; Bed Mgmt'!$N$5:$N$428&gt;=DATE(YEAR(B581),MONTH(B581),1),FALSE)&gt;0)*((IF(('Client DB &amp; Bed Mgmt'!$N$5:$N$428="")+NOT(ISNUMBER('Client DB &amp; Bed Mgmt'!$N$5:$N$428)),EOMONTH(B581,0),IF('Client DB &amp; Bed Mgmt'!$N$5:$N$428&lt;EOMONTH(B581,0),'Client DB &amp; Bed Mgmt'!$N$5:$N$428,EOMONTH(B581,0))))-(IF(('Client DB &amp; Bed Mgmt'!$M$5:$M$428="")+NOT(ISNUMBER('Client DB &amp; Bed Mgmt'!$M$5:$M$428)),DATE(YEAR(B581),MONTH(B581),1),IF('Client DB &amp; Bed Mgmt'!$M$5:$M$428&gt;DATE(YEAR(B581),MONTH(B581),1),'Client DB &amp; Bed Mgmt'!$M$5:$M$428,DATE(YEAR(B581),MONTH(B581),1))))+1)/DAY(EOMONTH(B581,0))),0)</f>
        <v/>
      </c>
    </row>
    <row r="582" ht="14.25" customHeight="1" s="83">
      <c r="A582" s="103" t="n"/>
      <c r="B582" s="125">
        <f>DATE(YEAR(StartDate),MONTH(StartDate),1)</f>
        <v/>
      </c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Mgmt'!$B:$B,C582,'Client DB &amp; Bed Mgmt'!$E:$E,"Occupied"),0)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>
        <f>IFERROR(J582*SUMPRODUCT(('Client DB &amp; Bed Mgmt'!$A$5:$A$428=A582)*('Client DB &amp; Bed Mgmt'!$B$5:$B$428=C582)*('Client DB &amp; Bed Mgmt'!$D$5:$D$428&lt;&gt;"")*--(('Client DB &amp; Bed Mgmt'!$M$5:$M$428="")+NOT(ISNUMBER('Client DB &amp; Bed Mgmt'!$M$5:$M$428))+IFERROR('Client DB &amp; Bed Mgmt'!$M$5:$M$428&lt;=EOMONTH(B582,0),FALSE)&gt;0)*--(('Client DB &amp; Bed Mgmt'!$N$5:$N$428="")+NOT(ISNUMBER('Client DB &amp; Bed Mgmt'!$N$5:$N$428))+IFERROR('Client DB &amp; Bed Mgmt'!$N$5:$N$428&gt;=DATE(YEAR(B582),MONTH(B582),1),FALSE)&gt;0)*((IF(('Client DB &amp; Bed Mgmt'!$N$5:$N$428="")+NOT(ISNUMBER('Client DB &amp; Bed Mgmt'!$N$5:$N$428)),EOMONTH(B582,0),IF('Client DB &amp; Bed Mgmt'!$N$5:$N$428&lt;EOMONTH(B582,0),'Client DB &amp; Bed Mgmt'!$N$5:$N$428,EOMONTH(B582,0))))-(IF(('Client DB &amp; Bed Mgmt'!$M$5:$M$428="")+NOT(ISNUMBER('Client DB &amp; Bed Mgmt'!$M$5:$M$428)),DATE(YEAR(B582),MONTH(B582),1),IF('Client DB &amp; Bed Mgmt'!$M$5:$M$428&gt;DATE(YEAR(B582),MONTH(B582),1),'Client DB &amp; Bed Mgmt'!$M$5:$M$428,DATE(YEAR(B582),MONTH(B582),1))))+1)/DAY(EOMONTH(B582,0))),0)</f>
        <v/>
      </c>
    </row>
    <row r="583" ht="14.25" customHeight="1" s="83">
      <c r="A583" s="103" t="n"/>
      <c r="B583" s="125">
        <f>DATE(YEAR(StartDate),MONTH(StartDate),1)</f>
        <v/>
      </c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Mgmt'!$B:$B,C583,'Client DB &amp; Bed Mgmt'!$E:$E,"Occupied"),0)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>
        <f>IFERROR(J583*SUMPRODUCT(('Client DB &amp; Bed Mgmt'!$A$5:$A$428=A583)*('Client DB &amp; Bed Mgmt'!$B$5:$B$428=C583)*('Client DB &amp; Bed Mgmt'!$D$5:$D$428&lt;&gt;"")*--(('Client DB &amp; Bed Mgmt'!$M$5:$M$428="")+NOT(ISNUMBER('Client DB &amp; Bed Mgmt'!$M$5:$M$428))+IFERROR('Client DB &amp; Bed Mgmt'!$M$5:$M$428&lt;=EOMONTH(B583,0),FALSE)&gt;0)*--(('Client DB &amp; Bed Mgmt'!$N$5:$N$428="")+NOT(ISNUMBER('Client DB &amp; Bed Mgmt'!$N$5:$N$428))+IFERROR('Client DB &amp; Bed Mgmt'!$N$5:$N$428&gt;=DATE(YEAR(B583),MONTH(B583),1),FALSE)&gt;0)*((IF(('Client DB &amp; Bed Mgmt'!$N$5:$N$428="")+NOT(ISNUMBER('Client DB &amp; Bed Mgmt'!$N$5:$N$428)),EOMONTH(B583,0),IF('Client DB &amp; Bed Mgmt'!$N$5:$N$428&lt;EOMONTH(B583,0),'Client DB &amp; Bed Mgmt'!$N$5:$N$428,EOMONTH(B583,0))))-(IF(('Client DB &amp; Bed Mgmt'!$M$5:$M$428="")+NOT(ISNUMBER('Client DB &amp; Bed Mgmt'!$M$5:$M$428)),DATE(YEAR(B583),MONTH(B583),1),IF('Client DB &amp; Bed Mgmt'!$M$5:$M$428&gt;DATE(YEAR(B583),MONTH(B583),1),'Client DB &amp; Bed Mgmt'!$M$5:$M$428,DATE(YEAR(B583),MONTH(B583),1))))+1)/DAY(EOMONTH(B583,0))),0)</f>
        <v/>
      </c>
    </row>
    <row r="584" ht="14.25" customHeight="1" s="83">
      <c r="A584" s="103" t="n"/>
      <c r="B584" s="125">
        <f>DATE(YEAR(StartDate),MONTH(StartDate),1)</f>
        <v/>
      </c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Mgmt'!$B:$B,C584,'Client DB &amp; Bed Mgmt'!$E:$E,"Occupied"),0)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>
        <f>IFERROR(J584*SUMPRODUCT(('Client DB &amp; Bed Mgmt'!$A$5:$A$428=A584)*('Client DB &amp; Bed Mgmt'!$B$5:$B$428=C584)*('Client DB &amp; Bed Mgmt'!$D$5:$D$428&lt;&gt;"")*--(('Client DB &amp; Bed Mgmt'!$M$5:$M$428="")+NOT(ISNUMBER('Client DB &amp; Bed Mgmt'!$M$5:$M$428))+IFERROR('Client DB &amp; Bed Mgmt'!$M$5:$M$428&lt;=EOMONTH(B584,0),FALSE)&gt;0)*--(('Client DB &amp; Bed Mgmt'!$N$5:$N$428="")+NOT(ISNUMBER('Client DB &amp; Bed Mgmt'!$N$5:$N$428))+IFERROR('Client DB &amp; Bed Mgmt'!$N$5:$N$428&gt;=DATE(YEAR(B584),MONTH(B584),1),FALSE)&gt;0)*((IF(('Client DB &amp; Bed Mgmt'!$N$5:$N$428="")+NOT(ISNUMBER('Client DB &amp; Bed Mgmt'!$N$5:$N$428)),EOMONTH(B584,0),IF('Client DB &amp; Bed Mgmt'!$N$5:$N$428&lt;EOMONTH(B584,0),'Client DB &amp; Bed Mgmt'!$N$5:$N$428,EOMONTH(B584,0))))-(IF(('Client DB &amp; Bed Mgmt'!$M$5:$M$428="")+NOT(ISNUMBER('Client DB &amp; Bed Mgmt'!$M$5:$M$428)),DATE(YEAR(B584),MONTH(B584),1),IF('Client DB &amp; Bed Mgmt'!$M$5:$M$428&gt;DATE(YEAR(B584),MONTH(B584),1),'Client DB &amp; Bed Mgmt'!$M$5:$M$428,DATE(YEAR(B584),MONTH(B584),1))))+1)/DAY(EOMONTH(B584,0))),0)</f>
        <v/>
      </c>
    </row>
    <row r="585" ht="14.25" customHeight="1" s="83">
      <c r="A585" s="103" t="n"/>
      <c r="B585" s="125">
        <f>DATE(YEAR(StartDate),MONTH(StartDate),1)</f>
        <v/>
      </c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Mgmt'!$B:$B,C585,'Client DB &amp; Bed Mgmt'!$E:$E,"Occupied"),0)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>
        <f>IFERROR(J585*SUMPRODUCT(('Client DB &amp; Bed Mgmt'!$A$5:$A$428=A585)*('Client DB &amp; Bed Mgmt'!$B$5:$B$428=C585)*('Client DB &amp; Bed Mgmt'!$D$5:$D$428&lt;&gt;"")*--(('Client DB &amp; Bed Mgmt'!$M$5:$M$428="")+NOT(ISNUMBER('Client DB &amp; Bed Mgmt'!$M$5:$M$428))+IFERROR('Client DB &amp; Bed Mgmt'!$M$5:$M$428&lt;=EOMONTH(B585,0),FALSE)&gt;0)*--(('Client DB &amp; Bed Mgmt'!$N$5:$N$428="")+NOT(ISNUMBER('Client DB &amp; Bed Mgmt'!$N$5:$N$428))+IFERROR('Client DB &amp; Bed Mgmt'!$N$5:$N$428&gt;=DATE(YEAR(B585),MONTH(B585),1),FALSE)&gt;0)*((IF(('Client DB &amp; Bed Mgmt'!$N$5:$N$428="")+NOT(ISNUMBER('Client DB &amp; Bed Mgmt'!$N$5:$N$428)),EOMONTH(B585,0),IF('Client DB &amp; Bed Mgmt'!$N$5:$N$428&lt;EOMONTH(B585,0),'Client DB &amp; Bed Mgmt'!$N$5:$N$428,EOMONTH(B585,0))))-(IF(('Client DB &amp; Bed Mgmt'!$M$5:$M$428="")+NOT(ISNUMBER('Client DB &amp; Bed Mgmt'!$M$5:$M$428)),DATE(YEAR(B585),MONTH(B585),1),IF('Client DB &amp; Bed Mgmt'!$M$5:$M$428&gt;DATE(YEAR(B585),MONTH(B585),1),'Client DB &amp; Bed Mgmt'!$M$5:$M$428,DATE(YEAR(B585),MONTH(B585),1))))+1)/DAY(EOMONTH(B585,0))),0)</f>
        <v/>
      </c>
    </row>
    <row r="586" ht="14.25" customHeight="1" s="83">
      <c r="A586" s="103" t="n"/>
      <c r="B586" s="125">
        <f>DATE(YEAR(StartDate),MONTH(StartDate),1)</f>
        <v/>
      </c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Mgmt'!$B:$B,C586,'Client DB &amp; Bed Mgmt'!$E:$E,"Occupied"),0)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>
        <f>IFERROR(J586*SUMPRODUCT(('Client DB &amp; Bed Mgmt'!$A$5:$A$428=A586)*('Client DB &amp; Bed Mgmt'!$B$5:$B$428=C586)*('Client DB &amp; Bed Mgmt'!$D$5:$D$428&lt;&gt;"")*--(('Client DB &amp; Bed Mgmt'!$M$5:$M$428="")+NOT(ISNUMBER('Client DB &amp; Bed Mgmt'!$M$5:$M$428))+IFERROR('Client DB &amp; Bed Mgmt'!$M$5:$M$428&lt;=EOMONTH(B586,0),FALSE)&gt;0)*--(('Client DB &amp; Bed Mgmt'!$N$5:$N$428="")+NOT(ISNUMBER('Client DB &amp; Bed Mgmt'!$N$5:$N$428))+IFERROR('Client DB &amp; Bed Mgmt'!$N$5:$N$428&gt;=DATE(YEAR(B586),MONTH(B586),1),FALSE)&gt;0)*((IF(('Client DB &amp; Bed Mgmt'!$N$5:$N$428="")+NOT(ISNUMBER('Client DB &amp; Bed Mgmt'!$N$5:$N$428)),EOMONTH(B586,0),IF('Client DB &amp; Bed Mgmt'!$N$5:$N$428&lt;EOMONTH(B586,0),'Client DB &amp; Bed Mgmt'!$N$5:$N$428,EOMONTH(B586,0))))-(IF(('Client DB &amp; Bed Mgmt'!$M$5:$M$428="")+NOT(ISNUMBER('Client DB &amp; Bed Mgmt'!$M$5:$M$428)),DATE(YEAR(B586),MONTH(B586),1),IF('Client DB &amp; Bed Mgmt'!$M$5:$M$428&gt;DATE(YEAR(B586),MONTH(B586),1),'Client DB &amp; Bed Mgmt'!$M$5:$M$428,DATE(YEAR(B586),MONTH(B586),1))))+1)/DAY(EOMONTH(B586,0))),0)</f>
        <v/>
      </c>
    </row>
    <row r="587" ht="14.25" customHeight="1" s="83">
      <c r="A587" s="103" t="n"/>
      <c r="B587" s="125">
        <f>DATE(YEAR(StartDate),MONTH(StartDate),1)</f>
        <v/>
      </c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Mgmt'!$B:$B,C587,'Client DB &amp; Bed Mgmt'!$E:$E,"Occupied"),0)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>
        <f>IFERROR(J587*SUMPRODUCT(('Client DB &amp; Bed Mgmt'!$A$5:$A$428=A587)*('Client DB &amp; Bed Mgmt'!$B$5:$B$428=C587)*('Client DB &amp; Bed Mgmt'!$D$5:$D$428&lt;&gt;"")*--(('Client DB &amp; Bed Mgmt'!$M$5:$M$428="")+NOT(ISNUMBER('Client DB &amp; Bed Mgmt'!$M$5:$M$428))+IFERROR('Client DB &amp; Bed Mgmt'!$M$5:$M$428&lt;=EOMONTH(B587,0),FALSE)&gt;0)*--(('Client DB &amp; Bed Mgmt'!$N$5:$N$428="")+NOT(ISNUMBER('Client DB &amp; Bed Mgmt'!$N$5:$N$428))+IFERROR('Client DB &amp; Bed Mgmt'!$N$5:$N$428&gt;=DATE(YEAR(B587),MONTH(B587),1),FALSE)&gt;0)*((IF(('Client DB &amp; Bed Mgmt'!$N$5:$N$428="")+NOT(ISNUMBER('Client DB &amp; Bed Mgmt'!$N$5:$N$428)),EOMONTH(B587,0),IF('Client DB &amp; Bed Mgmt'!$N$5:$N$428&lt;EOMONTH(B587,0),'Client DB &amp; Bed Mgmt'!$N$5:$N$428,EOMONTH(B587,0))))-(IF(('Client DB &amp; Bed Mgmt'!$M$5:$M$428="")+NOT(ISNUMBER('Client DB &amp; Bed Mgmt'!$M$5:$M$428)),DATE(YEAR(B587),MONTH(B587),1),IF('Client DB &amp; Bed Mgmt'!$M$5:$M$428&gt;DATE(YEAR(B587),MONTH(B587),1),'Client DB &amp; Bed Mgmt'!$M$5:$M$428,DATE(YEAR(B587),MONTH(B587),1))))+1)/DAY(EOMONTH(B587,0))),0)</f>
        <v/>
      </c>
    </row>
    <row r="588" ht="14.25" customHeight="1" s="83">
      <c r="A588" s="103" t="n"/>
      <c r="B588" s="125">
        <f>DATE(YEAR(StartDate),MONTH(StartDate),1)</f>
        <v/>
      </c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Mgmt'!$B:$B,C588,'Client DB &amp; Bed Mgmt'!$E:$E,"Occupied"),0)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>
        <f>IFERROR(J588*SUMPRODUCT(('Client DB &amp; Bed Mgmt'!$A$5:$A$428=A588)*('Client DB &amp; Bed Mgmt'!$B$5:$B$428=C588)*('Client DB &amp; Bed Mgmt'!$D$5:$D$428&lt;&gt;"")*--(('Client DB &amp; Bed Mgmt'!$M$5:$M$428="")+NOT(ISNUMBER('Client DB &amp; Bed Mgmt'!$M$5:$M$428))+IFERROR('Client DB &amp; Bed Mgmt'!$M$5:$M$428&lt;=EOMONTH(B588,0),FALSE)&gt;0)*--(('Client DB &amp; Bed Mgmt'!$N$5:$N$428="")+NOT(ISNUMBER('Client DB &amp; Bed Mgmt'!$N$5:$N$428))+IFERROR('Client DB &amp; Bed Mgmt'!$N$5:$N$428&gt;=DATE(YEAR(B588),MONTH(B588),1),FALSE)&gt;0)*((IF(('Client DB &amp; Bed Mgmt'!$N$5:$N$428="")+NOT(ISNUMBER('Client DB &amp; Bed Mgmt'!$N$5:$N$428)),EOMONTH(B588,0),IF('Client DB &amp; Bed Mgmt'!$N$5:$N$428&lt;EOMONTH(B588,0),'Client DB &amp; Bed Mgmt'!$N$5:$N$428,EOMONTH(B588,0))))-(IF(('Client DB &amp; Bed Mgmt'!$M$5:$M$428="")+NOT(ISNUMBER('Client DB &amp; Bed Mgmt'!$M$5:$M$428)),DATE(YEAR(B588),MONTH(B588),1),IF('Client DB &amp; Bed Mgmt'!$M$5:$M$428&gt;DATE(YEAR(B588),MONTH(B588),1),'Client DB &amp; Bed Mgmt'!$M$5:$M$428,DATE(YEAR(B588),MONTH(B588),1))))+1)/DAY(EOMONTH(B588,0))),0)</f>
        <v/>
      </c>
    </row>
    <row r="589" ht="14.25" customHeight="1" s="83">
      <c r="A589" s="103" t="n"/>
      <c r="B589" s="125">
        <f>DATE(YEAR(StartDate),MONTH(StartDate),1)</f>
        <v/>
      </c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Mgmt'!$B:$B,C589,'Client DB &amp; Bed Mgmt'!$E:$E,"Occupied"),0)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>
        <f>IFERROR(J589*SUMPRODUCT(('Client DB &amp; Bed Mgmt'!$A$5:$A$428=A589)*('Client DB &amp; Bed Mgmt'!$B$5:$B$428=C589)*('Client DB &amp; Bed Mgmt'!$D$5:$D$428&lt;&gt;"")*--(('Client DB &amp; Bed Mgmt'!$M$5:$M$428="")+NOT(ISNUMBER('Client DB &amp; Bed Mgmt'!$M$5:$M$428))+IFERROR('Client DB &amp; Bed Mgmt'!$M$5:$M$428&lt;=EOMONTH(B589,0),FALSE)&gt;0)*--(('Client DB &amp; Bed Mgmt'!$N$5:$N$428="")+NOT(ISNUMBER('Client DB &amp; Bed Mgmt'!$N$5:$N$428))+IFERROR('Client DB &amp; Bed Mgmt'!$N$5:$N$428&gt;=DATE(YEAR(B589),MONTH(B589),1),FALSE)&gt;0)*((IF(('Client DB &amp; Bed Mgmt'!$N$5:$N$428="")+NOT(ISNUMBER('Client DB &amp; Bed Mgmt'!$N$5:$N$428)),EOMONTH(B589,0),IF('Client DB &amp; Bed Mgmt'!$N$5:$N$428&lt;EOMONTH(B589,0),'Client DB &amp; Bed Mgmt'!$N$5:$N$428,EOMONTH(B589,0))))-(IF(('Client DB &amp; Bed Mgmt'!$M$5:$M$428="")+NOT(ISNUMBER('Client DB &amp; Bed Mgmt'!$M$5:$M$428)),DATE(YEAR(B589),MONTH(B589),1),IF('Client DB &amp; Bed Mgmt'!$M$5:$M$428&gt;DATE(YEAR(B589),MONTH(B589),1),'Client DB &amp; Bed Mgmt'!$M$5:$M$428,DATE(YEAR(B589),MONTH(B589),1))))+1)/DAY(EOMONTH(B589,0))),0)</f>
        <v/>
      </c>
    </row>
    <row r="590" ht="14.25" customHeight="1" s="83">
      <c r="A590" s="103" t="n"/>
      <c r="B590" s="125">
        <f>DATE(YEAR(StartDate),MONTH(StartDate),1)</f>
        <v/>
      </c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Mgmt'!$B:$B,C590,'Client DB &amp; Bed Mgmt'!$E:$E,"Occupied"),0)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>
        <f>IFERROR(J590*SUMPRODUCT(('Client DB &amp; Bed Mgmt'!$A$5:$A$428=A590)*('Client DB &amp; Bed Mgmt'!$B$5:$B$428=C590)*('Client DB &amp; Bed Mgmt'!$D$5:$D$428&lt;&gt;"")*--(('Client DB &amp; Bed Mgmt'!$M$5:$M$428="")+NOT(ISNUMBER('Client DB &amp; Bed Mgmt'!$M$5:$M$428))+IFERROR('Client DB &amp; Bed Mgmt'!$M$5:$M$428&lt;=EOMONTH(B590,0),FALSE)&gt;0)*--(('Client DB &amp; Bed Mgmt'!$N$5:$N$428="")+NOT(ISNUMBER('Client DB &amp; Bed Mgmt'!$N$5:$N$428))+IFERROR('Client DB &amp; Bed Mgmt'!$N$5:$N$428&gt;=DATE(YEAR(B590),MONTH(B590),1),FALSE)&gt;0)*((IF(('Client DB &amp; Bed Mgmt'!$N$5:$N$428="")+NOT(ISNUMBER('Client DB &amp; Bed Mgmt'!$N$5:$N$428)),EOMONTH(B590,0),IF('Client DB &amp; Bed Mgmt'!$N$5:$N$428&lt;EOMONTH(B590,0),'Client DB &amp; Bed Mgmt'!$N$5:$N$428,EOMONTH(B590,0))))-(IF(('Client DB &amp; Bed Mgmt'!$M$5:$M$428="")+NOT(ISNUMBER('Client DB &amp; Bed Mgmt'!$M$5:$M$428)),DATE(YEAR(B590),MONTH(B590),1),IF('Client DB &amp; Bed Mgmt'!$M$5:$M$428&gt;DATE(YEAR(B590),MONTH(B590),1),'Client DB &amp; Bed Mgmt'!$M$5:$M$428,DATE(YEAR(B590),MONTH(B590),1))))+1)/DAY(EOMONTH(B590,0))),0)</f>
        <v/>
      </c>
    </row>
    <row r="591" ht="14.25" customHeight="1" s="83">
      <c r="A591" s="103" t="n"/>
      <c r="B591" s="125">
        <f>DATE(YEAR(StartDate),MONTH(StartDate),1)</f>
        <v/>
      </c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Mgmt'!$B:$B,C591,'Client DB &amp; Bed Mgmt'!$E:$E,"Occupied"),0)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>
        <f>IFERROR(J591*SUMPRODUCT(('Client DB &amp; Bed Mgmt'!$A$5:$A$428=A591)*('Client DB &amp; Bed Mgmt'!$B$5:$B$428=C591)*('Client DB &amp; Bed Mgmt'!$D$5:$D$428&lt;&gt;"")*--(('Client DB &amp; Bed Mgmt'!$M$5:$M$428="")+NOT(ISNUMBER('Client DB &amp; Bed Mgmt'!$M$5:$M$428))+IFERROR('Client DB &amp; Bed Mgmt'!$M$5:$M$428&lt;=EOMONTH(B591,0),FALSE)&gt;0)*--(('Client DB &amp; Bed Mgmt'!$N$5:$N$428="")+NOT(ISNUMBER('Client DB &amp; Bed Mgmt'!$N$5:$N$428))+IFERROR('Client DB &amp; Bed Mgmt'!$N$5:$N$428&gt;=DATE(YEAR(B591),MONTH(B591),1),FALSE)&gt;0)*((IF(('Client DB &amp; Bed Mgmt'!$N$5:$N$428="")+NOT(ISNUMBER('Client DB &amp; Bed Mgmt'!$N$5:$N$428)),EOMONTH(B591,0),IF('Client DB &amp; Bed Mgmt'!$N$5:$N$428&lt;EOMONTH(B591,0),'Client DB &amp; Bed Mgmt'!$N$5:$N$428,EOMONTH(B591,0))))-(IF(('Client DB &amp; Bed Mgmt'!$M$5:$M$428="")+NOT(ISNUMBER('Client DB &amp; Bed Mgmt'!$M$5:$M$428)),DATE(YEAR(B591),MONTH(B591),1),IF('Client DB &amp; Bed Mgmt'!$M$5:$M$428&gt;DATE(YEAR(B591),MONTH(B591),1),'Client DB &amp; Bed Mgmt'!$M$5:$M$428,DATE(YEAR(B591),MONTH(B591),1))))+1)/DAY(EOMONTH(B591,0))),0)</f>
        <v/>
      </c>
    </row>
    <row r="592" ht="14.25" customHeight="1" s="83">
      <c r="A592" s="103" t="n"/>
      <c r="B592" s="125">
        <f>DATE(YEAR(StartDate),MONTH(StartDate),1)</f>
        <v/>
      </c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Mgmt'!$B:$B,C592,'Client DB &amp; Bed Mgmt'!$E:$E,"Occupied"),0)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>
        <f>IFERROR(J592*SUMPRODUCT(('Client DB &amp; Bed Mgmt'!$A$5:$A$428=A592)*('Client DB &amp; Bed Mgmt'!$B$5:$B$428=C592)*('Client DB &amp; Bed Mgmt'!$D$5:$D$428&lt;&gt;"")*--(('Client DB &amp; Bed Mgmt'!$M$5:$M$428="")+NOT(ISNUMBER('Client DB &amp; Bed Mgmt'!$M$5:$M$428))+IFERROR('Client DB &amp; Bed Mgmt'!$M$5:$M$428&lt;=EOMONTH(B592,0),FALSE)&gt;0)*--(('Client DB &amp; Bed Mgmt'!$N$5:$N$428="")+NOT(ISNUMBER('Client DB &amp; Bed Mgmt'!$N$5:$N$428))+IFERROR('Client DB &amp; Bed Mgmt'!$N$5:$N$428&gt;=DATE(YEAR(B592),MONTH(B592),1),FALSE)&gt;0)*((IF(('Client DB &amp; Bed Mgmt'!$N$5:$N$428="")+NOT(ISNUMBER('Client DB &amp; Bed Mgmt'!$N$5:$N$428)),EOMONTH(B592,0),IF('Client DB &amp; Bed Mgmt'!$N$5:$N$428&lt;EOMONTH(B592,0),'Client DB &amp; Bed Mgmt'!$N$5:$N$428,EOMONTH(B592,0))))-(IF(('Client DB &amp; Bed Mgmt'!$M$5:$M$428="")+NOT(ISNUMBER('Client DB &amp; Bed Mgmt'!$M$5:$M$428)),DATE(YEAR(B592),MONTH(B592),1),IF('Client DB &amp; Bed Mgmt'!$M$5:$M$428&gt;DATE(YEAR(B592),MONTH(B592),1),'Client DB &amp; Bed Mgmt'!$M$5:$M$428,DATE(YEAR(B592),MONTH(B592),1))))+1)/DAY(EOMONTH(B592,0))),0)</f>
        <v/>
      </c>
    </row>
    <row r="593" ht="14.25" customHeight="1" s="83">
      <c r="A593" s="103" t="n"/>
      <c r="B593" s="125">
        <f>DATE(YEAR(StartDate),MONTH(StartDate),1)</f>
        <v/>
      </c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Mgmt'!$B:$B,C593,'Client DB &amp; Bed Mgmt'!$E:$E,"Occupied"),0)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>
        <f>IFERROR(J593*SUMPRODUCT(('Client DB &amp; Bed Mgmt'!$A$5:$A$428=A593)*('Client DB &amp; Bed Mgmt'!$B$5:$B$428=C593)*('Client DB &amp; Bed Mgmt'!$D$5:$D$428&lt;&gt;"")*--(('Client DB &amp; Bed Mgmt'!$M$5:$M$428="")+NOT(ISNUMBER('Client DB &amp; Bed Mgmt'!$M$5:$M$428))+IFERROR('Client DB &amp; Bed Mgmt'!$M$5:$M$428&lt;=EOMONTH(B593,0),FALSE)&gt;0)*--(('Client DB &amp; Bed Mgmt'!$N$5:$N$428="")+NOT(ISNUMBER('Client DB &amp; Bed Mgmt'!$N$5:$N$428))+IFERROR('Client DB &amp; Bed Mgmt'!$N$5:$N$428&gt;=DATE(YEAR(B593),MONTH(B593),1),FALSE)&gt;0)*((IF(('Client DB &amp; Bed Mgmt'!$N$5:$N$428="")+NOT(ISNUMBER('Client DB &amp; Bed Mgmt'!$N$5:$N$428)),EOMONTH(B593,0),IF('Client DB &amp; Bed Mgmt'!$N$5:$N$428&lt;EOMONTH(B593,0),'Client DB &amp; Bed Mgmt'!$N$5:$N$428,EOMONTH(B593,0))))-(IF(('Client DB &amp; Bed Mgmt'!$M$5:$M$428="")+NOT(ISNUMBER('Client DB &amp; Bed Mgmt'!$M$5:$M$428)),DATE(YEAR(B593),MONTH(B593),1),IF('Client DB &amp; Bed Mgmt'!$M$5:$M$428&gt;DATE(YEAR(B593),MONTH(B593),1),'Client DB &amp; Bed Mgmt'!$M$5:$M$428,DATE(YEAR(B593),MONTH(B593),1))))+1)/DAY(EOMONTH(B593,0))),0)</f>
        <v/>
      </c>
    </row>
    <row r="594" ht="14.25" customHeight="1" s="83">
      <c r="A594" s="103" t="n"/>
      <c r="B594" s="125">
        <f>DATE(YEAR(StartDate),MONTH(StartDate),1)</f>
        <v/>
      </c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Mgmt'!$B:$B,C594,'Client DB &amp; Bed Mgmt'!$E:$E,"Occupied"),0)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>
        <f>IFERROR(J594*SUMPRODUCT(('Client DB &amp; Bed Mgmt'!$A$5:$A$428=A594)*('Client DB &amp; Bed Mgmt'!$B$5:$B$428=C594)*('Client DB &amp; Bed Mgmt'!$D$5:$D$428&lt;&gt;"")*--(('Client DB &amp; Bed Mgmt'!$M$5:$M$428="")+NOT(ISNUMBER('Client DB &amp; Bed Mgmt'!$M$5:$M$428))+IFERROR('Client DB &amp; Bed Mgmt'!$M$5:$M$428&lt;=EOMONTH(B594,0),FALSE)&gt;0)*--(('Client DB &amp; Bed Mgmt'!$N$5:$N$428="")+NOT(ISNUMBER('Client DB &amp; Bed Mgmt'!$N$5:$N$428))+IFERROR('Client DB &amp; Bed Mgmt'!$N$5:$N$428&gt;=DATE(YEAR(B594),MONTH(B594),1),FALSE)&gt;0)*((IF(('Client DB &amp; Bed Mgmt'!$N$5:$N$428="")+NOT(ISNUMBER('Client DB &amp; Bed Mgmt'!$N$5:$N$428)),EOMONTH(B594,0),IF('Client DB &amp; Bed Mgmt'!$N$5:$N$428&lt;EOMONTH(B594,0),'Client DB &amp; Bed Mgmt'!$N$5:$N$428,EOMONTH(B594,0))))-(IF(('Client DB &amp; Bed Mgmt'!$M$5:$M$428="")+NOT(ISNUMBER('Client DB &amp; Bed Mgmt'!$M$5:$M$428)),DATE(YEAR(B594),MONTH(B594),1),IF('Client DB &amp; Bed Mgmt'!$M$5:$M$428&gt;DATE(YEAR(B594),MONTH(B594),1),'Client DB &amp; Bed Mgmt'!$M$5:$M$428,DATE(YEAR(B594),MONTH(B594),1))))+1)/DAY(EOMONTH(B594,0))),0)</f>
        <v/>
      </c>
    </row>
    <row r="595" ht="14.25" customHeight="1" s="83">
      <c r="A595" s="103" t="n"/>
      <c r="B595" s="125">
        <f>DATE(YEAR(StartDate),MONTH(StartDate),1)</f>
        <v/>
      </c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Mgmt'!$B:$B,C595,'Client DB &amp; Bed Mgmt'!$E:$E,"Occupied"),0)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>
        <f>IFERROR(J595*SUMPRODUCT(('Client DB &amp; Bed Mgmt'!$A$5:$A$428=A595)*('Client DB &amp; Bed Mgmt'!$B$5:$B$428=C595)*('Client DB &amp; Bed Mgmt'!$D$5:$D$428&lt;&gt;"")*--(('Client DB &amp; Bed Mgmt'!$M$5:$M$428="")+NOT(ISNUMBER('Client DB &amp; Bed Mgmt'!$M$5:$M$428))+IFERROR('Client DB &amp; Bed Mgmt'!$M$5:$M$428&lt;=EOMONTH(B595,0),FALSE)&gt;0)*--(('Client DB &amp; Bed Mgmt'!$N$5:$N$428="")+NOT(ISNUMBER('Client DB &amp; Bed Mgmt'!$N$5:$N$428))+IFERROR('Client DB &amp; Bed Mgmt'!$N$5:$N$428&gt;=DATE(YEAR(B595),MONTH(B595),1),FALSE)&gt;0)*((IF(('Client DB &amp; Bed Mgmt'!$N$5:$N$428="")+NOT(ISNUMBER('Client DB &amp; Bed Mgmt'!$N$5:$N$428)),EOMONTH(B595,0),IF('Client DB &amp; Bed Mgmt'!$N$5:$N$428&lt;EOMONTH(B595,0),'Client DB &amp; Bed Mgmt'!$N$5:$N$428,EOMONTH(B595,0))))-(IF(('Client DB &amp; Bed Mgmt'!$M$5:$M$428="")+NOT(ISNUMBER('Client DB &amp; Bed Mgmt'!$M$5:$M$428)),DATE(YEAR(B595),MONTH(B595),1),IF('Client DB &amp; Bed Mgmt'!$M$5:$M$428&gt;DATE(YEAR(B595),MONTH(B595),1),'Client DB &amp; Bed Mgmt'!$M$5:$M$428,DATE(YEAR(B595),MONTH(B595),1))))+1)/DAY(EOMONTH(B595,0))),0)</f>
        <v/>
      </c>
    </row>
    <row r="596" ht="14.25" customHeight="1" s="83">
      <c r="A596" s="103" t="n"/>
      <c r="B596" s="125">
        <f>DATE(YEAR(StartDate),MONTH(StartDate),1)</f>
        <v/>
      </c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Mgmt'!$B:$B,C596,'Client DB &amp; Bed Mgmt'!$E:$E,"Occupied"),0)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>
        <f>IFERROR(J596*SUMPRODUCT(('Client DB &amp; Bed Mgmt'!$A$5:$A$428=A596)*('Client DB &amp; Bed Mgmt'!$B$5:$B$428=C596)*('Client DB &amp; Bed Mgmt'!$D$5:$D$428&lt;&gt;"")*--(('Client DB &amp; Bed Mgmt'!$M$5:$M$428="")+NOT(ISNUMBER('Client DB &amp; Bed Mgmt'!$M$5:$M$428))+IFERROR('Client DB &amp; Bed Mgmt'!$M$5:$M$428&lt;=EOMONTH(B596,0),FALSE)&gt;0)*--(('Client DB &amp; Bed Mgmt'!$N$5:$N$428="")+NOT(ISNUMBER('Client DB &amp; Bed Mgmt'!$N$5:$N$428))+IFERROR('Client DB &amp; Bed Mgmt'!$N$5:$N$428&gt;=DATE(YEAR(B596),MONTH(B596),1),FALSE)&gt;0)*((IF(('Client DB &amp; Bed Mgmt'!$N$5:$N$428="")+NOT(ISNUMBER('Client DB &amp; Bed Mgmt'!$N$5:$N$428)),EOMONTH(B596,0),IF('Client DB &amp; Bed Mgmt'!$N$5:$N$428&lt;EOMONTH(B596,0),'Client DB &amp; Bed Mgmt'!$N$5:$N$428,EOMONTH(B596,0))))-(IF(('Client DB &amp; Bed Mgmt'!$M$5:$M$428="")+NOT(ISNUMBER('Client DB &amp; Bed Mgmt'!$M$5:$M$428)),DATE(YEAR(B596),MONTH(B596),1),IF('Client DB &amp; Bed Mgmt'!$M$5:$M$428&gt;DATE(YEAR(B596),MONTH(B596),1),'Client DB &amp; Bed Mgmt'!$M$5:$M$428,DATE(YEAR(B596),MONTH(B596),1))))+1)/DAY(EOMONTH(B596,0))),0)</f>
        <v/>
      </c>
    </row>
    <row r="597" ht="14.25" customHeight="1" s="83">
      <c r="A597" s="103" t="n"/>
      <c r="B597" s="125">
        <f>DATE(YEAR(StartDate),MONTH(StartDate),1)</f>
        <v/>
      </c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Mgmt'!$B:$B,C597,'Client DB &amp; Bed Mgmt'!$E:$E,"Occupied"),0)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>
        <f>IFERROR(J597*SUMPRODUCT(('Client DB &amp; Bed Mgmt'!$A$5:$A$428=A597)*('Client DB &amp; Bed Mgmt'!$B$5:$B$428=C597)*('Client DB &amp; Bed Mgmt'!$D$5:$D$428&lt;&gt;"")*--(('Client DB &amp; Bed Mgmt'!$M$5:$M$428="")+NOT(ISNUMBER('Client DB &amp; Bed Mgmt'!$M$5:$M$428))+IFERROR('Client DB &amp; Bed Mgmt'!$M$5:$M$428&lt;=EOMONTH(B597,0),FALSE)&gt;0)*--(('Client DB &amp; Bed Mgmt'!$N$5:$N$428="")+NOT(ISNUMBER('Client DB &amp; Bed Mgmt'!$N$5:$N$428))+IFERROR('Client DB &amp; Bed Mgmt'!$N$5:$N$428&gt;=DATE(YEAR(B597),MONTH(B597),1),FALSE)&gt;0)*((IF(('Client DB &amp; Bed Mgmt'!$N$5:$N$428="")+NOT(ISNUMBER('Client DB &amp; Bed Mgmt'!$N$5:$N$428)),EOMONTH(B597,0),IF('Client DB &amp; Bed Mgmt'!$N$5:$N$428&lt;EOMONTH(B597,0),'Client DB &amp; Bed Mgmt'!$N$5:$N$428,EOMONTH(B597,0))))-(IF(('Client DB &amp; Bed Mgmt'!$M$5:$M$428="")+NOT(ISNUMBER('Client DB &amp; Bed Mgmt'!$M$5:$M$428)),DATE(YEAR(B597),MONTH(B597),1),IF('Client DB &amp; Bed Mgmt'!$M$5:$M$428&gt;DATE(YEAR(B597),MONTH(B597),1),'Client DB &amp; Bed Mgmt'!$M$5:$M$428,DATE(YEAR(B597),MONTH(B597),1))))+1)/DAY(EOMONTH(B597,0))),0)</f>
        <v/>
      </c>
    </row>
    <row r="598" ht="14.25" customHeight="1" s="83">
      <c r="A598" s="103" t="n"/>
      <c r="B598" s="125">
        <f>DATE(YEAR(StartDate),MONTH(StartDate),1)</f>
        <v/>
      </c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Mgmt'!$B:$B,C598,'Client DB &amp; Bed Mgmt'!$E:$E,"Occupied"),0)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>
        <f>IFERROR(J598*SUMPRODUCT(('Client DB &amp; Bed Mgmt'!$A$5:$A$428=A598)*('Client DB &amp; Bed Mgmt'!$B$5:$B$428=C598)*('Client DB &amp; Bed Mgmt'!$D$5:$D$428&lt;&gt;"")*--(('Client DB &amp; Bed Mgmt'!$M$5:$M$428="")+NOT(ISNUMBER('Client DB &amp; Bed Mgmt'!$M$5:$M$428))+IFERROR('Client DB &amp; Bed Mgmt'!$M$5:$M$428&lt;=EOMONTH(B598,0),FALSE)&gt;0)*--(('Client DB &amp; Bed Mgmt'!$N$5:$N$428="")+NOT(ISNUMBER('Client DB &amp; Bed Mgmt'!$N$5:$N$428))+IFERROR('Client DB &amp; Bed Mgmt'!$N$5:$N$428&gt;=DATE(YEAR(B598),MONTH(B598),1),FALSE)&gt;0)*((IF(('Client DB &amp; Bed Mgmt'!$N$5:$N$428="")+NOT(ISNUMBER('Client DB &amp; Bed Mgmt'!$N$5:$N$428)),EOMONTH(B598,0),IF('Client DB &amp; Bed Mgmt'!$N$5:$N$428&lt;EOMONTH(B598,0),'Client DB &amp; Bed Mgmt'!$N$5:$N$428,EOMONTH(B598,0))))-(IF(('Client DB &amp; Bed Mgmt'!$M$5:$M$428="")+NOT(ISNUMBER('Client DB &amp; Bed Mgmt'!$M$5:$M$428)),DATE(YEAR(B598),MONTH(B598),1),IF('Client DB &amp; Bed Mgmt'!$M$5:$M$428&gt;DATE(YEAR(B598),MONTH(B598),1),'Client DB &amp; Bed Mgmt'!$M$5:$M$428,DATE(YEAR(B598),MONTH(B598),1))))+1)/DAY(EOMONTH(B598,0))),0)</f>
        <v/>
      </c>
    </row>
    <row r="599" ht="14.25" customHeight="1" s="83">
      <c r="A599" s="103" t="n"/>
      <c r="B599" s="125">
        <f>DATE(YEAR(StartDate),MONTH(StartDate),1)</f>
        <v/>
      </c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Mgmt'!$B:$B,C599,'Client DB &amp; Bed Mgmt'!$E:$E,"Occupied"),0)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>
        <f>IFERROR(J599*SUMPRODUCT(('Client DB &amp; Bed Mgmt'!$A$5:$A$428=A599)*('Client DB &amp; Bed Mgmt'!$B$5:$B$428=C599)*('Client DB &amp; Bed Mgmt'!$D$5:$D$428&lt;&gt;"")*--(('Client DB &amp; Bed Mgmt'!$M$5:$M$428="")+NOT(ISNUMBER('Client DB &amp; Bed Mgmt'!$M$5:$M$428))+IFERROR('Client DB &amp; Bed Mgmt'!$M$5:$M$428&lt;=EOMONTH(B599,0),FALSE)&gt;0)*--(('Client DB &amp; Bed Mgmt'!$N$5:$N$428="")+NOT(ISNUMBER('Client DB &amp; Bed Mgmt'!$N$5:$N$428))+IFERROR('Client DB &amp; Bed Mgmt'!$N$5:$N$428&gt;=DATE(YEAR(B599),MONTH(B599),1),FALSE)&gt;0)*((IF(('Client DB &amp; Bed Mgmt'!$N$5:$N$428="")+NOT(ISNUMBER('Client DB &amp; Bed Mgmt'!$N$5:$N$428)),EOMONTH(B599,0),IF('Client DB &amp; Bed Mgmt'!$N$5:$N$428&lt;EOMONTH(B599,0),'Client DB &amp; Bed Mgmt'!$N$5:$N$428,EOMONTH(B599,0))))-(IF(('Client DB &amp; Bed Mgmt'!$M$5:$M$428="")+NOT(ISNUMBER('Client DB &amp; Bed Mgmt'!$M$5:$M$428)),DATE(YEAR(B599),MONTH(B599),1),IF('Client DB &amp; Bed Mgmt'!$M$5:$M$428&gt;DATE(YEAR(B599),MONTH(B599),1),'Client DB &amp; Bed Mgmt'!$M$5:$M$428,DATE(YEAR(B599),MONTH(B599),1))))+1)/DAY(EOMONTH(B599,0))),0)</f>
        <v/>
      </c>
    </row>
    <row r="600" ht="14.25" customHeight="1" s="83">
      <c r="A600" s="103" t="n"/>
      <c r="B600" s="125">
        <f>DATE(YEAR(StartDate),MONTH(StartDate),1)</f>
        <v/>
      </c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Mgmt'!$B:$B,C600,'Client DB &amp; Bed Mgmt'!$E:$E,"Occupied"),0)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>
        <f>IFERROR(J600*SUMPRODUCT(('Client DB &amp; Bed Mgmt'!$A$5:$A$428=A600)*('Client DB &amp; Bed Mgmt'!$B$5:$B$428=C600)*('Client DB &amp; Bed Mgmt'!$D$5:$D$428&lt;&gt;"")*--(('Client DB &amp; Bed Mgmt'!$M$5:$M$428="")+NOT(ISNUMBER('Client DB &amp; Bed Mgmt'!$M$5:$M$428))+IFERROR('Client DB &amp; Bed Mgmt'!$M$5:$M$428&lt;=EOMONTH(B600,0),FALSE)&gt;0)*--(('Client DB &amp; Bed Mgmt'!$N$5:$N$428="")+NOT(ISNUMBER('Client DB &amp; Bed Mgmt'!$N$5:$N$428))+IFERROR('Client DB &amp; Bed Mgmt'!$N$5:$N$428&gt;=DATE(YEAR(B600),MONTH(B600),1),FALSE)&gt;0)*((IF(('Client DB &amp; Bed Mgmt'!$N$5:$N$428="")+NOT(ISNUMBER('Client DB &amp; Bed Mgmt'!$N$5:$N$428)),EOMONTH(B600,0),IF('Client DB &amp; Bed Mgmt'!$N$5:$N$428&lt;EOMONTH(B600,0),'Client DB &amp; Bed Mgmt'!$N$5:$N$428,EOMONTH(B600,0))))-(IF(('Client DB &amp; Bed Mgmt'!$M$5:$M$428="")+NOT(ISNUMBER('Client DB &amp; Bed Mgmt'!$M$5:$M$428)),DATE(YEAR(B600),MONTH(B600),1),IF('Client DB &amp; Bed Mgmt'!$M$5:$M$428&gt;DATE(YEAR(B600),MONTH(B600),1),'Client DB &amp; Bed Mgmt'!$M$5:$M$428,DATE(YEAR(B600),MONTH(B600),1))))+1)/DAY(EOMONTH(B600,0))),0)</f>
        <v/>
      </c>
    </row>
    <row r="601" ht="14.25" customHeight="1" s="83">
      <c r="A601" s="103" t="n"/>
      <c r="B601" s="125">
        <f>DATE(YEAR(StartDate),MONTH(StartDate),1)</f>
        <v/>
      </c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Mgmt'!$B:$B,C601,'Client DB &amp; Bed Mgmt'!$E:$E,"Occupied"),0)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>
        <f>IFERROR(J601*SUMPRODUCT(('Client DB &amp; Bed Mgmt'!$A$5:$A$428=A601)*('Client DB &amp; Bed Mgmt'!$B$5:$B$428=C601)*('Client DB &amp; Bed Mgmt'!$D$5:$D$428&lt;&gt;"")*--(('Client DB &amp; Bed Mgmt'!$M$5:$M$428="")+NOT(ISNUMBER('Client DB &amp; Bed Mgmt'!$M$5:$M$428))+IFERROR('Client DB &amp; Bed Mgmt'!$M$5:$M$428&lt;=EOMONTH(B601,0),FALSE)&gt;0)*--(('Client DB &amp; Bed Mgmt'!$N$5:$N$428="")+NOT(ISNUMBER('Client DB &amp; Bed Mgmt'!$N$5:$N$428))+IFERROR('Client DB &amp; Bed Mgmt'!$N$5:$N$428&gt;=DATE(YEAR(B601),MONTH(B601),1),FALSE)&gt;0)*((IF(('Client DB &amp; Bed Mgmt'!$N$5:$N$428="")+NOT(ISNUMBER('Client DB &amp; Bed Mgmt'!$N$5:$N$428)),EOMONTH(B601,0),IF('Client DB &amp; Bed Mgmt'!$N$5:$N$428&lt;EOMONTH(B601,0),'Client DB &amp; Bed Mgmt'!$N$5:$N$428,EOMONTH(B601,0))))-(IF(('Client DB &amp; Bed Mgmt'!$M$5:$M$428="")+NOT(ISNUMBER('Client DB &amp; Bed Mgmt'!$M$5:$M$428)),DATE(YEAR(B601),MONTH(B601),1),IF('Client DB &amp; Bed Mgmt'!$M$5:$M$428&gt;DATE(YEAR(B601),MONTH(B601),1),'Client DB &amp; Bed Mgmt'!$M$5:$M$428,DATE(YEAR(B601),MONTH(B601),1))))+1)/DAY(EOMONTH(B601,0))),0)</f>
        <v/>
      </c>
    </row>
    <row r="602" ht="14.25" customHeight="1" s="83">
      <c r="A602" s="103" t="n"/>
      <c r="B602" s="125">
        <f>DATE(YEAR(StartDate),MONTH(StartDate),1)</f>
        <v/>
      </c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Mgmt'!$B:$B,C602,'Client DB &amp; Bed Mgmt'!$E:$E,"Occupied"),0)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>
        <f>IFERROR(J602*SUMPRODUCT(('Client DB &amp; Bed Mgmt'!$A$5:$A$428=A602)*('Client DB &amp; Bed Mgmt'!$B$5:$B$428=C602)*('Client DB &amp; Bed Mgmt'!$D$5:$D$428&lt;&gt;"")*--(('Client DB &amp; Bed Mgmt'!$M$5:$M$428="")+NOT(ISNUMBER('Client DB &amp; Bed Mgmt'!$M$5:$M$428))+IFERROR('Client DB &amp; Bed Mgmt'!$M$5:$M$428&lt;=EOMONTH(B602,0),FALSE)&gt;0)*--(('Client DB &amp; Bed Mgmt'!$N$5:$N$428="")+NOT(ISNUMBER('Client DB &amp; Bed Mgmt'!$N$5:$N$428))+IFERROR('Client DB &amp; Bed Mgmt'!$N$5:$N$428&gt;=DATE(YEAR(B602),MONTH(B602),1),FALSE)&gt;0)*((IF(('Client DB &amp; Bed Mgmt'!$N$5:$N$428="")+NOT(ISNUMBER('Client DB &amp; Bed Mgmt'!$N$5:$N$428)),EOMONTH(B602,0),IF('Client DB &amp; Bed Mgmt'!$N$5:$N$428&lt;EOMONTH(B602,0),'Client DB &amp; Bed Mgmt'!$N$5:$N$428,EOMONTH(B602,0))))-(IF(('Client DB &amp; Bed Mgmt'!$M$5:$M$428="")+NOT(ISNUMBER('Client DB &amp; Bed Mgmt'!$M$5:$M$428)),DATE(YEAR(B602),MONTH(B602),1),IF('Client DB &amp; Bed Mgmt'!$M$5:$M$428&gt;DATE(YEAR(B602),MONTH(B602),1),'Client DB &amp; Bed Mgmt'!$M$5:$M$428,DATE(YEAR(B602),MONTH(B602),1))))+1)/DAY(EOMONTH(B602,0))),0)</f>
        <v/>
      </c>
    </row>
    <row r="603" ht="14.25" customHeight="1" s="83">
      <c r="A603" s="103" t="n"/>
      <c r="B603" s="125">
        <f>DATE(YEAR(StartDate),MONTH(StartDate),1)</f>
        <v/>
      </c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Mgmt'!$B:$B,C603,'Client DB &amp; Bed Mgmt'!$E:$E,"Occupied"),0)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>
        <f>IFERROR(J603*SUMPRODUCT(('Client DB &amp; Bed Mgmt'!$A$5:$A$428=A603)*('Client DB &amp; Bed Mgmt'!$B$5:$B$428=C603)*('Client DB &amp; Bed Mgmt'!$D$5:$D$428&lt;&gt;"")*--(('Client DB &amp; Bed Mgmt'!$M$5:$M$428="")+NOT(ISNUMBER('Client DB &amp; Bed Mgmt'!$M$5:$M$428))+IFERROR('Client DB &amp; Bed Mgmt'!$M$5:$M$428&lt;=EOMONTH(B603,0),FALSE)&gt;0)*--(('Client DB &amp; Bed Mgmt'!$N$5:$N$428="")+NOT(ISNUMBER('Client DB &amp; Bed Mgmt'!$N$5:$N$428))+IFERROR('Client DB &amp; Bed Mgmt'!$N$5:$N$428&gt;=DATE(YEAR(B603),MONTH(B603),1),FALSE)&gt;0)*((IF(('Client DB &amp; Bed Mgmt'!$N$5:$N$428="")+NOT(ISNUMBER('Client DB &amp; Bed Mgmt'!$N$5:$N$428)),EOMONTH(B603,0),IF('Client DB &amp; Bed Mgmt'!$N$5:$N$428&lt;EOMONTH(B603,0),'Client DB &amp; Bed Mgmt'!$N$5:$N$428,EOMONTH(B603,0))))-(IF(('Client DB &amp; Bed Mgmt'!$M$5:$M$428="")+NOT(ISNUMBER('Client DB &amp; Bed Mgmt'!$M$5:$M$428)),DATE(YEAR(B603),MONTH(B603),1),IF('Client DB &amp; Bed Mgmt'!$M$5:$M$428&gt;DATE(YEAR(B603),MONTH(B603),1),'Client DB &amp; Bed Mgmt'!$M$5:$M$428,DATE(YEAR(B603),MONTH(B603),1))))+1)/DAY(EOMONTH(B603,0))),0)</f>
        <v/>
      </c>
    </row>
    <row r="604" ht="14.25" customHeight="1" s="83">
      <c r="A604" s="103" t="n"/>
      <c r="B604" s="125">
        <f>DATE(YEAR(StartDate),MONTH(StartDate),1)</f>
        <v/>
      </c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Mgmt'!$B:$B,C604,'Client DB &amp; Bed Mgmt'!$E:$E,"Occupied"),0)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>
        <f>IFERROR(J604*SUMPRODUCT(('Client DB &amp; Bed Mgmt'!$A$5:$A$428=A604)*('Client DB &amp; Bed Mgmt'!$B$5:$B$428=C604)*('Client DB &amp; Bed Mgmt'!$D$5:$D$428&lt;&gt;"")*--(('Client DB &amp; Bed Mgmt'!$M$5:$M$428="")+NOT(ISNUMBER('Client DB &amp; Bed Mgmt'!$M$5:$M$428))+IFERROR('Client DB &amp; Bed Mgmt'!$M$5:$M$428&lt;=EOMONTH(B604,0),FALSE)&gt;0)*--(('Client DB &amp; Bed Mgmt'!$N$5:$N$428="")+NOT(ISNUMBER('Client DB &amp; Bed Mgmt'!$N$5:$N$428))+IFERROR('Client DB &amp; Bed Mgmt'!$N$5:$N$428&gt;=DATE(YEAR(B604),MONTH(B604),1),FALSE)&gt;0)*((IF(('Client DB &amp; Bed Mgmt'!$N$5:$N$428="")+NOT(ISNUMBER('Client DB &amp; Bed Mgmt'!$N$5:$N$428)),EOMONTH(B604,0),IF('Client DB &amp; Bed Mgmt'!$N$5:$N$428&lt;EOMONTH(B604,0),'Client DB &amp; Bed Mgmt'!$N$5:$N$428,EOMONTH(B604,0))))-(IF(('Client DB &amp; Bed Mgmt'!$M$5:$M$428="")+NOT(ISNUMBER('Client DB &amp; Bed Mgmt'!$M$5:$M$428)),DATE(YEAR(B604),MONTH(B604),1),IF('Client DB &amp; Bed Mgmt'!$M$5:$M$428&gt;DATE(YEAR(B604),MONTH(B604),1),'Client DB &amp; Bed Mgmt'!$M$5:$M$428,DATE(YEAR(B604),MONTH(B604),1))))+1)/DAY(EOMONTH(B604,0))),0)</f>
        <v/>
      </c>
    </row>
    <row r="605" ht="14.25" customHeight="1" s="83">
      <c r="A605" s="103" t="n"/>
      <c r="B605" s="125">
        <f>DATE(YEAR(StartDate),MONTH(StartDate),1)</f>
        <v/>
      </c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Mgmt'!$B:$B,C605,'Client DB &amp; Bed Mgmt'!$E:$E,"Occupied"),0)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>
        <f>IFERROR(J605*SUMPRODUCT(('Client DB &amp; Bed Mgmt'!$A$5:$A$428=A605)*('Client DB &amp; Bed Mgmt'!$B$5:$B$428=C605)*('Client DB &amp; Bed Mgmt'!$D$5:$D$428&lt;&gt;"")*--(('Client DB &amp; Bed Mgmt'!$M$5:$M$428="")+NOT(ISNUMBER('Client DB &amp; Bed Mgmt'!$M$5:$M$428))+IFERROR('Client DB &amp; Bed Mgmt'!$M$5:$M$428&lt;=EOMONTH(B605,0),FALSE)&gt;0)*--(('Client DB &amp; Bed Mgmt'!$N$5:$N$428="")+NOT(ISNUMBER('Client DB &amp; Bed Mgmt'!$N$5:$N$428))+IFERROR('Client DB &amp; Bed Mgmt'!$N$5:$N$428&gt;=DATE(YEAR(B605),MONTH(B605),1),FALSE)&gt;0)*((IF(('Client DB &amp; Bed Mgmt'!$N$5:$N$428="")+NOT(ISNUMBER('Client DB &amp; Bed Mgmt'!$N$5:$N$428)),EOMONTH(B605,0),IF('Client DB &amp; Bed Mgmt'!$N$5:$N$428&lt;EOMONTH(B605,0),'Client DB &amp; Bed Mgmt'!$N$5:$N$428,EOMONTH(B605,0))))-(IF(('Client DB &amp; Bed Mgmt'!$M$5:$M$428="")+NOT(ISNUMBER('Client DB &amp; Bed Mgmt'!$M$5:$M$428)),DATE(YEAR(B605),MONTH(B605),1),IF('Client DB &amp; Bed Mgmt'!$M$5:$M$428&gt;DATE(YEAR(B605),MONTH(B605),1),'Client DB &amp; Bed Mgmt'!$M$5:$M$428,DATE(YEAR(B605),MONTH(B605),1))))+1)/DAY(EOMONTH(B605,0))),0)</f>
        <v/>
      </c>
    </row>
    <row r="606" ht="14.25" customHeight="1" s="83">
      <c r="A606" s="103" t="n"/>
      <c r="B606" s="125">
        <f>DATE(YEAR(StartDate),MONTH(StartDate),1)</f>
        <v/>
      </c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Mgmt'!$B:$B,C606,'Client DB &amp; Bed Mgmt'!$E:$E,"Occupied"),0)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>
        <f>IFERROR(J606*SUMPRODUCT(('Client DB &amp; Bed Mgmt'!$A$5:$A$428=A606)*('Client DB &amp; Bed Mgmt'!$B$5:$B$428=C606)*('Client DB &amp; Bed Mgmt'!$D$5:$D$428&lt;&gt;"")*--(('Client DB &amp; Bed Mgmt'!$M$5:$M$428="")+NOT(ISNUMBER('Client DB &amp; Bed Mgmt'!$M$5:$M$428))+IFERROR('Client DB &amp; Bed Mgmt'!$M$5:$M$428&lt;=EOMONTH(B606,0),FALSE)&gt;0)*--(('Client DB &amp; Bed Mgmt'!$N$5:$N$428="")+NOT(ISNUMBER('Client DB &amp; Bed Mgmt'!$N$5:$N$428))+IFERROR('Client DB &amp; Bed Mgmt'!$N$5:$N$428&gt;=DATE(YEAR(B606),MONTH(B606),1),FALSE)&gt;0)*((IF(('Client DB &amp; Bed Mgmt'!$N$5:$N$428="")+NOT(ISNUMBER('Client DB &amp; Bed Mgmt'!$N$5:$N$428)),EOMONTH(B606,0),IF('Client DB &amp; Bed Mgmt'!$N$5:$N$428&lt;EOMONTH(B606,0),'Client DB &amp; Bed Mgmt'!$N$5:$N$428,EOMONTH(B606,0))))-(IF(('Client DB &amp; Bed Mgmt'!$M$5:$M$428="")+NOT(ISNUMBER('Client DB &amp; Bed Mgmt'!$M$5:$M$428)),DATE(YEAR(B606),MONTH(B606),1),IF('Client DB &amp; Bed Mgmt'!$M$5:$M$428&gt;DATE(YEAR(B606),MONTH(B606),1),'Client DB &amp; Bed Mgmt'!$M$5:$M$428,DATE(YEAR(B606),MONTH(B606),1))))+1)/DAY(EOMONTH(B606,0))),0)</f>
        <v/>
      </c>
    </row>
    <row r="607" ht="14.25" customHeight="1" s="83">
      <c r="A607" s="103" t="n"/>
      <c r="B607" s="125">
        <f>DATE(YEAR(StartDate),MONTH(StartDate),1)</f>
        <v/>
      </c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Mgmt'!$B:$B,C607,'Client DB &amp; Bed Mgmt'!$E:$E,"Occupied"),0)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>
        <f>IFERROR(J607*SUMPRODUCT(('Client DB &amp; Bed Mgmt'!$A$5:$A$428=A607)*('Client DB &amp; Bed Mgmt'!$B$5:$B$428=C607)*('Client DB &amp; Bed Mgmt'!$D$5:$D$428&lt;&gt;"")*--(('Client DB &amp; Bed Mgmt'!$M$5:$M$428="")+NOT(ISNUMBER('Client DB &amp; Bed Mgmt'!$M$5:$M$428))+IFERROR('Client DB &amp; Bed Mgmt'!$M$5:$M$428&lt;=EOMONTH(B607,0),FALSE)&gt;0)*--(('Client DB &amp; Bed Mgmt'!$N$5:$N$428="")+NOT(ISNUMBER('Client DB &amp; Bed Mgmt'!$N$5:$N$428))+IFERROR('Client DB &amp; Bed Mgmt'!$N$5:$N$428&gt;=DATE(YEAR(B607),MONTH(B607),1),FALSE)&gt;0)*((IF(('Client DB &amp; Bed Mgmt'!$N$5:$N$428="")+NOT(ISNUMBER('Client DB &amp; Bed Mgmt'!$N$5:$N$428)),EOMONTH(B607,0),IF('Client DB &amp; Bed Mgmt'!$N$5:$N$428&lt;EOMONTH(B607,0),'Client DB &amp; Bed Mgmt'!$N$5:$N$428,EOMONTH(B607,0))))-(IF(('Client DB &amp; Bed Mgmt'!$M$5:$M$428="")+NOT(ISNUMBER('Client DB &amp; Bed Mgmt'!$M$5:$M$428)),DATE(YEAR(B607),MONTH(B607),1),IF('Client DB &amp; Bed Mgmt'!$M$5:$M$428&gt;DATE(YEAR(B607),MONTH(B607),1),'Client DB &amp; Bed Mgmt'!$M$5:$M$428,DATE(YEAR(B607),MONTH(B607),1))))+1)/DAY(EOMONTH(B607,0))),0)</f>
        <v/>
      </c>
    </row>
    <row r="608" ht="14.25" customHeight="1" s="83">
      <c r="A608" s="103" t="n"/>
      <c r="B608" s="125">
        <f>DATE(YEAR(StartDate),MONTH(StartDate),1)</f>
        <v/>
      </c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Mgmt'!$B:$B,C608,'Client DB &amp; Bed Mgmt'!$E:$E,"Occupied"),0)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>
        <f>IFERROR(J608*SUMPRODUCT(('Client DB &amp; Bed Mgmt'!$A$5:$A$428=A608)*('Client DB &amp; Bed Mgmt'!$B$5:$B$428=C608)*('Client DB &amp; Bed Mgmt'!$D$5:$D$428&lt;&gt;"")*--(('Client DB &amp; Bed Mgmt'!$M$5:$M$428="")+NOT(ISNUMBER('Client DB &amp; Bed Mgmt'!$M$5:$M$428))+IFERROR('Client DB &amp; Bed Mgmt'!$M$5:$M$428&lt;=EOMONTH(B608,0),FALSE)&gt;0)*--(('Client DB &amp; Bed Mgmt'!$N$5:$N$428="")+NOT(ISNUMBER('Client DB &amp; Bed Mgmt'!$N$5:$N$428))+IFERROR('Client DB &amp; Bed Mgmt'!$N$5:$N$428&gt;=DATE(YEAR(B608),MONTH(B608),1),FALSE)&gt;0)*((IF(('Client DB &amp; Bed Mgmt'!$N$5:$N$428="")+NOT(ISNUMBER('Client DB &amp; Bed Mgmt'!$N$5:$N$428)),EOMONTH(B608,0),IF('Client DB &amp; Bed Mgmt'!$N$5:$N$428&lt;EOMONTH(B608,0),'Client DB &amp; Bed Mgmt'!$N$5:$N$428,EOMONTH(B608,0))))-(IF(('Client DB &amp; Bed Mgmt'!$M$5:$M$428="")+NOT(ISNUMBER('Client DB &amp; Bed Mgmt'!$M$5:$M$428)),DATE(YEAR(B608),MONTH(B608),1),IF('Client DB &amp; Bed Mgmt'!$M$5:$M$428&gt;DATE(YEAR(B608),MONTH(B608),1),'Client DB &amp; Bed Mgmt'!$M$5:$M$428,DATE(YEAR(B608),MONTH(B608),1))))+1)/DAY(EOMONTH(B608,0))),0)</f>
        <v/>
      </c>
    </row>
    <row r="609" ht="14.25" customHeight="1" s="83">
      <c r="A609" s="103" t="n"/>
      <c r="B609" s="125">
        <f>DATE(YEAR(StartDate),MONTH(StartDate),1)</f>
        <v/>
      </c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Mgmt'!$B:$B,C609,'Client DB &amp; Bed Mgmt'!$E:$E,"Occupied"),0)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>
        <f>IFERROR(J609*SUMPRODUCT(('Client DB &amp; Bed Mgmt'!$A$5:$A$428=A609)*('Client DB &amp; Bed Mgmt'!$B$5:$B$428=C609)*('Client DB &amp; Bed Mgmt'!$D$5:$D$428&lt;&gt;"")*--(('Client DB &amp; Bed Mgmt'!$M$5:$M$428="")+NOT(ISNUMBER('Client DB &amp; Bed Mgmt'!$M$5:$M$428))+IFERROR('Client DB &amp; Bed Mgmt'!$M$5:$M$428&lt;=EOMONTH(B609,0),FALSE)&gt;0)*--(('Client DB &amp; Bed Mgmt'!$N$5:$N$428="")+NOT(ISNUMBER('Client DB &amp; Bed Mgmt'!$N$5:$N$428))+IFERROR('Client DB &amp; Bed Mgmt'!$N$5:$N$428&gt;=DATE(YEAR(B609),MONTH(B609),1),FALSE)&gt;0)*((IF(('Client DB &amp; Bed Mgmt'!$N$5:$N$428="")+NOT(ISNUMBER('Client DB &amp; Bed Mgmt'!$N$5:$N$428)),EOMONTH(B609,0),IF('Client DB &amp; Bed Mgmt'!$N$5:$N$428&lt;EOMONTH(B609,0),'Client DB &amp; Bed Mgmt'!$N$5:$N$428,EOMONTH(B609,0))))-(IF(('Client DB &amp; Bed Mgmt'!$M$5:$M$428="")+NOT(ISNUMBER('Client DB &amp; Bed Mgmt'!$M$5:$M$428)),DATE(YEAR(B609),MONTH(B609),1),IF('Client DB &amp; Bed Mgmt'!$M$5:$M$428&gt;DATE(YEAR(B609),MONTH(B609),1),'Client DB &amp; Bed Mgmt'!$M$5:$M$428,DATE(YEAR(B609),MONTH(B609),1))))+1)/DAY(EOMONTH(B609,0))),0)</f>
        <v/>
      </c>
    </row>
    <row r="610" ht="14.25" customHeight="1" s="83">
      <c r="A610" s="103" t="n"/>
      <c r="B610" s="125">
        <f>DATE(YEAR(StartDate),MONTH(StartDate),1)</f>
        <v/>
      </c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Mgmt'!$B:$B,C610,'Client DB &amp; Bed Mgmt'!$E:$E,"Occupied"),0)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>
        <f>IFERROR(J610*SUMPRODUCT(('Client DB &amp; Bed Mgmt'!$A$5:$A$428=A610)*('Client DB &amp; Bed Mgmt'!$B$5:$B$428=C610)*('Client DB &amp; Bed Mgmt'!$D$5:$D$428&lt;&gt;"")*--(('Client DB &amp; Bed Mgmt'!$M$5:$M$428="")+NOT(ISNUMBER('Client DB &amp; Bed Mgmt'!$M$5:$M$428))+IFERROR('Client DB &amp; Bed Mgmt'!$M$5:$M$428&lt;=EOMONTH(B610,0),FALSE)&gt;0)*--(('Client DB &amp; Bed Mgmt'!$N$5:$N$428="")+NOT(ISNUMBER('Client DB &amp; Bed Mgmt'!$N$5:$N$428))+IFERROR('Client DB &amp; Bed Mgmt'!$N$5:$N$428&gt;=DATE(YEAR(B610),MONTH(B610),1),FALSE)&gt;0)*((IF(('Client DB &amp; Bed Mgmt'!$N$5:$N$428="")+NOT(ISNUMBER('Client DB &amp; Bed Mgmt'!$N$5:$N$428)),EOMONTH(B610,0),IF('Client DB &amp; Bed Mgmt'!$N$5:$N$428&lt;EOMONTH(B610,0),'Client DB &amp; Bed Mgmt'!$N$5:$N$428,EOMONTH(B610,0))))-(IF(('Client DB &amp; Bed Mgmt'!$M$5:$M$428="")+NOT(ISNUMBER('Client DB &amp; Bed Mgmt'!$M$5:$M$428)),DATE(YEAR(B610),MONTH(B610),1),IF('Client DB &amp; Bed Mgmt'!$M$5:$M$428&gt;DATE(YEAR(B610),MONTH(B610),1),'Client DB &amp; Bed Mgmt'!$M$5:$M$428,DATE(YEAR(B610),MONTH(B610),1))))+1)/DAY(EOMONTH(B610,0))),0)</f>
        <v/>
      </c>
    </row>
    <row r="611" ht="14.25" customHeight="1" s="83">
      <c r="A611" s="103" t="n"/>
      <c r="B611" s="125">
        <f>DATE(YEAR(StartDate),MONTH(StartDate),1)</f>
        <v/>
      </c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Mgmt'!$B:$B,C611,'Client DB &amp; Bed Mgmt'!$E:$E,"Occupied"),0)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>
        <f>IFERROR(J611*SUMPRODUCT(('Client DB &amp; Bed Mgmt'!$A$5:$A$428=A611)*('Client DB &amp; Bed Mgmt'!$B$5:$B$428=C611)*('Client DB &amp; Bed Mgmt'!$D$5:$D$428&lt;&gt;"")*--(('Client DB &amp; Bed Mgmt'!$M$5:$M$428="")+NOT(ISNUMBER('Client DB &amp; Bed Mgmt'!$M$5:$M$428))+IFERROR('Client DB &amp; Bed Mgmt'!$M$5:$M$428&lt;=EOMONTH(B611,0),FALSE)&gt;0)*--(('Client DB &amp; Bed Mgmt'!$N$5:$N$428="")+NOT(ISNUMBER('Client DB &amp; Bed Mgmt'!$N$5:$N$428))+IFERROR('Client DB &amp; Bed Mgmt'!$N$5:$N$428&gt;=DATE(YEAR(B611),MONTH(B611),1),FALSE)&gt;0)*((IF(('Client DB &amp; Bed Mgmt'!$N$5:$N$428="")+NOT(ISNUMBER('Client DB &amp; Bed Mgmt'!$N$5:$N$428)),EOMONTH(B611,0),IF('Client DB &amp; Bed Mgmt'!$N$5:$N$428&lt;EOMONTH(B611,0),'Client DB &amp; Bed Mgmt'!$N$5:$N$428,EOMONTH(B611,0))))-(IF(('Client DB &amp; Bed Mgmt'!$M$5:$M$428="")+NOT(ISNUMBER('Client DB &amp; Bed Mgmt'!$M$5:$M$428)),DATE(YEAR(B611),MONTH(B611),1),IF('Client DB &amp; Bed Mgmt'!$M$5:$M$428&gt;DATE(YEAR(B611),MONTH(B611),1),'Client DB &amp; Bed Mgmt'!$M$5:$M$428,DATE(YEAR(B611),MONTH(B611),1))))+1)/DAY(EOMONTH(B611,0))),0)</f>
        <v/>
      </c>
    </row>
    <row r="612" ht="14.25" customHeight="1" s="83">
      <c r="A612" s="103" t="n"/>
      <c r="B612" s="125">
        <f>DATE(YEAR(StartDate),MONTH(StartDate),1)</f>
        <v/>
      </c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Mgmt'!$B:$B,C612,'Client DB &amp; Bed Mgmt'!$E:$E,"Occupied"),0)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>
        <f>IFERROR(J612*SUMPRODUCT(('Client DB &amp; Bed Mgmt'!$A$5:$A$428=A612)*('Client DB &amp; Bed Mgmt'!$B$5:$B$428=C612)*('Client DB &amp; Bed Mgmt'!$D$5:$D$428&lt;&gt;"")*--(('Client DB &amp; Bed Mgmt'!$M$5:$M$428="")+NOT(ISNUMBER('Client DB &amp; Bed Mgmt'!$M$5:$M$428))+IFERROR('Client DB &amp; Bed Mgmt'!$M$5:$M$428&lt;=EOMONTH(B612,0),FALSE)&gt;0)*--(('Client DB &amp; Bed Mgmt'!$N$5:$N$428="")+NOT(ISNUMBER('Client DB &amp; Bed Mgmt'!$N$5:$N$428))+IFERROR('Client DB &amp; Bed Mgmt'!$N$5:$N$428&gt;=DATE(YEAR(B612),MONTH(B612),1),FALSE)&gt;0)*((IF(('Client DB &amp; Bed Mgmt'!$N$5:$N$428="")+NOT(ISNUMBER('Client DB &amp; Bed Mgmt'!$N$5:$N$428)),EOMONTH(B612,0),IF('Client DB &amp; Bed Mgmt'!$N$5:$N$428&lt;EOMONTH(B612,0),'Client DB &amp; Bed Mgmt'!$N$5:$N$428,EOMONTH(B612,0))))-(IF(('Client DB &amp; Bed Mgmt'!$M$5:$M$428="")+NOT(ISNUMBER('Client DB &amp; Bed Mgmt'!$M$5:$M$428)),DATE(YEAR(B612),MONTH(B612),1),IF('Client DB &amp; Bed Mgmt'!$M$5:$M$428&gt;DATE(YEAR(B612),MONTH(B612),1),'Client DB &amp; Bed Mgmt'!$M$5:$M$428,DATE(YEAR(B612),MONTH(B612),1))))+1)/DAY(EOMONTH(B612,0))),0)</f>
        <v/>
      </c>
    </row>
    <row r="613" ht="14.25" customHeight="1" s="83">
      <c r="A613" s="103" t="n"/>
      <c r="B613" s="125">
        <f>DATE(YEAR(StartDate),MONTH(StartDate),1)</f>
        <v/>
      </c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Mgmt'!$B:$B,C613,'Client DB &amp; Bed Mgmt'!$E:$E,"Occupied"),0)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>
        <f>IFERROR(J613*SUMPRODUCT(('Client DB &amp; Bed Mgmt'!$A$5:$A$428=A613)*('Client DB &amp; Bed Mgmt'!$B$5:$B$428=C613)*('Client DB &amp; Bed Mgmt'!$D$5:$D$428&lt;&gt;"")*--(('Client DB &amp; Bed Mgmt'!$M$5:$M$428="")+NOT(ISNUMBER('Client DB &amp; Bed Mgmt'!$M$5:$M$428))+IFERROR('Client DB &amp; Bed Mgmt'!$M$5:$M$428&lt;=EOMONTH(B613,0),FALSE)&gt;0)*--(('Client DB &amp; Bed Mgmt'!$N$5:$N$428="")+NOT(ISNUMBER('Client DB &amp; Bed Mgmt'!$N$5:$N$428))+IFERROR('Client DB &amp; Bed Mgmt'!$N$5:$N$428&gt;=DATE(YEAR(B613),MONTH(B613),1),FALSE)&gt;0)*((IF(('Client DB &amp; Bed Mgmt'!$N$5:$N$428="")+NOT(ISNUMBER('Client DB &amp; Bed Mgmt'!$N$5:$N$428)),EOMONTH(B613,0),IF('Client DB &amp; Bed Mgmt'!$N$5:$N$428&lt;EOMONTH(B613,0),'Client DB &amp; Bed Mgmt'!$N$5:$N$428,EOMONTH(B613,0))))-(IF(('Client DB &amp; Bed Mgmt'!$M$5:$M$428="")+NOT(ISNUMBER('Client DB &amp; Bed Mgmt'!$M$5:$M$428)),DATE(YEAR(B613),MONTH(B613),1),IF('Client DB &amp; Bed Mgmt'!$M$5:$M$428&gt;DATE(YEAR(B613),MONTH(B613),1),'Client DB &amp; Bed Mgmt'!$M$5:$M$428,DATE(YEAR(B613),MONTH(B613),1))))+1)/DAY(EOMONTH(B613,0))),0)</f>
        <v/>
      </c>
    </row>
    <row r="614" ht="14.25" customHeight="1" s="83">
      <c r="A614" s="103" t="n"/>
      <c r="B614" s="125">
        <f>DATE(YEAR(StartDate),MONTH(StartDate),1)</f>
        <v/>
      </c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Mgmt'!$B:$B,C614,'Client DB &amp; Bed Mgmt'!$E:$E,"Occupied"),0)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>
        <f>IFERROR(J614*SUMPRODUCT(('Client DB &amp; Bed Mgmt'!$A$5:$A$428=A614)*('Client DB &amp; Bed Mgmt'!$B$5:$B$428=C614)*('Client DB &amp; Bed Mgmt'!$D$5:$D$428&lt;&gt;"")*--(('Client DB &amp; Bed Mgmt'!$M$5:$M$428="")+NOT(ISNUMBER('Client DB &amp; Bed Mgmt'!$M$5:$M$428))+IFERROR('Client DB &amp; Bed Mgmt'!$M$5:$M$428&lt;=EOMONTH(B614,0),FALSE)&gt;0)*--(('Client DB &amp; Bed Mgmt'!$N$5:$N$428="")+NOT(ISNUMBER('Client DB &amp; Bed Mgmt'!$N$5:$N$428))+IFERROR('Client DB &amp; Bed Mgmt'!$N$5:$N$428&gt;=DATE(YEAR(B614),MONTH(B614),1),FALSE)&gt;0)*((IF(('Client DB &amp; Bed Mgmt'!$N$5:$N$428="")+NOT(ISNUMBER('Client DB &amp; Bed Mgmt'!$N$5:$N$428)),EOMONTH(B614,0),IF('Client DB &amp; Bed Mgmt'!$N$5:$N$428&lt;EOMONTH(B614,0),'Client DB &amp; Bed Mgmt'!$N$5:$N$428,EOMONTH(B614,0))))-(IF(('Client DB &amp; Bed Mgmt'!$M$5:$M$428="")+NOT(ISNUMBER('Client DB &amp; Bed Mgmt'!$M$5:$M$428)),DATE(YEAR(B614),MONTH(B614),1),IF('Client DB &amp; Bed Mgmt'!$M$5:$M$428&gt;DATE(YEAR(B614),MONTH(B614),1),'Client DB &amp; Bed Mgmt'!$M$5:$M$428,DATE(YEAR(B614),MONTH(B614),1))))+1)/DAY(EOMONTH(B614,0))),0)</f>
        <v/>
      </c>
    </row>
    <row r="615" ht="14.25" customHeight="1" s="83">
      <c r="A615" s="103" t="n"/>
      <c r="B615" s="125">
        <f>DATE(YEAR(StartDate),MONTH(StartDate),1)</f>
        <v/>
      </c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Mgmt'!$B:$B,C615,'Client DB &amp; Bed Mgmt'!$E:$E,"Occupied"),0)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>
        <f>IFERROR(J615*SUMPRODUCT(('Client DB &amp; Bed Mgmt'!$A$5:$A$428=A615)*('Client DB &amp; Bed Mgmt'!$B$5:$B$428=C615)*('Client DB &amp; Bed Mgmt'!$D$5:$D$428&lt;&gt;"")*--(('Client DB &amp; Bed Mgmt'!$M$5:$M$428="")+NOT(ISNUMBER('Client DB &amp; Bed Mgmt'!$M$5:$M$428))+IFERROR('Client DB &amp; Bed Mgmt'!$M$5:$M$428&lt;=EOMONTH(B615,0),FALSE)&gt;0)*--(('Client DB &amp; Bed Mgmt'!$N$5:$N$428="")+NOT(ISNUMBER('Client DB &amp; Bed Mgmt'!$N$5:$N$428))+IFERROR('Client DB &amp; Bed Mgmt'!$N$5:$N$428&gt;=DATE(YEAR(B615),MONTH(B615),1),FALSE)&gt;0)*((IF(('Client DB &amp; Bed Mgmt'!$N$5:$N$428="")+NOT(ISNUMBER('Client DB &amp; Bed Mgmt'!$N$5:$N$428)),EOMONTH(B615,0),IF('Client DB &amp; Bed Mgmt'!$N$5:$N$428&lt;EOMONTH(B615,0),'Client DB &amp; Bed Mgmt'!$N$5:$N$428,EOMONTH(B615,0))))-(IF(('Client DB &amp; Bed Mgmt'!$M$5:$M$428="")+NOT(ISNUMBER('Client DB &amp; Bed Mgmt'!$M$5:$M$428)),DATE(YEAR(B615),MONTH(B615),1),IF('Client DB &amp; Bed Mgmt'!$M$5:$M$428&gt;DATE(YEAR(B615),MONTH(B615),1),'Client DB &amp; Bed Mgmt'!$M$5:$M$428,DATE(YEAR(B615),MONTH(B615),1))))+1)/DAY(EOMONTH(B615,0))),0)</f>
        <v/>
      </c>
    </row>
    <row r="616" ht="14.25" customHeight="1" s="83">
      <c r="A616" s="103" t="n"/>
      <c r="B616" s="125">
        <f>DATE(YEAR(StartDate),MONTH(StartDate),1)</f>
        <v/>
      </c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Mgmt'!$B:$B,C616,'Client DB &amp; Bed Mgmt'!$E:$E,"Occupied"),0)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>
        <f>IFERROR(J616*SUMPRODUCT(('Client DB &amp; Bed Mgmt'!$A$5:$A$428=A616)*('Client DB &amp; Bed Mgmt'!$B$5:$B$428=C616)*('Client DB &amp; Bed Mgmt'!$D$5:$D$428&lt;&gt;"")*--(('Client DB &amp; Bed Mgmt'!$M$5:$M$428="")+NOT(ISNUMBER('Client DB &amp; Bed Mgmt'!$M$5:$M$428))+IFERROR('Client DB &amp; Bed Mgmt'!$M$5:$M$428&lt;=EOMONTH(B616,0),FALSE)&gt;0)*--(('Client DB &amp; Bed Mgmt'!$N$5:$N$428="")+NOT(ISNUMBER('Client DB &amp; Bed Mgmt'!$N$5:$N$428))+IFERROR('Client DB &amp; Bed Mgmt'!$N$5:$N$428&gt;=DATE(YEAR(B616),MONTH(B616),1),FALSE)&gt;0)*((IF(('Client DB &amp; Bed Mgmt'!$N$5:$N$428="")+NOT(ISNUMBER('Client DB &amp; Bed Mgmt'!$N$5:$N$428)),EOMONTH(B616,0),IF('Client DB &amp; Bed Mgmt'!$N$5:$N$428&lt;EOMONTH(B616,0),'Client DB &amp; Bed Mgmt'!$N$5:$N$428,EOMONTH(B616,0))))-(IF(('Client DB &amp; Bed Mgmt'!$M$5:$M$428="")+NOT(ISNUMBER('Client DB &amp; Bed Mgmt'!$M$5:$M$428)),DATE(YEAR(B616),MONTH(B616),1),IF('Client DB &amp; Bed Mgmt'!$M$5:$M$428&gt;DATE(YEAR(B616),MONTH(B616),1),'Client DB &amp; Bed Mgmt'!$M$5:$M$428,DATE(YEAR(B616),MONTH(B616),1))))+1)/DAY(EOMONTH(B616,0))),0)</f>
        <v/>
      </c>
    </row>
    <row r="617" ht="14.25" customHeight="1" s="83">
      <c r="A617" s="103" t="n"/>
      <c r="B617" s="125">
        <f>DATE(YEAR(StartDate),MONTH(StartDate),1)</f>
        <v/>
      </c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Mgmt'!$B:$B,C617,'Client DB &amp; Bed Mgmt'!$E:$E,"Occupied"),0)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>
        <f>IFERROR(J617*SUMPRODUCT(('Client DB &amp; Bed Mgmt'!$A$5:$A$428=A617)*('Client DB &amp; Bed Mgmt'!$B$5:$B$428=C617)*('Client DB &amp; Bed Mgmt'!$D$5:$D$428&lt;&gt;"")*--(('Client DB &amp; Bed Mgmt'!$M$5:$M$428="")+NOT(ISNUMBER('Client DB &amp; Bed Mgmt'!$M$5:$M$428))+IFERROR('Client DB &amp; Bed Mgmt'!$M$5:$M$428&lt;=EOMONTH(B617,0),FALSE)&gt;0)*--(('Client DB &amp; Bed Mgmt'!$N$5:$N$428="")+NOT(ISNUMBER('Client DB &amp; Bed Mgmt'!$N$5:$N$428))+IFERROR('Client DB &amp; Bed Mgmt'!$N$5:$N$428&gt;=DATE(YEAR(B617),MONTH(B617),1),FALSE)&gt;0)*((IF(('Client DB &amp; Bed Mgmt'!$N$5:$N$428="")+NOT(ISNUMBER('Client DB &amp; Bed Mgmt'!$N$5:$N$428)),EOMONTH(B617,0),IF('Client DB &amp; Bed Mgmt'!$N$5:$N$428&lt;EOMONTH(B617,0),'Client DB &amp; Bed Mgmt'!$N$5:$N$428,EOMONTH(B617,0))))-(IF(('Client DB &amp; Bed Mgmt'!$M$5:$M$428="")+NOT(ISNUMBER('Client DB &amp; Bed Mgmt'!$M$5:$M$428)),DATE(YEAR(B617),MONTH(B617),1),IF('Client DB &amp; Bed Mgmt'!$M$5:$M$428&gt;DATE(YEAR(B617),MONTH(B617),1),'Client DB &amp; Bed Mgmt'!$M$5:$M$428,DATE(YEAR(B617),MONTH(B617),1))))+1)/DAY(EOMONTH(B617,0))),0)</f>
        <v/>
      </c>
    </row>
    <row r="618" ht="14.25" customHeight="1" s="83">
      <c r="A618" s="103" t="n"/>
      <c r="B618" s="125">
        <f>DATE(YEAR(StartDate),MONTH(StartDate),1)</f>
        <v/>
      </c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Mgmt'!$B:$B,C618,'Client DB &amp; Bed Mgmt'!$E:$E,"Occupied"),0)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>
        <f>IFERROR(J618*SUMPRODUCT(('Client DB &amp; Bed Mgmt'!$A$5:$A$428=A618)*('Client DB &amp; Bed Mgmt'!$B$5:$B$428=C618)*('Client DB &amp; Bed Mgmt'!$D$5:$D$428&lt;&gt;"")*--(('Client DB &amp; Bed Mgmt'!$M$5:$M$428="")+NOT(ISNUMBER('Client DB &amp; Bed Mgmt'!$M$5:$M$428))+IFERROR('Client DB &amp; Bed Mgmt'!$M$5:$M$428&lt;=EOMONTH(B618,0),FALSE)&gt;0)*--(('Client DB &amp; Bed Mgmt'!$N$5:$N$428="")+NOT(ISNUMBER('Client DB &amp; Bed Mgmt'!$N$5:$N$428))+IFERROR('Client DB &amp; Bed Mgmt'!$N$5:$N$428&gt;=DATE(YEAR(B618),MONTH(B618),1),FALSE)&gt;0)*((IF(('Client DB &amp; Bed Mgmt'!$N$5:$N$428="")+NOT(ISNUMBER('Client DB &amp; Bed Mgmt'!$N$5:$N$428)),EOMONTH(B618,0),IF('Client DB &amp; Bed Mgmt'!$N$5:$N$428&lt;EOMONTH(B618,0),'Client DB &amp; Bed Mgmt'!$N$5:$N$428,EOMONTH(B618,0))))-(IF(('Client DB &amp; Bed Mgmt'!$M$5:$M$428="")+NOT(ISNUMBER('Client DB &amp; Bed Mgmt'!$M$5:$M$428)),DATE(YEAR(B618),MONTH(B618),1),IF('Client DB &amp; Bed Mgmt'!$M$5:$M$428&gt;DATE(YEAR(B618),MONTH(B618),1),'Client DB &amp; Bed Mgmt'!$M$5:$M$428,DATE(YEAR(B618),MONTH(B618),1))))+1)/DAY(EOMONTH(B618,0))),0)</f>
        <v/>
      </c>
    </row>
    <row r="619" ht="14.25" customHeight="1" s="83">
      <c r="A619" s="103" t="n"/>
      <c r="B619" s="125">
        <f>DATE(YEAR(StartDate),MONTH(StartDate),1)</f>
        <v/>
      </c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Mgmt'!$B:$B,C619,'Client DB &amp; Bed Mgmt'!$E:$E,"Occupied"),0)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>
        <f>IFERROR(J619*SUMPRODUCT(('Client DB &amp; Bed Mgmt'!$A$5:$A$428=A619)*('Client DB &amp; Bed Mgmt'!$B$5:$B$428=C619)*('Client DB &amp; Bed Mgmt'!$D$5:$D$428&lt;&gt;"")*--(('Client DB &amp; Bed Mgmt'!$M$5:$M$428="")+NOT(ISNUMBER('Client DB &amp; Bed Mgmt'!$M$5:$M$428))+IFERROR('Client DB &amp; Bed Mgmt'!$M$5:$M$428&lt;=EOMONTH(B619,0),FALSE)&gt;0)*--(('Client DB &amp; Bed Mgmt'!$N$5:$N$428="")+NOT(ISNUMBER('Client DB &amp; Bed Mgmt'!$N$5:$N$428))+IFERROR('Client DB &amp; Bed Mgmt'!$N$5:$N$428&gt;=DATE(YEAR(B619),MONTH(B619),1),FALSE)&gt;0)*((IF(('Client DB &amp; Bed Mgmt'!$N$5:$N$428="")+NOT(ISNUMBER('Client DB &amp; Bed Mgmt'!$N$5:$N$428)),EOMONTH(B619,0),IF('Client DB &amp; Bed Mgmt'!$N$5:$N$428&lt;EOMONTH(B619,0),'Client DB &amp; Bed Mgmt'!$N$5:$N$428,EOMONTH(B619,0))))-(IF(('Client DB &amp; Bed Mgmt'!$M$5:$M$428="")+NOT(ISNUMBER('Client DB &amp; Bed Mgmt'!$M$5:$M$428)),DATE(YEAR(B619),MONTH(B619),1),IF('Client DB &amp; Bed Mgmt'!$M$5:$M$428&gt;DATE(YEAR(B619),MONTH(B619),1),'Client DB &amp; Bed Mgmt'!$M$5:$M$428,DATE(YEAR(B619),MONTH(B619),1))))+1)/DAY(EOMONTH(B619,0))),0)</f>
        <v/>
      </c>
    </row>
    <row r="620" ht="14.25" customHeight="1" s="83">
      <c r="A620" s="103" t="n"/>
      <c r="B620" s="125">
        <f>DATE(YEAR(StartDate),MONTH(StartDate),1)</f>
        <v/>
      </c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Mgmt'!$B:$B,C620,'Client DB &amp; Bed Mgmt'!$E:$E,"Occupied"),0)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>
        <f>IFERROR(J620*SUMPRODUCT(('Client DB &amp; Bed Mgmt'!$A$5:$A$428=A620)*('Client DB &amp; Bed Mgmt'!$B$5:$B$428=C620)*('Client DB &amp; Bed Mgmt'!$D$5:$D$428&lt;&gt;"")*--(('Client DB &amp; Bed Mgmt'!$M$5:$M$428="")+NOT(ISNUMBER('Client DB &amp; Bed Mgmt'!$M$5:$M$428))+IFERROR('Client DB &amp; Bed Mgmt'!$M$5:$M$428&lt;=EOMONTH(B620,0),FALSE)&gt;0)*--(('Client DB &amp; Bed Mgmt'!$N$5:$N$428="")+NOT(ISNUMBER('Client DB &amp; Bed Mgmt'!$N$5:$N$428))+IFERROR('Client DB &amp; Bed Mgmt'!$N$5:$N$428&gt;=DATE(YEAR(B620),MONTH(B620),1),FALSE)&gt;0)*((IF(('Client DB &amp; Bed Mgmt'!$N$5:$N$428="")+NOT(ISNUMBER('Client DB &amp; Bed Mgmt'!$N$5:$N$428)),EOMONTH(B620,0),IF('Client DB &amp; Bed Mgmt'!$N$5:$N$428&lt;EOMONTH(B620,0),'Client DB &amp; Bed Mgmt'!$N$5:$N$428,EOMONTH(B620,0))))-(IF(('Client DB &amp; Bed Mgmt'!$M$5:$M$428="")+NOT(ISNUMBER('Client DB &amp; Bed Mgmt'!$M$5:$M$428)),DATE(YEAR(B620),MONTH(B620),1),IF('Client DB &amp; Bed Mgmt'!$M$5:$M$428&gt;DATE(YEAR(B620),MONTH(B620),1),'Client DB &amp; Bed Mgmt'!$M$5:$M$428,DATE(YEAR(B620),MONTH(B620),1))))+1)/DAY(EOMONTH(B620,0))),0)</f>
        <v/>
      </c>
    </row>
    <row r="621" ht="14.25" customHeight="1" s="83">
      <c r="A621" s="103" t="n"/>
      <c r="B621" s="125">
        <f>DATE(YEAR(StartDate),MONTH(StartDate),1)</f>
        <v/>
      </c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Mgmt'!$B:$B,C621,'Client DB &amp; Bed Mgmt'!$E:$E,"Occupied"),0)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>
        <f>IFERROR(J621*SUMPRODUCT(('Client DB &amp; Bed Mgmt'!$A$5:$A$428=A621)*('Client DB &amp; Bed Mgmt'!$B$5:$B$428=C621)*('Client DB &amp; Bed Mgmt'!$D$5:$D$428&lt;&gt;"")*--(('Client DB &amp; Bed Mgmt'!$M$5:$M$428="")+NOT(ISNUMBER('Client DB &amp; Bed Mgmt'!$M$5:$M$428))+IFERROR('Client DB &amp; Bed Mgmt'!$M$5:$M$428&lt;=EOMONTH(B621,0),FALSE)&gt;0)*--(('Client DB &amp; Bed Mgmt'!$N$5:$N$428="")+NOT(ISNUMBER('Client DB &amp; Bed Mgmt'!$N$5:$N$428))+IFERROR('Client DB &amp; Bed Mgmt'!$N$5:$N$428&gt;=DATE(YEAR(B621),MONTH(B621),1),FALSE)&gt;0)*((IF(('Client DB &amp; Bed Mgmt'!$N$5:$N$428="")+NOT(ISNUMBER('Client DB &amp; Bed Mgmt'!$N$5:$N$428)),EOMONTH(B621,0),IF('Client DB &amp; Bed Mgmt'!$N$5:$N$428&lt;EOMONTH(B621,0),'Client DB &amp; Bed Mgmt'!$N$5:$N$428,EOMONTH(B621,0))))-(IF(('Client DB &amp; Bed Mgmt'!$M$5:$M$428="")+NOT(ISNUMBER('Client DB &amp; Bed Mgmt'!$M$5:$M$428)),DATE(YEAR(B621),MONTH(B621),1),IF('Client DB &amp; Bed Mgmt'!$M$5:$M$428&gt;DATE(YEAR(B621),MONTH(B621),1),'Client DB &amp; Bed Mgmt'!$M$5:$M$428,DATE(YEAR(B621),MONTH(B621),1))))+1)/DAY(EOMONTH(B621,0))),0)</f>
        <v/>
      </c>
    </row>
    <row r="622" ht="14.25" customHeight="1" s="83">
      <c r="A622" s="103" t="n"/>
      <c r="B622" s="125">
        <f>DATE(YEAR(StartDate),MONTH(StartDate),1)</f>
        <v/>
      </c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Mgmt'!$B:$B,C622,'Client DB &amp; Bed Mgmt'!$E:$E,"Occupied"),0)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>
        <f>IFERROR(J622*SUMPRODUCT(('Client DB &amp; Bed Mgmt'!$A$5:$A$428=A622)*('Client DB &amp; Bed Mgmt'!$B$5:$B$428=C622)*('Client DB &amp; Bed Mgmt'!$D$5:$D$428&lt;&gt;"")*--(('Client DB &amp; Bed Mgmt'!$M$5:$M$428="")+NOT(ISNUMBER('Client DB &amp; Bed Mgmt'!$M$5:$M$428))+IFERROR('Client DB &amp; Bed Mgmt'!$M$5:$M$428&lt;=EOMONTH(B622,0),FALSE)&gt;0)*--(('Client DB &amp; Bed Mgmt'!$N$5:$N$428="")+NOT(ISNUMBER('Client DB &amp; Bed Mgmt'!$N$5:$N$428))+IFERROR('Client DB &amp; Bed Mgmt'!$N$5:$N$428&gt;=DATE(YEAR(B622),MONTH(B622),1),FALSE)&gt;0)*((IF(('Client DB &amp; Bed Mgmt'!$N$5:$N$428="")+NOT(ISNUMBER('Client DB &amp; Bed Mgmt'!$N$5:$N$428)),EOMONTH(B622,0),IF('Client DB &amp; Bed Mgmt'!$N$5:$N$428&lt;EOMONTH(B622,0),'Client DB &amp; Bed Mgmt'!$N$5:$N$428,EOMONTH(B622,0))))-(IF(('Client DB &amp; Bed Mgmt'!$M$5:$M$428="")+NOT(ISNUMBER('Client DB &amp; Bed Mgmt'!$M$5:$M$428)),DATE(YEAR(B622),MONTH(B622),1),IF('Client DB &amp; Bed Mgmt'!$M$5:$M$428&gt;DATE(YEAR(B622),MONTH(B622),1),'Client DB &amp; Bed Mgmt'!$M$5:$M$428,DATE(YEAR(B622),MONTH(B622),1))))+1)/DAY(EOMONTH(B622,0))),0)</f>
        <v/>
      </c>
    </row>
    <row r="623" ht="14.25" customHeight="1" s="83">
      <c r="A623" s="103" t="n"/>
      <c r="B623" s="125">
        <f>DATE(YEAR(StartDate),MONTH(StartDate),1)</f>
        <v/>
      </c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Mgmt'!$B:$B,C623,'Client DB &amp; Bed Mgmt'!$E:$E,"Occupied"),0)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>
        <f>IFERROR(J623*SUMPRODUCT(('Client DB &amp; Bed Mgmt'!$A$5:$A$428=A623)*('Client DB &amp; Bed Mgmt'!$B$5:$B$428=C623)*('Client DB &amp; Bed Mgmt'!$D$5:$D$428&lt;&gt;"")*--(('Client DB &amp; Bed Mgmt'!$M$5:$M$428="")+NOT(ISNUMBER('Client DB &amp; Bed Mgmt'!$M$5:$M$428))+IFERROR('Client DB &amp; Bed Mgmt'!$M$5:$M$428&lt;=EOMONTH(B623,0),FALSE)&gt;0)*--(('Client DB &amp; Bed Mgmt'!$N$5:$N$428="")+NOT(ISNUMBER('Client DB &amp; Bed Mgmt'!$N$5:$N$428))+IFERROR('Client DB &amp; Bed Mgmt'!$N$5:$N$428&gt;=DATE(YEAR(B623),MONTH(B623),1),FALSE)&gt;0)*((IF(('Client DB &amp; Bed Mgmt'!$N$5:$N$428="")+NOT(ISNUMBER('Client DB &amp; Bed Mgmt'!$N$5:$N$428)),EOMONTH(B623,0),IF('Client DB &amp; Bed Mgmt'!$N$5:$N$428&lt;EOMONTH(B623,0),'Client DB &amp; Bed Mgmt'!$N$5:$N$428,EOMONTH(B623,0))))-(IF(('Client DB &amp; Bed Mgmt'!$M$5:$M$428="")+NOT(ISNUMBER('Client DB &amp; Bed Mgmt'!$M$5:$M$428)),DATE(YEAR(B623),MONTH(B623),1),IF('Client DB &amp; Bed Mgmt'!$M$5:$M$428&gt;DATE(YEAR(B623),MONTH(B623),1),'Client DB &amp; Bed Mgmt'!$M$5:$M$428,DATE(YEAR(B623),MONTH(B623),1))))+1)/DAY(EOMONTH(B623,0))),0)</f>
        <v/>
      </c>
    </row>
    <row r="624" ht="14.25" customHeight="1" s="83">
      <c r="A624" s="103" t="n"/>
      <c r="B624" s="125">
        <f>DATE(YEAR(StartDate),MONTH(StartDate),1)</f>
        <v/>
      </c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Mgmt'!$B:$B,C624,'Client DB &amp; Bed Mgmt'!$E:$E,"Occupied"),0)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>
        <f>IFERROR(J624*SUMPRODUCT(('Client DB &amp; Bed Mgmt'!$A$5:$A$428=A624)*('Client DB &amp; Bed Mgmt'!$B$5:$B$428=C624)*('Client DB &amp; Bed Mgmt'!$D$5:$D$428&lt;&gt;"")*--(('Client DB &amp; Bed Mgmt'!$M$5:$M$428="")+NOT(ISNUMBER('Client DB &amp; Bed Mgmt'!$M$5:$M$428))+IFERROR('Client DB &amp; Bed Mgmt'!$M$5:$M$428&lt;=EOMONTH(B624,0),FALSE)&gt;0)*--(('Client DB &amp; Bed Mgmt'!$N$5:$N$428="")+NOT(ISNUMBER('Client DB &amp; Bed Mgmt'!$N$5:$N$428))+IFERROR('Client DB &amp; Bed Mgmt'!$N$5:$N$428&gt;=DATE(YEAR(B624),MONTH(B624),1),FALSE)&gt;0)*((IF(('Client DB &amp; Bed Mgmt'!$N$5:$N$428="")+NOT(ISNUMBER('Client DB &amp; Bed Mgmt'!$N$5:$N$428)),EOMONTH(B624,0),IF('Client DB &amp; Bed Mgmt'!$N$5:$N$428&lt;EOMONTH(B624,0),'Client DB &amp; Bed Mgmt'!$N$5:$N$428,EOMONTH(B624,0))))-(IF(('Client DB &amp; Bed Mgmt'!$M$5:$M$428="")+NOT(ISNUMBER('Client DB &amp; Bed Mgmt'!$M$5:$M$428)),DATE(YEAR(B624),MONTH(B624),1),IF('Client DB &amp; Bed Mgmt'!$M$5:$M$428&gt;DATE(YEAR(B624),MONTH(B624),1),'Client DB &amp; Bed Mgmt'!$M$5:$M$428,DATE(YEAR(B624),MONTH(B624),1))))+1)/DAY(EOMONTH(B624,0))),0)</f>
        <v/>
      </c>
    </row>
    <row r="625" ht="14.25" customHeight="1" s="83">
      <c r="A625" s="103" t="n"/>
      <c r="B625" s="125">
        <f>DATE(YEAR(StartDate),MONTH(StartDate),1)</f>
        <v/>
      </c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Mgmt'!$B:$B,C625,'Client DB &amp; Bed Mgmt'!$E:$E,"Occupied"),0)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>
        <f>IFERROR(J625*SUMPRODUCT(('Client DB &amp; Bed Mgmt'!$A$5:$A$428=A625)*('Client DB &amp; Bed Mgmt'!$B$5:$B$428=C625)*('Client DB &amp; Bed Mgmt'!$D$5:$D$428&lt;&gt;"")*--(('Client DB &amp; Bed Mgmt'!$M$5:$M$428="")+NOT(ISNUMBER('Client DB &amp; Bed Mgmt'!$M$5:$M$428))+IFERROR('Client DB &amp; Bed Mgmt'!$M$5:$M$428&lt;=EOMONTH(B625,0),FALSE)&gt;0)*--(('Client DB &amp; Bed Mgmt'!$N$5:$N$428="")+NOT(ISNUMBER('Client DB &amp; Bed Mgmt'!$N$5:$N$428))+IFERROR('Client DB &amp; Bed Mgmt'!$N$5:$N$428&gt;=DATE(YEAR(B625),MONTH(B625),1),FALSE)&gt;0)*((IF(('Client DB &amp; Bed Mgmt'!$N$5:$N$428="")+NOT(ISNUMBER('Client DB &amp; Bed Mgmt'!$N$5:$N$428)),EOMONTH(B625,0),IF('Client DB &amp; Bed Mgmt'!$N$5:$N$428&lt;EOMONTH(B625,0),'Client DB &amp; Bed Mgmt'!$N$5:$N$428,EOMONTH(B625,0))))-(IF(('Client DB &amp; Bed Mgmt'!$M$5:$M$428="")+NOT(ISNUMBER('Client DB &amp; Bed Mgmt'!$M$5:$M$428)),DATE(YEAR(B625),MONTH(B625),1),IF('Client DB &amp; Bed Mgmt'!$M$5:$M$428&gt;DATE(YEAR(B625),MONTH(B625),1),'Client DB &amp; Bed Mgmt'!$M$5:$M$428,DATE(YEAR(B625),MONTH(B625),1))))+1)/DAY(EOMONTH(B625,0))),0)</f>
        <v/>
      </c>
    </row>
    <row r="626" ht="14.25" customHeight="1" s="83">
      <c r="A626" s="103" t="n"/>
      <c r="B626" s="125">
        <f>DATE(YEAR(StartDate),MONTH(StartDate),1)</f>
        <v/>
      </c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Mgmt'!$B:$B,C626,'Client DB &amp; Bed Mgmt'!$E:$E,"Occupied"),0)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>
        <f>IFERROR(J626*SUMPRODUCT(('Client DB &amp; Bed Mgmt'!$A$5:$A$428=A626)*('Client DB &amp; Bed Mgmt'!$B$5:$B$428=C626)*('Client DB &amp; Bed Mgmt'!$D$5:$D$428&lt;&gt;"")*--(('Client DB &amp; Bed Mgmt'!$M$5:$M$428="")+NOT(ISNUMBER('Client DB &amp; Bed Mgmt'!$M$5:$M$428))+IFERROR('Client DB &amp; Bed Mgmt'!$M$5:$M$428&lt;=EOMONTH(B626,0),FALSE)&gt;0)*--(('Client DB &amp; Bed Mgmt'!$N$5:$N$428="")+NOT(ISNUMBER('Client DB &amp; Bed Mgmt'!$N$5:$N$428))+IFERROR('Client DB &amp; Bed Mgmt'!$N$5:$N$428&gt;=DATE(YEAR(B626),MONTH(B626),1),FALSE)&gt;0)*((IF(('Client DB &amp; Bed Mgmt'!$N$5:$N$428="")+NOT(ISNUMBER('Client DB &amp; Bed Mgmt'!$N$5:$N$428)),EOMONTH(B626,0),IF('Client DB &amp; Bed Mgmt'!$N$5:$N$428&lt;EOMONTH(B626,0),'Client DB &amp; Bed Mgmt'!$N$5:$N$428,EOMONTH(B626,0))))-(IF(('Client DB &amp; Bed Mgmt'!$M$5:$M$428="")+NOT(ISNUMBER('Client DB &amp; Bed Mgmt'!$M$5:$M$428)),DATE(YEAR(B626),MONTH(B626),1),IF('Client DB &amp; Bed Mgmt'!$M$5:$M$428&gt;DATE(YEAR(B626),MONTH(B626),1),'Client DB &amp; Bed Mgmt'!$M$5:$M$428,DATE(YEAR(B626),MONTH(B626),1))))+1)/DAY(EOMONTH(B626,0))),0)</f>
        <v/>
      </c>
    </row>
    <row r="627" ht="14.25" customHeight="1" s="83">
      <c r="A627" s="103" t="n"/>
      <c r="B627" s="125">
        <f>DATE(YEAR(StartDate),MONTH(StartDate),1)</f>
        <v/>
      </c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Mgmt'!$B:$B,C627,'Client DB &amp; Bed Mgmt'!$E:$E,"Occupied"),0)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>
        <f>IFERROR(J627*SUMPRODUCT(('Client DB &amp; Bed Mgmt'!$A$5:$A$428=A627)*('Client DB &amp; Bed Mgmt'!$B$5:$B$428=C627)*('Client DB &amp; Bed Mgmt'!$D$5:$D$428&lt;&gt;"")*--(('Client DB &amp; Bed Mgmt'!$M$5:$M$428="")+NOT(ISNUMBER('Client DB &amp; Bed Mgmt'!$M$5:$M$428))+IFERROR('Client DB &amp; Bed Mgmt'!$M$5:$M$428&lt;=EOMONTH(B627,0),FALSE)&gt;0)*--(('Client DB &amp; Bed Mgmt'!$N$5:$N$428="")+NOT(ISNUMBER('Client DB &amp; Bed Mgmt'!$N$5:$N$428))+IFERROR('Client DB &amp; Bed Mgmt'!$N$5:$N$428&gt;=DATE(YEAR(B627),MONTH(B627),1),FALSE)&gt;0)*((IF(('Client DB &amp; Bed Mgmt'!$N$5:$N$428="")+NOT(ISNUMBER('Client DB &amp; Bed Mgmt'!$N$5:$N$428)),EOMONTH(B627,0),IF('Client DB &amp; Bed Mgmt'!$N$5:$N$428&lt;EOMONTH(B627,0),'Client DB &amp; Bed Mgmt'!$N$5:$N$428,EOMONTH(B627,0))))-(IF(('Client DB &amp; Bed Mgmt'!$M$5:$M$428="")+NOT(ISNUMBER('Client DB &amp; Bed Mgmt'!$M$5:$M$428)),DATE(YEAR(B627),MONTH(B627),1),IF('Client DB &amp; Bed Mgmt'!$M$5:$M$428&gt;DATE(YEAR(B627),MONTH(B627),1),'Client DB &amp; Bed Mgmt'!$M$5:$M$428,DATE(YEAR(B627),MONTH(B627),1))))+1)/DAY(EOMONTH(B627,0))),0)</f>
        <v/>
      </c>
    </row>
    <row r="628" ht="14.25" customHeight="1" s="83">
      <c r="A628" s="103" t="n"/>
      <c r="B628" s="125">
        <f>DATE(YEAR(StartDate),MONTH(StartDate),1)</f>
        <v/>
      </c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Mgmt'!$B:$B,C628,'Client DB &amp; Bed Mgmt'!$E:$E,"Occupied"),0)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>
        <f>IFERROR(J628*SUMPRODUCT(('Client DB &amp; Bed Mgmt'!$A$5:$A$428=A628)*('Client DB &amp; Bed Mgmt'!$B$5:$B$428=C628)*('Client DB &amp; Bed Mgmt'!$D$5:$D$428&lt;&gt;"")*--(('Client DB &amp; Bed Mgmt'!$M$5:$M$428="")+NOT(ISNUMBER('Client DB &amp; Bed Mgmt'!$M$5:$M$428))+IFERROR('Client DB &amp; Bed Mgmt'!$M$5:$M$428&lt;=EOMONTH(B628,0),FALSE)&gt;0)*--(('Client DB &amp; Bed Mgmt'!$N$5:$N$428="")+NOT(ISNUMBER('Client DB &amp; Bed Mgmt'!$N$5:$N$428))+IFERROR('Client DB &amp; Bed Mgmt'!$N$5:$N$428&gt;=DATE(YEAR(B628),MONTH(B628),1),FALSE)&gt;0)*((IF(('Client DB &amp; Bed Mgmt'!$N$5:$N$428="")+NOT(ISNUMBER('Client DB &amp; Bed Mgmt'!$N$5:$N$428)),EOMONTH(B628,0),IF('Client DB &amp; Bed Mgmt'!$N$5:$N$428&lt;EOMONTH(B628,0),'Client DB &amp; Bed Mgmt'!$N$5:$N$428,EOMONTH(B628,0))))-(IF(('Client DB &amp; Bed Mgmt'!$M$5:$M$428="")+NOT(ISNUMBER('Client DB &amp; Bed Mgmt'!$M$5:$M$428)),DATE(YEAR(B628),MONTH(B628),1),IF('Client DB &amp; Bed Mgmt'!$M$5:$M$428&gt;DATE(YEAR(B628),MONTH(B628),1),'Client DB &amp; Bed Mgmt'!$M$5:$M$428,DATE(YEAR(B628),MONTH(B628),1))))+1)/DAY(EOMONTH(B628,0))),0)</f>
        <v/>
      </c>
    </row>
    <row r="629" ht="14.25" customHeight="1" s="83">
      <c r="A629" s="103" t="n"/>
      <c r="B629" s="125">
        <f>DATE(YEAR(StartDate),MONTH(StartDate),1)</f>
        <v/>
      </c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Mgmt'!$B:$B,C629,'Client DB &amp; Bed Mgmt'!$E:$E,"Occupied"),0)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>
        <f>IFERROR(J629*SUMPRODUCT(('Client DB &amp; Bed Mgmt'!$A$5:$A$428=A629)*('Client DB &amp; Bed Mgmt'!$B$5:$B$428=C629)*('Client DB &amp; Bed Mgmt'!$D$5:$D$428&lt;&gt;"")*--(('Client DB &amp; Bed Mgmt'!$M$5:$M$428="")+NOT(ISNUMBER('Client DB &amp; Bed Mgmt'!$M$5:$M$428))+IFERROR('Client DB &amp; Bed Mgmt'!$M$5:$M$428&lt;=EOMONTH(B629,0),FALSE)&gt;0)*--(('Client DB &amp; Bed Mgmt'!$N$5:$N$428="")+NOT(ISNUMBER('Client DB &amp; Bed Mgmt'!$N$5:$N$428))+IFERROR('Client DB &amp; Bed Mgmt'!$N$5:$N$428&gt;=DATE(YEAR(B629),MONTH(B629),1),FALSE)&gt;0)*((IF(('Client DB &amp; Bed Mgmt'!$N$5:$N$428="")+NOT(ISNUMBER('Client DB &amp; Bed Mgmt'!$N$5:$N$428)),EOMONTH(B629,0),IF('Client DB &amp; Bed Mgmt'!$N$5:$N$428&lt;EOMONTH(B629,0),'Client DB &amp; Bed Mgmt'!$N$5:$N$428,EOMONTH(B629,0))))-(IF(('Client DB &amp; Bed Mgmt'!$M$5:$M$428="")+NOT(ISNUMBER('Client DB &amp; Bed Mgmt'!$M$5:$M$428)),DATE(YEAR(B629),MONTH(B629),1),IF('Client DB &amp; Bed Mgmt'!$M$5:$M$428&gt;DATE(YEAR(B629),MONTH(B629),1),'Client DB &amp; Bed Mgmt'!$M$5:$M$428,DATE(YEAR(B629),MONTH(B629),1))))+1)/DAY(EOMONTH(B629,0))),0)</f>
        <v/>
      </c>
    </row>
    <row r="630" ht="14.25" customHeight="1" s="83">
      <c r="A630" s="103" t="n"/>
      <c r="B630" s="125">
        <f>DATE(YEAR(StartDate),MONTH(StartDate),1)</f>
        <v/>
      </c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Mgmt'!$B:$B,C630,'Client DB &amp; Bed Mgmt'!$E:$E,"Occupied"),0)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>
        <f>IFERROR(J630*SUMPRODUCT(('Client DB &amp; Bed Mgmt'!$A$5:$A$428=A630)*('Client DB &amp; Bed Mgmt'!$B$5:$B$428=C630)*('Client DB &amp; Bed Mgmt'!$D$5:$D$428&lt;&gt;"")*--(('Client DB &amp; Bed Mgmt'!$M$5:$M$428="")+NOT(ISNUMBER('Client DB &amp; Bed Mgmt'!$M$5:$M$428))+IFERROR('Client DB &amp; Bed Mgmt'!$M$5:$M$428&lt;=EOMONTH(B630,0),FALSE)&gt;0)*--(('Client DB &amp; Bed Mgmt'!$N$5:$N$428="")+NOT(ISNUMBER('Client DB &amp; Bed Mgmt'!$N$5:$N$428))+IFERROR('Client DB &amp; Bed Mgmt'!$N$5:$N$428&gt;=DATE(YEAR(B630),MONTH(B630),1),FALSE)&gt;0)*((IF(('Client DB &amp; Bed Mgmt'!$N$5:$N$428="")+NOT(ISNUMBER('Client DB &amp; Bed Mgmt'!$N$5:$N$428)),EOMONTH(B630,0),IF('Client DB &amp; Bed Mgmt'!$N$5:$N$428&lt;EOMONTH(B630,0),'Client DB &amp; Bed Mgmt'!$N$5:$N$428,EOMONTH(B630,0))))-(IF(('Client DB &amp; Bed Mgmt'!$M$5:$M$428="")+NOT(ISNUMBER('Client DB &amp; Bed Mgmt'!$M$5:$M$428)),DATE(YEAR(B630),MONTH(B630),1),IF('Client DB &amp; Bed Mgmt'!$M$5:$M$428&gt;DATE(YEAR(B630),MONTH(B630),1),'Client DB &amp; Bed Mgmt'!$M$5:$M$428,DATE(YEAR(B630),MONTH(B630),1))))+1)/DAY(EOMONTH(B630,0))),0)</f>
        <v/>
      </c>
    </row>
    <row r="631" ht="14.25" customHeight="1" s="83">
      <c r="A631" s="103" t="n"/>
      <c r="B631" s="125">
        <f>DATE(YEAR(StartDate),MONTH(StartDate),1)</f>
        <v/>
      </c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Mgmt'!$B:$B,C631,'Client DB &amp; Bed Mgmt'!$E:$E,"Occupied"),0)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>
        <f>IFERROR(J631*SUMPRODUCT(('Client DB &amp; Bed Mgmt'!$A$5:$A$428=A631)*('Client DB &amp; Bed Mgmt'!$B$5:$B$428=C631)*('Client DB &amp; Bed Mgmt'!$D$5:$D$428&lt;&gt;"")*--(('Client DB &amp; Bed Mgmt'!$M$5:$M$428="")+NOT(ISNUMBER('Client DB &amp; Bed Mgmt'!$M$5:$M$428))+IFERROR('Client DB &amp; Bed Mgmt'!$M$5:$M$428&lt;=EOMONTH(B631,0),FALSE)&gt;0)*--(('Client DB &amp; Bed Mgmt'!$N$5:$N$428="")+NOT(ISNUMBER('Client DB &amp; Bed Mgmt'!$N$5:$N$428))+IFERROR('Client DB &amp; Bed Mgmt'!$N$5:$N$428&gt;=DATE(YEAR(B631),MONTH(B631),1),FALSE)&gt;0)*((IF(('Client DB &amp; Bed Mgmt'!$N$5:$N$428="")+NOT(ISNUMBER('Client DB &amp; Bed Mgmt'!$N$5:$N$428)),EOMONTH(B631,0),IF('Client DB &amp; Bed Mgmt'!$N$5:$N$428&lt;EOMONTH(B631,0),'Client DB &amp; Bed Mgmt'!$N$5:$N$428,EOMONTH(B631,0))))-(IF(('Client DB &amp; Bed Mgmt'!$M$5:$M$428="")+NOT(ISNUMBER('Client DB &amp; Bed Mgmt'!$M$5:$M$428)),DATE(YEAR(B631),MONTH(B631),1),IF('Client DB &amp; Bed Mgmt'!$M$5:$M$428&gt;DATE(YEAR(B631),MONTH(B631),1),'Client DB &amp; Bed Mgmt'!$M$5:$M$428,DATE(YEAR(B631),MONTH(B631),1))))+1)/DAY(EOMONTH(B631,0))),0)</f>
        <v/>
      </c>
    </row>
    <row r="632" ht="14.25" customHeight="1" s="83">
      <c r="A632" s="103" t="n"/>
      <c r="B632" s="125">
        <f>DATE(YEAR(StartDate),MONTH(StartDate),1)</f>
        <v/>
      </c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Mgmt'!$B:$B,C632,'Client DB &amp; Bed Mgmt'!$E:$E,"Occupied"),0)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>
        <f>IFERROR(J632*SUMPRODUCT(('Client DB &amp; Bed Mgmt'!$A$5:$A$428=A632)*('Client DB &amp; Bed Mgmt'!$B$5:$B$428=C632)*('Client DB &amp; Bed Mgmt'!$D$5:$D$428&lt;&gt;"")*--(('Client DB &amp; Bed Mgmt'!$M$5:$M$428="")+NOT(ISNUMBER('Client DB &amp; Bed Mgmt'!$M$5:$M$428))+IFERROR('Client DB &amp; Bed Mgmt'!$M$5:$M$428&lt;=EOMONTH(B632,0),FALSE)&gt;0)*--(('Client DB &amp; Bed Mgmt'!$N$5:$N$428="")+NOT(ISNUMBER('Client DB &amp; Bed Mgmt'!$N$5:$N$428))+IFERROR('Client DB &amp; Bed Mgmt'!$N$5:$N$428&gt;=DATE(YEAR(B632),MONTH(B632),1),FALSE)&gt;0)*((IF(('Client DB &amp; Bed Mgmt'!$N$5:$N$428="")+NOT(ISNUMBER('Client DB &amp; Bed Mgmt'!$N$5:$N$428)),EOMONTH(B632,0),IF('Client DB &amp; Bed Mgmt'!$N$5:$N$428&lt;EOMONTH(B632,0),'Client DB &amp; Bed Mgmt'!$N$5:$N$428,EOMONTH(B632,0))))-(IF(('Client DB &amp; Bed Mgmt'!$M$5:$M$428="")+NOT(ISNUMBER('Client DB &amp; Bed Mgmt'!$M$5:$M$428)),DATE(YEAR(B632),MONTH(B632),1),IF('Client DB &amp; Bed Mgmt'!$M$5:$M$428&gt;DATE(YEAR(B632),MONTH(B632),1),'Client DB &amp; Bed Mgmt'!$M$5:$M$428,DATE(YEAR(B632),MONTH(B632),1))))+1)/DAY(EOMONTH(B632,0))),0)</f>
        <v/>
      </c>
    </row>
    <row r="633" ht="14.25" customHeight="1" s="83">
      <c r="A633" s="103" t="n"/>
      <c r="B633" s="125">
        <f>DATE(YEAR(StartDate),MONTH(StartDate),1)</f>
        <v/>
      </c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Mgmt'!$B:$B,C633,'Client DB &amp; Bed Mgmt'!$E:$E,"Occupied"),0)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>
        <f>IFERROR(J633*SUMPRODUCT(('Client DB &amp; Bed Mgmt'!$A$5:$A$428=A633)*('Client DB &amp; Bed Mgmt'!$B$5:$B$428=C633)*('Client DB &amp; Bed Mgmt'!$D$5:$D$428&lt;&gt;"")*--(('Client DB &amp; Bed Mgmt'!$M$5:$M$428="")+NOT(ISNUMBER('Client DB &amp; Bed Mgmt'!$M$5:$M$428))+IFERROR('Client DB &amp; Bed Mgmt'!$M$5:$M$428&lt;=EOMONTH(B633,0),FALSE)&gt;0)*--(('Client DB &amp; Bed Mgmt'!$N$5:$N$428="")+NOT(ISNUMBER('Client DB &amp; Bed Mgmt'!$N$5:$N$428))+IFERROR('Client DB &amp; Bed Mgmt'!$N$5:$N$428&gt;=DATE(YEAR(B633),MONTH(B633),1),FALSE)&gt;0)*((IF(('Client DB &amp; Bed Mgmt'!$N$5:$N$428="")+NOT(ISNUMBER('Client DB &amp; Bed Mgmt'!$N$5:$N$428)),EOMONTH(B633,0),IF('Client DB &amp; Bed Mgmt'!$N$5:$N$428&lt;EOMONTH(B633,0),'Client DB &amp; Bed Mgmt'!$N$5:$N$428,EOMONTH(B633,0))))-(IF(('Client DB &amp; Bed Mgmt'!$M$5:$M$428="")+NOT(ISNUMBER('Client DB &amp; Bed Mgmt'!$M$5:$M$428)),DATE(YEAR(B633),MONTH(B633),1),IF('Client DB &amp; Bed Mgmt'!$M$5:$M$428&gt;DATE(YEAR(B633),MONTH(B633),1),'Client DB &amp; Bed Mgmt'!$M$5:$M$428,DATE(YEAR(B633),MONTH(B633),1))))+1)/DAY(EOMONTH(B633,0))),0)</f>
        <v/>
      </c>
    </row>
    <row r="634" ht="14.25" customHeight="1" s="83">
      <c r="A634" s="103" t="n"/>
      <c r="B634" s="125">
        <f>DATE(YEAR(StartDate),MONTH(StartDate),1)</f>
        <v/>
      </c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Mgmt'!$B:$B,C634,'Client DB &amp; Bed Mgmt'!$E:$E,"Occupied"),0)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>
        <f>IFERROR(J634*SUMPRODUCT(('Client DB &amp; Bed Mgmt'!$A$5:$A$428=A634)*('Client DB &amp; Bed Mgmt'!$B$5:$B$428=C634)*('Client DB &amp; Bed Mgmt'!$D$5:$D$428&lt;&gt;"")*--(('Client DB &amp; Bed Mgmt'!$M$5:$M$428="")+NOT(ISNUMBER('Client DB &amp; Bed Mgmt'!$M$5:$M$428))+IFERROR('Client DB &amp; Bed Mgmt'!$M$5:$M$428&lt;=EOMONTH(B634,0),FALSE)&gt;0)*--(('Client DB &amp; Bed Mgmt'!$N$5:$N$428="")+NOT(ISNUMBER('Client DB &amp; Bed Mgmt'!$N$5:$N$428))+IFERROR('Client DB &amp; Bed Mgmt'!$N$5:$N$428&gt;=DATE(YEAR(B634),MONTH(B634),1),FALSE)&gt;0)*((IF(('Client DB &amp; Bed Mgmt'!$N$5:$N$428="")+NOT(ISNUMBER('Client DB &amp; Bed Mgmt'!$N$5:$N$428)),EOMONTH(B634,0),IF('Client DB &amp; Bed Mgmt'!$N$5:$N$428&lt;EOMONTH(B634,0),'Client DB &amp; Bed Mgmt'!$N$5:$N$428,EOMONTH(B634,0))))-(IF(('Client DB &amp; Bed Mgmt'!$M$5:$M$428="")+NOT(ISNUMBER('Client DB &amp; Bed Mgmt'!$M$5:$M$428)),DATE(YEAR(B634),MONTH(B634),1),IF('Client DB &amp; Bed Mgmt'!$M$5:$M$428&gt;DATE(YEAR(B634),MONTH(B634),1),'Client DB &amp; Bed Mgmt'!$M$5:$M$428,DATE(YEAR(B634),MONTH(B634),1))))+1)/DAY(EOMONTH(B634,0))),0)</f>
        <v/>
      </c>
    </row>
    <row r="635" ht="14.25" customHeight="1" s="83">
      <c r="A635" s="103" t="n"/>
      <c r="B635" s="125">
        <f>DATE(YEAR(StartDate),MONTH(StartDate),1)</f>
        <v/>
      </c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Mgmt'!$B:$B,C635,'Client DB &amp; Bed Mgmt'!$E:$E,"Occupied"),0)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>
        <f>IFERROR(J635*SUMPRODUCT(('Client DB &amp; Bed Mgmt'!$A$5:$A$428=A635)*('Client DB &amp; Bed Mgmt'!$B$5:$B$428=C635)*('Client DB &amp; Bed Mgmt'!$D$5:$D$428&lt;&gt;"")*--(('Client DB &amp; Bed Mgmt'!$M$5:$M$428="")+NOT(ISNUMBER('Client DB &amp; Bed Mgmt'!$M$5:$M$428))+IFERROR('Client DB &amp; Bed Mgmt'!$M$5:$M$428&lt;=EOMONTH(B635,0),FALSE)&gt;0)*--(('Client DB &amp; Bed Mgmt'!$N$5:$N$428="")+NOT(ISNUMBER('Client DB &amp; Bed Mgmt'!$N$5:$N$428))+IFERROR('Client DB &amp; Bed Mgmt'!$N$5:$N$428&gt;=DATE(YEAR(B635),MONTH(B635),1),FALSE)&gt;0)*((IF(('Client DB &amp; Bed Mgmt'!$N$5:$N$428="")+NOT(ISNUMBER('Client DB &amp; Bed Mgmt'!$N$5:$N$428)),EOMONTH(B635,0),IF('Client DB &amp; Bed Mgmt'!$N$5:$N$428&lt;EOMONTH(B635,0),'Client DB &amp; Bed Mgmt'!$N$5:$N$428,EOMONTH(B635,0))))-(IF(('Client DB &amp; Bed Mgmt'!$M$5:$M$428="")+NOT(ISNUMBER('Client DB &amp; Bed Mgmt'!$M$5:$M$428)),DATE(YEAR(B635),MONTH(B635),1),IF('Client DB &amp; Bed Mgmt'!$M$5:$M$428&gt;DATE(YEAR(B635),MONTH(B635),1),'Client DB &amp; Bed Mgmt'!$M$5:$M$428,DATE(YEAR(B635),MONTH(B635),1))))+1)/DAY(EOMONTH(B635,0))),0)</f>
        <v/>
      </c>
    </row>
    <row r="636" ht="14.25" customHeight="1" s="83">
      <c r="A636" s="103" t="n"/>
      <c r="B636" s="125">
        <f>DATE(YEAR(StartDate),MONTH(StartDate),1)</f>
        <v/>
      </c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Mgmt'!$B:$B,C636,'Client DB &amp; Bed Mgmt'!$E:$E,"Occupied"),0)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>
        <f>IFERROR(J636*SUMPRODUCT(('Client DB &amp; Bed Mgmt'!$A$5:$A$428=A636)*('Client DB &amp; Bed Mgmt'!$B$5:$B$428=C636)*('Client DB &amp; Bed Mgmt'!$D$5:$D$428&lt;&gt;"")*--(('Client DB &amp; Bed Mgmt'!$M$5:$M$428="")+NOT(ISNUMBER('Client DB &amp; Bed Mgmt'!$M$5:$M$428))+IFERROR('Client DB &amp; Bed Mgmt'!$M$5:$M$428&lt;=EOMONTH(B636,0),FALSE)&gt;0)*--(('Client DB &amp; Bed Mgmt'!$N$5:$N$428="")+NOT(ISNUMBER('Client DB &amp; Bed Mgmt'!$N$5:$N$428))+IFERROR('Client DB &amp; Bed Mgmt'!$N$5:$N$428&gt;=DATE(YEAR(B636),MONTH(B636),1),FALSE)&gt;0)*((IF(('Client DB &amp; Bed Mgmt'!$N$5:$N$428="")+NOT(ISNUMBER('Client DB &amp; Bed Mgmt'!$N$5:$N$428)),EOMONTH(B636,0),IF('Client DB &amp; Bed Mgmt'!$N$5:$N$428&lt;EOMONTH(B636,0),'Client DB &amp; Bed Mgmt'!$N$5:$N$428,EOMONTH(B636,0))))-(IF(('Client DB &amp; Bed Mgmt'!$M$5:$M$428="")+NOT(ISNUMBER('Client DB &amp; Bed Mgmt'!$M$5:$M$428)),DATE(YEAR(B636),MONTH(B636),1),IF('Client DB &amp; Bed Mgmt'!$M$5:$M$428&gt;DATE(YEAR(B636),MONTH(B636),1),'Client DB &amp; Bed Mgmt'!$M$5:$M$428,DATE(YEAR(B636),MONTH(B636),1))))+1)/DAY(EOMONTH(B636,0))),0)</f>
        <v/>
      </c>
    </row>
    <row r="637" ht="14.25" customHeight="1" s="83">
      <c r="A637" s="103" t="n"/>
      <c r="B637" s="125">
        <f>DATE(YEAR(StartDate),MONTH(StartDate),1)</f>
        <v/>
      </c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Mgmt'!$B:$B,C637,'Client DB &amp; Bed Mgmt'!$E:$E,"Occupied"),0)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>
        <f>IFERROR(J637*SUMPRODUCT(('Client DB &amp; Bed Mgmt'!$A$5:$A$428=A637)*('Client DB &amp; Bed Mgmt'!$B$5:$B$428=C637)*('Client DB &amp; Bed Mgmt'!$D$5:$D$428&lt;&gt;"")*--(('Client DB &amp; Bed Mgmt'!$M$5:$M$428="")+NOT(ISNUMBER('Client DB &amp; Bed Mgmt'!$M$5:$M$428))+IFERROR('Client DB &amp; Bed Mgmt'!$M$5:$M$428&lt;=EOMONTH(B637,0),FALSE)&gt;0)*--(('Client DB &amp; Bed Mgmt'!$N$5:$N$428="")+NOT(ISNUMBER('Client DB &amp; Bed Mgmt'!$N$5:$N$428))+IFERROR('Client DB &amp; Bed Mgmt'!$N$5:$N$428&gt;=DATE(YEAR(B637),MONTH(B637),1),FALSE)&gt;0)*((IF(('Client DB &amp; Bed Mgmt'!$N$5:$N$428="")+NOT(ISNUMBER('Client DB &amp; Bed Mgmt'!$N$5:$N$428)),EOMONTH(B637,0),IF('Client DB &amp; Bed Mgmt'!$N$5:$N$428&lt;EOMONTH(B637,0),'Client DB &amp; Bed Mgmt'!$N$5:$N$428,EOMONTH(B637,0))))-(IF(('Client DB &amp; Bed Mgmt'!$M$5:$M$428="")+NOT(ISNUMBER('Client DB &amp; Bed Mgmt'!$M$5:$M$428)),DATE(YEAR(B637),MONTH(B637),1),IF('Client DB &amp; Bed Mgmt'!$M$5:$M$428&gt;DATE(YEAR(B637),MONTH(B637),1),'Client DB &amp; Bed Mgmt'!$M$5:$M$428,DATE(YEAR(B637),MONTH(B637),1))))+1)/DAY(EOMONTH(B637,0))),0)</f>
        <v/>
      </c>
    </row>
    <row r="638" ht="14.25" customHeight="1" s="83">
      <c r="A638" s="103" t="n"/>
      <c r="B638" s="125">
        <f>DATE(YEAR(StartDate),MONTH(StartDate),1)</f>
        <v/>
      </c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Mgmt'!$B:$B,C638,'Client DB &amp; Bed Mgmt'!$E:$E,"Occupied"),0)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>
        <f>IFERROR(J638*SUMPRODUCT(('Client DB &amp; Bed Mgmt'!$A$5:$A$428=A638)*('Client DB &amp; Bed Mgmt'!$B$5:$B$428=C638)*('Client DB &amp; Bed Mgmt'!$D$5:$D$428&lt;&gt;"")*--(('Client DB &amp; Bed Mgmt'!$M$5:$M$428="")+NOT(ISNUMBER('Client DB &amp; Bed Mgmt'!$M$5:$M$428))+IFERROR('Client DB &amp; Bed Mgmt'!$M$5:$M$428&lt;=EOMONTH(B638,0),FALSE)&gt;0)*--(('Client DB &amp; Bed Mgmt'!$N$5:$N$428="")+NOT(ISNUMBER('Client DB &amp; Bed Mgmt'!$N$5:$N$428))+IFERROR('Client DB &amp; Bed Mgmt'!$N$5:$N$428&gt;=DATE(YEAR(B638),MONTH(B638),1),FALSE)&gt;0)*((IF(('Client DB &amp; Bed Mgmt'!$N$5:$N$428="")+NOT(ISNUMBER('Client DB &amp; Bed Mgmt'!$N$5:$N$428)),EOMONTH(B638,0),IF('Client DB &amp; Bed Mgmt'!$N$5:$N$428&lt;EOMONTH(B638,0),'Client DB &amp; Bed Mgmt'!$N$5:$N$428,EOMONTH(B638,0))))-(IF(('Client DB &amp; Bed Mgmt'!$M$5:$M$428="")+NOT(ISNUMBER('Client DB &amp; Bed Mgmt'!$M$5:$M$428)),DATE(YEAR(B638),MONTH(B638),1),IF('Client DB &amp; Bed Mgmt'!$M$5:$M$428&gt;DATE(YEAR(B638),MONTH(B638),1),'Client DB &amp; Bed Mgmt'!$M$5:$M$428,DATE(YEAR(B638),MONTH(B638),1))))+1)/DAY(EOMONTH(B638,0))),0)</f>
        <v/>
      </c>
    </row>
    <row r="639" ht="14.25" customHeight="1" s="83">
      <c r="A639" s="103" t="n"/>
      <c r="B639" s="125">
        <f>DATE(YEAR(StartDate),MONTH(StartDate),1)</f>
        <v/>
      </c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Mgmt'!$B:$B,C639,'Client DB &amp; Bed Mgmt'!$E:$E,"Occupied"),0)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>
        <f>IFERROR(J639*SUMPRODUCT(('Client DB &amp; Bed Mgmt'!$A$5:$A$428=A639)*('Client DB &amp; Bed Mgmt'!$B$5:$B$428=C639)*('Client DB &amp; Bed Mgmt'!$D$5:$D$428&lt;&gt;"")*--(('Client DB &amp; Bed Mgmt'!$M$5:$M$428="")+NOT(ISNUMBER('Client DB &amp; Bed Mgmt'!$M$5:$M$428))+IFERROR('Client DB &amp; Bed Mgmt'!$M$5:$M$428&lt;=EOMONTH(B639,0),FALSE)&gt;0)*--(('Client DB &amp; Bed Mgmt'!$N$5:$N$428="")+NOT(ISNUMBER('Client DB &amp; Bed Mgmt'!$N$5:$N$428))+IFERROR('Client DB &amp; Bed Mgmt'!$N$5:$N$428&gt;=DATE(YEAR(B639),MONTH(B639),1),FALSE)&gt;0)*((IF(('Client DB &amp; Bed Mgmt'!$N$5:$N$428="")+NOT(ISNUMBER('Client DB &amp; Bed Mgmt'!$N$5:$N$428)),EOMONTH(B639,0),IF('Client DB &amp; Bed Mgmt'!$N$5:$N$428&lt;EOMONTH(B639,0),'Client DB &amp; Bed Mgmt'!$N$5:$N$428,EOMONTH(B639,0))))-(IF(('Client DB &amp; Bed Mgmt'!$M$5:$M$428="")+NOT(ISNUMBER('Client DB &amp; Bed Mgmt'!$M$5:$M$428)),DATE(YEAR(B639),MONTH(B639),1),IF('Client DB &amp; Bed Mgmt'!$M$5:$M$428&gt;DATE(YEAR(B639),MONTH(B639),1),'Client DB &amp; Bed Mgmt'!$M$5:$M$428,DATE(YEAR(B639),MONTH(B639),1))))+1)/DAY(EOMONTH(B639,0))),0)</f>
        <v/>
      </c>
    </row>
    <row r="640" ht="14.25" customHeight="1" s="83">
      <c r="A640" s="103" t="n"/>
      <c r="B640" s="125">
        <f>DATE(YEAR(StartDate),MONTH(StartDate),1)</f>
        <v/>
      </c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Mgmt'!$B:$B,C640,'Client DB &amp; Bed Mgmt'!$E:$E,"Occupied"),0)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>
        <f>IFERROR(J640*SUMPRODUCT(('Client DB &amp; Bed Mgmt'!$A$5:$A$428=A640)*('Client DB &amp; Bed Mgmt'!$B$5:$B$428=C640)*('Client DB &amp; Bed Mgmt'!$D$5:$D$428&lt;&gt;"")*--(('Client DB &amp; Bed Mgmt'!$M$5:$M$428="")+NOT(ISNUMBER('Client DB &amp; Bed Mgmt'!$M$5:$M$428))+IFERROR('Client DB &amp; Bed Mgmt'!$M$5:$M$428&lt;=EOMONTH(B640,0),FALSE)&gt;0)*--(('Client DB &amp; Bed Mgmt'!$N$5:$N$428="")+NOT(ISNUMBER('Client DB &amp; Bed Mgmt'!$N$5:$N$428))+IFERROR('Client DB &amp; Bed Mgmt'!$N$5:$N$428&gt;=DATE(YEAR(B640),MONTH(B640),1),FALSE)&gt;0)*((IF(('Client DB &amp; Bed Mgmt'!$N$5:$N$428="")+NOT(ISNUMBER('Client DB &amp; Bed Mgmt'!$N$5:$N$428)),EOMONTH(B640,0),IF('Client DB &amp; Bed Mgmt'!$N$5:$N$428&lt;EOMONTH(B640,0),'Client DB &amp; Bed Mgmt'!$N$5:$N$428,EOMONTH(B640,0))))-(IF(('Client DB &amp; Bed Mgmt'!$M$5:$M$428="")+NOT(ISNUMBER('Client DB &amp; Bed Mgmt'!$M$5:$M$428)),DATE(YEAR(B640),MONTH(B640),1),IF('Client DB &amp; Bed Mgmt'!$M$5:$M$428&gt;DATE(YEAR(B640),MONTH(B640),1),'Client DB &amp; Bed Mgmt'!$M$5:$M$428,DATE(YEAR(B640),MONTH(B640),1))))+1)/DAY(EOMONTH(B640,0))),0)</f>
        <v/>
      </c>
    </row>
    <row r="641" ht="14.25" customHeight="1" s="83">
      <c r="A641" s="103" t="n"/>
      <c r="B641" s="125">
        <f>DATE(YEAR(StartDate),MONTH(StartDate),1)</f>
        <v/>
      </c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Mgmt'!$B:$B,C641,'Client DB &amp; Bed Mgmt'!$E:$E,"Occupied"),0)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>
        <f>IFERROR(J641*SUMPRODUCT(('Client DB &amp; Bed Mgmt'!$A$5:$A$428=A641)*('Client DB &amp; Bed Mgmt'!$B$5:$B$428=C641)*('Client DB &amp; Bed Mgmt'!$D$5:$D$428&lt;&gt;"")*--(('Client DB &amp; Bed Mgmt'!$M$5:$M$428="")+NOT(ISNUMBER('Client DB &amp; Bed Mgmt'!$M$5:$M$428))+IFERROR('Client DB &amp; Bed Mgmt'!$M$5:$M$428&lt;=EOMONTH(B641,0),FALSE)&gt;0)*--(('Client DB &amp; Bed Mgmt'!$N$5:$N$428="")+NOT(ISNUMBER('Client DB &amp; Bed Mgmt'!$N$5:$N$428))+IFERROR('Client DB &amp; Bed Mgmt'!$N$5:$N$428&gt;=DATE(YEAR(B641),MONTH(B641),1),FALSE)&gt;0)*((IF(('Client DB &amp; Bed Mgmt'!$N$5:$N$428="")+NOT(ISNUMBER('Client DB &amp; Bed Mgmt'!$N$5:$N$428)),EOMONTH(B641,0),IF('Client DB &amp; Bed Mgmt'!$N$5:$N$428&lt;EOMONTH(B641,0),'Client DB &amp; Bed Mgmt'!$N$5:$N$428,EOMONTH(B641,0))))-(IF(('Client DB &amp; Bed Mgmt'!$M$5:$M$428="")+NOT(ISNUMBER('Client DB &amp; Bed Mgmt'!$M$5:$M$428)),DATE(YEAR(B641),MONTH(B641),1),IF('Client DB &amp; Bed Mgmt'!$M$5:$M$428&gt;DATE(YEAR(B641),MONTH(B641),1),'Client DB &amp; Bed Mgmt'!$M$5:$M$428,DATE(YEAR(B641),MONTH(B641),1))))+1)/DAY(EOMONTH(B641,0))),0)</f>
        <v/>
      </c>
    </row>
    <row r="642" ht="14.25" customHeight="1" s="83">
      <c r="A642" s="103" t="n"/>
      <c r="B642" s="125">
        <f>DATE(YEAR(StartDate),MONTH(StartDate),1)</f>
        <v/>
      </c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Mgmt'!$B:$B,C642,'Client DB &amp; Bed Mgmt'!$E:$E,"Occupied"),0)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>
        <f>IFERROR(J642*SUMPRODUCT(('Client DB &amp; Bed Mgmt'!$A$5:$A$428=A642)*('Client DB &amp; Bed Mgmt'!$B$5:$B$428=C642)*('Client DB &amp; Bed Mgmt'!$D$5:$D$428&lt;&gt;"")*--(('Client DB &amp; Bed Mgmt'!$M$5:$M$428="")+NOT(ISNUMBER('Client DB &amp; Bed Mgmt'!$M$5:$M$428))+IFERROR('Client DB &amp; Bed Mgmt'!$M$5:$M$428&lt;=EOMONTH(B642,0),FALSE)&gt;0)*--(('Client DB &amp; Bed Mgmt'!$N$5:$N$428="")+NOT(ISNUMBER('Client DB &amp; Bed Mgmt'!$N$5:$N$428))+IFERROR('Client DB &amp; Bed Mgmt'!$N$5:$N$428&gt;=DATE(YEAR(B642),MONTH(B642),1),FALSE)&gt;0)*((IF(('Client DB &amp; Bed Mgmt'!$N$5:$N$428="")+NOT(ISNUMBER('Client DB &amp; Bed Mgmt'!$N$5:$N$428)),EOMONTH(B642,0),IF('Client DB &amp; Bed Mgmt'!$N$5:$N$428&lt;EOMONTH(B642,0),'Client DB &amp; Bed Mgmt'!$N$5:$N$428,EOMONTH(B642,0))))-(IF(('Client DB &amp; Bed Mgmt'!$M$5:$M$428="")+NOT(ISNUMBER('Client DB &amp; Bed Mgmt'!$M$5:$M$428)),DATE(YEAR(B642),MONTH(B642),1),IF('Client DB &amp; Bed Mgmt'!$M$5:$M$428&gt;DATE(YEAR(B642),MONTH(B642),1),'Client DB &amp; Bed Mgmt'!$M$5:$M$428,DATE(YEAR(B642),MONTH(B642),1))))+1)/DAY(EOMONTH(B642,0))),0)</f>
        <v/>
      </c>
    </row>
    <row r="643" ht="14.25" customHeight="1" s="83">
      <c r="A643" s="103" t="n"/>
      <c r="B643" s="125">
        <f>DATE(YEAR(StartDate),MONTH(StartDate),1)</f>
        <v/>
      </c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Mgmt'!$B:$B,C643,'Client DB &amp; Bed Mgmt'!$E:$E,"Occupied"),0)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>
        <f>IFERROR(J643*SUMPRODUCT(('Client DB &amp; Bed Mgmt'!$A$5:$A$428=A643)*('Client DB &amp; Bed Mgmt'!$B$5:$B$428=C643)*('Client DB &amp; Bed Mgmt'!$D$5:$D$428&lt;&gt;"")*--(('Client DB &amp; Bed Mgmt'!$M$5:$M$428="")+NOT(ISNUMBER('Client DB &amp; Bed Mgmt'!$M$5:$M$428))+IFERROR('Client DB &amp; Bed Mgmt'!$M$5:$M$428&lt;=EOMONTH(B643,0),FALSE)&gt;0)*--(('Client DB &amp; Bed Mgmt'!$N$5:$N$428="")+NOT(ISNUMBER('Client DB &amp; Bed Mgmt'!$N$5:$N$428))+IFERROR('Client DB &amp; Bed Mgmt'!$N$5:$N$428&gt;=DATE(YEAR(B643),MONTH(B643),1),FALSE)&gt;0)*((IF(('Client DB &amp; Bed Mgmt'!$N$5:$N$428="")+NOT(ISNUMBER('Client DB &amp; Bed Mgmt'!$N$5:$N$428)),EOMONTH(B643,0),IF('Client DB &amp; Bed Mgmt'!$N$5:$N$428&lt;EOMONTH(B643,0),'Client DB &amp; Bed Mgmt'!$N$5:$N$428,EOMONTH(B643,0))))-(IF(('Client DB &amp; Bed Mgmt'!$M$5:$M$428="")+NOT(ISNUMBER('Client DB &amp; Bed Mgmt'!$M$5:$M$428)),DATE(YEAR(B643),MONTH(B643),1),IF('Client DB &amp; Bed Mgmt'!$M$5:$M$428&gt;DATE(YEAR(B643),MONTH(B643),1),'Client DB &amp; Bed Mgmt'!$M$5:$M$428,DATE(YEAR(B643),MONTH(B643),1))))+1)/DAY(EOMONTH(B643,0))),0)</f>
        <v/>
      </c>
    </row>
    <row r="644" ht="14.25" customHeight="1" s="83">
      <c r="A644" s="103" t="n"/>
      <c r="B644" s="125">
        <f>DATE(YEAR(StartDate),MONTH(StartDate),1)</f>
        <v/>
      </c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Mgmt'!$B:$B,C644,'Client DB &amp; Bed Mgmt'!$E:$E,"Occupied"),0)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>
        <f>IFERROR(J644*SUMPRODUCT(('Client DB &amp; Bed Mgmt'!$A$5:$A$428=A644)*('Client DB &amp; Bed Mgmt'!$B$5:$B$428=C644)*('Client DB &amp; Bed Mgmt'!$D$5:$D$428&lt;&gt;"")*--(('Client DB &amp; Bed Mgmt'!$M$5:$M$428="")+NOT(ISNUMBER('Client DB &amp; Bed Mgmt'!$M$5:$M$428))+IFERROR('Client DB &amp; Bed Mgmt'!$M$5:$M$428&lt;=EOMONTH(B644,0),FALSE)&gt;0)*--(('Client DB &amp; Bed Mgmt'!$N$5:$N$428="")+NOT(ISNUMBER('Client DB &amp; Bed Mgmt'!$N$5:$N$428))+IFERROR('Client DB &amp; Bed Mgmt'!$N$5:$N$428&gt;=DATE(YEAR(B644),MONTH(B644),1),FALSE)&gt;0)*((IF(('Client DB &amp; Bed Mgmt'!$N$5:$N$428="")+NOT(ISNUMBER('Client DB &amp; Bed Mgmt'!$N$5:$N$428)),EOMONTH(B644,0),IF('Client DB &amp; Bed Mgmt'!$N$5:$N$428&lt;EOMONTH(B644,0),'Client DB &amp; Bed Mgmt'!$N$5:$N$428,EOMONTH(B644,0))))-(IF(('Client DB &amp; Bed Mgmt'!$M$5:$M$428="")+NOT(ISNUMBER('Client DB &amp; Bed Mgmt'!$M$5:$M$428)),DATE(YEAR(B644),MONTH(B644),1),IF('Client DB &amp; Bed Mgmt'!$M$5:$M$428&gt;DATE(YEAR(B644),MONTH(B644),1),'Client DB &amp; Bed Mgmt'!$M$5:$M$428,DATE(YEAR(B644),MONTH(B644),1))))+1)/DAY(EOMONTH(B644,0))),0)</f>
        <v/>
      </c>
    </row>
    <row r="645" ht="14.25" customHeight="1" s="83">
      <c r="A645" s="103" t="n"/>
      <c r="B645" s="125">
        <f>DATE(YEAR(StartDate),MONTH(StartDate),1)</f>
        <v/>
      </c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Mgmt'!$B:$B,C645,'Client DB &amp; Bed Mgmt'!$E:$E,"Occupied"),0)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>
        <f>IFERROR(J645*SUMPRODUCT(('Client DB &amp; Bed Mgmt'!$A$5:$A$428=A645)*('Client DB &amp; Bed Mgmt'!$B$5:$B$428=C645)*('Client DB &amp; Bed Mgmt'!$D$5:$D$428&lt;&gt;"")*--(('Client DB &amp; Bed Mgmt'!$M$5:$M$428="")+NOT(ISNUMBER('Client DB &amp; Bed Mgmt'!$M$5:$M$428))+IFERROR('Client DB &amp; Bed Mgmt'!$M$5:$M$428&lt;=EOMONTH(B645,0),FALSE)&gt;0)*--(('Client DB &amp; Bed Mgmt'!$N$5:$N$428="")+NOT(ISNUMBER('Client DB &amp; Bed Mgmt'!$N$5:$N$428))+IFERROR('Client DB &amp; Bed Mgmt'!$N$5:$N$428&gt;=DATE(YEAR(B645),MONTH(B645),1),FALSE)&gt;0)*((IF(('Client DB &amp; Bed Mgmt'!$N$5:$N$428="")+NOT(ISNUMBER('Client DB &amp; Bed Mgmt'!$N$5:$N$428)),EOMONTH(B645,0),IF('Client DB &amp; Bed Mgmt'!$N$5:$N$428&lt;EOMONTH(B645,0),'Client DB &amp; Bed Mgmt'!$N$5:$N$428,EOMONTH(B645,0))))-(IF(('Client DB &amp; Bed Mgmt'!$M$5:$M$428="")+NOT(ISNUMBER('Client DB &amp; Bed Mgmt'!$M$5:$M$428)),DATE(YEAR(B645),MONTH(B645),1),IF('Client DB &amp; Bed Mgmt'!$M$5:$M$428&gt;DATE(YEAR(B645),MONTH(B645),1),'Client DB &amp; Bed Mgmt'!$M$5:$M$428,DATE(YEAR(B645),MONTH(B645),1))))+1)/DAY(EOMONTH(B645,0))),0)</f>
        <v/>
      </c>
    </row>
    <row r="646" ht="14.25" customHeight="1" s="83">
      <c r="A646" s="103" t="n"/>
      <c r="B646" s="125">
        <f>DATE(YEAR(StartDate),MONTH(StartDate),1)</f>
        <v/>
      </c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Mgmt'!$B:$B,C646,'Client DB &amp; Bed Mgmt'!$E:$E,"Occupied"),0)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>
        <f>IFERROR(J646*SUMPRODUCT(('Client DB &amp; Bed Mgmt'!$A$5:$A$428=A646)*('Client DB &amp; Bed Mgmt'!$B$5:$B$428=C646)*('Client DB &amp; Bed Mgmt'!$D$5:$D$428&lt;&gt;"")*--(('Client DB &amp; Bed Mgmt'!$M$5:$M$428="")+NOT(ISNUMBER('Client DB &amp; Bed Mgmt'!$M$5:$M$428))+IFERROR('Client DB &amp; Bed Mgmt'!$M$5:$M$428&lt;=EOMONTH(B646,0),FALSE)&gt;0)*--(('Client DB &amp; Bed Mgmt'!$N$5:$N$428="")+NOT(ISNUMBER('Client DB &amp; Bed Mgmt'!$N$5:$N$428))+IFERROR('Client DB &amp; Bed Mgmt'!$N$5:$N$428&gt;=DATE(YEAR(B646),MONTH(B646),1),FALSE)&gt;0)*((IF(('Client DB &amp; Bed Mgmt'!$N$5:$N$428="")+NOT(ISNUMBER('Client DB &amp; Bed Mgmt'!$N$5:$N$428)),EOMONTH(B646,0),IF('Client DB &amp; Bed Mgmt'!$N$5:$N$428&lt;EOMONTH(B646,0),'Client DB &amp; Bed Mgmt'!$N$5:$N$428,EOMONTH(B646,0))))-(IF(('Client DB &amp; Bed Mgmt'!$M$5:$M$428="")+NOT(ISNUMBER('Client DB &amp; Bed Mgmt'!$M$5:$M$428)),DATE(YEAR(B646),MONTH(B646),1),IF('Client DB &amp; Bed Mgmt'!$M$5:$M$428&gt;DATE(YEAR(B646),MONTH(B646),1),'Client DB &amp; Bed Mgmt'!$M$5:$M$428,DATE(YEAR(B646),MONTH(B646),1))))+1)/DAY(EOMONTH(B646,0))),0)</f>
        <v/>
      </c>
    </row>
    <row r="647" ht="14.25" customHeight="1" s="83">
      <c r="A647" s="103" t="n"/>
      <c r="B647" s="125">
        <f>DATE(YEAR(StartDate),MONTH(StartDate),1)</f>
        <v/>
      </c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Mgmt'!$B:$B,C647,'Client DB &amp; Bed Mgmt'!$E:$E,"Occupied"),0)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>
        <f>IFERROR(J647*SUMPRODUCT(('Client DB &amp; Bed Mgmt'!$A$5:$A$428=A647)*('Client DB &amp; Bed Mgmt'!$B$5:$B$428=C647)*('Client DB &amp; Bed Mgmt'!$D$5:$D$428&lt;&gt;"")*--(('Client DB &amp; Bed Mgmt'!$M$5:$M$428="")+NOT(ISNUMBER('Client DB &amp; Bed Mgmt'!$M$5:$M$428))+IFERROR('Client DB &amp; Bed Mgmt'!$M$5:$M$428&lt;=EOMONTH(B647,0),FALSE)&gt;0)*--(('Client DB &amp; Bed Mgmt'!$N$5:$N$428="")+NOT(ISNUMBER('Client DB &amp; Bed Mgmt'!$N$5:$N$428))+IFERROR('Client DB &amp; Bed Mgmt'!$N$5:$N$428&gt;=DATE(YEAR(B647),MONTH(B647),1),FALSE)&gt;0)*((IF(('Client DB &amp; Bed Mgmt'!$N$5:$N$428="")+NOT(ISNUMBER('Client DB &amp; Bed Mgmt'!$N$5:$N$428)),EOMONTH(B647,0),IF('Client DB &amp; Bed Mgmt'!$N$5:$N$428&lt;EOMONTH(B647,0),'Client DB &amp; Bed Mgmt'!$N$5:$N$428,EOMONTH(B647,0))))-(IF(('Client DB &amp; Bed Mgmt'!$M$5:$M$428="")+NOT(ISNUMBER('Client DB &amp; Bed Mgmt'!$M$5:$M$428)),DATE(YEAR(B647),MONTH(B647),1),IF('Client DB &amp; Bed Mgmt'!$M$5:$M$428&gt;DATE(YEAR(B647),MONTH(B647),1),'Client DB &amp; Bed Mgmt'!$M$5:$M$428,DATE(YEAR(B647),MONTH(B647),1))))+1)/DAY(EOMONTH(B647,0))),0)</f>
        <v/>
      </c>
    </row>
    <row r="648" ht="14.25" customHeight="1" s="83">
      <c r="A648" s="103" t="n"/>
      <c r="B648" s="125">
        <f>DATE(YEAR(StartDate),MONTH(StartDate),1)</f>
        <v/>
      </c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Mgmt'!$B:$B,C648,'Client DB &amp; Bed Mgmt'!$E:$E,"Occupied"),0)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>
        <f>IFERROR(J648*SUMPRODUCT(('Client DB &amp; Bed Mgmt'!$A$5:$A$428=A648)*('Client DB &amp; Bed Mgmt'!$B$5:$B$428=C648)*('Client DB &amp; Bed Mgmt'!$D$5:$D$428&lt;&gt;"")*--(('Client DB &amp; Bed Mgmt'!$M$5:$M$428="")+NOT(ISNUMBER('Client DB &amp; Bed Mgmt'!$M$5:$M$428))+IFERROR('Client DB &amp; Bed Mgmt'!$M$5:$M$428&lt;=EOMONTH(B648,0),FALSE)&gt;0)*--(('Client DB &amp; Bed Mgmt'!$N$5:$N$428="")+NOT(ISNUMBER('Client DB &amp; Bed Mgmt'!$N$5:$N$428))+IFERROR('Client DB &amp; Bed Mgmt'!$N$5:$N$428&gt;=DATE(YEAR(B648),MONTH(B648),1),FALSE)&gt;0)*((IF(('Client DB &amp; Bed Mgmt'!$N$5:$N$428="")+NOT(ISNUMBER('Client DB &amp; Bed Mgmt'!$N$5:$N$428)),EOMONTH(B648,0),IF('Client DB &amp; Bed Mgmt'!$N$5:$N$428&lt;EOMONTH(B648,0),'Client DB &amp; Bed Mgmt'!$N$5:$N$428,EOMONTH(B648,0))))-(IF(('Client DB &amp; Bed Mgmt'!$M$5:$M$428="")+NOT(ISNUMBER('Client DB &amp; Bed Mgmt'!$M$5:$M$428)),DATE(YEAR(B648),MONTH(B648),1),IF('Client DB &amp; Bed Mgmt'!$M$5:$M$428&gt;DATE(YEAR(B648),MONTH(B648),1),'Client DB &amp; Bed Mgmt'!$M$5:$M$428,DATE(YEAR(B648),MONTH(B648),1))))+1)/DAY(EOMONTH(B648,0))),0)</f>
        <v/>
      </c>
    </row>
    <row r="649" ht="14.25" customHeight="1" s="83">
      <c r="A649" s="103" t="n"/>
      <c r="B649" s="125">
        <f>DATE(YEAR(StartDate),MONTH(StartDate),1)</f>
        <v/>
      </c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Mgmt'!$B:$B,C649,'Client DB &amp; Bed Mgmt'!$E:$E,"Occupied"),0)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>
        <f>IFERROR(J649*SUMPRODUCT(('Client DB &amp; Bed Mgmt'!$A$5:$A$428=A649)*('Client DB &amp; Bed Mgmt'!$B$5:$B$428=C649)*('Client DB &amp; Bed Mgmt'!$D$5:$D$428&lt;&gt;"")*--(('Client DB &amp; Bed Mgmt'!$M$5:$M$428="")+NOT(ISNUMBER('Client DB &amp; Bed Mgmt'!$M$5:$M$428))+IFERROR('Client DB &amp; Bed Mgmt'!$M$5:$M$428&lt;=EOMONTH(B649,0),FALSE)&gt;0)*--(('Client DB &amp; Bed Mgmt'!$N$5:$N$428="")+NOT(ISNUMBER('Client DB &amp; Bed Mgmt'!$N$5:$N$428))+IFERROR('Client DB &amp; Bed Mgmt'!$N$5:$N$428&gt;=DATE(YEAR(B649),MONTH(B649),1),FALSE)&gt;0)*((IF(('Client DB &amp; Bed Mgmt'!$N$5:$N$428="")+NOT(ISNUMBER('Client DB &amp; Bed Mgmt'!$N$5:$N$428)),EOMONTH(B649,0),IF('Client DB &amp; Bed Mgmt'!$N$5:$N$428&lt;EOMONTH(B649,0),'Client DB &amp; Bed Mgmt'!$N$5:$N$428,EOMONTH(B649,0))))-(IF(('Client DB &amp; Bed Mgmt'!$M$5:$M$428="")+NOT(ISNUMBER('Client DB &amp; Bed Mgmt'!$M$5:$M$428)),DATE(YEAR(B649),MONTH(B649),1),IF('Client DB &amp; Bed Mgmt'!$M$5:$M$428&gt;DATE(YEAR(B649),MONTH(B649),1),'Client DB &amp; Bed Mgmt'!$M$5:$M$428,DATE(YEAR(B649),MONTH(B649),1))))+1)/DAY(EOMONTH(B649,0))),0)</f>
        <v/>
      </c>
    </row>
    <row r="650" ht="14.25" customHeight="1" s="83">
      <c r="A650" s="103" t="n"/>
      <c r="B650" s="125">
        <f>DATE(YEAR(StartDate),MONTH(StartDate),1)</f>
        <v/>
      </c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Mgmt'!$B:$B,C650,'Client DB &amp; Bed Mgmt'!$E:$E,"Occupied"),0)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>
        <f>IFERROR(J650*SUMPRODUCT(('Client DB &amp; Bed Mgmt'!$A$5:$A$428=A650)*('Client DB &amp; Bed Mgmt'!$B$5:$B$428=C650)*('Client DB &amp; Bed Mgmt'!$D$5:$D$428&lt;&gt;"")*--(('Client DB &amp; Bed Mgmt'!$M$5:$M$428="")+NOT(ISNUMBER('Client DB &amp; Bed Mgmt'!$M$5:$M$428))+IFERROR('Client DB &amp; Bed Mgmt'!$M$5:$M$428&lt;=EOMONTH(B650,0),FALSE)&gt;0)*--(('Client DB &amp; Bed Mgmt'!$N$5:$N$428="")+NOT(ISNUMBER('Client DB &amp; Bed Mgmt'!$N$5:$N$428))+IFERROR('Client DB &amp; Bed Mgmt'!$N$5:$N$428&gt;=DATE(YEAR(B650),MONTH(B650),1),FALSE)&gt;0)*((IF(('Client DB &amp; Bed Mgmt'!$N$5:$N$428="")+NOT(ISNUMBER('Client DB &amp; Bed Mgmt'!$N$5:$N$428)),EOMONTH(B650,0),IF('Client DB &amp; Bed Mgmt'!$N$5:$N$428&lt;EOMONTH(B650,0),'Client DB &amp; Bed Mgmt'!$N$5:$N$428,EOMONTH(B650,0))))-(IF(('Client DB &amp; Bed Mgmt'!$M$5:$M$428="")+NOT(ISNUMBER('Client DB &amp; Bed Mgmt'!$M$5:$M$428)),DATE(YEAR(B650),MONTH(B650),1),IF('Client DB &amp; Bed Mgmt'!$M$5:$M$428&gt;DATE(YEAR(B650),MONTH(B650),1),'Client DB &amp; Bed Mgmt'!$M$5:$M$428,DATE(YEAR(B650),MONTH(B650),1))))+1)/DAY(EOMONTH(B650,0))),0)</f>
        <v/>
      </c>
    </row>
    <row r="651" ht="14.25" customHeight="1" s="83">
      <c r="A651" s="103" t="n"/>
      <c r="B651" s="125">
        <f>DATE(YEAR(StartDate),MONTH(StartDate),1)</f>
        <v/>
      </c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Mgmt'!$B:$B,C651,'Client DB &amp; Bed Mgmt'!$E:$E,"Occupied"),0)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>
        <f>IFERROR(J651*SUMPRODUCT(('Client DB &amp; Bed Mgmt'!$A$5:$A$428=A651)*('Client DB &amp; Bed Mgmt'!$B$5:$B$428=C651)*('Client DB &amp; Bed Mgmt'!$D$5:$D$428&lt;&gt;"")*--(('Client DB &amp; Bed Mgmt'!$M$5:$M$428="")+NOT(ISNUMBER('Client DB &amp; Bed Mgmt'!$M$5:$M$428))+IFERROR('Client DB &amp; Bed Mgmt'!$M$5:$M$428&lt;=EOMONTH(B651,0),FALSE)&gt;0)*--(('Client DB &amp; Bed Mgmt'!$N$5:$N$428="")+NOT(ISNUMBER('Client DB &amp; Bed Mgmt'!$N$5:$N$428))+IFERROR('Client DB &amp; Bed Mgmt'!$N$5:$N$428&gt;=DATE(YEAR(B651),MONTH(B651),1),FALSE)&gt;0)*((IF(('Client DB &amp; Bed Mgmt'!$N$5:$N$428="")+NOT(ISNUMBER('Client DB &amp; Bed Mgmt'!$N$5:$N$428)),EOMONTH(B651,0),IF('Client DB &amp; Bed Mgmt'!$N$5:$N$428&lt;EOMONTH(B651,0),'Client DB &amp; Bed Mgmt'!$N$5:$N$428,EOMONTH(B651,0))))-(IF(('Client DB &amp; Bed Mgmt'!$M$5:$M$428="")+NOT(ISNUMBER('Client DB &amp; Bed Mgmt'!$M$5:$M$428)),DATE(YEAR(B651),MONTH(B651),1),IF('Client DB &amp; Bed Mgmt'!$M$5:$M$428&gt;DATE(YEAR(B651),MONTH(B651),1),'Client DB &amp; Bed Mgmt'!$M$5:$M$428,DATE(YEAR(B651),MONTH(B651),1))))+1)/DAY(EOMONTH(B651,0))),0)</f>
        <v/>
      </c>
    </row>
    <row r="652" ht="14.25" customHeight="1" s="83">
      <c r="A652" s="103" t="n"/>
      <c r="B652" s="125">
        <f>DATE(YEAR(StartDate),MONTH(StartDate),1)</f>
        <v/>
      </c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Mgmt'!$B:$B,C652,'Client DB &amp; Bed Mgmt'!$E:$E,"Occupied"),0)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>
        <f>IFERROR(J652*SUMPRODUCT(('Client DB &amp; Bed Mgmt'!$A$5:$A$428=A652)*('Client DB &amp; Bed Mgmt'!$B$5:$B$428=C652)*('Client DB &amp; Bed Mgmt'!$D$5:$D$428&lt;&gt;"")*--(('Client DB &amp; Bed Mgmt'!$M$5:$M$428="")+NOT(ISNUMBER('Client DB &amp; Bed Mgmt'!$M$5:$M$428))+IFERROR('Client DB &amp; Bed Mgmt'!$M$5:$M$428&lt;=EOMONTH(B652,0),FALSE)&gt;0)*--(('Client DB &amp; Bed Mgmt'!$N$5:$N$428="")+NOT(ISNUMBER('Client DB &amp; Bed Mgmt'!$N$5:$N$428))+IFERROR('Client DB &amp; Bed Mgmt'!$N$5:$N$428&gt;=DATE(YEAR(B652),MONTH(B652),1),FALSE)&gt;0)*((IF(('Client DB &amp; Bed Mgmt'!$N$5:$N$428="")+NOT(ISNUMBER('Client DB &amp; Bed Mgmt'!$N$5:$N$428)),EOMONTH(B652,0),IF('Client DB &amp; Bed Mgmt'!$N$5:$N$428&lt;EOMONTH(B652,0),'Client DB &amp; Bed Mgmt'!$N$5:$N$428,EOMONTH(B652,0))))-(IF(('Client DB &amp; Bed Mgmt'!$M$5:$M$428="")+NOT(ISNUMBER('Client DB &amp; Bed Mgmt'!$M$5:$M$428)),DATE(YEAR(B652),MONTH(B652),1),IF('Client DB &amp; Bed Mgmt'!$M$5:$M$428&gt;DATE(YEAR(B652),MONTH(B652),1),'Client DB &amp; Bed Mgmt'!$M$5:$M$428,DATE(YEAR(B652),MONTH(B652),1))))+1)/DAY(EOMONTH(B652,0))),0)</f>
        <v/>
      </c>
    </row>
    <row r="653" ht="14.25" customHeight="1" s="83">
      <c r="A653" s="103" t="n"/>
      <c r="B653" s="125">
        <f>DATE(YEAR(StartDate),MONTH(StartDate),1)</f>
        <v/>
      </c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Mgmt'!$B:$B,C653,'Client DB &amp; Bed Mgmt'!$E:$E,"Occupied"),0)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>
        <f>IFERROR(J653*SUMPRODUCT(('Client DB &amp; Bed Mgmt'!$A$5:$A$428=A653)*('Client DB &amp; Bed Mgmt'!$B$5:$B$428=C653)*('Client DB &amp; Bed Mgmt'!$D$5:$D$428&lt;&gt;"")*--(('Client DB &amp; Bed Mgmt'!$M$5:$M$428="")+NOT(ISNUMBER('Client DB &amp; Bed Mgmt'!$M$5:$M$428))+IFERROR('Client DB &amp; Bed Mgmt'!$M$5:$M$428&lt;=EOMONTH(B653,0),FALSE)&gt;0)*--(('Client DB &amp; Bed Mgmt'!$N$5:$N$428="")+NOT(ISNUMBER('Client DB &amp; Bed Mgmt'!$N$5:$N$428))+IFERROR('Client DB &amp; Bed Mgmt'!$N$5:$N$428&gt;=DATE(YEAR(B653),MONTH(B653),1),FALSE)&gt;0)*((IF(('Client DB &amp; Bed Mgmt'!$N$5:$N$428="")+NOT(ISNUMBER('Client DB &amp; Bed Mgmt'!$N$5:$N$428)),EOMONTH(B653,0),IF('Client DB &amp; Bed Mgmt'!$N$5:$N$428&lt;EOMONTH(B653,0),'Client DB &amp; Bed Mgmt'!$N$5:$N$428,EOMONTH(B653,0))))-(IF(('Client DB &amp; Bed Mgmt'!$M$5:$M$428="")+NOT(ISNUMBER('Client DB &amp; Bed Mgmt'!$M$5:$M$428)),DATE(YEAR(B653),MONTH(B653),1),IF('Client DB &amp; Bed Mgmt'!$M$5:$M$428&gt;DATE(YEAR(B653),MONTH(B653),1),'Client DB &amp; Bed Mgmt'!$M$5:$M$428,DATE(YEAR(B653),MONTH(B653),1))))+1)/DAY(EOMONTH(B653,0))),0)</f>
        <v/>
      </c>
    </row>
    <row r="654" ht="14.25" customHeight="1" s="83">
      <c r="A654" s="103" t="n"/>
      <c r="B654" s="125">
        <f>DATE(YEAR(StartDate),MONTH(StartDate),1)</f>
        <v/>
      </c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Mgmt'!$B:$B,C654,'Client DB &amp; Bed Mgmt'!$E:$E,"Occupied"),0)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>
        <f>IFERROR(J654*SUMPRODUCT(('Client DB &amp; Bed Mgmt'!$A$5:$A$428=A654)*('Client DB &amp; Bed Mgmt'!$B$5:$B$428=C654)*('Client DB &amp; Bed Mgmt'!$D$5:$D$428&lt;&gt;"")*--(('Client DB &amp; Bed Mgmt'!$M$5:$M$428="")+NOT(ISNUMBER('Client DB &amp; Bed Mgmt'!$M$5:$M$428))+IFERROR('Client DB &amp; Bed Mgmt'!$M$5:$M$428&lt;=EOMONTH(B654,0),FALSE)&gt;0)*--(('Client DB &amp; Bed Mgmt'!$N$5:$N$428="")+NOT(ISNUMBER('Client DB &amp; Bed Mgmt'!$N$5:$N$428))+IFERROR('Client DB &amp; Bed Mgmt'!$N$5:$N$428&gt;=DATE(YEAR(B654),MONTH(B654),1),FALSE)&gt;0)*((IF(('Client DB &amp; Bed Mgmt'!$N$5:$N$428="")+NOT(ISNUMBER('Client DB &amp; Bed Mgmt'!$N$5:$N$428)),EOMONTH(B654,0),IF('Client DB &amp; Bed Mgmt'!$N$5:$N$428&lt;EOMONTH(B654,0),'Client DB &amp; Bed Mgmt'!$N$5:$N$428,EOMONTH(B654,0))))-(IF(('Client DB &amp; Bed Mgmt'!$M$5:$M$428="")+NOT(ISNUMBER('Client DB &amp; Bed Mgmt'!$M$5:$M$428)),DATE(YEAR(B654),MONTH(B654),1),IF('Client DB &amp; Bed Mgmt'!$M$5:$M$428&gt;DATE(YEAR(B654),MONTH(B654),1),'Client DB &amp; Bed Mgmt'!$M$5:$M$428,DATE(YEAR(B654),MONTH(B654),1))))+1)/DAY(EOMONTH(B654,0))),0)</f>
        <v/>
      </c>
    </row>
    <row r="655" ht="14.25" customHeight="1" s="83">
      <c r="A655" s="103" t="n"/>
      <c r="B655" s="125">
        <f>DATE(YEAR(StartDate),MONTH(StartDate),1)</f>
        <v/>
      </c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Mgmt'!$B:$B,C655,'Client DB &amp; Bed Mgmt'!$E:$E,"Occupied"),0)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>
        <f>IFERROR(J655*SUMPRODUCT(('Client DB &amp; Bed Mgmt'!$A$5:$A$428=A655)*('Client DB &amp; Bed Mgmt'!$B$5:$B$428=C655)*('Client DB &amp; Bed Mgmt'!$D$5:$D$428&lt;&gt;"")*--(('Client DB &amp; Bed Mgmt'!$M$5:$M$428="")+NOT(ISNUMBER('Client DB &amp; Bed Mgmt'!$M$5:$M$428))+IFERROR('Client DB &amp; Bed Mgmt'!$M$5:$M$428&lt;=EOMONTH(B655,0),FALSE)&gt;0)*--(('Client DB &amp; Bed Mgmt'!$N$5:$N$428="")+NOT(ISNUMBER('Client DB &amp; Bed Mgmt'!$N$5:$N$428))+IFERROR('Client DB &amp; Bed Mgmt'!$N$5:$N$428&gt;=DATE(YEAR(B655),MONTH(B655),1),FALSE)&gt;0)*((IF(('Client DB &amp; Bed Mgmt'!$N$5:$N$428="")+NOT(ISNUMBER('Client DB &amp; Bed Mgmt'!$N$5:$N$428)),EOMONTH(B655,0),IF('Client DB &amp; Bed Mgmt'!$N$5:$N$428&lt;EOMONTH(B655,0),'Client DB &amp; Bed Mgmt'!$N$5:$N$428,EOMONTH(B655,0))))-(IF(('Client DB &amp; Bed Mgmt'!$M$5:$M$428="")+NOT(ISNUMBER('Client DB &amp; Bed Mgmt'!$M$5:$M$428)),DATE(YEAR(B655),MONTH(B655),1),IF('Client DB &amp; Bed Mgmt'!$M$5:$M$428&gt;DATE(YEAR(B655),MONTH(B655),1),'Client DB &amp; Bed Mgmt'!$M$5:$M$428,DATE(YEAR(B655),MONTH(B655),1))))+1)/DAY(EOMONTH(B655,0))),0)</f>
        <v/>
      </c>
    </row>
    <row r="656" ht="14.25" customHeight="1" s="83">
      <c r="A656" s="103" t="n"/>
      <c r="B656" s="125">
        <f>DATE(YEAR(StartDate),MONTH(StartDate),1)</f>
        <v/>
      </c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Mgmt'!$B:$B,C656,'Client DB &amp; Bed Mgmt'!$E:$E,"Occupied"),0)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>
        <f>IFERROR(J656*SUMPRODUCT(('Client DB &amp; Bed Mgmt'!$A$5:$A$428=A656)*('Client DB &amp; Bed Mgmt'!$B$5:$B$428=C656)*('Client DB &amp; Bed Mgmt'!$D$5:$D$428&lt;&gt;"")*--(('Client DB &amp; Bed Mgmt'!$M$5:$M$428="")+NOT(ISNUMBER('Client DB &amp; Bed Mgmt'!$M$5:$M$428))+IFERROR('Client DB &amp; Bed Mgmt'!$M$5:$M$428&lt;=EOMONTH(B656,0),FALSE)&gt;0)*--(('Client DB &amp; Bed Mgmt'!$N$5:$N$428="")+NOT(ISNUMBER('Client DB &amp; Bed Mgmt'!$N$5:$N$428))+IFERROR('Client DB &amp; Bed Mgmt'!$N$5:$N$428&gt;=DATE(YEAR(B656),MONTH(B656),1),FALSE)&gt;0)*((IF(('Client DB &amp; Bed Mgmt'!$N$5:$N$428="")+NOT(ISNUMBER('Client DB &amp; Bed Mgmt'!$N$5:$N$428)),EOMONTH(B656,0),IF('Client DB &amp; Bed Mgmt'!$N$5:$N$428&lt;EOMONTH(B656,0),'Client DB &amp; Bed Mgmt'!$N$5:$N$428,EOMONTH(B656,0))))-(IF(('Client DB &amp; Bed Mgmt'!$M$5:$M$428="")+NOT(ISNUMBER('Client DB &amp; Bed Mgmt'!$M$5:$M$428)),DATE(YEAR(B656),MONTH(B656),1),IF('Client DB &amp; Bed Mgmt'!$M$5:$M$428&gt;DATE(YEAR(B656),MONTH(B656),1),'Client DB &amp; Bed Mgmt'!$M$5:$M$428,DATE(YEAR(B656),MONTH(B656),1))))+1)/DAY(EOMONTH(B656,0))),0)</f>
        <v/>
      </c>
    </row>
    <row r="657" ht="14.25" customHeight="1" s="83">
      <c r="A657" s="103" t="n"/>
      <c r="B657" s="125">
        <f>DATE(YEAR(StartDate),MONTH(StartDate),1)</f>
        <v/>
      </c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Mgmt'!$B:$B,C657,'Client DB &amp; Bed Mgmt'!$E:$E,"Occupied"),0)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>
        <f>IFERROR(J657*SUMPRODUCT(('Client DB &amp; Bed Mgmt'!$A$5:$A$428=A657)*('Client DB &amp; Bed Mgmt'!$B$5:$B$428=C657)*('Client DB &amp; Bed Mgmt'!$D$5:$D$428&lt;&gt;"")*--(('Client DB &amp; Bed Mgmt'!$M$5:$M$428="")+NOT(ISNUMBER('Client DB &amp; Bed Mgmt'!$M$5:$M$428))+IFERROR('Client DB &amp; Bed Mgmt'!$M$5:$M$428&lt;=EOMONTH(B657,0),FALSE)&gt;0)*--(('Client DB &amp; Bed Mgmt'!$N$5:$N$428="")+NOT(ISNUMBER('Client DB &amp; Bed Mgmt'!$N$5:$N$428))+IFERROR('Client DB &amp; Bed Mgmt'!$N$5:$N$428&gt;=DATE(YEAR(B657),MONTH(B657),1),FALSE)&gt;0)*((IF(('Client DB &amp; Bed Mgmt'!$N$5:$N$428="")+NOT(ISNUMBER('Client DB &amp; Bed Mgmt'!$N$5:$N$428)),EOMONTH(B657,0),IF('Client DB &amp; Bed Mgmt'!$N$5:$N$428&lt;EOMONTH(B657,0),'Client DB &amp; Bed Mgmt'!$N$5:$N$428,EOMONTH(B657,0))))-(IF(('Client DB &amp; Bed Mgmt'!$M$5:$M$428="")+NOT(ISNUMBER('Client DB &amp; Bed Mgmt'!$M$5:$M$428)),DATE(YEAR(B657),MONTH(B657),1),IF('Client DB &amp; Bed Mgmt'!$M$5:$M$428&gt;DATE(YEAR(B657),MONTH(B657),1),'Client DB &amp; Bed Mgmt'!$M$5:$M$428,DATE(YEAR(B657),MONTH(B657),1))))+1)/DAY(EOMONTH(B657,0))),0)</f>
        <v/>
      </c>
    </row>
    <row r="658" ht="14.25" customHeight="1" s="83">
      <c r="A658" s="103" t="n"/>
      <c r="B658" s="125">
        <f>DATE(YEAR(StartDate),MONTH(StartDate),1)</f>
        <v/>
      </c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Mgmt'!$B:$B,C658,'Client DB &amp; Bed Mgmt'!$E:$E,"Occupied"),0)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>
        <f>IFERROR(J658*SUMPRODUCT(('Client DB &amp; Bed Mgmt'!$A$5:$A$428=A658)*('Client DB &amp; Bed Mgmt'!$B$5:$B$428=C658)*('Client DB &amp; Bed Mgmt'!$D$5:$D$428&lt;&gt;"")*--(('Client DB &amp; Bed Mgmt'!$M$5:$M$428="")+NOT(ISNUMBER('Client DB &amp; Bed Mgmt'!$M$5:$M$428))+IFERROR('Client DB &amp; Bed Mgmt'!$M$5:$M$428&lt;=EOMONTH(B658,0),FALSE)&gt;0)*--(('Client DB &amp; Bed Mgmt'!$N$5:$N$428="")+NOT(ISNUMBER('Client DB &amp; Bed Mgmt'!$N$5:$N$428))+IFERROR('Client DB &amp; Bed Mgmt'!$N$5:$N$428&gt;=DATE(YEAR(B658),MONTH(B658),1),FALSE)&gt;0)*((IF(('Client DB &amp; Bed Mgmt'!$N$5:$N$428="")+NOT(ISNUMBER('Client DB &amp; Bed Mgmt'!$N$5:$N$428)),EOMONTH(B658,0),IF('Client DB &amp; Bed Mgmt'!$N$5:$N$428&lt;EOMONTH(B658,0),'Client DB &amp; Bed Mgmt'!$N$5:$N$428,EOMONTH(B658,0))))-(IF(('Client DB &amp; Bed Mgmt'!$M$5:$M$428="")+NOT(ISNUMBER('Client DB &amp; Bed Mgmt'!$M$5:$M$428)),DATE(YEAR(B658),MONTH(B658),1),IF('Client DB &amp; Bed Mgmt'!$M$5:$M$428&gt;DATE(YEAR(B658),MONTH(B658),1),'Client DB &amp; Bed Mgmt'!$M$5:$M$428,DATE(YEAR(B658),MONTH(B658),1))))+1)/DAY(EOMONTH(B658,0))),0)</f>
        <v/>
      </c>
    </row>
    <row r="659" ht="14.25" customHeight="1" s="83">
      <c r="A659" s="103" t="n"/>
      <c r="B659" s="125">
        <f>DATE(YEAR(StartDate),MONTH(StartDate),1)</f>
        <v/>
      </c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Mgmt'!$B:$B,C659,'Client DB &amp; Bed Mgmt'!$E:$E,"Occupied"),0)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>
        <f>IFERROR(J659*SUMPRODUCT(('Client DB &amp; Bed Mgmt'!$A$5:$A$428=A659)*('Client DB &amp; Bed Mgmt'!$B$5:$B$428=C659)*('Client DB &amp; Bed Mgmt'!$D$5:$D$428&lt;&gt;"")*--(('Client DB &amp; Bed Mgmt'!$M$5:$M$428="")+NOT(ISNUMBER('Client DB &amp; Bed Mgmt'!$M$5:$M$428))+IFERROR('Client DB &amp; Bed Mgmt'!$M$5:$M$428&lt;=EOMONTH(B659,0),FALSE)&gt;0)*--(('Client DB &amp; Bed Mgmt'!$N$5:$N$428="")+NOT(ISNUMBER('Client DB &amp; Bed Mgmt'!$N$5:$N$428))+IFERROR('Client DB &amp; Bed Mgmt'!$N$5:$N$428&gt;=DATE(YEAR(B659),MONTH(B659),1),FALSE)&gt;0)*((IF(('Client DB &amp; Bed Mgmt'!$N$5:$N$428="")+NOT(ISNUMBER('Client DB &amp; Bed Mgmt'!$N$5:$N$428)),EOMONTH(B659,0),IF('Client DB &amp; Bed Mgmt'!$N$5:$N$428&lt;EOMONTH(B659,0),'Client DB &amp; Bed Mgmt'!$N$5:$N$428,EOMONTH(B659,0))))-(IF(('Client DB &amp; Bed Mgmt'!$M$5:$M$428="")+NOT(ISNUMBER('Client DB &amp; Bed Mgmt'!$M$5:$M$428)),DATE(YEAR(B659),MONTH(B659),1),IF('Client DB &amp; Bed Mgmt'!$M$5:$M$428&gt;DATE(YEAR(B659),MONTH(B659),1),'Client DB &amp; Bed Mgmt'!$M$5:$M$428,DATE(YEAR(B659),MONTH(B659),1))))+1)/DAY(EOMONTH(B659,0))),0)</f>
        <v/>
      </c>
    </row>
    <row r="660" ht="14.25" customHeight="1" s="83">
      <c r="A660" s="103" t="n"/>
      <c r="B660" s="125">
        <f>DATE(YEAR(StartDate),MONTH(StartDate),1)</f>
        <v/>
      </c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Mgmt'!$B:$B,C660,'Client DB &amp; Bed Mgmt'!$E:$E,"Occupied"),0)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>
        <f>IFERROR(J660*SUMPRODUCT(('Client DB &amp; Bed Mgmt'!$A$5:$A$428=A660)*('Client DB &amp; Bed Mgmt'!$B$5:$B$428=C660)*('Client DB &amp; Bed Mgmt'!$D$5:$D$428&lt;&gt;"")*--(('Client DB &amp; Bed Mgmt'!$M$5:$M$428="")+NOT(ISNUMBER('Client DB &amp; Bed Mgmt'!$M$5:$M$428))+IFERROR('Client DB &amp; Bed Mgmt'!$M$5:$M$428&lt;=EOMONTH(B660,0),FALSE)&gt;0)*--(('Client DB &amp; Bed Mgmt'!$N$5:$N$428="")+NOT(ISNUMBER('Client DB &amp; Bed Mgmt'!$N$5:$N$428))+IFERROR('Client DB &amp; Bed Mgmt'!$N$5:$N$428&gt;=DATE(YEAR(B660),MONTH(B660),1),FALSE)&gt;0)*((IF(('Client DB &amp; Bed Mgmt'!$N$5:$N$428="")+NOT(ISNUMBER('Client DB &amp; Bed Mgmt'!$N$5:$N$428)),EOMONTH(B660,0),IF('Client DB &amp; Bed Mgmt'!$N$5:$N$428&lt;EOMONTH(B660,0),'Client DB &amp; Bed Mgmt'!$N$5:$N$428,EOMONTH(B660,0))))-(IF(('Client DB &amp; Bed Mgmt'!$M$5:$M$428="")+NOT(ISNUMBER('Client DB &amp; Bed Mgmt'!$M$5:$M$428)),DATE(YEAR(B660),MONTH(B660),1),IF('Client DB &amp; Bed Mgmt'!$M$5:$M$428&gt;DATE(YEAR(B660),MONTH(B660),1),'Client DB &amp; Bed Mgmt'!$M$5:$M$428,DATE(YEAR(B660),MONTH(B660),1))))+1)/DAY(EOMONTH(B660,0))),0)</f>
        <v/>
      </c>
    </row>
    <row r="661" ht="14.25" customHeight="1" s="83">
      <c r="A661" s="103" t="n"/>
      <c r="B661" s="125">
        <f>DATE(YEAR(StartDate),MONTH(StartDate),1)</f>
        <v/>
      </c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Mgmt'!$B:$B,C661,'Client DB &amp; Bed Mgmt'!$E:$E,"Occupied"),0)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>
        <f>IFERROR(J661*SUMPRODUCT(('Client DB &amp; Bed Mgmt'!$A$5:$A$428=A661)*('Client DB &amp; Bed Mgmt'!$B$5:$B$428=C661)*('Client DB &amp; Bed Mgmt'!$D$5:$D$428&lt;&gt;"")*--(('Client DB &amp; Bed Mgmt'!$M$5:$M$428="")+NOT(ISNUMBER('Client DB &amp; Bed Mgmt'!$M$5:$M$428))+IFERROR('Client DB &amp; Bed Mgmt'!$M$5:$M$428&lt;=EOMONTH(B661,0),FALSE)&gt;0)*--(('Client DB &amp; Bed Mgmt'!$N$5:$N$428="")+NOT(ISNUMBER('Client DB &amp; Bed Mgmt'!$N$5:$N$428))+IFERROR('Client DB &amp; Bed Mgmt'!$N$5:$N$428&gt;=DATE(YEAR(B661),MONTH(B661),1),FALSE)&gt;0)*((IF(('Client DB &amp; Bed Mgmt'!$N$5:$N$428="")+NOT(ISNUMBER('Client DB &amp; Bed Mgmt'!$N$5:$N$428)),EOMONTH(B661,0),IF('Client DB &amp; Bed Mgmt'!$N$5:$N$428&lt;EOMONTH(B661,0),'Client DB &amp; Bed Mgmt'!$N$5:$N$428,EOMONTH(B661,0))))-(IF(('Client DB &amp; Bed Mgmt'!$M$5:$M$428="")+NOT(ISNUMBER('Client DB &amp; Bed Mgmt'!$M$5:$M$428)),DATE(YEAR(B661),MONTH(B661),1),IF('Client DB &amp; Bed Mgmt'!$M$5:$M$428&gt;DATE(YEAR(B661),MONTH(B661),1),'Client DB &amp; Bed Mgmt'!$M$5:$M$428,DATE(YEAR(B661),MONTH(B661),1))))+1)/DAY(EOMONTH(B661,0))),0)</f>
        <v/>
      </c>
    </row>
    <row r="662" ht="14.25" customHeight="1" s="83">
      <c r="A662" s="103" t="n"/>
      <c r="B662" s="125">
        <f>DATE(YEAR(StartDate),MONTH(StartDate),1)</f>
        <v/>
      </c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Mgmt'!$B:$B,C662,'Client DB &amp; Bed Mgmt'!$E:$E,"Occupied"),0)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>
        <f>IFERROR(J662*SUMPRODUCT(('Client DB &amp; Bed Mgmt'!$A$5:$A$428=A662)*('Client DB &amp; Bed Mgmt'!$B$5:$B$428=C662)*('Client DB &amp; Bed Mgmt'!$D$5:$D$428&lt;&gt;"")*--(('Client DB &amp; Bed Mgmt'!$M$5:$M$428="")+NOT(ISNUMBER('Client DB &amp; Bed Mgmt'!$M$5:$M$428))+IFERROR('Client DB &amp; Bed Mgmt'!$M$5:$M$428&lt;=EOMONTH(B662,0),FALSE)&gt;0)*--(('Client DB &amp; Bed Mgmt'!$N$5:$N$428="")+NOT(ISNUMBER('Client DB &amp; Bed Mgmt'!$N$5:$N$428))+IFERROR('Client DB &amp; Bed Mgmt'!$N$5:$N$428&gt;=DATE(YEAR(B662),MONTH(B662),1),FALSE)&gt;0)*((IF(('Client DB &amp; Bed Mgmt'!$N$5:$N$428="")+NOT(ISNUMBER('Client DB &amp; Bed Mgmt'!$N$5:$N$428)),EOMONTH(B662,0),IF('Client DB &amp; Bed Mgmt'!$N$5:$N$428&lt;EOMONTH(B662,0),'Client DB &amp; Bed Mgmt'!$N$5:$N$428,EOMONTH(B662,0))))-(IF(('Client DB &amp; Bed Mgmt'!$M$5:$M$428="")+NOT(ISNUMBER('Client DB &amp; Bed Mgmt'!$M$5:$M$428)),DATE(YEAR(B662),MONTH(B662),1),IF('Client DB &amp; Bed Mgmt'!$M$5:$M$428&gt;DATE(YEAR(B662),MONTH(B662),1),'Client DB &amp; Bed Mgmt'!$M$5:$M$428,DATE(YEAR(B662),MONTH(B662),1))))+1)/DAY(EOMONTH(B662,0))),0)</f>
        <v/>
      </c>
    </row>
    <row r="663" ht="14.25" customHeight="1" s="83">
      <c r="A663" s="103" t="n"/>
      <c r="B663" s="125">
        <f>DATE(YEAR(StartDate),MONTH(StartDate),1)</f>
        <v/>
      </c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Mgmt'!$B:$B,C663,'Client DB &amp; Bed Mgmt'!$E:$E,"Occupied"),0)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>
        <f>IFERROR(J663*SUMPRODUCT(('Client DB &amp; Bed Mgmt'!$A$5:$A$428=A663)*('Client DB &amp; Bed Mgmt'!$B$5:$B$428=C663)*('Client DB &amp; Bed Mgmt'!$D$5:$D$428&lt;&gt;"")*--(('Client DB &amp; Bed Mgmt'!$M$5:$M$428="")+NOT(ISNUMBER('Client DB &amp; Bed Mgmt'!$M$5:$M$428))+IFERROR('Client DB &amp; Bed Mgmt'!$M$5:$M$428&lt;=EOMONTH(B663,0),FALSE)&gt;0)*--(('Client DB &amp; Bed Mgmt'!$N$5:$N$428="")+NOT(ISNUMBER('Client DB &amp; Bed Mgmt'!$N$5:$N$428))+IFERROR('Client DB &amp; Bed Mgmt'!$N$5:$N$428&gt;=DATE(YEAR(B663),MONTH(B663),1),FALSE)&gt;0)*((IF(('Client DB &amp; Bed Mgmt'!$N$5:$N$428="")+NOT(ISNUMBER('Client DB &amp; Bed Mgmt'!$N$5:$N$428)),EOMONTH(B663,0),IF('Client DB &amp; Bed Mgmt'!$N$5:$N$428&lt;EOMONTH(B663,0),'Client DB &amp; Bed Mgmt'!$N$5:$N$428,EOMONTH(B663,0))))-(IF(('Client DB &amp; Bed Mgmt'!$M$5:$M$428="")+NOT(ISNUMBER('Client DB &amp; Bed Mgmt'!$M$5:$M$428)),DATE(YEAR(B663),MONTH(B663),1),IF('Client DB &amp; Bed Mgmt'!$M$5:$M$428&gt;DATE(YEAR(B663),MONTH(B663),1),'Client DB &amp; Bed Mgmt'!$M$5:$M$428,DATE(YEAR(B663),MONTH(B663),1))))+1)/DAY(EOMONTH(B663,0))),0)</f>
        <v/>
      </c>
    </row>
    <row r="664" ht="14.25" customHeight="1" s="83">
      <c r="A664" s="103" t="n"/>
      <c r="B664" s="125">
        <f>DATE(YEAR(StartDate),MONTH(StartDate),1)</f>
        <v/>
      </c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Mgmt'!$B:$B,C664,'Client DB &amp; Bed Mgmt'!$E:$E,"Occupied"),0)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>
        <f>IFERROR(J664*SUMPRODUCT(('Client DB &amp; Bed Mgmt'!$A$5:$A$428=A664)*('Client DB &amp; Bed Mgmt'!$B$5:$B$428=C664)*('Client DB &amp; Bed Mgmt'!$D$5:$D$428&lt;&gt;"")*--(('Client DB &amp; Bed Mgmt'!$M$5:$M$428="")+NOT(ISNUMBER('Client DB &amp; Bed Mgmt'!$M$5:$M$428))+IFERROR('Client DB &amp; Bed Mgmt'!$M$5:$M$428&lt;=EOMONTH(B664,0),FALSE)&gt;0)*--(('Client DB &amp; Bed Mgmt'!$N$5:$N$428="")+NOT(ISNUMBER('Client DB &amp; Bed Mgmt'!$N$5:$N$428))+IFERROR('Client DB &amp; Bed Mgmt'!$N$5:$N$428&gt;=DATE(YEAR(B664),MONTH(B664),1),FALSE)&gt;0)*((IF(('Client DB &amp; Bed Mgmt'!$N$5:$N$428="")+NOT(ISNUMBER('Client DB &amp; Bed Mgmt'!$N$5:$N$428)),EOMONTH(B664,0),IF('Client DB &amp; Bed Mgmt'!$N$5:$N$428&lt;EOMONTH(B664,0),'Client DB &amp; Bed Mgmt'!$N$5:$N$428,EOMONTH(B664,0))))-(IF(('Client DB &amp; Bed Mgmt'!$M$5:$M$428="")+NOT(ISNUMBER('Client DB &amp; Bed Mgmt'!$M$5:$M$428)),DATE(YEAR(B664),MONTH(B664),1),IF('Client DB &amp; Bed Mgmt'!$M$5:$M$428&gt;DATE(YEAR(B664),MONTH(B664),1),'Client DB &amp; Bed Mgmt'!$M$5:$M$428,DATE(YEAR(B664),MONTH(B664),1))))+1)/DAY(EOMONTH(B664,0))),0)</f>
        <v/>
      </c>
    </row>
    <row r="665" ht="14.25" customHeight="1" s="83">
      <c r="A665" s="103" t="n"/>
      <c r="B665" s="125">
        <f>DATE(YEAR(StartDate),MONTH(StartDate),1)</f>
        <v/>
      </c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Mgmt'!$B:$B,C665,'Client DB &amp; Bed Mgmt'!$E:$E,"Occupied"),0)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>
        <f>IFERROR(J665*SUMPRODUCT(('Client DB &amp; Bed Mgmt'!$A$5:$A$428=A665)*('Client DB &amp; Bed Mgmt'!$B$5:$B$428=C665)*('Client DB &amp; Bed Mgmt'!$D$5:$D$428&lt;&gt;"")*--(('Client DB &amp; Bed Mgmt'!$M$5:$M$428="")+NOT(ISNUMBER('Client DB &amp; Bed Mgmt'!$M$5:$M$428))+IFERROR('Client DB &amp; Bed Mgmt'!$M$5:$M$428&lt;=EOMONTH(B665,0),FALSE)&gt;0)*--(('Client DB &amp; Bed Mgmt'!$N$5:$N$428="")+NOT(ISNUMBER('Client DB &amp; Bed Mgmt'!$N$5:$N$428))+IFERROR('Client DB &amp; Bed Mgmt'!$N$5:$N$428&gt;=DATE(YEAR(B665),MONTH(B665),1),FALSE)&gt;0)*((IF(('Client DB &amp; Bed Mgmt'!$N$5:$N$428="")+NOT(ISNUMBER('Client DB &amp; Bed Mgmt'!$N$5:$N$428)),EOMONTH(B665,0),IF('Client DB &amp; Bed Mgmt'!$N$5:$N$428&lt;EOMONTH(B665,0),'Client DB &amp; Bed Mgmt'!$N$5:$N$428,EOMONTH(B665,0))))-(IF(('Client DB &amp; Bed Mgmt'!$M$5:$M$428="")+NOT(ISNUMBER('Client DB &amp; Bed Mgmt'!$M$5:$M$428)),DATE(YEAR(B665),MONTH(B665),1),IF('Client DB &amp; Bed Mgmt'!$M$5:$M$428&gt;DATE(YEAR(B665),MONTH(B665),1),'Client DB &amp; Bed Mgmt'!$M$5:$M$428,DATE(YEAR(B665),MONTH(B665),1))))+1)/DAY(EOMONTH(B665,0))),0)</f>
        <v/>
      </c>
    </row>
    <row r="666" ht="14.25" customHeight="1" s="83">
      <c r="A666" s="103" t="n"/>
      <c r="B666" s="125">
        <f>DATE(YEAR(StartDate),MONTH(StartDate),1)</f>
        <v/>
      </c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Mgmt'!$B:$B,C666,'Client DB &amp; Bed Mgmt'!$E:$E,"Occupied"),0)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>
        <f>IFERROR(J666*SUMPRODUCT(('Client DB &amp; Bed Mgmt'!$A$5:$A$428=A666)*('Client DB &amp; Bed Mgmt'!$B$5:$B$428=C666)*('Client DB &amp; Bed Mgmt'!$D$5:$D$428&lt;&gt;"")*--(('Client DB &amp; Bed Mgmt'!$M$5:$M$428="")+NOT(ISNUMBER('Client DB &amp; Bed Mgmt'!$M$5:$M$428))+IFERROR('Client DB &amp; Bed Mgmt'!$M$5:$M$428&lt;=EOMONTH(B666,0),FALSE)&gt;0)*--(('Client DB &amp; Bed Mgmt'!$N$5:$N$428="")+NOT(ISNUMBER('Client DB &amp; Bed Mgmt'!$N$5:$N$428))+IFERROR('Client DB &amp; Bed Mgmt'!$N$5:$N$428&gt;=DATE(YEAR(B666),MONTH(B666),1),FALSE)&gt;0)*((IF(('Client DB &amp; Bed Mgmt'!$N$5:$N$428="")+NOT(ISNUMBER('Client DB &amp; Bed Mgmt'!$N$5:$N$428)),EOMONTH(B666,0),IF('Client DB &amp; Bed Mgmt'!$N$5:$N$428&lt;EOMONTH(B666,0),'Client DB &amp; Bed Mgmt'!$N$5:$N$428,EOMONTH(B666,0))))-(IF(('Client DB &amp; Bed Mgmt'!$M$5:$M$428="")+NOT(ISNUMBER('Client DB &amp; Bed Mgmt'!$M$5:$M$428)),DATE(YEAR(B666),MONTH(B666),1),IF('Client DB &amp; Bed Mgmt'!$M$5:$M$428&gt;DATE(YEAR(B666),MONTH(B666),1),'Client DB &amp; Bed Mgmt'!$M$5:$M$428,DATE(YEAR(B666),MONTH(B666),1))))+1)/DAY(EOMONTH(B666,0))),0)</f>
        <v/>
      </c>
    </row>
    <row r="667" ht="14.25" customHeight="1" s="83">
      <c r="A667" s="103" t="n"/>
      <c r="B667" s="125">
        <f>DATE(YEAR(StartDate),MONTH(StartDate),1)</f>
        <v/>
      </c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Mgmt'!$B:$B,C667,'Client DB &amp; Bed Mgmt'!$E:$E,"Occupied"),0)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>
        <f>IFERROR(J667*SUMPRODUCT(('Client DB &amp; Bed Mgmt'!$A$5:$A$428=A667)*('Client DB &amp; Bed Mgmt'!$B$5:$B$428=C667)*('Client DB &amp; Bed Mgmt'!$D$5:$D$428&lt;&gt;"")*--(('Client DB &amp; Bed Mgmt'!$M$5:$M$428="")+NOT(ISNUMBER('Client DB &amp; Bed Mgmt'!$M$5:$M$428))+IFERROR('Client DB &amp; Bed Mgmt'!$M$5:$M$428&lt;=EOMONTH(B667,0),FALSE)&gt;0)*--(('Client DB &amp; Bed Mgmt'!$N$5:$N$428="")+NOT(ISNUMBER('Client DB &amp; Bed Mgmt'!$N$5:$N$428))+IFERROR('Client DB &amp; Bed Mgmt'!$N$5:$N$428&gt;=DATE(YEAR(B667),MONTH(B667),1),FALSE)&gt;0)*((IF(('Client DB &amp; Bed Mgmt'!$N$5:$N$428="")+NOT(ISNUMBER('Client DB &amp; Bed Mgmt'!$N$5:$N$428)),EOMONTH(B667,0),IF('Client DB &amp; Bed Mgmt'!$N$5:$N$428&lt;EOMONTH(B667,0),'Client DB &amp; Bed Mgmt'!$N$5:$N$428,EOMONTH(B667,0))))-(IF(('Client DB &amp; Bed Mgmt'!$M$5:$M$428="")+NOT(ISNUMBER('Client DB &amp; Bed Mgmt'!$M$5:$M$428)),DATE(YEAR(B667),MONTH(B667),1),IF('Client DB &amp; Bed Mgmt'!$M$5:$M$428&gt;DATE(YEAR(B667),MONTH(B667),1),'Client DB &amp; Bed Mgmt'!$M$5:$M$428,DATE(YEAR(B667),MONTH(B667),1))))+1)/DAY(EOMONTH(B667,0))),0)</f>
        <v/>
      </c>
    </row>
    <row r="668" ht="14.25" customHeight="1" s="83">
      <c r="A668" s="103" t="n"/>
      <c r="B668" s="125">
        <f>DATE(YEAR(StartDate),MONTH(StartDate),1)</f>
        <v/>
      </c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Mgmt'!$B:$B,C668,'Client DB &amp; Bed Mgmt'!$E:$E,"Occupied"),0)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>
        <f>IFERROR(J668*SUMPRODUCT(('Client DB &amp; Bed Mgmt'!$A$5:$A$428=A668)*('Client DB &amp; Bed Mgmt'!$B$5:$B$428=C668)*('Client DB &amp; Bed Mgmt'!$D$5:$D$428&lt;&gt;"")*--(('Client DB &amp; Bed Mgmt'!$M$5:$M$428="")+NOT(ISNUMBER('Client DB &amp; Bed Mgmt'!$M$5:$M$428))+IFERROR('Client DB &amp; Bed Mgmt'!$M$5:$M$428&lt;=EOMONTH(B668,0),FALSE)&gt;0)*--(('Client DB &amp; Bed Mgmt'!$N$5:$N$428="")+NOT(ISNUMBER('Client DB &amp; Bed Mgmt'!$N$5:$N$428))+IFERROR('Client DB &amp; Bed Mgmt'!$N$5:$N$428&gt;=DATE(YEAR(B668),MONTH(B668),1),FALSE)&gt;0)*((IF(('Client DB &amp; Bed Mgmt'!$N$5:$N$428="")+NOT(ISNUMBER('Client DB &amp; Bed Mgmt'!$N$5:$N$428)),EOMONTH(B668,0),IF('Client DB &amp; Bed Mgmt'!$N$5:$N$428&lt;EOMONTH(B668,0),'Client DB &amp; Bed Mgmt'!$N$5:$N$428,EOMONTH(B668,0))))-(IF(('Client DB &amp; Bed Mgmt'!$M$5:$M$428="")+NOT(ISNUMBER('Client DB &amp; Bed Mgmt'!$M$5:$M$428)),DATE(YEAR(B668),MONTH(B668),1),IF('Client DB &amp; Bed Mgmt'!$M$5:$M$428&gt;DATE(YEAR(B668),MONTH(B668),1),'Client DB &amp; Bed Mgmt'!$M$5:$M$428,DATE(YEAR(B668),MONTH(B668),1))))+1)/DAY(EOMONTH(B668,0))),0)</f>
        <v/>
      </c>
    </row>
    <row r="669" ht="14.25" customHeight="1" s="83">
      <c r="A669" s="103" t="n"/>
      <c r="B669" s="125">
        <f>DATE(YEAR(StartDate),MONTH(StartDate),1)</f>
        <v/>
      </c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Mgmt'!$B:$B,C669,'Client DB &amp; Bed Mgmt'!$E:$E,"Occupied"),0)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>
        <f>IFERROR(J669*SUMPRODUCT(('Client DB &amp; Bed Mgmt'!$A$5:$A$428=A669)*('Client DB &amp; Bed Mgmt'!$B$5:$B$428=C669)*('Client DB &amp; Bed Mgmt'!$D$5:$D$428&lt;&gt;"")*--(('Client DB &amp; Bed Mgmt'!$M$5:$M$428="")+NOT(ISNUMBER('Client DB &amp; Bed Mgmt'!$M$5:$M$428))+IFERROR('Client DB &amp; Bed Mgmt'!$M$5:$M$428&lt;=EOMONTH(B669,0),FALSE)&gt;0)*--(('Client DB &amp; Bed Mgmt'!$N$5:$N$428="")+NOT(ISNUMBER('Client DB &amp; Bed Mgmt'!$N$5:$N$428))+IFERROR('Client DB &amp; Bed Mgmt'!$N$5:$N$428&gt;=DATE(YEAR(B669),MONTH(B669),1),FALSE)&gt;0)*((IF(('Client DB &amp; Bed Mgmt'!$N$5:$N$428="")+NOT(ISNUMBER('Client DB &amp; Bed Mgmt'!$N$5:$N$428)),EOMONTH(B669,0),IF('Client DB &amp; Bed Mgmt'!$N$5:$N$428&lt;EOMONTH(B669,0),'Client DB &amp; Bed Mgmt'!$N$5:$N$428,EOMONTH(B669,0))))-(IF(('Client DB &amp; Bed Mgmt'!$M$5:$M$428="")+NOT(ISNUMBER('Client DB &amp; Bed Mgmt'!$M$5:$M$428)),DATE(YEAR(B669),MONTH(B669),1),IF('Client DB &amp; Bed Mgmt'!$M$5:$M$428&gt;DATE(YEAR(B669),MONTH(B669),1),'Client DB &amp; Bed Mgmt'!$M$5:$M$428,DATE(YEAR(B669),MONTH(B669),1))))+1)/DAY(EOMONTH(B669,0))),0)</f>
        <v/>
      </c>
    </row>
    <row r="670" ht="14.25" customHeight="1" s="83">
      <c r="A670" s="103" t="n"/>
      <c r="B670" s="125">
        <f>DATE(YEAR(StartDate),MONTH(StartDate),1)</f>
        <v/>
      </c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Mgmt'!$B:$B,C670,'Client DB &amp; Bed Mgmt'!$E:$E,"Occupied"),0)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>
        <f>IFERROR(J670*SUMPRODUCT(('Client DB &amp; Bed Mgmt'!$A$5:$A$428=A670)*('Client DB &amp; Bed Mgmt'!$B$5:$B$428=C670)*('Client DB &amp; Bed Mgmt'!$D$5:$D$428&lt;&gt;"")*--(('Client DB &amp; Bed Mgmt'!$M$5:$M$428="")+NOT(ISNUMBER('Client DB &amp; Bed Mgmt'!$M$5:$M$428))+IFERROR('Client DB &amp; Bed Mgmt'!$M$5:$M$428&lt;=EOMONTH(B670,0),FALSE)&gt;0)*--(('Client DB &amp; Bed Mgmt'!$N$5:$N$428="")+NOT(ISNUMBER('Client DB &amp; Bed Mgmt'!$N$5:$N$428))+IFERROR('Client DB &amp; Bed Mgmt'!$N$5:$N$428&gt;=DATE(YEAR(B670),MONTH(B670),1),FALSE)&gt;0)*((IF(('Client DB &amp; Bed Mgmt'!$N$5:$N$428="")+NOT(ISNUMBER('Client DB &amp; Bed Mgmt'!$N$5:$N$428)),EOMONTH(B670,0),IF('Client DB &amp; Bed Mgmt'!$N$5:$N$428&lt;EOMONTH(B670,0),'Client DB &amp; Bed Mgmt'!$N$5:$N$428,EOMONTH(B670,0))))-(IF(('Client DB &amp; Bed Mgmt'!$M$5:$M$428="")+NOT(ISNUMBER('Client DB &amp; Bed Mgmt'!$M$5:$M$428)),DATE(YEAR(B670),MONTH(B670),1),IF('Client DB &amp; Bed Mgmt'!$M$5:$M$428&gt;DATE(YEAR(B670),MONTH(B670),1),'Client DB &amp; Bed Mgmt'!$M$5:$M$428,DATE(YEAR(B670),MONTH(B670),1))))+1)/DAY(EOMONTH(B670,0))),0)</f>
        <v/>
      </c>
    </row>
    <row r="671" ht="14.25" customHeight="1" s="83">
      <c r="A671" s="103" t="n"/>
      <c r="B671" s="125">
        <f>DATE(YEAR(StartDate),MONTH(StartDate),1)</f>
        <v/>
      </c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Mgmt'!$B:$B,C671,'Client DB &amp; Bed Mgmt'!$E:$E,"Occupied"),0)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>
        <f>IFERROR(J671*SUMPRODUCT(('Client DB &amp; Bed Mgmt'!$A$5:$A$428=A671)*('Client DB &amp; Bed Mgmt'!$B$5:$B$428=C671)*('Client DB &amp; Bed Mgmt'!$D$5:$D$428&lt;&gt;"")*--(('Client DB &amp; Bed Mgmt'!$M$5:$M$428="")+NOT(ISNUMBER('Client DB &amp; Bed Mgmt'!$M$5:$M$428))+IFERROR('Client DB &amp; Bed Mgmt'!$M$5:$M$428&lt;=EOMONTH(B671,0),FALSE)&gt;0)*--(('Client DB &amp; Bed Mgmt'!$N$5:$N$428="")+NOT(ISNUMBER('Client DB &amp; Bed Mgmt'!$N$5:$N$428))+IFERROR('Client DB &amp; Bed Mgmt'!$N$5:$N$428&gt;=DATE(YEAR(B671),MONTH(B671),1),FALSE)&gt;0)*((IF(('Client DB &amp; Bed Mgmt'!$N$5:$N$428="")+NOT(ISNUMBER('Client DB &amp; Bed Mgmt'!$N$5:$N$428)),EOMONTH(B671,0),IF('Client DB &amp; Bed Mgmt'!$N$5:$N$428&lt;EOMONTH(B671,0),'Client DB &amp; Bed Mgmt'!$N$5:$N$428,EOMONTH(B671,0))))-(IF(('Client DB &amp; Bed Mgmt'!$M$5:$M$428="")+NOT(ISNUMBER('Client DB &amp; Bed Mgmt'!$M$5:$M$428)),DATE(YEAR(B671),MONTH(B671),1),IF('Client DB &amp; Bed Mgmt'!$M$5:$M$428&gt;DATE(YEAR(B671),MONTH(B671),1),'Client DB &amp; Bed Mgmt'!$M$5:$M$428,DATE(YEAR(B671),MONTH(B671),1))))+1)/DAY(EOMONTH(B671,0))),0)</f>
        <v/>
      </c>
    </row>
    <row r="672" ht="14.25" customHeight="1" s="83">
      <c r="A672" s="103" t="n"/>
      <c r="B672" s="125">
        <f>DATE(YEAR(StartDate),MONTH(StartDate),1)</f>
        <v/>
      </c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Mgmt'!$B:$B,C672,'Client DB &amp; Bed Mgmt'!$E:$E,"Occupied"),0)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>
        <f>IFERROR(J672*SUMPRODUCT(('Client DB &amp; Bed Mgmt'!$A$5:$A$428=A672)*('Client DB &amp; Bed Mgmt'!$B$5:$B$428=C672)*('Client DB &amp; Bed Mgmt'!$D$5:$D$428&lt;&gt;"")*--(('Client DB &amp; Bed Mgmt'!$M$5:$M$428="")+NOT(ISNUMBER('Client DB &amp; Bed Mgmt'!$M$5:$M$428))+IFERROR('Client DB &amp; Bed Mgmt'!$M$5:$M$428&lt;=EOMONTH(B672,0),FALSE)&gt;0)*--(('Client DB &amp; Bed Mgmt'!$N$5:$N$428="")+NOT(ISNUMBER('Client DB &amp; Bed Mgmt'!$N$5:$N$428))+IFERROR('Client DB &amp; Bed Mgmt'!$N$5:$N$428&gt;=DATE(YEAR(B672),MONTH(B672),1),FALSE)&gt;0)*((IF(('Client DB &amp; Bed Mgmt'!$N$5:$N$428="")+NOT(ISNUMBER('Client DB &amp; Bed Mgmt'!$N$5:$N$428)),EOMONTH(B672,0),IF('Client DB &amp; Bed Mgmt'!$N$5:$N$428&lt;EOMONTH(B672,0),'Client DB &amp; Bed Mgmt'!$N$5:$N$428,EOMONTH(B672,0))))-(IF(('Client DB &amp; Bed Mgmt'!$M$5:$M$428="")+NOT(ISNUMBER('Client DB &amp; Bed Mgmt'!$M$5:$M$428)),DATE(YEAR(B672),MONTH(B672),1),IF('Client DB &amp; Bed Mgmt'!$M$5:$M$428&gt;DATE(YEAR(B672),MONTH(B672),1),'Client DB &amp; Bed Mgmt'!$M$5:$M$428,DATE(YEAR(B672),MONTH(B672),1))))+1)/DAY(EOMONTH(B672,0))),0)</f>
        <v/>
      </c>
    </row>
    <row r="673" ht="14.25" customHeight="1" s="83">
      <c r="A673" s="103" t="n"/>
      <c r="B673" s="125">
        <f>DATE(YEAR(StartDate),MONTH(StartDate),1)</f>
        <v/>
      </c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Mgmt'!$B:$B,C673,'Client DB &amp; Bed Mgmt'!$E:$E,"Occupied"),0)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>
        <f>IFERROR(J673*SUMPRODUCT(('Client DB &amp; Bed Mgmt'!$A$5:$A$428=A673)*('Client DB &amp; Bed Mgmt'!$B$5:$B$428=C673)*('Client DB &amp; Bed Mgmt'!$D$5:$D$428&lt;&gt;"")*--(('Client DB &amp; Bed Mgmt'!$M$5:$M$428="")+NOT(ISNUMBER('Client DB &amp; Bed Mgmt'!$M$5:$M$428))+IFERROR('Client DB &amp; Bed Mgmt'!$M$5:$M$428&lt;=EOMONTH(B673,0),FALSE)&gt;0)*--(('Client DB &amp; Bed Mgmt'!$N$5:$N$428="")+NOT(ISNUMBER('Client DB &amp; Bed Mgmt'!$N$5:$N$428))+IFERROR('Client DB &amp; Bed Mgmt'!$N$5:$N$428&gt;=DATE(YEAR(B673),MONTH(B673),1),FALSE)&gt;0)*((IF(('Client DB &amp; Bed Mgmt'!$N$5:$N$428="")+NOT(ISNUMBER('Client DB &amp; Bed Mgmt'!$N$5:$N$428)),EOMONTH(B673,0),IF('Client DB &amp; Bed Mgmt'!$N$5:$N$428&lt;EOMONTH(B673,0),'Client DB &amp; Bed Mgmt'!$N$5:$N$428,EOMONTH(B673,0))))-(IF(('Client DB &amp; Bed Mgmt'!$M$5:$M$428="")+NOT(ISNUMBER('Client DB &amp; Bed Mgmt'!$M$5:$M$428)),DATE(YEAR(B673),MONTH(B673),1),IF('Client DB &amp; Bed Mgmt'!$M$5:$M$428&gt;DATE(YEAR(B673),MONTH(B673),1),'Client DB &amp; Bed Mgmt'!$M$5:$M$428,DATE(YEAR(B673),MONTH(B673),1))))+1)/DAY(EOMONTH(B673,0))),0)</f>
        <v/>
      </c>
    </row>
    <row r="674" ht="14.25" customHeight="1" s="83">
      <c r="A674" s="103" t="n"/>
      <c r="B674" s="125">
        <f>DATE(YEAR(StartDate),MONTH(StartDate),1)</f>
        <v/>
      </c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Mgmt'!$B:$B,C674,'Client DB &amp; Bed Mgmt'!$E:$E,"Occupied"),0)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>
        <f>IFERROR(J674*SUMPRODUCT(('Client DB &amp; Bed Mgmt'!$A$5:$A$428=A674)*('Client DB &amp; Bed Mgmt'!$B$5:$B$428=C674)*('Client DB &amp; Bed Mgmt'!$D$5:$D$428&lt;&gt;"")*--(('Client DB &amp; Bed Mgmt'!$M$5:$M$428="")+NOT(ISNUMBER('Client DB &amp; Bed Mgmt'!$M$5:$M$428))+IFERROR('Client DB &amp; Bed Mgmt'!$M$5:$M$428&lt;=EOMONTH(B674,0),FALSE)&gt;0)*--(('Client DB &amp; Bed Mgmt'!$N$5:$N$428="")+NOT(ISNUMBER('Client DB &amp; Bed Mgmt'!$N$5:$N$428))+IFERROR('Client DB &amp; Bed Mgmt'!$N$5:$N$428&gt;=DATE(YEAR(B674),MONTH(B674),1),FALSE)&gt;0)*((IF(('Client DB &amp; Bed Mgmt'!$N$5:$N$428="")+NOT(ISNUMBER('Client DB &amp; Bed Mgmt'!$N$5:$N$428)),EOMONTH(B674,0),IF('Client DB &amp; Bed Mgmt'!$N$5:$N$428&lt;EOMONTH(B674,0),'Client DB &amp; Bed Mgmt'!$N$5:$N$428,EOMONTH(B674,0))))-(IF(('Client DB &amp; Bed Mgmt'!$M$5:$M$428="")+NOT(ISNUMBER('Client DB &amp; Bed Mgmt'!$M$5:$M$428)),DATE(YEAR(B674),MONTH(B674),1),IF('Client DB &amp; Bed Mgmt'!$M$5:$M$428&gt;DATE(YEAR(B674),MONTH(B674),1),'Client DB &amp; Bed Mgmt'!$M$5:$M$428,DATE(YEAR(B674),MONTH(B674),1))))+1)/DAY(EOMONTH(B674,0))),0)</f>
        <v/>
      </c>
    </row>
    <row r="675" ht="14.25" customHeight="1" s="83">
      <c r="A675" s="103" t="n"/>
      <c r="B675" s="125">
        <f>DATE(YEAR(StartDate),MONTH(StartDate),1)</f>
        <v/>
      </c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Mgmt'!$B:$B,C675,'Client DB &amp; Bed Mgmt'!$E:$E,"Occupied"),0)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>
        <f>IFERROR(J675*SUMPRODUCT(('Client DB &amp; Bed Mgmt'!$A$5:$A$428=A675)*('Client DB &amp; Bed Mgmt'!$B$5:$B$428=C675)*('Client DB &amp; Bed Mgmt'!$D$5:$D$428&lt;&gt;"")*--(('Client DB &amp; Bed Mgmt'!$M$5:$M$428="")+NOT(ISNUMBER('Client DB &amp; Bed Mgmt'!$M$5:$M$428))+IFERROR('Client DB &amp; Bed Mgmt'!$M$5:$M$428&lt;=EOMONTH(B675,0),FALSE)&gt;0)*--(('Client DB &amp; Bed Mgmt'!$N$5:$N$428="")+NOT(ISNUMBER('Client DB &amp; Bed Mgmt'!$N$5:$N$428))+IFERROR('Client DB &amp; Bed Mgmt'!$N$5:$N$428&gt;=DATE(YEAR(B675),MONTH(B675),1),FALSE)&gt;0)*((IF(('Client DB &amp; Bed Mgmt'!$N$5:$N$428="")+NOT(ISNUMBER('Client DB &amp; Bed Mgmt'!$N$5:$N$428)),EOMONTH(B675,0),IF('Client DB &amp; Bed Mgmt'!$N$5:$N$428&lt;EOMONTH(B675,0),'Client DB &amp; Bed Mgmt'!$N$5:$N$428,EOMONTH(B675,0))))-(IF(('Client DB &amp; Bed Mgmt'!$M$5:$M$428="")+NOT(ISNUMBER('Client DB &amp; Bed Mgmt'!$M$5:$M$428)),DATE(YEAR(B675),MONTH(B675),1),IF('Client DB &amp; Bed Mgmt'!$M$5:$M$428&gt;DATE(YEAR(B675),MONTH(B675),1),'Client DB &amp; Bed Mgmt'!$M$5:$M$428,DATE(YEAR(B675),MONTH(B675),1))))+1)/DAY(EOMONTH(B675,0))),0)</f>
        <v/>
      </c>
    </row>
    <row r="676" ht="14.25" customHeight="1" s="83">
      <c r="A676" s="103" t="n"/>
      <c r="B676" s="125">
        <f>DATE(YEAR(StartDate),MONTH(StartDate),1)</f>
        <v/>
      </c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Mgmt'!$B:$B,C676,'Client DB &amp; Bed Mgmt'!$E:$E,"Occupied"),0)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>
        <f>IFERROR(J676*SUMPRODUCT(('Client DB &amp; Bed Mgmt'!$A$5:$A$428=A676)*('Client DB &amp; Bed Mgmt'!$B$5:$B$428=C676)*('Client DB &amp; Bed Mgmt'!$D$5:$D$428&lt;&gt;"")*--(('Client DB &amp; Bed Mgmt'!$M$5:$M$428="")+NOT(ISNUMBER('Client DB &amp; Bed Mgmt'!$M$5:$M$428))+IFERROR('Client DB &amp; Bed Mgmt'!$M$5:$M$428&lt;=EOMONTH(B676,0),FALSE)&gt;0)*--(('Client DB &amp; Bed Mgmt'!$N$5:$N$428="")+NOT(ISNUMBER('Client DB &amp; Bed Mgmt'!$N$5:$N$428))+IFERROR('Client DB &amp; Bed Mgmt'!$N$5:$N$428&gt;=DATE(YEAR(B676),MONTH(B676),1),FALSE)&gt;0)*((IF(('Client DB &amp; Bed Mgmt'!$N$5:$N$428="")+NOT(ISNUMBER('Client DB &amp; Bed Mgmt'!$N$5:$N$428)),EOMONTH(B676,0),IF('Client DB &amp; Bed Mgmt'!$N$5:$N$428&lt;EOMONTH(B676,0),'Client DB &amp; Bed Mgmt'!$N$5:$N$428,EOMONTH(B676,0))))-(IF(('Client DB &amp; Bed Mgmt'!$M$5:$M$428="")+NOT(ISNUMBER('Client DB &amp; Bed Mgmt'!$M$5:$M$428)),DATE(YEAR(B676),MONTH(B676),1),IF('Client DB &amp; Bed Mgmt'!$M$5:$M$428&gt;DATE(YEAR(B676),MONTH(B676),1),'Client DB &amp; Bed Mgmt'!$M$5:$M$428,DATE(YEAR(B676),MONTH(B676),1))))+1)/DAY(EOMONTH(B676,0))),0)</f>
        <v/>
      </c>
    </row>
    <row r="677" ht="14.25" customHeight="1" s="83">
      <c r="A677" s="103" t="n"/>
      <c r="B677" s="125">
        <f>DATE(YEAR(StartDate),MONTH(StartDate),1)</f>
        <v/>
      </c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Mgmt'!$B:$B,C677,'Client DB &amp; Bed Mgmt'!$E:$E,"Occupied"),0)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>
        <f>IFERROR(J677*SUMPRODUCT(('Client DB &amp; Bed Mgmt'!$A$5:$A$428=A677)*('Client DB &amp; Bed Mgmt'!$B$5:$B$428=C677)*('Client DB &amp; Bed Mgmt'!$D$5:$D$428&lt;&gt;"")*--(('Client DB &amp; Bed Mgmt'!$M$5:$M$428="")+NOT(ISNUMBER('Client DB &amp; Bed Mgmt'!$M$5:$M$428))+IFERROR('Client DB &amp; Bed Mgmt'!$M$5:$M$428&lt;=EOMONTH(B677,0),FALSE)&gt;0)*--(('Client DB &amp; Bed Mgmt'!$N$5:$N$428="")+NOT(ISNUMBER('Client DB &amp; Bed Mgmt'!$N$5:$N$428))+IFERROR('Client DB &amp; Bed Mgmt'!$N$5:$N$428&gt;=DATE(YEAR(B677),MONTH(B677),1),FALSE)&gt;0)*((IF(('Client DB &amp; Bed Mgmt'!$N$5:$N$428="")+NOT(ISNUMBER('Client DB &amp; Bed Mgmt'!$N$5:$N$428)),EOMONTH(B677,0),IF('Client DB &amp; Bed Mgmt'!$N$5:$N$428&lt;EOMONTH(B677,0),'Client DB &amp; Bed Mgmt'!$N$5:$N$428,EOMONTH(B677,0))))-(IF(('Client DB &amp; Bed Mgmt'!$M$5:$M$428="")+NOT(ISNUMBER('Client DB &amp; Bed Mgmt'!$M$5:$M$428)),DATE(YEAR(B677),MONTH(B677),1),IF('Client DB &amp; Bed Mgmt'!$M$5:$M$428&gt;DATE(YEAR(B677),MONTH(B677),1),'Client DB &amp; Bed Mgmt'!$M$5:$M$428,DATE(YEAR(B677),MONTH(B677),1))))+1)/DAY(EOMONTH(B677,0))),0)</f>
        <v/>
      </c>
    </row>
    <row r="678" ht="14.25" customHeight="1" s="83">
      <c r="A678" s="103" t="n"/>
      <c r="B678" s="125">
        <f>DATE(YEAR(StartDate),MONTH(StartDate),1)</f>
        <v/>
      </c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Mgmt'!$B:$B,C678,'Client DB &amp; Bed Mgmt'!$E:$E,"Occupied"),0)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>
        <f>IFERROR(J678*SUMPRODUCT(('Client DB &amp; Bed Mgmt'!$A$5:$A$428=A678)*('Client DB &amp; Bed Mgmt'!$B$5:$B$428=C678)*('Client DB &amp; Bed Mgmt'!$D$5:$D$428&lt;&gt;"")*--(('Client DB &amp; Bed Mgmt'!$M$5:$M$428="")+NOT(ISNUMBER('Client DB &amp; Bed Mgmt'!$M$5:$M$428))+IFERROR('Client DB &amp; Bed Mgmt'!$M$5:$M$428&lt;=EOMONTH(B678,0),FALSE)&gt;0)*--(('Client DB &amp; Bed Mgmt'!$N$5:$N$428="")+NOT(ISNUMBER('Client DB &amp; Bed Mgmt'!$N$5:$N$428))+IFERROR('Client DB &amp; Bed Mgmt'!$N$5:$N$428&gt;=DATE(YEAR(B678),MONTH(B678),1),FALSE)&gt;0)*((IF(('Client DB &amp; Bed Mgmt'!$N$5:$N$428="")+NOT(ISNUMBER('Client DB &amp; Bed Mgmt'!$N$5:$N$428)),EOMONTH(B678,0),IF('Client DB &amp; Bed Mgmt'!$N$5:$N$428&lt;EOMONTH(B678,0),'Client DB &amp; Bed Mgmt'!$N$5:$N$428,EOMONTH(B678,0))))-(IF(('Client DB &amp; Bed Mgmt'!$M$5:$M$428="")+NOT(ISNUMBER('Client DB &amp; Bed Mgmt'!$M$5:$M$428)),DATE(YEAR(B678),MONTH(B678),1),IF('Client DB &amp; Bed Mgmt'!$M$5:$M$428&gt;DATE(YEAR(B678),MONTH(B678),1),'Client DB &amp; Bed Mgmt'!$M$5:$M$428,DATE(YEAR(B678),MONTH(B678),1))))+1)/DAY(EOMONTH(B678,0))),0)</f>
        <v/>
      </c>
    </row>
    <row r="679" ht="14.25" customHeight="1" s="83">
      <c r="A679" s="103" t="n"/>
      <c r="B679" s="125">
        <f>DATE(YEAR(StartDate),MONTH(StartDate),1)</f>
        <v/>
      </c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Mgmt'!$B:$B,C679,'Client DB &amp; Bed Mgmt'!$E:$E,"Occupied"),0)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>
        <f>IFERROR(J679*SUMPRODUCT(('Client DB &amp; Bed Mgmt'!$A$5:$A$428=A679)*('Client DB &amp; Bed Mgmt'!$B$5:$B$428=C679)*('Client DB &amp; Bed Mgmt'!$D$5:$D$428&lt;&gt;"")*--(('Client DB &amp; Bed Mgmt'!$M$5:$M$428="")+NOT(ISNUMBER('Client DB &amp; Bed Mgmt'!$M$5:$M$428))+IFERROR('Client DB &amp; Bed Mgmt'!$M$5:$M$428&lt;=EOMONTH(B679,0),FALSE)&gt;0)*--(('Client DB &amp; Bed Mgmt'!$N$5:$N$428="")+NOT(ISNUMBER('Client DB &amp; Bed Mgmt'!$N$5:$N$428))+IFERROR('Client DB &amp; Bed Mgmt'!$N$5:$N$428&gt;=DATE(YEAR(B679),MONTH(B679),1),FALSE)&gt;0)*((IF(('Client DB &amp; Bed Mgmt'!$N$5:$N$428="")+NOT(ISNUMBER('Client DB &amp; Bed Mgmt'!$N$5:$N$428)),EOMONTH(B679,0),IF('Client DB &amp; Bed Mgmt'!$N$5:$N$428&lt;EOMONTH(B679,0),'Client DB &amp; Bed Mgmt'!$N$5:$N$428,EOMONTH(B679,0))))-(IF(('Client DB &amp; Bed Mgmt'!$M$5:$M$428="")+NOT(ISNUMBER('Client DB &amp; Bed Mgmt'!$M$5:$M$428)),DATE(YEAR(B679),MONTH(B679),1),IF('Client DB &amp; Bed Mgmt'!$M$5:$M$428&gt;DATE(YEAR(B679),MONTH(B679),1),'Client DB &amp; Bed Mgmt'!$M$5:$M$428,DATE(YEAR(B679),MONTH(B679),1))))+1)/DAY(EOMONTH(B679,0))),0)</f>
        <v/>
      </c>
    </row>
    <row r="680" ht="14.25" customHeight="1" s="83">
      <c r="A680" s="103" t="n"/>
      <c r="B680" s="125">
        <f>DATE(YEAR(StartDate),MONTH(StartDate),1)</f>
        <v/>
      </c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Mgmt'!$B:$B,C680,'Client DB &amp; Bed Mgmt'!$E:$E,"Occupied"),0)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>
        <f>IFERROR(J680*SUMPRODUCT(('Client DB &amp; Bed Mgmt'!$A$5:$A$428=A680)*('Client DB &amp; Bed Mgmt'!$B$5:$B$428=C680)*('Client DB &amp; Bed Mgmt'!$D$5:$D$428&lt;&gt;"")*--(('Client DB &amp; Bed Mgmt'!$M$5:$M$428="")+NOT(ISNUMBER('Client DB &amp; Bed Mgmt'!$M$5:$M$428))+IFERROR('Client DB &amp; Bed Mgmt'!$M$5:$M$428&lt;=EOMONTH(B680,0),FALSE)&gt;0)*--(('Client DB &amp; Bed Mgmt'!$N$5:$N$428="")+NOT(ISNUMBER('Client DB &amp; Bed Mgmt'!$N$5:$N$428))+IFERROR('Client DB &amp; Bed Mgmt'!$N$5:$N$428&gt;=DATE(YEAR(B680),MONTH(B680),1),FALSE)&gt;0)*((IF(('Client DB &amp; Bed Mgmt'!$N$5:$N$428="")+NOT(ISNUMBER('Client DB &amp; Bed Mgmt'!$N$5:$N$428)),EOMONTH(B680,0),IF('Client DB &amp; Bed Mgmt'!$N$5:$N$428&lt;EOMONTH(B680,0),'Client DB &amp; Bed Mgmt'!$N$5:$N$428,EOMONTH(B680,0))))-(IF(('Client DB &amp; Bed Mgmt'!$M$5:$M$428="")+NOT(ISNUMBER('Client DB &amp; Bed Mgmt'!$M$5:$M$428)),DATE(YEAR(B680),MONTH(B680),1),IF('Client DB &amp; Bed Mgmt'!$M$5:$M$428&gt;DATE(YEAR(B680),MONTH(B680),1),'Client DB &amp; Bed Mgmt'!$M$5:$M$428,DATE(YEAR(B680),MONTH(B680),1))))+1)/DAY(EOMONTH(B680,0))),0)</f>
        <v/>
      </c>
    </row>
    <row r="681" ht="14.25" customHeight="1" s="83">
      <c r="A681" s="103" t="n"/>
      <c r="B681" s="125">
        <f>DATE(YEAR(StartDate),MONTH(StartDate),1)</f>
        <v/>
      </c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Mgmt'!$B:$B,C681,'Client DB &amp; Bed Mgmt'!$E:$E,"Occupied"),0)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>
        <f>IFERROR(J681*SUMPRODUCT(('Client DB &amp; Bed Mgmt'!$A$5:$A$428=A681)*('Client DB &amp; Bed Mgmt'!$B$5:$B$428=C681)*('Client DB &amp; Bed Mgmt'!$D$5:$D$428&lt;&gt;"")*--(('Client DB &amp; Bed Mgmt'!$M$5:$M$428="")+NOT(ISNUMBER('Client DB &amp; Bed Mgmt'!$M$5:$M$428))+IFERROR('Client DB &amp; Bed Mgmt'!$M$5:$M$428&lt;=EOMONTH(B681,0),FALSE)&gt;0)*--(('Client DB &amp; Bed Mgmt'!$N$5:$N$428="")+NOT(ISNUMBER('Client DB &amp; Bed Mgmt'!$N$5:$N$428))+IFERROR('Client DB &amp; Bed Mgmt'!$N$5:$N$428&gt;=DATE(YEAR(B681),MONTH(B681),1),FALSE)&gt;0)*((IF(('Client DB &amp; Bed Mgmt'!$N$5:$N$428="")+NOT(ISNUMBER('Client DB &amp; Bed Mgmt'!$N$5:$N$428)),EOMONTH(B681,0),IF('Client DB &amp; Bed Mgmt'!$N$5:$N$428&lt;EOMONTH(B681,0),'Client DB &amp; Bed Mgmt'!$N$5:$N$428,EOMONTH(B681,0))))-(IF(('Client DB &amp; Bed Mgmt'!$M$5:$M$428="")+NOT(ISNUMBER('Client DB &amp; Bed Mgmt'!$M$5:$M$428)),DATE(YEAR(B681),MONTH(B681),1),IF('Client DB &amp; Bed Mgmt'!$M$5:$M$428&gt;DATE(YEAR(B681),MONTH(B681),1),'Client DB &amp; Bed Mgmt'!$M$5:$M$428,DATE(YEAR(B681),MONTH(B681),1))))+1)/DAY(EOMONTH(B681,0))),0)</f>
        <v/>
      </c>
    </row>
    <row r="682" ht="14.25" customHeight="1" s="83">
      <c r="A682" s="103" t="n"/>
      <c r="B682" s="125">
        <f>DATE(YEAR(StartDate),MONTH(StartDate),1)</f>
        <v/>
      </c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Mgmt'!$B:$B,C682,'Client DB &amp; Bed Mgmt'!$E:$E,"Occupied"),0)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>
        <f>IFERROR(J682*SUMPRODUCT(('Client DB &amp; Bed Mgmt'!$A$5:$A$428=A682)*('Client DB &amp; Bed Mgmt'!$B$5:$B$428=C682)*('Client DB &amp; Bed Mgmt'!$D$5:$D$428&lt;&gt;"")*--(('Client DB &amp; Bed Mgmt'!$M$5:$M$428="")+NOT(ISNUMBER('Client DB &amp; Bed Mgmt'!$M$5:$M$428))+IFERROR('Client DB &amp; Bed Mgmt'!$M$5:$M$428&lt;=EOMONTH(B682,0),FALSE)&gt;0)*--(('Client DB &amp; Bed Mgmt'!$N$5:$N$428="")+NOT(ISNUMBER('Client DB &amp; Bed Mgmt'!$N$5:$N$428))+IFERROR('Client DB &amp; Bed Mgmt'!$N$5:$N$428&gt;=DATE(YEAR(B682),MONTH(B682),1),FALSE)&gt;0)*((IF(('Client DB &amp; Bed Mgmt'!$N$5:$N$428="")+NOT(ISNUMBER('Client DB &amp; Bed Mgmt'!$N$5:$N$428)),EOMONTH(B682,0),IF('Client DB &amp; Bed Mgmt'!$N$5:$N$428&lt;EOMONTH(B682,0),'Client DB &amp; Bed Mgmt'!$N$5:$N$428,EOMONTH(B682,0))))-(IF(('Client DB &amp; Bed Mgmt'!$M$5:$M$428="")+NOT(ISNUMBER('Client DB &amp; Bed Mgmt'!$M$5:$M$428)),DATE(YEAR(B682),MONTH(B682),1),IF('Client DB &amp; Bed Mgmt'!$M$5:$M$428&gt;DATE(YEAR(B682),MONTH(B682),1),'Client DB &amp; Bed Mgmt'!$M$5:$M$428,DATE(YEAR(B682),MONTH(B682),1))))+1)/DAY(EOMONTH(B682,0))),0)</f>
        <v/>
      </c>
    </row>
    <row r="683" ht="14.25" customHeight="1" s="83">
      <c r="A683" s="103" t="n"/>
      <c r="B683" s="125">
        <f>DATE(YEAR(StartDate),MONTH(StartDate),1)</f>
        <v/>
      </c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Mgmt'!$B:$B,C683,'Client DB &amp; Bed Mgmt'!$E:$E,"Occupied"),0)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>
        <f>IFERROR(J683*SUMPRODUCT(('Client DB &amp; Bed Mgmt'!$A$5:$A$428=A683)*('Client DB &amp; Bed Mgmt'!$B$5:$B$428=C683)*('Client DB &amp; Bed Mgmt'!$D$5:$D$428&lt;&gt;"")*--(('Client DB &amp; Bed Mgmt'!$M$5:$M$428="")+NOT(ISNUMBER('Client DB &amp; Bed Mgmt'!$M$5:$M$428))+IFERROR('Client DB &amp; Bed Mgmt'!$M$5:$M$428&lt;=EOMONTH(B683,0),FALSE)&gt;0)*--(('Client DB &amp; Bed Mgmt'!$N$5:$N$428="")+NOT(ISNUMBER('Client DB &amp; Bed Mgmt'!$N$5:$N$428))+IFERROR('Client DB &amp; Bed Mgmt'!$N$5:$N$428&gt;=DATE(YEAR(B683),MONTH(B683),1),FALSE)&gt;0)*((IF(('Client DB &amp; Bed Mgmt'!$N$5:$N$428="")+NOT(ISNUMBER('Client DB &amp; Bed Mgmt'!$N$5:$N$428)),EOMONTH(B683,0),IF('Client DB &amp; Bed Mgmt'!$N$5:$N$428&lt;EOMONTH(B683,0),'Client DB &amp; Bed Mgmt'!$N$5:$N$428,EOMONTH(B683,0))))-(IF(('Client DB &amp; Bed Mgmt'!$M$5:$M$428="")+NOT(ISNUMBER('Client DB &amp; Bed Mgmt'!$M$5:$M$428)),DATE(YEAR(B683),MONTH(B683),1),IF('Client DB &amp; Bed Mgmt'!$M$5:$M$428&gt;DATE(YEAR(B683),MONTH(B683),1),'Client DB &amp; Bed Mgmt'!$M$5:$M$428,DATE(YEAR(B683),MONTH(B683),1))))+1)/DAY(EOMONTH(B683,0))),0)</f>
        <v/>
      </c>
    </row>
    <row r="684" ht="14.25" customHeight="1" s="83">
      <c r="A684" s="103" t="n"/>
      <c r="B684" s="125">
        <f>DATE(YEAR(StartDate),MONTH(StartDate),1)</f>
        <v/>
      </c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Mgmt'!$B:$B,C684,'Client DB &amp; Bed Mgmt'!$E:$E,"Occupied"),0)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>
        <f>IFERROR(J684*SUMPRODUCT(('Client DB &amp; Bed Mgmt'!$A$5:$A$428=A684)*('Client DB &amp; Bed Mgmt'!$B$5:$B$428=C684)*('Client DB &amp; Bed Mgmt'!$D$5:$D$428&lt;&gt;"")*--(('Client DB &amp; Bed Mgmt'!$M$5:$M$428="")+NOT(ISNUMBER('Client DB &amp; Bed Mgmt'!$M$5:$M$428))+IFERROR('Client DB &amp; Bed Mgmt'!$M$5:$M$428&lt;=EOMONTH(B684,0),FALSE)&gt;0)*--(('Client DB &amp; Bed Mgmt'!$N$5:$N$428="")+NOT(ISNUMBER('Client DB &amp; Bed Mgmt'!$N$5:$N$428))+IFERROR('Client DB &amp; Bed Mgmt'!$N$5:$N$428&gt;=DATE(YEAR(B684),MONTH(B684),1),FALSE)&gt;0)*((IF(('Client DB &amp; Bed Mgmt'!$N$5:$N$428="")+NOT(ISNUMBER('Client DB &amp; Bed Mgmt'!$N$5:$N$428)),EOMONTH(B684,0),IF('Client DB &amp; Bed Mgmt'!$N$5:$N$428&lt;EOMONTH(B684,0),'Client DB &amp; Bed Mgmt'!$N$5:$N$428,EOMONTH(B684,0))))-(IF(('Client DB &amp; Bed Mgmt'!$M$5:$M$428="")+NOT(ISNUMBER('Client DB &amp; Bed Mgmt'!$M$5:$M$428)),DATE(YEAR(B684),MONTH(B684),1),IF('Client DB &amp; Bed Mgmt'!$M$5:$M$428&gt;DATE(YEAR(B684),MONTH(B684),1),'Client DB &amp; Bed Mgmt'!$M$5:$M$428,DATE(YEAR(B684),MONTH(B684),1))))+1)/DAY(EOMONTH(B684,0))),0)</f>
        <v/>
      </c>
    </row>
    <row r="685" ht="14.25" customHeight="1" s="83">
      <c r="A685" s="103" t="n"/>
      <c r="B685" s="125">
        <f>DATE(YEAR(StartDate),MONTH(StartDate),1)</f>
        <v/>
      </c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Mgmt'!$B:$B,C685,'Client DB &amp; Bed Mgmt'!$E:$E,"Occupied"),0)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>
        <f>IFERROR(J685*SUMPRODUCT(('Client DB &amp; Bed Mgmt'!$A$5:$A$428=A685)*('Client DB &amp; Bed Mgmt'!$B$5:$B$428=C685)*('Client DB &amp; Bed Mgmt'!$D$5:$D$428&lt;&gt;"")*--(('Client DB &amp; Bed Mgmt'!$M$5:$M$428="")+NOT(ISNUMBER('Client DB &amp; Bed Mgmt'!$M$5:$M$428))+IFERROR('Client DB &amp; Bed Mgmt'!$M$5:$M$428&lt;=EOMONTH(B685,0),FALSE)&gt;0)*--(('Client DB &amp; Bed Mgmt'!$N$5:$N$428="")+NOT(ISNUMBER('Client DB &amp; Bed Mgmt'!$N$5:$N$428))+IFERROR('Client DB &amp; Bed Mgmt'!$N$5:$N$428&gt;=DATE(YEAR(B685),MONTH(B685),1),FALSE)&gt;0)*((IF(('Client DB &amp; Bed Mgmt'!$N$5:$N$428="")+NOT(ISNUMBER('Client DB &amp; Bed Mgmt'!$N$5:$N$428)),EOMONTH(B685,0),IF('Client DB &amp; Bed Mgmt'!$N$5:$N$428&lt;EOMONTH(B685,0),'Client DB &amp; Bed Mgmt'!$N$5:$N$428,EOMONTH(B685,0))))-(IF(('Client DB &amp; Bed Mgmt'!$M$5:$M$428="")+NOT(ISNUMBER('Client DB &amp; Bed Mgmt'!$M$5:$M$428)),DATE(YEAR(B685),MONTH(B685),1),IF('Client DB &amp; Bed Mgmt'!$M$5:$M$428&gt;DATE(YEAR(B685),MONTH(B685),1),'Client DB &amp; Bed Mgmt'!$M$5:$M$428,DATE(YEAR(B685),MONTH(B685),1))))+1)/DAY(EOMONTH(B685,0))),0)</f>
        <v/>
      </c>
    </row>
    <row r="686" ht="14.25" customHeight="1" s="83">
      <c r="A686" s="103" t="n"/>
      <c r="B686" s="125">
        <f>DATE(YEAR(StartDate),MONTH(StartDate),1)</f>
        <v/>
      </c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Mgmt'!$B:$B,C686,'Client DB &amp; Bed Mgmt'!$E:$E,"Occupied"),0)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>
        <f>IFERROR(J686*SUMPRODUCT(('Client DB &amp; Bed Mgmt'!$A$5:$A$428=A686)*('Client DB &amp; Bed Mgmt'!$B$5:$B$428=C686)*('Client DB &amp; Bed Mgmt'!$D$5:$D$428&lt;&gt;"")*--(('Client DB &amp; Bed Mgmt'!$M$5:$M$428="")+NOT(ISNUMBER('Client DB &amp; Bed Mgmt'!$M$5:$M$428))+IFERROR('Client DB &amp; Bed Mgmt'!$M$5:$M$428&lt;=EOMONTH(B686,0),FALSE)&gt;0)*--(('Client DB &amp; Bed Mgmt'!$N$5:$N$428="")+NOT(ISNUMBER('Client DB &amp; Bed Mgmt'!$N$5:$N$428))+IFERROR('Client DB &amp; Bed Mgmt'!$N$5:$N$428&gt;=DATE(YEAR(B686),MONTH(B686),1),FALSE)&gt;0)*((IF(('Client DB &amp; Bed Mgmt'!$N$5:$N$428="")+NOT(ISNUMBER('Client DB &amp; Bed Mgmt'!$N$5:$N$428)),EOMONTH(B686,0),IF('Client DB &amp; Bed Mgmt'!$N$5:$N$428&lt;EOMONTH(B686,0),'Client DB &amp; Bed Mgmt'!$N$5:$N$428,EOMONTH(B686,0))))-(IF(('Client DB &amp; Bed Mgmt'!$M$5:$M$428="")+NOT(ISNUMBER('Client DB &amp; Bed Mgmt'!$M$5:$M$428)),DATE(YEAR(B686),MONTH(B686),1),IF('Client DB &amp; Bed Mgmt'!$M$5:$M$428&gt;DATE(YEAR(B686),MONTH(B686),1),'Client DB &amp; Bed Mgmt'!$M$5:$M$428,DATE(YEAR(B686),MONTH(B686),1))))+1)/DAY(EOMONTH(B686,0))),0)</f>
        <v/>
      </c>
    </row>
    <row r="687" ht="14.25" customHeight="1" s="83">
      <c r="A687" s="103" t="n"/>
      <c r="B687" s="125">
        <f>DATE(YEAR(StartDate),MONTH(StartDate),1)</f>
        <v/>
      </c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Mgmt'!$B:$B,C687,'Client DB &amp; Bed Mgmt'!$E:$E,"Occupied"),0)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>
        <f>IFERROR(J687*SUMPRODUCT(('Client DB &amp; Bed Mgmt'!$A$5:$A$428=A687)*('Client DB &amp; Bed Mgmt'!$B$5:$B$428=C687)*('Client DB &amp; Bed Mgmt'!$D$5:$D$428&lt;&gt;"")*--(('Client DB &amp; Bed Mgmt'!$M$5:$M$428="")+NOT(ISNUMBER('Client DB &amp; Bed Mgmt'!$M$5:$M$428))+IFERROR('Client DB &amp; Bed Mgmt'!$M$5:$M$428&lt;=EOMONTH(B687,0),FALSE)&gt;0)*--(('Client DB &amp; Bed Mgmt'!$N$5:$N$428="")+NOT(ISNUMBER('Client DB &amp; Bed Mgmt'!$N$5:$N$428))+IFERROR('Client DB &amp; Bed Mgmt'!$N$5:$N$428&gt;=DATE(YEAR(B687),MONTH(B687),1),FALSE)&gt;0)*((IF(('Client DB &amp; Bed Mgmt'!$N$5:$N$428="")+NOT(ISNUMBER('Client DB &amp; Bed Mgmt'!$N$5:$N$428)),EOMONTH(B687,0),IF('Client DB &amp; Bed Mgmt'!$N$5:$N$428&lt;EOMONTH(B687,0),'Client DB &amp; Bed Mgmt'!$N$5:$N$428,EOMONTH(B687,0))))-(IF(('Client DB &amp; Bed Mgmt'!$M$5:$M$428="")+NOT(ISNUMBER('Client DB &amp; Bed Mgmt'!$M$5:$M$428)),DATE(YEAR(B687),MONTH(B687),1),IF('Client DB &amp; Bed Mgmt'!$M$5:$M$428&gt;DATE(YEAR(B687),MONTH(B687),1),'Client DB &amp; Bed Mgmt'!$M$5:$M$428,DATE(YEAR(B687),MONTH(B687),1))))+1)/DAY(EOMONTH(B687,0))),0)</f>
        <v/>
      </c>
    </row>
    <row r="688" ht="14.25" customHeight="1" s="83">
      <c r="A688" s="103" t="n"/>
      <c r="B688" s="125">
        <f>DATE(YEAR(StartDate),MONTH(StartDate),1)</f>
        <v/>
      </c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Mgmt'!$B:$B,C688,'Client DB &amp; Bed Mgmt'!$E:$E,"Occupied"),0)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>
        <f>IFERROR(J688*SUMPRODUCT(('Client DB &amp; Bed Mgmt'!$A$5:$A$428=A688)*('Client DB &amp; Bed Mgmt'!$B$5:$B$428=C688)*('Client DB &amp; Bed Mgmt'!$D$5:$D$428&lt;&gt;"")*--(('Client DB &amp; Bed Mgmt'!$M$5:$M$428="")+NOT(ISNUMBER('Client DB &amp; Bed Mgmt'!$M$5:$M$428))+IFERROR('Client DB &amp; Bed Mgmt'!$M$5:$M$428&lt;=EOMONTH(B688,0),FALSE)&gt;0)*--(('Client DB &amp; Bed Mgmt'!$N$5:$N$428="")+NOT(ISNUMBER('Client DB &amp; Bed Mgmt'!$N$5:$N$428))+IFERROR('Client DB &amp; Bed Mgmt'!$N$5:$N$428&gt;=DATE(YEAR(B688),MONTH(B688),1),FALSE)&gt;0)*((IF(('Client DB &amp; Bed Mgmt'!$N$5:$N$428="")+NOT(ISNUMBER('Client DB &amp; Bed Mgmt'!$N$5:$N$428)),EOMONTH(B688,0),IF('Client DB &amp; Bed Mgmt'!$N$5:$N$428&lt;EOMONTH(B688,0),'Client DB &amp; Bed Mgmt'!$N$5:$N$428,EOMONTH(B688,0))))-(IF(('Client DB &amp; Bed Mgmt'!$M$5:$M$428="")+NOT(ISNUMBER('Client DB &amp; Bed Mgmt'!$M$5:$M$428)),DATE(YEAR(B688),MONTH(B688),1),IF('Client DB &amp; Bed Mgmt'!$M$5:$M$428&gt;DATE(YEAR(B688),MONTH(B688),1),'Client DB &amp; Bed Mgmt'!$M$5:$M$428,DATE(YEAR(B688),MONTH(B688),1))))+1)/DAY(EOMONTH(B688,0))),0)</f>
        <v/>
      </c>
    </row>
    <row r="689" ht="14.25" customHeight="1" s="83">
      <c r="A689" s="103" t="n"/>
      <c r="B689" s="125">
        <f>DATE(YEAR(StartDate),MONTH(StartDate),1)</f>
        <v/>
      </c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Mgmt'!$B:$B,C689,'Client DB &amp; Bed Mgmt'!$E:$E,"Occupied"),0)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>
        <f>IFERROR(J689*SUMPRODUCT(('Client DB &amp; Bed Mgmt'!$A$5:$A$428=A689)*('Client DB &amp; Bed Mgmt'!$B$5:$B$428=C689)*('Client DB &amp; Bed Mgmt'!$D$5:$D$428&lt;&gt;"")*--(('Client DB &amp; Bed Mgmt'!$M$5:$M$428="")+NOT(ISNUMBER('Client DB &amp; Bed Mgmt'!$M$5:$M$428))+IFERROR('Client DB &amp; Bed Mgmt'!$M$5:$M$428&lt;=EOMONTH(B689,0),FALSE)&gt;0)*--(('Client DB &amp; Bed Mgmt'!$N$5:$N$428="")+NOT(ISNUMBER('Client DB &amp; Bed Mgmt'!$N$5:$N$428))+IFERROR('Client DB &amp; Bed Mgmt'!$N$5:$N$428&gt;=DATE(YEAR(B689),MONTH(B689),1),FALSE)&gt;0)*((IF(('Client DB &amp; Bed Mgmt'!$N$5:$N$428="")+NOT(ISNUMBER('Client DB &amp; Bed Mgmt'!$N$5:$N$428)),EOMONTH(B689,0),IF('Client DB &amp; Bed Mgmt'!$N$5:$N$428&lt;EOMONTH(B689,0),'Client DB &amp; Bed Mgmt'!$N$5:$N$428,EOMONTH(B689,0))))-(IF(('Client DB &amp; Bed Mgmt'!$M$5:$M$428="")+NOT(ISNUMBER('Client DB &amp; Bed Mgmt'!$M$5:$M$428)),DATE(YEAR(B689),MONTH(B689),1),IF('Client DB &amp; Bed Mgmt'!$M$5:$M$428&gt;DATE(YEAR(B689),MONTH(B689),1),'Client DB &amp; Bed Mgmt'!$M$5:$M$428,DATE(YEAR(B689),MONTH(B689),1))))+1)/DAY(EOMONTH(B689,0))),0)</f>
        <v/>
      </c>
    </row>
    <row r="690" ht="14.25" customHeight="1" s="83">
      <c r="A690" s="103" t="n"/>
      <c r="B690" s="125">
        <f>DATE(YEAR(StartDate),MONTH(StartDate),1)</f>
        <v/>
      </c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Mgmt'!$B:$B,C690,'Client DB &amp; Bed Mgmt'!$E:$E,"Occupied"),0)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>
        <f>IFERROR(J690*SUMPRODUCT(('Client DB &amp; Bed Mgmt'!$A$5:$A$428=A690)*('Client DB &amp; Bed Mgmt'!$B$5:$B$428=C690)*('Client DB &amp; Bed Mgmt'!$D$5:$D$428&lt;&gt;"")*--(('Client DB &amp; Bed Mgmt'!$M$5:$M$428="")+NOT(ISNUMBER('Client DB &amp; Bed Mgmt'!$M$5:$M$428))+IFERROR('Client DB &amp; Bed Mgmt'!$M$5:$M$428&lt;=EOMONTH(B690,0),FALSE)&gt;0)*--(('Client DB &amp; Bed Mgmt'!$N$5:$N$428="")+NOT(ISNUMBER('Client DB &amp; Bed Mgmt'!$N$5:$N$428))+IFERROR('Client DB &amp; Bed Mgmt'!$N$5:$N$428&gt;=DATE(YEAR(B690),MONTH(B690),1),FALSE)&gt;0)*((IF(('Client DB &amp; Bed Mgmt'!$N$5:$N$428="")+NOT(ISNUMBER('Client DB &amp; Bed Mgmt'!$N$5:$N$428)),EOMONTH(B690,0),IF('Client DB &amp; Bed Mgmt'!$N$5:$N$428&lt;EOMONTH(B690,0),'Client DB &amp; Bed Mgmt'!$N$5:$N$428,EOMONTH(B690,0))))-(IF(('Client DB &amp; Bed Mgmt'!$M$5:$M$428="")+NOT(ISNUMBER('Client DB &amp; Bed Mgmt'!$M$5:$M$428)),DATE(YEAR(B690),MONTH(B690),1),IF('Client DB &amp; Bed Mgmt'!$M$5:$M$428&gt;DATE(YEAR(B690),MONTH(B690),1),'Client DB &amp; Bed Mgmt'!$M$5:$M$428,DATE(YEAR(B690),MONTH(B690),1))))+1)/DAY(EOMONTH(B690,0))),0)</f>
        <v/>
      </c>
    </row>
    <row r="691" ht="14.25" customHeight="1" s="83">
      <c r="A691" s="103" t="n"/>
      <c r="B691" s="125">
        <f>DATE(YEAR(StartDate),MONTH(StartDate),1)</f>
        <v/>
      </c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Mgmt'!$B:$B,C691,'Client DB &amp; Bed Mgmt'!$E:$E,"Occupied"),0)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>
        <f>IFERROR(J691*SUMPRODUCT(('Client DB &amp; Bed Mgmt'!$A$5:$A$428=A691)*('Client DB &amp; Bed Mgmt'!$B$5:$B$428=C691)*('Client DB &amp; Bed Mgmt'!$D$5:$D$428&lt;&gt;"")*--(('Client DB &amp; Bed Mgmt'!$M$5:$M$428="")+NOT(ISNUMBER('Client DB &amp; Bed Mgmt'!$M$5:$M$428))+IFERROR('Client DB &amp; Bed Mgmt'!$M$5:$M$428&lt;=EOMONTH(B691,0),FALSE)&gt;0)*--(('Client DB &amp; Bed Mgmt'!$N$5:$N$428="")+NOT(ISNUMBER('Client DB &amp; Bed Mgmt'!$N$5:$N$428))+IFERROR('Client DB &amp; Bed Mgmt'!$N$5:$N$428&gt;=DATE(YEAR(B691),MONTH(B691),1),FALSE)&gt;0)*((IF(('Client DB &amp; Bed Mgmt'!$N$5:$N$428="")+NOT(ISNUMBER('Client DB &amp; Bed Mgmt'!$N$5:$N$428)),EOMONTH(B691,0),IF('Client DB &amp; Bed Mgmt'!$N$5:$N$428&lt;EOMONTH(B691,0),'Client DB &amp; Bed Mgmt'!$N$5:$N$428,EOMONTH(B691,0))))-(IF(('Client DB &amp; Bed Mgmt'!$M$5:$M$428="")+NOT(ISNUMBER('Client DB &amp; Bed Mgmt'!$M$5:$M$428)),DATE(YEAR(B691),MONTH(B691),1),IF('Client DB &amp; Bed Mgmt'!$M$5:$M$428&gt;DATE(YEAR(B691),MONTH(B691),1),'Client DB &amp; Bed Mgmt'!$M$5:$M$428,DATE(YEAR(B691),MONTH(B691),1))))+1)/DAY(EOMONTH(B691,0))),0)</f>
        <v/>
      </c>
    </row>
    <row r="692" ht="14.25" customHeight="1" s="83">
      <c r="A692" s="103" t="n"/>
      <c r="B692" s="125">
        <f>DATE(YEAR(StartDate),MONTH(StartDate),1)</f>
        <v/>
      </c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Mgmt'!$B:$B,C692,'Client DB &amp; Bed Mgmt'!$E:$E,"Occupied"),0)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>
        <f>IFERROR(J692*SUMPRODUCT(('Client DB &amp; Bed Mgmt'!$A$5:$A$428=A692)*('Client DB &amp; Bed Mgmt'!$B$5:$B$428=C692)*('Client DB &amp; Bed Mgmt'!$D$5:$D$428&lt;&gt;"")*--(('Client DB &amp; Bed Mgmt'!$M$5:$M$428="")+NOT(ISNUMBER('Client DB &amp; Bed Mgmt'!$M$5:$M$428))+IFERROR('Client DB &amp; Bed Mgmt'!$M$5:$M$428&lt;=EOMONTH(B692,0),FALSE)&gt;0)*--(('Client DB &amp; Bed Mgmt'!$N$5:$N$428="")+NOT(ISNUMBER('Client DB &amp; Bed Mgmt'!$N$5:$N$428))+IFERROR('Client DB &amp; Bed Mgmt'!$N$5:$N$428&gt;=DATE(YEAR(B692),MONTH(B692),1),FALSE)&gt;0)*((IF(('Client DB &amp; Bed Mgmt'!$N$5:$N$428="")+NOT(ISNUMBER('Client DB &amp; Bed Mgmt'!$N$5:$N$428)),EOMONTH(B692,0),IF('Client DB &amp; Bed Mgmt'!$N$5:$N$428&lt;EOMONTH(B692,0),'Client DB &amp; Bed Mgmt'!$N$5:$N$428,EOMONTH(B692,0))))-(IF(('Client DB &amp; Bed Mgmt'!$M$5:$M$428="")+NOT(ISNUMBER('Client DB &amp; Bed Mgmt'!$M$5:$M$428)),DATE(YEAR(B692),MONTH(B692),1),IF('Client DB &amp; Bed Mgmt'!$M$5:$M$428&gt;DATE(YEAR(B692),MONTH(B692),1),'Client DB &amp; Bed Mgmt'!$M$5:$M$428,DATE(YEAR(B692),MONTH(B692),1))))+1)/DAY(EOMONTH(B692,0))),0)</f>
        <v/>
      </c>
    </row>
    <row r="693" ht="14.25" customHeight="1" s="83">
      <c r="A693" s="103" t="n"/>
      <c r="B693" s="125">
        <f>DATE(YEAR(StartDate),MONTH(StartDate),1)</f>
        <v/>
      </c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Mgmt'!$B:$B,C693,'Client DB &amp; Bed Mgmt'!$E:$E,"Occupied"),0)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>
        <f>IFERROR(J693*SUMPRODUCT(('Client DB &amp; Bed Mgmt'!$A$5:$A$428=A693)*('Client DB &amp; Bed Mgmt'!$B$5:$B$428=C693)*('Client DB &amp; Bed Mgmt'!$D$5:$D$428&lt;&gt;"")*--(('Client DB &amp; Bed Mgmt'!$M$5:$M$428="")+NOT(ISNUMBER('Client DB &amp; Bed Mgmt'!$M$5:$M$428))+IFERROR('Client DB &amp; Bed Mgmt'!$M$5:$M$428&lt;=EOMONTH(B693,0),FALSE)&gt;0)*--(('Client DB &amp; Bed Mgmt'!$N$5:$N$428="")+NOT(ISNUMBER('Client DB &amp; Bed Mgmt'!$N$5:$N$428))+IFERROR('Client DB &amp; Bed Mgmt'!$N$5:$N$428&gt;=DATE(YEAR(B693),MONTH(B693),1),FALSE)&gt;0)*((IF(('Client DB &amp; Bed Mgmt'!$N$5:$N$428="")+NOT(ISNUMBER('Client DB &amp; Bed Mgmt'!$N$5:$N$428)),EOMONTH(B693,0),IF('Client DB &amp; Bed Mgmt'!$N$5:$N$428&lt;EOMONTH(B693,0),'Client DB &amp; Bed Mgmt'!$N$5:$N$428,EOMONTH(B693,0))))-(IF(('Client DB &amp; Bed Mgmt'!$M$5:$M$428="")+NOT(ISNUMBER('Client DB &amp; Bed Mgmt'!$M$5:$M$428)),DATE(YEAR(B693),MONTH(B693),1),IF('Client DB &amp; Bed Mgmt'!$M$5:$M$428&gt;DATE(YEAR(B693),MONTH(B693),1),'Client DB &amp; Bed Mgmt'!$M$5:$M$428,DATE(YEAR(B693),MONTH(B693),1))))+1)/DAY(EOMONTH(B693,0))),0)</f>
        <v/>
      </c>
    </row>
    <row r="694" ht="14.25" customHeight="1" s="83">
      <c r="A694" s="103" t="n"/>
      <c r="B694" s="125">
        <f>DATE(YEAR(StartDate),MONTH(StartDate),1)</f>
        <v/>
      </c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Mgmt'!$B:$B,C694,'Client DB &amp; Bed Mgmt'!$E:$E,"Occupied"),0)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>
        <f>IFERROR(J694*SUMPRODUCT(('Client DB &amp; Bed Mgmt'!$A$5:$A$428=A694)*('Client DB &amp; Bed Mgmt'!$B$5:$B$428=C694)*('Client DB &amp; Bed Mgmt'!$D$5:$D$428&lt;&gt;"")*--(('Client DB &amp; Bed Mgmt'!$M$5:$M$428="")+NOT(ISNUMBER('Client DB &amp; Bed Mgmt'!$M$5:$M$428))+IFERROR('Client DB &amp; Bed Mgmt'!$M$5:$M$428&lt;=EOMONTH(B694,0),FALSE)&gt;0)*--(('Client DB &amp; Bed Mgmt'!$N$5:$N$428="")+NOT(ISNUMBER('Client DB &amp; Bed Mgmt'!$N$5:$N$428))+IFERROR('Client DB &amp; Bed Mgmt'!$N$5:$N$428&gt;=DATE(YEAR(B694),MONTH(B694),1),FALSE)&gt;0)*((IF(('Client DB &amp; Bed Mgmt'!$N$5:$N$428="")+NOT(ISNUMBER('Client DB &amp; Bed Mgmt'!$N$5:$N$428)),EOMONTH(B694,0),IF('Client DB &amp; Bed Mgmt'!$N$5:$N$428&lt;EOMONTH(B694,0),'Client DB &amp; Bed Mgmt'!$N$5:$N$428,EOMONTH(B694,0))))-(IF(('Client DB &amp; Bed Mgmt'!$M$5:$M$428="")+NOT(ISNUMBER('Client DB &amp; Bed Mgmt'!$M$5:$M$428)),DATE(YEAR(B694),MONTH(B694),1),IF('Client DB &amp; Bed Mgmt'!$M$5:$M$428&gt;DATE(YEAR(B694),MONTH(B694),1),'Client DB &amp; Bed Mgmt'!$M$5:$M$428,DATE(YEAR(B694),MONTH(B694),1))))+1)/DAY(EOMONTH(B694,0))),0)</f>
        <v/>
      </c>
    </row>
    <row r="695" ht="14.25" customHeight="1" s="83">
      <c r="A695" s="103" t="n"/>
      <c r="B695" s="125">
        <f>DATE(YEAR(StartDate),MONTH(StartDate),1)</f>
        <v/>
      </c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Mgmt'!$B:$B,C695,'Client DB &amp; Bed Mgmt'!$E:$E,"Occupied"),0)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>
        <f>IFERROR(J695*SUMPRODUCT(('Client DB &amp; Bed Mgmt'!$A$5:$A$428=A695)*('Client DB &amp; Bed Mgmt'!$B$5:$B$428=C695)*('Client DB &amp; Bed Mgmt'!$D$5:$D$428&lt;&gt;"")*--(('Client DB &amp; Bed Mgmt'!$M$5:$M$428="")+NOT(ISNUMBER('Client DB &amp; Bed Mgmt'!$M$5:$M$428))+IFERROR('Client DB &amp; Bed Mgmt'!$M$5:$M$428&lt;=EOMONTH(B695,0),FALSE)&gt;0)*--(('Client DB &amp; Bed Mgmt'!$N$5:$N$428="")+NOT(ISNUMBER('Client DB &amp; Bed Mgmt'!$N$5:$N$428))+IFERROR('Client DB &amp; Bed Mgmt'!$N$5:$N$428&gt;=DATE(YEAR(B695),MONTH(B695),1),FALSE)&gt;0)*((IF(('Client DB &amp; Bed Mgmt'!$N$5:$N$428="")+NOT(ISNUMBER('Client DB &amp; Bed Mgmt'!$N$5:$N$428)),EOMONTH(B695,0),IF('Client DB &amp; Bed Mgmt'!$N$5:$N$428&lt;EOMONTH(B695,0),'Client DB &amp; Bed Mgmt'!$N$5:$N$428,EOMONTH(B695,0))))-(IF(('Client DB &amp; Bed Mgmt'!$M$5:$M$428="")+NOT(ISNUMBER('Client DB &amp; Bed Mgmt'!$M$5:$M$428)),DATE(YEAR(B695),MONTH(B695),1),IF('Client DB &amp; Bed Mgmt'!$M$5:$M$428&gt;DATE(YEAR(B695),MONTH(B695),1),'Client DB &amp; Bed Mgmt'!$M$5:$M$428,DATE(YEAR(B695),MONTH(B695),1))))+1)/DAY(EOMONTH(B695,0))),0)</f>
        <v/>
      </c>
    </row>
    <row r="696" ht="14.25" customHeight="1" s="83">
      <c r="A696" s="103" t="n"/>
      <c r="B696" s="125">
        <f>DATE(YEAR(StartDate),MONTH(StartDate),1)</f>
        <v/>
      </c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Mgmt'!$B:$B,C696,'Client DB &amp; Bed Mgmt'!$E:$E,"Occupied"),0)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>
        <f>IFERROR(J696*SUMPRODUCT(('Client DB &amp; Bed Mgmt'!$A$5:$A$428=A696)*('Client DB &amp; Bed Mgmt'!$B$5:$B$428=C696)*('Client DB &amp; Bed Mgmt'!$D$5:$D$428&lt;&gt;"")*--(('Client DB &amp; Bed Mgmt'!$M$5:$M$428="")+NOT(ISNUMBER('Client DB &amp; Bed Mgmt'!$M$5:$M$428))+IFERROR('Client DB &amp; Bed Mgmt'!$M$5:$M$428&lt;=EOMONTH(B696,0),FALSE)&gt;0)*--(('Client DB &amp; Bed Mgmt'!$N$5:$N$428="")+NOT(ISNUMBER('Client DB &amp; Bed Mgmt'!$N$5:$N$428))+IFERROR('Client DB &amp; Bed Mgmt'!$N$5:$N$428&gt;=DATE(YEAR(B696),MONTH(B696),1),FALSE)&gt;0)*((IF(('Client DB &amp; Bed Mgmt'!$N$5:$N$428="")+NOT(ISNUMBER('Client DB &amp; Bed Mgmt'!$N$5:$N$428)),EOMONTH(B696,0),IF('Client DB &amp; Bed Mgmt'!$N$5:$N$428&lt;EOMONTH(B696,0),'Client DB &amp; Bed Mgmt'!$N$5:$N$428,EOMONTH(B696,0))))-(IF(('Client DB &amp; Bed Mgmt'!$M$5:$M$428="")+NOT(ISNUMBER('Client DB &amp; Bed Mgmt'!$M$5:$M$428)),DATE(YEAR(B696),MONTH(B696),1),IF('Client DB &amp; Bed Mgmt'!$M$5:$M$428&gt;DATE(YEAR(B696),MONTH(B696),1),'Client DB &amp; Bed Mgmt'!$M$5:$M$428,DATE(YEAR(B696),MONTH(B696),1))))+1)/DAY(EOMONTH(B696,0))),0)</f>
        <v/>
      </c>
    </row>
    <row r="697" ht="14.25" customHeight="1" s="83">
      <c r="A697" s="103" t="n"/>
      <c r="B697" s="125">
        <f>DATE(YEAR(StartDate),MONTH(StartDate),1)</f>
        <v/>
      </c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Mgmt'!$B:$B,C697,'Client DB &amp; Bed Mgmt'!$E:$E,"Occupied"),0)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>
        <f>IFERROR(J697*SUMPRODUCT(('Client DB &amp; Bed Mgmt'!$A$5:$A$428=A697)*('Client DB &amp; Bed Mgmt'!$B$5:$B$428=C697)*('Client DB &amp; Bed Mgmt'!$D$5:$D$428&lt;&gt;"")*--(('Client DB &amp; Bed Mgmt'!$M$5:$M$428="")+NOT(ISNUMBER('Client DB &amp; Bed Mgmt'!$M$5:$M$428))+IFERROR('Client DB &amp; Bed Mgmt'!$M$5:$M$428&lt;=EOMONTH(B697,0),FALSE)&gt;0)*--(('Client DB &amp; Bed Mgmt'!$N$5:$N$428="")+NOT(ISNUMBER('Client DB &amp; Bed Mgmt'!$N$5:$N$428))+IFERROR('Client DB &amp; Bed Mgmt'!$N$5:$N$428&gt;=DATE(YEAR(B697),MONTH(B697),1),FALSE)&gt;0)*((IF(('Client DB &amp; Bed Mgmt'!$N$5:$N$428="")+NOT(ISNUMBER('Client DB &amp; Bed Mgmt'!$N$5:$N$428)),EOMONTH(B697,0),IF('Client DB &amp; Bed Mgmt'!$N$5:$N$428&lt;EOMONTH(B697,0),'Client DB &amp; Bed Mgmt'!$N$5:$N$428,EOMONTH(B697,0))))-(IF(('Client DB &amp; Bed Mgmt'!$M$5:$M$428="")+NOT(ISNUMBER('Client DB &amp; Bed Mgmt'!$M$5:$M$428)),DATE(YEAR(B697),MONTH(B697),1),IF('Client DB &amp; Bed Mgmt'!$M$5:$M$428&gt;DATE(YEAR(B697),MONTH(B697),1),'Client DB &amp; Bed Mgmt'!$M$5:$M$428,DATE(YEAR(B697),MONTH(B697),1))))+1)/DAY(EOMONTH(B697,0))),0)</f>
        <v/>
      </c>
    </row>
    <row r="698" ht="14.25" customHeight="1" s="83">
      <c r="A698" s="103" t="n"/>
      <c r="B698" s="125">
        <f>DATE(YEAR(StartDate),MONTH(StartDate),1)</f>
        <v/>
      </c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Mgmt'!$B:$B,C698,'Client DB &amp; Bed Mgmt'!$E:$E,"Occupied"),0)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>
        <f>IFERROR(J698*SUMPRODUCT(('Client DB &amp; Bed Mgmt'!$A$5:$A$428=A698)*('Client DB &amp; Bed Mgmt'!$B$5:$B$428=C698)*('Client DB &amp; Bed Mgmt'!$D$5:$D$428&lt;&gt;"")*--(('Client DB &amp; Bed Mgmt'!$M$5:$M$428="")+NOT(ISNUMBER('Client DB &amp; Bed Mgmt'!$M$5:$M$428))+IFERROR('Client DB &amp; Bed Mgmt'!$M$5:$M$428&lt;=EOMONTH(B698,0),FALSE)&gt;0)*--(('Client DB &amp; Bed Mgmt'!$N$5:$N$428="")+NOT(ISNUMBER('Client DB &amp; Bed Mgmt'!$N$5:$N$428))+IFERROR('Client DB &amp; Bed Mgmt'!$N$5:$N$428&gt;=DATE(YEAR(B698),MONTH(B698),1),FALSE)&gt;0)*((IF(('Client DB &amp; Bed Mgmt'!$N$5:$N$428="")+NOT(ISNUMBER('Client DB &amp; Bed Mgmt'!$N$5:$N$428)),EOMONTH(B698,0),IF('Client DB &amp; Bed Mgmt'!$N$5:$N$428&lt;EOMONTH(B698,0),'Client DB &amp; Bed Mgmt'!$N$5:$N$428,EOMONTH(B698,0))))-(IF(('Client DB &amp; Bed Mgmt'!$M$5:$M$428="")+NOT(ISNUMBER('Client DB &amp; Bed Mgmt'!$M$5:$M$428)),DATE(YEAR(B698),MONTH(B698),1),IF('Client DB &amp; Bed Mgmt'!$M$5:$M$428&gt;DATE(YEAR(B698),MONTH(B698),1),'Client DB &amp; Bed Mgmt'!$M$5:$M$428,DATE(YEAR(B698),MONTH(B698),1))))+1)/DAY(EOMONTH(B698,0))),0)</f>
        <v/>
      </c>
    </row>
    <row r="699" ht="14.25" customHeight="1" s="83">
      <c r="A699" s="103" t="n"/>
      <c r="B699" s="125">
        <f>DATE(YEAR(StartDate),MONTH(StartDate),1)</f>
        <v/>
      </c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Mgmt'!$B:$B,C699,'Client DB &amp; Bed Mgmt'!$E:$E,"Occupied"),0)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>
        <f>IFERROR(J699*SUMPRODUCT(('Client DB &amp; Bed Mgmt'!$A$5:$A$428=A699)*('Client DB &amp; Bed Mgmt'!$B$5:$B$428=C699)*('Client DB &amp; Bed Mgmt'!$D$5:$D$428&lt;&gt;"")*--(('Client DB &amp; Bed Mgmt'!$M$5:$M$428="")+NOT(ISNUMBER('Client DB &amp; Bed Mgmt'!$M$5:$M$428))+IFERROR('Client DB &amp; Bed Mgmt'!$M$5:$M$428&lt;=EOMONTH(B699,0),FALSE)&gt;0)*--(('Client DB &amp; Bed Mgmt'!$N$5:$N$428="")+NOT(ISNUMBER('Client DB &amp; Bed Mgmt'!$N$5:$N$428))+IFERROR('Client DB &amp; Bed Mgmt'!$N$5:$N$428&gt;=DATE(YEAR(B699),MONTH(B699),1),FALSE)&gt;0)*((IF(('Client DB &amp; Bed Mgmt'!$N$5:$N$428="")+NOT(ISNUMBER('Client DB &amp; Bed Mgmt'!$N$5:$N$428)),EOMONTH(B699,0),IF('Client DB &amp; Bed Mgmt'!$N$5:$N$428&lt;EOMONTH(B699,0),'Client DB &amp; Bed Mgmt'!$N$5:$N$428,EOMONTH(B699,0))))-(IF(('Client DB &amp; Bed Mgmt'!$M$5:$M$428="")+NOT(ISNUMBER('Client DB &amp; Bed Mgmt'!$M$5:$M$428)),DATE(YEAR(B699),MONTH(B699),1),IF('Client DB &amp; Bed Mgmt'!$M$5:$M$428&gt;DATE(YEAR(B699),MONTH(B699),1),'Client DB &amp; Bed Mgmt'!$M$5:$M$428,DATE(YEAR(B699),MONTH(B699),1))))+1)/DAY(EOMONTH(B699,0))),0)</f>
        <v/>
      </c>
    </row>
    <row r="700" ht="14.25" customHeight="1" s="83">
      <c r="A700" s="103" t="n"/>
      <c r="B700" s="125">
        <f>DATE(YEAR(StartDate),MONTH(StartDate),1)</f>
        <v/>
      </c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Mgmt'!$B:$B,C700,'Client DB &amp; Bed Mgmt'!$E:$E,"Occupied"),0)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>
        <f>IFERROR(J700*SUMPRODUCT(('Client DB &amp; Bed Mgmt'!$A$5:$A$428=A700)*('Client DB &amp; Bed Mgmt'!$B$5:$B$428=C700)*('Client DB &amp; Bed Mgmt'!$D$5:$D$428&lt;&gt;"")*--(('Client DB &amp; Bed Mgmt'!$M$5:$M$428="")+NOT(ISNUMBER('Client DB &amp; Bed Mgmt'!$M$5:$M$428))+IFERROR('Client DB &amp; Bed Mgmt'!$M$5:$M$428&lt;=EOMONTH(B700,0),FALSE)&gt;0)*--(('Client DB &amp; Bed Mgmt'!$N$5:$N$428="")+NOT(ISNUMBER('Client DB &amp; Bed Mgmt'!$N$5:$N$428))+IFERROR('Client DB &amp; Bed Mgmt'!$N$5:$N$428&gt;=DATE(YEAR(B700),MONTH(B700),1),FALSE)&gt;0)*((IF(('Client DB &amp; Bed Mgmt'!$N$5:$N$428="")+NOT(ISNUMBER('Client DB &amp; Bed Mgmt'!$N$5:$N$428)),EOMONTH(B700,0),IF('Client DB &amp; Bed Mgmt'!$N$5:$N$428&lt;EOMONTH(B700,0),'Client DB &amp; Bed Mgmt'!$N$5:$N$428,EOMONTH(B700,0))))-(IF(('Client DB &amp; Bed Mgmt'!$M$5:$M$428="")+NOT(ISNUMBER('Client DB &amp; Bed Mgmt'!$M$5:$M$428)),DATE(YEAR(B700),MONTH(B700),1),IF('Client DB &amp; Bed Mgmt'!$M$5:$M$428&gt;DATE(YEAR(B700),MONTH(B700),1),'Client DB &amp; Bed Mgmt'!$M$5:$M$428,DATE(YEAR(B700),MONTH(B700),1))))+1)/DAY(EOMONTH(B700,0))),0)</f>
        <v/>
      </c>
    </row>
    <row r="701" ht="14.25" customHeight="1" s="83">
      <c r="A701" s="103" t="n"/>
      <c r="B701" s="125">
        <f>DATE(YEAR(StartDate),MONTH(StartDate),1)</f>
        <v/>
      </c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Mgmt'!$B:$B,C701,'Client DB &amp; Bed Mgmt'!$E:$E,"Occupied"),0)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>
        <f>IFERROR(J701*SUMPRODUCT(('Client DB &amp; Bed Mgmt'!$A$5:$A$428=A701)*('Client DB &amp; Bed Mgmt'!$B$5:$B$428=C701)*('Client DB &amp; Bed Mgmt'!$D$5:$D$428&lt;&gt;"")*--(('Client DB &amp; Bed Mgmt'!$M$5:$M$428="")+NOT(ISNUMBER('Client DB &amp; Bed Mgmt'!$M$5:$M$428))+IFERROR('Client DB &amp; Bed Mgmt'!$M$5:$M$428&lt;=EOMONTH(B701,0),FALSE)&gt;0)*--(('Client DB &amp; Bed Mgmt'!$N$5:$N$428="")+NOT(ISNUMBER('Client DB &amp; Bed Mgmt'!$N$5:$N$428))+IFERROR('Client DB &amp; Bed Mgmt'!$N$5:$N$428&gt;=DATE(YEAR(B701),MONTH(B701),1),FALSE)&gt;0)*((IF(('Client DB &amp; Bed Mgmt'!$N$5:$N$428="")+NOT(ISNUMBER('Client DB &amp; Bed Mgmt'!$N$5:$N$428)),EOMONTH(B701,0),IF('Client DB &amp; Bed Mgmt'!$N$5:$N$428&lt;EOMONTH(B701,0),'Client DB &amp; Bed Mgmt'!$N$5:$N$428,EOMONTH(B701,0))))-(IF(('Client DB &amp; Bed Mgmt'!$M$5:$M$428="")+NOT(ISNUMBER('Client DB &amp; Bed Mgmt'!$M$5:$M$428)),DATE(YEAR(B701),MONTH(B701),1),IF('Client DB &amp; Bed Mgmt'!$M$5:$M$428&gt;DATE(YEAR(B701),MONTH(B701),1),'Client DB &amp; Bed Mgmt'!$M$5:$M$428,DATE(YEAR(B701),MONTH(B701),1))))+1)/DAY(EOMONTH(B701,0))),0)</f>
        <v/>
      </c>
    </row>
    <row r="702" ht="14.25" customHeight="1" s="83">
      <c r="A702" s="103" t="n"/>
      <c r="B702" s="125">
        <f>DATE(YEAR(StartDate),MONTH(StartDate),1)</f>
        <v/>
      </c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Mgmt'!$B:$B,C702,'Client DB &amp; Bed Mgmt'!$E:$E,"Occupied"),0)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>
        <f>IFERROR(J702*SUMPRODUCT(('Client DB &amp; Bed Mgmt'!$A$5:$A$428=A702)*('Client DB &amp; Bed Mgmt'!$B$5:$B$428=C702)*('Client DB &amp; Bed Mgmt'!$D$5:$D$428&lt;&gt;"")*--(('Client DB &amp; Bed Mgmt'!$M$5:$M$428="")+NOT(ISNUMBER('Client DB &amp; Bed Mgmt'!$M$5:$M$428))+IFERROR('Client DB &amp; Bed Mgmt'!$M$5:$M$428&lt;=EOMONTH(B702,0),FALSE)&gt;0)*--(('Client DB &amp; Bed Mgmt'!$N$5:$N$428="")+NOT(ISNUMBER('Client DB &amp; Bed Mgmt'!$N$5:$N$428))+IFERROR('Client DB &amp; Bed Mgmt'!$N$5:$N$428&gt;=DATE(YEAR(B702),MONTH(B702),1),FALSE)&gt;0)*((IF(('Client DB &amp; Bed Mgmt'!$N$5:$N$428="")+NOT(ISNUMBER('Client DB &amp; Bed Mgmt'!$N$5:$N$428)),EOMONTH(B702,0),IF('Client DB &amp; Bed Mgmt'!$N$5:$N$428&lt;EOMONTH(B702,0),'Client DB &amp; Bed Mgmt'!$N$5:$N$428,EOMONTH(B702,0))))-(IF(('Client DB &amp; Bed Mgmt'!$M$5:$M$428="")+NOT(ISNUMBER('Client DB &amp; Bed Mgmt'!$M$5:$M$428)),DATE(YEAR(B702),MONTH(B702),1),IF('Client DB &amp; Bed Mgmt'!$M$5:$M$428&gt;DATE(YEAR(B702),MONTH(B702),1),'Client DB &amp; Bed Mgmt'!$M$5:$M$428,DATE(YEAR(B702),MONTH(B702),1))))+1)/DAY(EOMONTH(B702,0))),0)</f>
        <v/>
      </c>
    </row>
    <row r="703" ht="14.25" customHeight="1" s="83">
      <c r="A703" s="103" t="n"/>
      <c r="B703" s="125">
        <f>DATE(YEAR(StartDate),MONTH(StartDate),1)</f>
        <v/>
      </c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Mgmt'!$B:$B,C703,'Client DB &amp; Bed Mgmt'!$E:$E,"Occupied"),0)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>
        <f>IFERROR(J703*SUMPRODUCT(('Client DB &amp; Bed Mgmt'!$A$5:$A$428=A703)*('Client DB &amp; Bed Mgmt'!$B$5:$B$428=C703)*('Client DB &amp; Bed Mgmt'!$D$5:$D$428&lt;&gt;"")*--(('Client DB &amp; Bed Mgmt'!$M$5:$M$428="")+NOT(ISNUMBER('Client DB &amp; Bed Mgmt'!$M$5:$M$428))+IFERROR('Client DB &amp; Bed Mgmt'!$M$5:$M$428&lt;=EOMONTH(B703,0),FALSE)&gt;0)*--(('Client DB &amp; Bed Mgmt'!$N$5:$N$428="")+NOT(ISNUMBER('Client DB &amp; Bed Mgmt'!$N$5:$N$428))+IFERROR('Client DB &amp; Bed Mgmt'!$N$5:$N$428&gt;=DATE(YEAR(B703),MONTH(B703),1),FALSE)&gt;0)*((IF(('Client DB &amp; Bed Mgmt'!$N$5:$N$428="")+NOT(ISNUMBER('Client DB &amp; Bed Mgmt'!$N$5:$N$428)),EOMONTH(B703,0),IF('Client DB &amp; Bed Mgmt'!$N$5:$N$428&lt;EOMONTH(B703,0),'Client DB &amp; Bed Mgmt'!$N$5:$N$428,EOMONTH(B703,0))))-(IF(('Client DB &amp; Bed Mgmt'!$M$5:$M$428="")+NOT(ISNUMBER('Client DB &amp; Bed Mgmt'!$M$5:$M$428)),DATE(YEAR(B703),MONTH(B703),1),IF('Client DB &amp; Bed Mgmt'!$M$5:$M$428&gt;DATE(YEAR(B703),MONTH(B703),1),'Client DB &amp; Bed Mgmt'!$M$5:$M$428,DATE(YEAR(B703),MONTH(B703),1))))+1)/DAY(EOMONTH(B703,0))),0)</f>
        <v/>
      </c>
    </row>
    <row r="704" ht="14.25" customHeight="1" s="83">
      <c r="A704" s="103" t="n"/>
      <c r="B704" s="125">
        <f>DATE(YEAR(StartDate),MONTH(StartDate),1)</f>
        <v/>
      </c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Mgmt'!$B:$B,C704,'Client DB &amp; Bed Mgmt'!$E:$E,"Occupied"),0)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>
        <f>IFERROR(J704*SUMPRODUCT(('Client DB &amp; Bed Mgmt'!$A$5:$A$428=A704)*('Client DB &amp; Bed Mgmt'!$B$5:$B$428=C704)*('Client DB &amp; Bed Mgmt'!$D$5:$D$428&lt;&gt;"")*--(('Client DB &amp; Bed Mgmt'!$M$5:$M$428="")+NOT(ISNUMBER('Client DB &amp; Bed Mgmt'!$M$5:$M$428))+IFERROR('Client DB &amp; Bed Mgmt'!$M$5:$M$428&lt;=EOMONTH(B704,0),FALSE)&gt;0)*--(('Client DB &amp; Bed Mgmt'!$N$5:$N$428="")+NOT(ISNUMBER('Client DB &amp; Bed Mgmt'!$N$5:$N$428))+IFERROR('Client DB &amp; Bed Mgmt'!$N$5:$N$428&gt;=DATE(YEAR(B704),MONTH(B704),1),FALSE)&gt;0)*((IF(('Client DB &amp; Bed Mgmt'!$N$5:$N$428="")+NOT(ISNUMBER('Client DB &amp; Bed Mgmt'!$N$5:$N$428)),EOMONTH(B704,0),IF('Client DB &amp; Bed Mgmt'!$N$5:$N$428&lt;EOMONTH(B704,0),'Client DB &amp; Bed Mgmt'!$N$5:$N$428,EOMONTH(B704,0))))-(IF(('Client DB &amp; Bed Mgmt'!$M$5:$M$428="")+NOT(ISNUMBER('Client DB &amp; Bed Mgmt'!$M$5:$M$428)),DATE(YEAR(B704),MONTH(B704),1),IF('Client DB &amp; Bed Mgmt'!$M$5:$M$428&gt;DATE(YEAR(B704),MONTH(B704),1),'Client DB &amp; Bed Mgmt'!$M$5:$M$428,DATE(YEAR(B704),MONTH(B704),1))))+1)/DAY(EOMONTH(B704,0))),0)</f>
        <v/>
      </c>
    </row>
    <row r="705" ht="14.25" customHeight="1" s="83">
      <c r="A705" s="103" t="n"/>
      <c r="B705" s="125">
        <f>DATE(YEAR(StartDate),MONTH(StartDate),1)</f>
        <v/>
      </c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Mgmt'!$B:$B,C705,'Client DB &amp; Bed Mgmt'!$E:$E,"Occupied"),0)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>
        <f>IFERROR(J705*SUMPRODUCT(('Client DB &amp; Bed Mgmt'!$A$5:$A$428=A705)*('Client DB &amp; Bed Mgmt'!$B$5:$B$428=C705)*('Client DB &amp; Bed Mgmt'!$D$5:$D$428&lt;&gt;"")*--(('Client DB &amp; Bed Mgmt'!$M$5:$M$428="")+NOT(ISNUMBER('Client DB &amp; Bed Mgmt'!$M$5:$M$428))+IFERROR('Client DB &amp; Bed Mgmt'!$M$5:$M$428&lt;=EOMONTH(B705,0),FALSE)&gt;0)*--(('Client DB &amp; Bed Mgmt'!$N$5:$N$428="")+NOT(ISNUMBER('Client DB &amp; Bed Mgmt'!$N$5:$N$428))+IFERROR('Client DB &amp; Bed Mgmt'!$N$5:$N$428&gt;=DATE(YEAR(B705),MONTH(B705),1),FALSE)&gt;0)*((IF(('Client DB &amp; Bed Mgmt'!$N$5:$N$428="")+NOT(ISNUMBER('Client DB &amp; Bed Mgmt'!$N$5:$N$428)),EOMONTH(B705,0),IF('Client DB &amp; Bed Mgmt'!$N$5:$N$428&lt;EOMONTH(B705,0),'Client DB &amp; Bed Mgmt'!$N$5:$N$428,EOMONTH(B705,0))))-(IF(('Client DB &amp; Bed Mgmt'!$M$5:$M$428="")+NOT(ISNUMBER('Client DB &amp; Bed Mgmt'!$M$5:$M$428)),DATE(YEAR(B705),MONTH(B705),1),IF('Client DB &amp; Bed Mgmt'!$M$5:$M$428&gt;DATE(YEAR(B705),MONTH(B705),1),'Client DB &amp; Bed Mgmt'!$M$5:$M$428,DATE(YEAR(B705),MONTH(B705),1))))+1)/DAY(EOMONTH(B705,0))),0)</f>
        <v/>
      </c>
    </row>
    <row r="706" ht="14.25" customHeight="1" s="83">
      <c r="A706" s="103" t="n"/>
      <c r="B706" s="125">
        <f>DATE(YEAR(StartDate),MONTH(StartDate),1)</f>
        <v/>
      </c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Mgmt'!$B:$B,C706,'Client DB &amp; Bed Mgmt'!$E:$E,"Occupied"),0)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>
        <f>IFERROR(J706*SUMPRODUCT(('Client DB &amp; Bed Mgmt'!$A$5:$A$428=A706)*('Client DB &amp; Bed Mgmt'!$B$5:$B$428=C706)*('Client DB &amp; Bed Mgmt'!$D$5:$D$428&lt;&gt;"")*--(('Client DB &amp; Bed Mgmt'!$M$5:$M$428="")+NOT(ISNUMBER('Client DB &amp; Bed Mgmt'!$M$5:$M$428))+IFERROR('Client DB &amp; Bed Mgmt'!$M$5:$M$428&lt;=EOMONTH(B706,0),FALSE)&gt;0)*--(('Client DB &amp; Bed Mgmt'!$N$5:$N$428="")+NOT(ISNUMBER('Client DB &amp; Bed Mgmt'!$N$5:$N$428))+IFERROR('Client DB &amp; Bed Mgmt'!$N$5:$N$428&gt;=DATE(YEAR(B706),MONTH(B706),1),FALSE)&gt;0)*((IF(('Client DB &amp; Bed Mgmt'!$N$5:$N$428="")+NOT(ISNUMBER('Client DB &amp; Bed Mgmt'!$N$5:$N$428)),EOMONTH(B706,0),IF('Client DB &amp; Bed Mgmt'!$N$5:$N$428&lt;EOMONTH(B706,0),'Client DB &amp; Bed Mgmt'!$N$5:$N$428,EOMONTH(B706,0))))-(IF(('Client DB &amp; Bed Mgmt'!$M$5:$M$428="")+NOT(ISNUMBER('Client DB &amp; Bed Mgmt'!$M$5:$M$428)),DATE(YEAR(B706),MONTH(B706),1),IF('Client DB &amp; Bed Mgmt'!$M$5:$M$428&gt;DATE(YEAR(B706),MONTH(B706),1),'Client DB &amp; Bed Mgmt'!$M$5:$M$428,DATE(YEAR(B706),MONTH(B706),1))))+1)/DAY(EOMONTH(B706,0))),0)</f>
        <v/>
      </c>
    </row>
    <row r="707" ht="14.25" customHeight="1" s="83">
      <c r="A707" s="103" t="n"/>
      <c r="B707" s="125">
        <f>DATE(YEAR(StartDate),MONTH(StartDate),1)</f>
        <v/>
      </c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Mgmt'!$B:$B,C707,'Client DB &amp; Bed Mgmt'!$E:$E,"Occupied"),0)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>
        <f>IFERROR(J707*SUMPRODUCT(('Client DB &amp; Bed Mgmt'!$A$5:$A$428=A707)*('Client DB &amp; Bed Mgmt'!$B$5:$B$428=C707)*('Client DB &amp; Bed Mgmt'!$D$5:$D$428&lt;&gt;"")*--(('Client DB &amp; Bed Mgmt'!$M$5:$M$428="")+NOT(ISNUMBER('Client DB &amp; Bed Mgmt'!$M$5:$M$428))+IFERROR('Client DB &amp; Bed Mgmt'!$M$5:$M$428&lt;=EOMONTH(B707,0),FALSE)&gt;0)*--(('Client DB &amp; Bed Mgmt'!$N$5:$N$428="")+NOT(ISNUMBER('Client DB &amp; Bed Mgmt'!$N$5:$N$428))+IFERROR('Client DB &amp; Bed Mgmt'!$N$5:$N$428&gt;=DATE(YEAR(B707),MONTH(B707),1),FALSE)&gt;0)*((IF(('Client DB &amp; Bed Mgmt'!$N$5:$N$428="")+NOT(ISNUMBER('Client DB &amp; Bed Mgmt'!$N$5:$N$428)),EOMONTH(B707,0),IF('Client DB &amp; Bed Mgmt'!$N$5:$N$428&lt;EOMONTH(B707,0),'Client DB &amp; Bed Mgmt'!$N$5:$N$428,EOMONTH(B707,0))))-(IF(('Client DB &amp; Bed Mgmt'!$M$5:$M$428="")+NOT(ISNUMBER('Client DB &amp; Bed Mgmt'!$M$5:$M$428)),DATE(YEAR(B707),MONTH(B707),1),IF('Client DB &amp; Bed Mgmt'!$M$5:$M$428&gt;DATE(YEAR(B707),MONTH(B707),1),'Client DB &amp; Bed Mgmt'!$M$5:$M$428,DATE(YEAR(B707),MONTH(B707),1))))+1)/DAY(EOMONTH(B707,0))),0)</f>
        <v/>
      </c>
    </row>
    <row r="708" ht="14.25" customHeight="1" s="83">
      <c r="A708" s="103" t="n"/>
      <c r="B708" s="125">
        <f>DATE(YEAR(StartDate),MONTH(StartDate),1)</f>
        <v/>
      </c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Mgmt'!$B:$B,C708,'Client DB &amp; Bed Mgmt'!$E:$E,"Occupied"),0)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>
        <f>IFERROR(J708*SUMPRODUCT(('Client DB &amp; Bed Mgmt'!$A$5:$A$428=A708)*('Client DB &amp; Bed Mgmt'!$B$5:$B$428=C708)*('Client DB &amp; Bed Mgmt'!$D$5:$D$428&lt;&gt;"")*--(('Client DB &amp; Bed Mgmt'!$M$5:$M$428="")+NOT(ISNUMBER('Client DB &amp; Bed Mgmt'!$M$5:$M$428))+IFERROR('Client DB &amp; Bed Mgmt'!$M$5:$M$428&lt;=EOMONTH(B708,0),FALSE)&gt;0)*--(('Client DB &amp; Bed Mgmt'!$N$5:$N$428="")+NOT(ISNUMBER('Client DB &amp; Bed Mgmt'!$N$5:$N$428))+IFERROR('Client DB &amp; Bed Mgmt'!$N$5:$N$428&gt;=DATE(YEAR(B708),MONTH(B708),1),FALSE)&gt;0)*((IF(('Client DB &amp; Bed Mgmt'!$N$5:$N$428="")+NOT(ISNUMBER('Client DB &amp; Bed Mgmt'!$N$5:$N$428)),EOMONTH(B708,0),IF('Client DB &amp; Bed Mgmt'!$N$5:$N$428&lt;EOMONTH(B708,0),'Client DB &amp; Bed Mgmt'!$N$5:$N$428,EOMONTH(B708,0))))-(IF(('Client DB &amp; Bed Mgmt'!$M$5:$M$428="")+NOT(ISNUMBER('Client DB &amp; Bed Mgmt'!$M$5:$M$428)),DATE(YEAR(B708),MONTH(B708),1),IF('Client DB &amp; Bed Mgmt'!$M$5:$M$428&gt;DATE(YEAR(B708),MONTH(B708),1),'Client DB &amp; Bed Mgmt'!$M$5:$M$428,DATE(YEAR(B708),MONTH(B708),1))))+1)/DAY(EOMONTH(B708,0))),0)</f>
        <v/>
      </c>
    </row>
    <row r="709" ht="14.25" customHeight="1" s="83">
      <c r="A709" s="103" t="n"/>
      <c r="B709" s="125">
        <f>DATE(YEAR(StartDate),MONTH(StartDate),1)</f>
        <v/>
      </c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Mgmt'!$B:$B,C709,'Client DB &amp; Bed Mgmt'!$E:$E,"Occupied"),0)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>
        <f>IFERROR(J709*SUMPRODUCT(('Client DB &amp; Bed Mgmt'!$A$5:$A$428=A709)*('Client DB &amp; Bed Mgmt'!$B$5:$B$428=C709)*('Client DB &amp; Bed Mgmt'!$D$5:$D$428&lt;&gt;"")*--(('Client DB &amp; Bed Mgmt'!$M$5:$M$428="")+NOT(ISNUMBER('Client DB &amp; Bed Mgmt'!$M$5:$M$428))+IFERROR('Client DB &amp; Bed Mgmt'!$M$5:$M$428&lt;=EOMONTH(B709,0),FALSE)&gt;0)*--(('Client DB &amp; Bed Mgmt'!$N$5:$N$428="")+NOT(ISNUMBER('Client DB &amp; Bed Mgmt'!$N$5:$N$428))+IFERROR('Client DB &amp; Bed Mgmt'!$N$5:$N$428&gt;=DATE(YEAR(B709),MONTH(B709),1),FALSE)&gt;0)*((IF(('Client DB &amp; Bed Mgmt'!$N$5:$N$428="")+NOT(ISNUMBER('Client DB &amp; Bed Mgmt'!$N$5:$N$428)),EOMONTH(B709,0),IF('Client DB &amp; Bed Mgmt'!$N$5:$N$428&lt;EOMONTH(B709,0),'Client DB &amp; Bed Mgmt'!$N$5:$N$428,EOMONTH(B709,0))))-(IF(('Client DB &amp; Bed Mgmt'!$M$5:$M$428="")+NOT(ISNUMBER('Client DB &amp; Bed Mgmt'!$M$5:$M$428)),DATE(YEAR(B709),MONTH(B709),1),IF('Client DB &amp; Bed Mgmt'!$M$5:$M$428&gt;DATE(YEAR(B709),MONTH(B709),1),'Client DB &amp; Bed Mgmt'!$M$5:$M$428,DATE(YEAR(B709),MONTH(B709),1))))+1)/DAY(EOMONTH(B709,0))),0)</f>
        <v/>
      </c>
    </row>
    <row r="710" ht="14.25" customHeight="1" s="83">
      <c r="A710" s="103" t="n"/>
      <c r="B710" s="125">
        <f>DATE(YEAR(StartDate),MONTH(StartDate),1)</f>
        <v/>
      </c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Mgmt'!$B:$B,C710,'Client DB &amp; Bed Mgmt'!$E:$E,"Occupied"),0)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>
        <f>IFERROR(J710*SUMPRODUCT(('Client DB &amp; Bed Mgmt'!$A$5:$A$428=A710)*('Client DB &amp; Bed Mgmt'!$B$5:$B$428=C710)*('Client DB &amp; Bed Mgmt'!$D$5:$D$428&lt;&gt;"")*--(('Client DB &amp; Bed Mgmt'!$M$5:$M$428="")+NOT(ISNUMBER('Client DB &amp; Bed Mgmt'!$M$5:$M$428))+IFERROR('Client DB &amp; Bed Mgmt'!$M$5:$M$428&lt;=EOMONTH(B710,0),FALSE)&gt;0)*--(('Client DB &amp; Bed Mgmt'!$N$5:$N$428="")+NOT(ISNUMBER('Client DB &amp; Bed Mgmt'!$N$5:$N$428))+IFERROR('Client DB &amp; Bed Mgmt'!$N$5:$N$428&gt;=DATE(YEAR(B710),MONTH(B710),1),FALSE)&gt;0)*((IF(('Client DB &amp; Bed Mgmt'!$N$5:$N$428="")+NOT(ISNUMBER('Client DB &amp; Bed Mgmt'!$N$5:$N$428)),EOMONTH(B710,0),IF('Client DB &amp; Bed Mgmt'!$N$5:$N$428&lt;EOMONTH(B710,0),'Client DB &amp; Bed Mgmt'!$N$5:$N$428,EOMONTH(B710,0))))-(IF(('Client DB &amp; Bed Mgmt'!$M$5:$M$428="")+NOT(ISNUMBER('Client DB &amp; Bed Mgmt'!$M$5:$M$428)),DATE(YEAR(B710),MONTH(B710),1),IF('Client DB &amp; Bed Mgmt'!$M$5:$M$428&gt;DATE(YEAR(B710),MONTH(B710),1),'Client DB &amp; Bed Mgmt'!$M$5:$M$428,DATE(YEAR(B710),MONTH(B710),1))))+1)/DAY(EOMONTH(B710,0))),0)</f>
        <v/>
      </c>
    </row>
    <row r="711" ht="14.25" customHeight="1" s="83">
      <c r="A711" s="103" t="n"/>
      <c r="B711" s="125">
        <f>DATE(YEAR(StartDate),MONTH(StartDate),1)</f>
        <v/>
      </c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Mgmt'!$B:$B,C711,'Client DB &amp; Bed Mgmt'!$E:$E,"Occupied"),0)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>
        <f>IFERROR(J711*SUMPRODUCT(('Client DB &amp; Bed Mgmt'!$A$5:$A$428=A711)*('Client DB &amp; Bed Mgmt'!$B$5:$B$428=C711)*('Client DB &amp; Bed Mgmt'!$D$5:$D$428&lt;&gt;"")*--(('Client DB &amp; Bed Mgmt'!$M$5:$M$428="")+NOT(ISNUMBER('Client DB &amp; Bed Mgmt'!$M$5:$M$428))+IFERROR('Client DB &amp; Bed Mgmt'!$M$5:$M$428&lt;=EOMONTH(B711,0),FALSE)&gt;0)*--(('Client DB &amp; Bed Mgmt'!$N$5:$N$428="")+NOT(ISNUMBER('Client DB &amp; Bed Mgmt'!$N$5:$N$428))+IFERROR('Client DB &amp; Bed Mgmt'!$N$5:$N$428&gt;=DATE(YEAR(B711),MONTH(B711),1),FALSE)&gt;0)*((IF(('Client DB &amp; Bed Mgmt'!$N$5:$N$428="")+NOT(ISNUMBER('Client DB &amp; Bed Mgmt'!$N$5:$N$428)),EOMONTH(B711,0),IF('Client DB &amp; Bed Mgmt'!$N$5:$N$428&lt;EOMONTH(B711,0),'Client DB &amp; Bed Mgmt'!$N$5:$N$428,EOMONTH(B711,0))))-(IF(('Client DB &amp; Bed Mgmt'!$M$5:$M$428="")+NOT(ISNUMBER('Client DB &amp; Bed Mgmt'!$M$5:$M$428)),DATE(YEAR(B711),MONTH(B711),1),IF('Client DB &amp; Bed Mgmt'!$M$5:$M$428&gt;DATE(YEAR(B711),MONTH(B711),1),'Client DB &amp; Bed Mgmt'!$M$5:$M$428,DATE(YEAR(B711),MONTH(B711),1))))+1)/DAY(EOMONTH(B711,0))),0)</f>
        <v/>
      </c>
    </row>
    <row r="712" ht="14.25" customHeight="1" s="83">
      <c r="A712" s="103" t="n"/>
      <c r="B712" s="125">
        <f>DATE(YEAR(StartDate),MONTH(StartDate),1)</f>
        <v/>
      </c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Mgmt'!$B:$B,C712,'Client DB &amp; Bed Mgmt'!$E:$E,"Occupied"),0)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>
        <f>IFERROR(J712*SUMPRODUCT(('Client DB &amp; Bed Mgmt'!$A$5:$A$428=A712)*('Client DB &amp; Bed Mgmt'!$B$5:$B$428=C712)*('Client DB &amp; Bed Mgmt'!$D$5:$D$428&lt;&gt;"")*--(('Client DB &amp; Bed Mgmt'!$M$5:$M$428="")+NOT(ISNUMBER('Client DB &amp; Bed Mgmt'!$M$5:$M$428))+IFERROR('Client DB &amp; Bed Mgmt'!$M$5:$M$428&lt;=EOMONTH(B712,0),FALSE)&gt;0)*--(('Client DB &amp; Bed Mgmt'!$N$5:$N$428="")+NOT(ISNUMBER('Client DB &amp; Bed Mgmt'!$N$5:$N$428))+IFERROR('Client DB &amp; Bed Mgmt'!$N$5:$N$428&gt;=DATE(YEAR(B712),MONTH(B712),1),FALSE)&gt;0)*((IF(('Client DB &amp; Bed Mgmt'!$N$5:$N$428="")+NOT(ISNUMBER('Client DB &amp; Bed Mgmt'!$N$5:$N$428)),EOMONTH(B712,0),IF('Client DB &amp; Bed Mgmt'!$N$5:$N$428&lt;EOMONTH(B712,0),'Client DB &amp; Bed Mgmt'!$N$5:$N$428,EOMONTH(B712,0))))-(IF(('Client DB &amp; Bed Mgmt'!$M$5:$M$428="")+NOT(ISNUMBER('Client DB &amp; Bed Mgmt'!$M$5:$M$428)),DATE(YEAR(B712),MONTH(B712),1),IF('Client DB &amp; Bed Mgmt'!$M$5:$M$428&gt;DATE(YEAR(B712),MONTH(B712),1),'Client DB &amp; Bed Mgmt'!$M$5:$M$428,DATE(YEAR(B712),MONTH(B712),1))))+1)/DAY(EOMONTH(B712,0))),0)</f>
        <v/>
      </c>
    </row>
    <row r="713" ht="14.25" customHeight="1" s="83">
      <c r="A713" s="103" t="n"/>
      <c r="B713" s="125">
        <f>DATE(YEAR(StartDate),MONTH(StartDate),1)</f>
        <v/>
      </c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Mgmt'!$B:$B,C713,'Client DB &amp; Bed Mgmt'!$E:$E,"Occupied"),0)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>
        <f>IFERROR(J713*SUMPRODUCT(('Client DB &amp; Bed Mgmt'!$A$5:$A$428=A713)*('Client DB &amp; Bed Mgmt'!$B$5:$B$428=C713)*('Client DB &amp; Bed Mgmt'!$D$5:$D$428&lt;&gt;"")*--(('Client DB &amp; Bed Mgmt'!$M$5:$M$428="")+NOT(ISNUMBER('Client DB &amp; Bed Mgmt'!$M$5:$M$428))+IFERROR('Client DB &amp; Bed Mgmt'!$M$5:$M$428&lt;=EOMONTH(B713,0),FALSE)&gt;0)*--(('Client DB &amp; Bed Mgmt'!$N$5:$N$428="")+NOT(ISNUMBER('Client DB &amp; Bed Mgmt'!$N$5:$N$428))+IFERROR('Client DB &amp; Bed Mgmt'!$N$5:$N$428&gt;=DATE(YEAR(B713),MONTH(B713),1),FALSE)&gt;0)*((IF(('Client DB &amp; Bed Mgmt'!$N$5:$N$428="")+NOT(ISNUMBER('Client DB &amp; Bed Mgmt'!$N$5:$N$428)),EOMONTH(B713,0),IF('Client DB &amp; Bed Mgmt'!$N$5:$N$428&lt;EOMONTH(B713,0),'Client DB &amp; Bed Mgmt'!$N$5:$N$428,EOMONTH(B713,0))))-(IF(('Client DB &amp; Bed Mgmt'!$M$5:$M$428="")+NOT(ISNUMBER('Client DB &amp; Bed Mgmt'!$M$5:$M$428)),DATE(YEAR(B713),MONTH(B713),1),IF('Client DB &amp; Bed Mgmt'!$M$5:$M$428&gt;DATE(YEAR(B713),MONTH(B713),1),'Client DB &amp; Bed Mgmt'!$M$5:$M$428,DATE(YEAR(B713),MONTH(B713),1))))+1)/DAY(EOMONTH(B713,0))),0)</f>
        <v/>
      </c>
    </row>
    <row r="714" ht="14.25" customHeight="1" s="83">
      <c r="A714" s="103" t="n"/>
      <c r="B714" s="125">
        <f>DATE(YEAR(StartDate),MONTH(StartDate),1)</f>
        <v/>
      </c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Mgmt'!$B:$B,C714,'Client DB &amp; Bed Mgmt'!$E:$E,"Occupied"),0)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>
        <f>IFERROR(J714*SUMPRODUCT(('Client DB &amp; Bed Mgmt'!$A$5:$A$428=A714)*('Client DB &amp; Bed Mgmt'!$B$5:$B$428=C714)*('Client DB &amp; Bed Mgmt'!$D$5:$D$428&lt;&gt;"")*--(('Client DB &amp; Bed Mgmt'!$M$5:$M$428="")+NOT(ISNUMBER('Client DB &amp; Bed Mgmt'!$M$5:$M$428))+IFERROR('Client DB &amp; Bed Mgmt'!$M$5:$M$428&lt;=EOMONTH(B714,0),FALSE)&gt;0)*--(('Client DB &amp; Bed Mgmt'!$N$5:$N$428="")+NOT(ISNUMBER('Client DB &amp; Bed Mgmt'!$N$5:$N$428))+IFERROR('Client DB &amp; Bed Mgmt'!$N$5:$N$428&gt;=DATE(YEAR(B714),MONTH(B714),1),FALSE)&gt;0)*((IF(('Client DB &amp; Bed Mgmt'!$N$5:$N$428="")+NOT(ISNUMBER('Client DB &amp; Bed Mgmt'!$N$5:$N$428)),EOMONTH(B714,0),IF('Client DB &amp; Bed Mgmt'!$N$5:$N$428&lt;EOMONTH(B714,0),'Client DB &amp; Bed Mgmt'!$N$5:$N$428,EOMONTH(B714,0))))-(IF(('Client DB &amp; Bed Mgmt'!$M$5:$M$428="")+NOT(ISNUMBER('Client DB &amp; Bed Mgmt'!$M$5:$M$428)),DATE(YEAR(B714),MONTH(B714),1),IF('Client DB &amp; Bed Mgmt'!$M$5:$M$428&gt;DATE(YEAR(B714),MONTH(B714),1),'Client DB &amp; Bed Mgmt'!$M$5:$M$428,DATE(YEAR(B714),MONTH(B714),1))))+1)/DAY(EOMONTH(B714,0))),0)</f>
        <v/>
      </c>
    </row>
    <row r="715" ht="14.25" customHeight="1" s="83">
      <c r="A715" s="103" t="n"/>
      <c r="B715" s="125">
        <f>DATE(YEAR(StartDate),MONTH(StartDate),1)</f>
        <v/>
      </c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Mgmt'!$B:$B,C715,'Client DB &amp; Bed Mgmt'!$E:$E,"Occupied"),0)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>
        <f>IFERROR(J715*SUMPRODUCT(('Client DB &amp; Bed Mgmt'!$A$5:$A$428=A715)*('Client DB &amp; Bed Mgmt'!$B$5:$B$428=C715)*('Client DB &amp; Bed Mgmt'!$D$5:$D$428&lt;&gt;"")*--(('Client DB &amp; Bed Mgmt'!$M$5:$M$428="")+NOT(ISNUMBER('Client DB &amp; Bed Mgmt'!$M$5:$M$428))+IFERROR('Client DB &amp; Bed Mgmt'!$M$5:$M$428&lt;=EOMONTH(B715,0),FALSE)&gt;0)*--(('Client DB &amp; Bed Mgmt'!$N$5:$N$428="")+NOT(ISNUMBER('Client DB &amp; Bed Mgmt'!$N$5:$N$428))+IFERROR('Client DB &amp; Bed Mgmt'!$N$5:$N$428&gt;=DATE(YEAR(B715),MONTH(B715),1),FALSE)&gt;0)*((IF(('Client DB &amp; Bed Mgmt'!$N$5:$N$428="")+NOT(ISNUMBER('Client DB &amp; Bed Mgmt'!$N$5:$N$428)),EOMONTH(B715,0),IF('Client DB &amp; Bed Mgmt'!$N$5:$N$428&lt;EOMONTH(B715,0),'Client DB &amp; Bed Mgmt'!$N$5:$N$428,EOMONTH(B715,0))))-(IF(('Client DB &amp; Bed Mgmt'!$M$5:$M$428="")+NOT(ISNUMBER('Client DB &amp; Bed Mgmt'!$M$5:$M$428)),DATE(YEAR(B715),MONTH(B715),1),IF('Client DB &amp; Bed Mgmt'!$M$5:$M$428&gt;DATE(YEAR(B715),MONTH(B715),1),'Client DB &amp; Bed Mgmt'!$M$5:$M$428,DATE(YEAR(B715),MONTH(B715),1))))+1)/DAY(EOMONTH(B715,0))),0)</f>
        <v/>
      </c>
    </row>
    <row r="716" ht="14.25" customHeight="1" s="83">
      <c r="A716" s="103" t="n"/>
      <c r="B716" s="125">
        <f>DATE(YEAR(StartDate),MONTH(StartDate),1)</f>
        <v/>
      </c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Mgmt'!$B:$B,C716,'Client DB &amp; Bed Mgmt'!$E:$E,"Occupied"),0)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>
        <f>IFERROR(J716*SUMPRODUCT(('Client DB &amp; Bed Mgmt'!$A$5:$A$428=A716)*('Client DB &amp; Bed Mgmt'!$B$5:$B$428=C716)*('Client DB &amp; Bed Mgmt'!$D$5:$D$428&lt;&gt;"")*--(('Client DB &amp; Bed Mgmt'!$M$5:$M$428="")+NOT(ISNUMBER('Client DB &amp; Bed Mgmt'!$M$5:$M$428))+IFERROR('Client DB &amp; Bed Mgmt'!$M$5:$M$428&lt;=EOMONTH(B716,0),FALSE)&gt;0)*--(('Client DB &amp; Bed Mgmt'!$N$5:$N$428="")+NOT(ISNUMBER('Client DB &amp; Bed Mgmt'!$N$5:$N$428))+IFERROR('Client DB &amp; Bed Mgmt'!$N$5:$N$428&gt;=DATE(YEAR(B716),MONTH(B716),1),FALSE)&gt;0)*((IF(('Client DB &amp; Bed Mgmt'!$N$5:$N$428="")+NOT(ISNUMBER('Client DB &amp; Bed Mgmt'!$N$5:$N$428)),EOMONTH(B716,0),IF('Client DB &amp; Bed Mgmt'!$N$5:$N$428&lt;EOMONTH(B716,0),'Client DB &amp; Bed Mgmt'!$N$5:$N$428,EOMONTH(B716,0))))-(IF(('Client DB &amp; Bed Mgmt'!$M$5:$M$428="")+NOT(ISNUMBER('Client DB &amp; Bed Mgmt'!$M$5:$M$428)),DATE(YEAR(B716),MONTH(B716),1),IF('Client DB &amp; Bed Mgmt'!$M$5:$M$428&gt;DATE(YEAR(B716),MONTH(B716),1),'Client DB &amp; Bed Mgmt'!$M$5:$M$428,DATE(YEAR(B716),MONTH(B716),1))))+1)/DAY(EOMONTH(B716,0))),0)</f>
        <v/>
      </c>
    </row>
    <row r="717" ht="14.25" customHeight="1" s="83">
      <c r="A717" s="103" t="n"/>
      <c r="B717" s="125">
        <f>DATE(YEAR(StartDate),MONTH(StartDate),1)</f>
        <v/>
      </c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Mgmt'!$B:$B,C717,'Client DB &amp; Bed Mgmt'!$E:$E,"Occupied"),0)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>
        <f>IFERROR(J717*SUMPRODUCT(('Client DB &amp; Bed Mgmt'!$A$5:$A$428=A717)*('Client DB &amp; Bed Mgmt'!$B$5:$B$428=C717)*('Client DB &amp; Bed Mgmt'!$D$5:$D$428&lt;&gt;"")*--(('Client DB &amp; Bed Mgmt'!$M$5:$M$428="")+NOT(ISNUMBER('Client DB &amp; Bed Mgmt'!$M$5:$M$428))+IFERROR('Client DB &amp; Bed Mgmt'!$M$5:$M$428&lt;=EOMONTH(B717,0),FALSE)&gt;0)*--(('Client DB &amp; Bed Mgmt'!$N$5:$N$428="")+NOT(ISNUMBER('Client DB &amp; Bed Mgmt'!$N$5:$N$428))+IFERROR('Client DB &amp; Bed Mgmt'!$N$5:$N$428&gt;=DATE(YEAR(B717),MONTH(B717),1),FALSE)&gt;0)*((IF(('Client DB &amp; Bed Mgmt'!$N$5:$N$428="")+NOT(ISNUMBER('Client DB &amp; Bed Mgmt'!$N$5:$N$428)),EOMONTH(B717,0),IF('Client DB &amp; Bed Mgmt'!$N$5:$N$428&lt;EOMONTH(B717,0),'Client DB &amp; Bed Mgmt'!$N$5:$N$428,EOMONTH(B717,0))))-(IF(('Client DB &amp; Bed Mgmt'!$M$5:$M$428="")+NOT(ISNUMBER('Client DB &amp; Bed Mgmt'!$M$5:$M$428)),DATE(YEAR(B717),MONTH(B717),1),IF('Client DB &amp; Bed Mgmt'!$M$5:$M$428&gt;DATE(YEAR(B717),MONTH(B717),1),'Client DB &amp; Bed Mgmt'!$M$5:$M$428,DATE(YEAR(B717),MONTH(B717),1))))+1)/DAY(EOMONTH(B717,0))),0)</f>
        <v/>
      </c>
    </row>
    <row r="718" ht="14.25" customHeight="1" s="83">
      <c r="A718" s="103" t="n"/>
      <c r="B718" s="125">
        <f>DATE(YEAR(StartDate),MONTH(StartDate),1)</f>
        <v/>
      </c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Mgmt'!$B:$B,C718,'Client DB &amp; Bed Mgmt'!$E:$E,"Occupied"),0)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>
        <f>IFERROR(J718*SUMPRODUCT(('Client DB &amp; Bed Mgmt'!$A$5:$A$428=A718)*('Client DB &amp; Bed Mgmt'!$B$5:$B$428=C718)*('Client DB &amp; Bed Mgmt'!$D$5:$D$428&lt;&gt;"")*--(('Client DB &amp; Bed Mgmt'!$M$5:$M$428="")+NOT(ISNUMBER('Client DB &amp; Bed Mgmt'!$M$5:$M$428))+IFERROR('Client DB &amp; Bed Mgmt'!$M$5:$M$428&lt;=EOMONTH(B718,0),FALSE)&gt;0)*--(('Client DB &amp; Bed Mgmt'!$N$5:$N$428="")+NOT(ISNUMBER('Client DB &amp; Bed Mgmt'!$N$5:$N$428))+IFERROR('Client DB &amp; Bed Mgmt'!$N$5:$N$428&gt;=DATE(YEAR(B718),MONTH(B718),1),FALSE)&gt;0)*((IF(('Client DB &amp; Bed Mgmt'!$N$5:$N$428="")+NOT(ISNUMBER('Client DB &amp; Bed Mgmt'!$N$5:$N$428)),EOMONTH(B718,0),IF('Client DB &amp; Bed Mgmt'!$N$5:$N$428&lt;EOMONTH(B718,0),'Client DB &amp; Bed Mgmt'!$N$5:$N$428,EOMONTH(B718,0))))-(IF(('Client DB &amp; Bed Mgmt'!$M$5:$M$428="")+NOT(ISNUMBER('Client DB &amp; Bed Mgmt'!$M$5:$M$428)),DATE(YEAR(B718),MONTH(B718),1),IF('Client DB &amp; Bed Mgmt'!$M$5:$M$428&gt;DATE(YEAR(B718),MONTH(B718),1),'Client DB &amp; Bed Mgmt'!$M$5:$M$428,DATE(YEAR(B718),MONTH(B718),1))))+1)/DAY(EOMONTH(B718,0))),0)</f>
        <v/>
      </c>
    </row>
    <row r="719" ht="14.25" customHeight="1" s="83">
      <c r="A719" s="103" t="n"/>
      <c r="B719" s="125">
        <f>DATE(YEAR(StartDate),MONTH(StartDate),1)</f>
        <v/>
      </c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Mgmt'!$B:$B,C719,'Client DB &amp; Bed Mgmt'!$E:$E,"Occupied"),0)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>
        <f>IFERROR(J719*SUMPRODUCT(('Client DB &amp; Bed Mgmt'!$A$5:$A$428=A719)*('Client DB &amp; Bed Mgmt'!$B$5:$B$428=C719)*('Client DB &amp; Bed Mgmt'!$D$5:$D$428&lt;&gt;"")*--(('Client DB &amp; Bed Mgmt'!$M$5:$M$428="")+NOT(ISNUMBER('Client DB &amp; Bed Mgmt'!$M$5:$M$428))+IFERROR('Client DB &amp; Bed Mgmt'!$M$5:$M$428&lt;=EOMONTH(B719,0),FALSE)&gt;0)*--(('Client DB &amp; Bed Mgmt'!$N$5:$N$428="")+NOT(ISNUMBER('Client DB &amp; Bed Mgmt'!$N$5:$N$428))+IFERROR('Client DB &amp; Bed Mgmt'!$N$5:$N$428&gt;=DATE(YEAR(B719),MONTH(B719),1),FALSE)&gt;0)*((IF(('Client DB &amp; Bed Mgmt'!$N$5:$N$428="")+NOT(ISNUMBER('Client DB &amp; Bed Mgmt'!$N$5:$N$428)),EOMONTH(B719,0),IF('Client DB &amp; Bed Mgmt'!$N$5:$N$428&lt;EOMONTH(B719,0),'Client DB &amp; Bed Mgmt'!$N$5:$N$428,EOMONTH(B719,0))))-(IF(('Client DB &amp; Bed Mgmt'!$M$5:$M$428="")+NOT(ISNUMBER('Client DB &amp; Bed Mgmt'!$M$5:$M$428)),DATE(YEAR(B719),MONTH(B719),1),IF('Client DB &amp; Bed Mgmt'!$M$5:$M$428&gt;DATE(YEAR(B719),MONTH(B719),1),'Client DB &amp; Bed Mgmt'!$M$5:$M$428,DATE(YEAR(B719),MONTH(B719),1))))+1)/DAY(EOMONTH(B719,0))),0)</f>
        <v/>
      </c>
    </row>
    <row r="720" ht="14.25" customHeight="1" s="83">
      <c r="A720" s="103" t="n"/>
      <c r="B720" s="125">
        <f>DATE(YEAR(StartDate),MONTH(StartDate),1)</f>
        <v/>
      </c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Mgmt'!$B:$B,C720,'Client DB &amp; Bed Mgmt'!$E:$E,"Occupied"),0)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>
        <f>IFERROR(J720*SUMPRODUCT(('Client DB &amp; Bed Mgmt'!$A$5:$A$428=A720)*('Client DB &amp; Bed Mgmt'!$B$5:$B$428=C720)*('Client DB &amp; Bed Mgmt'!$D$5:$D$428&lt;&gt;"")*--(('Client DB &amp; Bed Mgmt'!$M$5:$M$428="")+NOT(ISNUMBER('Client DB &amp; Bed Mgmt'!$M$5:$M$428))+IFERROR('Client DB &amp; Bed Mgmt'!$M$5:$M$428&lt;=EOMONTH(B720,0),FALSE)&gt;0)*--(('Client DB &amp; Bed Mgmt'!$N$5:$N$428="")+NOT(ISNUMBER('Client DB &amp; Bed Mgmt'!$N$5:$N$428))+IFERROR('Client DB &amp; Bed Mgmt'!$N$5:$N$428&gt;=DATE(YEAR(B720),MONTH(B720),1),FALSE)&gt;0)*((IF(('Client DB &amp; Bed Mgmt'!$N$5:$N$428="")+NOT(ISNUMBER('Client DB &amp; Bed Mgmt'!$N$5:$N$428)),EOMONTH(B720,0),IF('Client DB &amp; Bed Mgmt'!$N$5:$N$428&lt;EOMONTH(B720,0),'Client DB &amp; Bed Mgmt'!$N$5:$N$428,EOMONTH(B720,0))))-(IF(('Client DB &amp; Bed Mgmt'!$M$5:$M$428="")+NOT(ISNUMBER('Client DB &amp; Bed Mgmt'!$M$5:$M$428)),DATE(YEAR(B720),MONTH(B720),1),IF('Client DB &amp; Bed Mgmt'!$M$5:$M$428&gt;DATE(YEAR(B720),MONTH(B720),1),'Client DB &amp; Bed Mgmt'!$M$5:$M$428,DATE(YEAR(B720),MONTH(B720),1))))+1)/DAY(EOMONTH(B720,0))),0)</f>
        <v/>
      </c>
    </row>
    <row r="721" ht="14.25" customHeight="1" s="83">
      <c r="A721" s="103" t="n"/>
      <c r="B721" s="125">
        <f>DATE(YEAR(StartDate),MONTH(StartDate),1)</f>
        <v/>
      </c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Mgmt'!$B:$B,C721,'Client DB &amp; Bed Mgmt'!$E:$E,"Occupied"),0)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>
        <f>IFERROR(J721*SUMPRODUCT(('Client DB &amp; Bed Mgmt'!$A$5:$A$428=A721)*('Client DB &amp; Bed Mgmt'!$B$5:$B$428=C721)*('Client DB &amp; Bed Mgmt'!$D$5:$D$428&lt;&gt;"")*--(('Client DB &amp; Bed Mgmt'!$M$5:$M$428="")+NOT(ISNUMBER('Client DB &amp; Bed Mgmt'!$M$5:$M$428))+IFERROR('Client DB &amp; Bed Mgmt'!$M$5:$M$428&lt;=EOMONTH(B721,0),FALSE)&gt;0)*--(('Client DB &amp; Bed Mgmt'!$N$5:$N$428="")+NOT(ISNUMBER('Client DB &amp; Bed Mgmt'!$N$5:$N$428))+IFERROR('Client DB &amp; Bed Mgmt'!$N$5:$N$428&gt;=DATE(YEAR(B721),MONTH(B721),1),FALSE)&gt;0)*((IF(('Client DB &amp; Bed Mgmt'!$N$5:$N$428="")+NOT(ISNUMBER('Client DB &amp; Bed Mgmt'!$N$5:$N$428)),EOMONTH(B721,0),IF('Client DB &amp; Bed Mgmt'!$N$5:$N$428&lt;EOMONTH(B721,0),'Client DB &amp; Bed Mgmt'!$N$5:$N$428,EOMONTH(B721,0))))-(IF(('Client DB &amp; Bed Mgmt'!$M$5:$M$428="")+NOT(ISNUMBER('Client DB &amp; Bed Mgmt'!$M$5:$M$428)),DATE(YEAR(B721),MONTH(B721),1),IF('Client DB &amp; Bed Mgmt'!$M$5:$M$428&gt;DATE(YEAR(B721),MONTH(B721),1),'Client DB &amp; Bed Mgmt'!$M$5:$M$428,DATE(YEAR(B721),MONTH(B721),1))))+1)/DAY(EOMONTH(B721,0))),0)</f>
        <v/>
      </c>
    </row>
    <row r="722" ht="14.25" customHeight="1" s="83">
      <c r="A722" s="103" t="n"/>
      <c r="B722" s="125">
        <f>DATE(YEAR(StartDate),MONTH(StartDate),1)</f>
        <v/>
      </c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Mgmt'!$B:$B,C722,'Client DB &amp; Bed Mgmt'!$E:$E,"Occupied"),0)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>
        <f>IFERROR(J722*SUMPRODUCT(('Client DB &amp; Bed Mgmt'!$A$5:$A$428=A722)*('Client DB &amp; Bed Mgmt'!$B$5:$B$428=C722)*('Client DB &amp; Bed Mgmt'!$D$5:$D$428&lt;&gt;"")*--(('Client DB &amp; Bed Mgmt'!$M$5:$M$428="")+NOT(ISNUMBER('Client DB &amp; Bed Mgmt'!$M$5:$M$428))+IFERROR('Client DB &amp; Bed Mgmt'!$M$5:$M$428&lt;=EOMONTH(B722,0),FALSE)&gt;0)*--(('Client DB &amp; Bed Mgmt'!$N$5:$N$428="")+NOT(ISNUMBER('Client DB &amp; Bed Mgmt'!$N$5:$N$428))+IFERROR('Client DB &amp; Bed Mgmt'!$N$5:$N$428&gt;=DATE(YEAR(B722),MONTH(B722),1),FALSE)&gt;0)*((IF(('Client DB &amp; Bed Mgmt'!$N$5:$N$428="")+NOT(ISNUMBER('Client DB &amp; Bed Mgmt'!$N$5:$N$428)),EOMONTH(B722,0),IF('Client DB &amp; Bed Mgmt'!$N$5:$N$428&lt;EOMONTH(B722,0),'Client DB &amp; Bed Mgmt'!$N$5:$N$428,EOMONTH(B722,0))))-(IF(('Client DB &amp; Bed Mgmt'!$M$5:$M$428="")+NOT(ISNUMBER('Client DB &amp; Bed Mgmt'!$M$5:$M$428)),DATE(YEAR(B722),MONTH(B722),1),IF('Client DB &amp; Bed Mgmt'!$M$5:$M$428&gt;DATE(YEAR(B722),MONTH(B722),1),'Client DB &amp; Bed Mgmt'!$M$5:$M$428,DATE(YEAR(B722),MONTH(B722),1))))+1)/DAY(EOMONTH(B722,0))),0)</f>
        <v/>
      </c>
    </row>
    <row r="723" ht="14.25" customHeight="1" s="83">
      <c r="A723" s="103" t="n"/>
      <c r="B723" s="125">
        <f>DATE(YEAR(StartDate),MONTH(StartDate),1)</f>
        <v/>
      </c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Mgmt'!$B:$B,C723,'Client DB &amp; Bed Mgmt'!$E:$E,"Occupied"),0)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>
        <f>IFERROR(J723*SUMPRODUCT(('Client DB &amp; Bed Mgmt'!$A$5:$A$428=A723)*('Client DB &amp; Bed Mgmt'!$B$5:$B$428=C723)*('Client DB &amp; Bed Mgmt'!$D$5:$D$428&lt;&gt;"")*--(('Client DB &amp; Bed Mgmt'!$M$5:$M$428="")+NOT(ISNUMBER('Client DB &amp; Bed Mgmt'!$M$5:$M$428))+IFERROR('Client DB &amp; Bed Mgmt'!$M$5:$M$428&lt;=EOMONTH(B723,0),FALSE)&gt;0)*--(('Client DB &amp; Bed Mgmt'!$N$5:$N$428="")+NOT(ISNUMBER('Client DB &amp; Bed Mgmt'!$N$5:$N$428))+IFERROR('Client DB &amp; Bed Mgmt'!$N$5:$N$428&gt;=DATE(YEAR(B723),MONTH(B723),1),FALSE)&gt;0)*((IF(('Client DB &amp; Bed Mgmt'!$N$5:$N$428="")+NOT(ISNUMBER('Client DB &amp; Bed Mgmt'!$N$5:$N$428)),EOMONTH(B723,0),IF('Client DB &amp; Bed Mgmt'!$N$5:$N$428&lt;EOMONTH(B723,0),'Client DB &amp; Bed Mgmt'!$N$5:$N$428,EOMONTH(B723,0))))-(IF(('Client DB &amp; Bed Mgmt'!$M$5:$M$428="")+NOT(ISNUMBER('Client DB &amp; Bed Mgmt'!$M$5:$M$428)),DATE(YEAR(B723),MONTH(B723),1),IF('Client DB &amp; Bed Mgmt'!$M$5:$M$428&gt;DATE(YEAR(B723),MONTH(B723),1),'Client DB &amp; Bed Mgmt'!$M$5:$M$428,DATE(YEAR(B723),MONTH(B723),1))))+1)/DAY(EOMONTH(B723,0))),0)</f>
        <v/>
      </c>
    </row>
    <row r="724" ht="14.25" customHeight="1" s="83">
      <c r="A724" s="103" t="n"/>
      <c r="B724" s="125">
        <f>DATE(YEAR(StartDate),MONTH(StartDate),1)</f>
        <v/>
      </c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Mgmt'!$B:$B,C724,'Client DB &amp; Bed Mgmt'!$E:$E,"Occupied"),0)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>
        <f>IFERROR(J724*SUMPRODUCT(('Client DB &amp; Bed Mgmt'!$A$5:$A$428=A724)*('Client DB &amp; Bed Mgmt'!$B$5:$B$428=C724)*('Client DB &amp; Bed Mgmt'!$D$5:$D$428&lt;&gt;"")*--(('Client DB &amp; Bed Mgmt'!$M$5:$M$428="")+NOT(ISNUMBER('Client DB &amp; Bed Mgmt'!$M$5:$M$428))+IFERROR('Client DB &amp; Bed Mgmt'!$M$5:$M$428&lt;=EOMONTH(B724,0),FALSE)&gt;0)*--(('Client DB &amp; Bed Mgmt'!$N$5:$N$428="")+NOT(ISNUMBER('Client DB &amp; Bed Mgmt'!$N$5:$N$428))+IFERROR('Client DB &amp; Bed Mgmt'!$N$5:$N$428&gt;=DATE(YEAR(B724),MONTH(B724),1),FALSE)&gt;0)*((IF(('Client DB &amp; Bed Mgmt'!$N$5:$N$428="")+NOT(ISNUMBER('Client DB &amp; Bed Mgmt'!$N$5:$N$428)),EOMONTH(B724,0),IF('Client DB &amp; Bed Mgmt'!$N$5:$N$428&lt;EOMONTH(B724,0),'Client DB &amp; Bed Mgmt'!$N$5:$N$428,EOMONTH(B724,0))))-(IF(('Client DB &amp; Bed Mgmt'!$M$5:$M$428="")+NOT(ISNUMBER('Client DB &amp; Bed Mgmt'!$M$5:$M$428)),DATE(YEAR(B724),MONTH(B724),1),IF('Client DB &amp; Bed Mgmt'!$M$5:$M$428&gt;DATE(YEAR(B724),MONTH(B724),1),'Client DB &amp; Bed Mgmt'!$M$5:$M$428,DATE(YEAR(B724),MONTH(B724),1))))+1)/DAY(EOMONTH(B724,0))),0)</f>
        <v/>
      </c>
    </row>
    <row r="725" ht="14.25" customHeight="1" s="83">
      <c r="A725" s="103" t="n"/>
      <c r="B725" s="125">
        <f>DATE(YEAR(StartDate),MONTH(StartDate),1)</f>
        <v/>
      </c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Mgmt'!$B:$B,C725,'Client DB &amp; Bed Mgmt'!$E:$E,"Occupied"),0)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>
        <f>IFERROR(J725*SUMPRODUCT(('Client DB &amp; Bed Mgmt'!$A$5:$A$428=A725)*('Client DB &amp; Bed Mgmt'!$B$5:$B$428=C725)*('Client DB &amp; Bed Mgmt'!$D$5:$D$428&lt;&gt;"")*--(('Client DB &amp; Bed Mgmt'!$M$5:$M$428="")+NOT(ISNUMBER('Client DB &amp; Bed Mgmt'!$M$5:$M$428))+IFERROR('Client DB &amp; Bed Mgmt'!$M$5:$M$428&lt;=EOMONTH(B725,0),FALSE)&gt;0)*--(('Client DB &amp; Bed Mgmt'!$N$5:$N$428="")+NOT(ISNUMBER('Client DB &amp; Bed Mgmt'!$N$5:$N$428))+IFERROR('Client DB &amp; Bed Mgmt'!$N$5:$N$428&gt;=DATE(YEAR(B725),MONTH(B725),1),FALSE)&gt;0)*((IF(('Client DB &amp; Bed Mgmt'!$N$5:$N$428="")+NOT(ISNUMBER('Client DB &amp; Bed Mgmt'!$N$5:$N$428)),EOMONTH(B725,0),IF('Client DB &amp; Bed Mgmt'!$N$5:$N$428&lt;EOMONTH(B725,0),'Client DB &amp; Bed Mgmt'!$N$5:$N$428,EOMONTH(B725,0))))-(IF(('Client DB &amp; Bed Mgmt'!$M$5:$M$428="")+NOT(ISNUMBER('Client DB &amp; Bed Mgmt'!$M$5:$M$428)),DATE(YEAR(B725),MONTH(B725),1),IF('Client DB &amp; Bed Mgmt'!$M$5:$M$428&gt;DATE(YEAR(B725),MONTH(B725),1),'Client DB &amp; Bed Mgmt'!$M$5:$M$428,DATE(YEAR(B725),MONTH(B725),1))))+1)/DAY(EOMONTH(B725,0))),0)</f>
        <v/>
      </c>
    </row>
    <row r="726" ht="14.25" customHeight="1" s="83">
      <c r="A726" s="103" t="n"/>
      <c r="B726" s="125">
        <f>DATE(YEAR(StartDate),MONTH(StartDate),1)</f>
        <v/>
      </c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Mgmt'!$B:$B,C726,'Client DB &amp; Bed Mgmt'!$E:$E,"Occupied"),0)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>
        <f>IFERROR(J726*SUMPRODUCT(('Client DB &amp; Bed Mgmt'!$A$5:$A$428=A726)*('Client DB &amp; Bed Mgmt'!$B$5:$B$428=C726)*('Client DB &amp; Bed Mgmt'!$D$5:$D$428&lt;&gt;"")*--(('Client DB &amp; Bed Mgmt'!$M$5:$M$428="")+NOT(ISNUMBER('Client DB &amp; Bed Mgmt'!$M$5:$M$428))+IFERROR('Client DB &amp; Bed Mgmt'!$M$5:$M$428&lt;=EOMONTH(B726,0),FALSE)&gt;0)*--(('Client DB &amp; Bed Mgmt'!$N$5:$N$428="")+NOT(ISNUMBER('Client DB &amp; Bed Mgmt'!$N$5:$N$428))+IFERROR('Client DB &amp; Bed Mgmt'!$N$5:$N$428&gt;=DATE(YEAR(B726),MONTH(B726),1),FALSE)&gt;0)*((IF(('Client DB &amp; Bed Mgmt'!$N$5:$N$428="")+NOT(ISNUMBER('Client DB &amp; Bed Mgmt'!$N$5:$N$428)),EOMONTH(B726,0),IF('Client DB &amp; Bed Mgmt'!$N$5:$N$428&lt;EOMONTH(B726,0),'Client DB &amp; Bed Mgmt'!$N$5:$N$428,EOMONTH(B726,0))))-(IF(('Client DB &amp; Bed Mgmt'!$M$5:$M$428="")+NOT(ISNUMBER('Client DB &amp; Bed Mgmt'!$M$5:$M$428)),DATE(YEAR(B726),MONTH(B726),1),IF('Client DB &amp; Bed Mgmt'!$M$5:$M$428&gt;DATE(YEAR(B726),MONTH(B726),1),'Client DB &amp; Bed Mgmt'!$M$5:$M$428,DATE(YEAR(B726),MONTH(B726),1))))+1)/DAY(EOMONTH(B726,0))),0)</f>
        <v/>
      </c>
    </row>
    <row r="727" ht="14.25" customHeight="1" s="83">
      <c r="A727" s="103" t="n"/>
      <c r="B727" s="125">
        <f>DATE(YEAR(StartDate),MONTH(StartDate),1)</f>
        <v/>
      </c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Mgmt'!$B:$B,C727,'Client DB &amp; Bed Mgmt'!$E:$E,"Occupied"),0)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>
        <f>IFERROR(J727*SUMPRODUCT(('Client DB &amp; Bed Mgmt'!$A$5:$A$428=A727)*('Client DB &amp; Bed Mgmt'!$B$5:$B$428=C727)*('Client DB &amp; Bed Mgmt'!$D$5:$D$428&lt;&gt;"")*--(('Client DB &amp; Bed Mgmt'!$M$5:$M$428="")+NOT(ISNUMBER('Client DB &amp; Bed Mgmt'!$M$5:$M$428))+IFERROR('Client DB &amp; Bed Mgmt'!$M$5:$M$428&lt;=EOMONTH(B727,0),FALSE)&gt;0)*--(('Client DB &amp; Bed Mgmt'!$N$5:$N$428="")+NOT(ISNUMBER('Client DB &amp; Bed Mgmt'!$N$5:$N$428))+IFERROR('Client DB &amp; Bed Mgmt'!$N$5:$N$428&gt;=DATE(YEAR(B727),MONTH(B727),1),FALSE)&gt;0)*((IF(('Client DB &amp; Bed Mgmt'!$N$5:$N$428="")+NOT(ISNUMBER('Client DB &amp; Bed Mgmt'!$N$5:$N$428)),EOMONTH(B727,0),IF('Client DB &amp; Bed Mgmt'!$N$5:$N$428&lt;EOMONTH(B727,0),'Client DB &amp; Bed Mgmt'!$N$5:$N$428,EOMONTH(B727,0))))-(IF(('Client DB &amp; Bed Mgmt'!$M$5:$M$428="")+NOT(ISNUMBER('Client DB &amp; Bed Mgmt'!$M$5:$M$428)),DATE(YEAR(B727),MONTH(B727),1),IF('Client DB &amp; Bed Mgmt'!$M$5:$M$428&gt;DATE(YEAR(B727),MONTH(B727),1),'Client DB &amp; Bed Mgmt'!$M$5:$M$428,DATE(YEAR(B727),MONTH(B727),1))))+1)/DAY(EOMONTH(B727,0))),0)</f>
        <v/>
      </c>
    </row>
    <row r="728" ht="14.25" customHeight="1" s="83">
      <c r="A728" s="103" t="n"/>
      <c r="B728" s="125">
        <f>DATE(YEAR(StartDate),MONTH(StartDate),1)</f>
        <v/>
      </c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Mgmt'!$B:$B,C728,'Client DB &amp; Bed Mgmt'!$E:$E,"Occupied"),0)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>
        <f>IFERROR(J728*SUMPRODUCT(('Client DB &amp; Bed Mgmt'!$A$5:$A$428=A728)*('Client DB &amp; Bed Mgmt'!$B$5:$B$428=C728)*('Client DB &amp; Bed Mgmt'!$D$5:$D$428&lt;&gt;"")*--(('Client DB &amp; Bed Mgmt'!$M$5:$M$428="")+NOT(ISNUMBER('Client DB &amp; Bed Mgmt'!$M$5:$M$428))+IFERROR('Client DB &amp; Bed Mgmt'!$M$5:$M$428&lt;=EOMONTH(B728,0),FALSE)&gt;0)*--(('Client DB &amp; Bed Mgmt'!$N$5:$N$428="")+NOT(ISNUMBER('Client DB &amp; Bed Mgmt'!$N$5:$N$428))+IFERROR('Client DB &amp; Bed Mgmt'!$N$5:$N$428&gt;=DATE(YEAR(B728),MONTH(B728),1),FALSE)&gt;0)*((IF(('Client DB &amp; Bed Mgmt'!$N$5:$N$428="")+NOT(ISNUMBER('Client DB &amp; Bed Mgmt'!$N$5:$N$428)),EOMONTH(B728,0),IF('Client DB &amp; Bed Mgmt'!$N$5:$N$428&lt;EOMONTH(B728,0),'Client DB &amp; Bed Mgmt'!$N$5:$N$428,EOMONTH(B728,0))))-(IF(('Client DB &amp; Bed Mgmt'!$M$5:$M$428="")+NOT(ISNUMBER('Client DB &amp; Bed Mgmt'!$M$5:$M$428)),DATE(YEAR(B728),MONTH(B728),1),IF('Client DB &amp; Bed Mgmt'!$M$5:$M$428&gt;DATE(YEAR(B728),MONTH(B728),1),'Client DB &amp; Bed Mgmt'!$M$5:$M$428,DATE(YEAR(B728),MONTH(B728),1))))+1)/DAY(EOMONTH(B728,0))),0)</f>
        <v/>
      </c>
    </row>
    <row r="729" ht="14.25" customHeight="1" s="83">
      <c r="A729" s="103" t="n"/>
      <c r="B729" s="125">
        <f>DATE(YEAR(StartDate),MONTH(StartDate),1)</f>
        <v/>
      </c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Mgmt'!$B:$B,C729,'Client DB &amp; Bed Mgmt'!$E:$E,"Occupied"),0)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>
        <f>IFERROR(J729*SUMPRODUCT(('Client DB &amp; Bed Mgmt'!$A$5:$A$428=A729)*('Client DB &amp; Bed Mgmt'!$B$5:$B$428=C729)*('Client DB &amp; Bed Mgmt'!$D$5:$D$428&lt;&gt;"")*--(('Client DB &amp; Bed Mgmt'!$M$5:$M$428="")+NOT(ISNUMBER('Client DB &amp; Bed Mgmt'!$M$5:$M$428))+IFERROR('Client DB &amp; Bed Mgmt'!$M$5:$M$428&lt;=EOMONTH(B729,0),FALSE)&gt;0)*--(('Client DB &amp; Bed Mgmt'!$N$5:$N$428="")+NOT(ISNUMBER('Client DB &amp; Bed Mgmt'!$N$5:$N$428))+IFERROR('Client DB &amp; Bed Mgmt'!$N$5:$N$428&gt;=DATE(YEAR(B729),MONTH(B729),1),FALSE)&gt;0)*((IF(('Client DB &amp; Bed Mgmt'!$N$5:$N$428="")+NOT(ISNUMBER('Client DB &amp; Bed Mgmt'!$N$5:$N$428)),EOMONTH(B729,0),IF('Client DB &amp; Bed Mgmt'!$N$5:$N$428&lt;EOMONTH(B729,0),'Client DB &amp; Bed Mgmt'!$N$5:$N$428,EOMONTH(B729,0))))-(IF(('Client DB &amp; Bed Mgmt'!$M$5:$M$428="")+NOT(ISNUMBER('Client DB &amp; Bed Mgmt'!$M$5:$M$428)),DATE(YEAR(B729),MONTH(B729),1),IF('Client DB &amp; Bed Mgmt'!$M$5:$M$428&gt;DATE(YEAR(B729),MONTH(B729),1),'Client DB &amp; Bed Mgmt'!$M$5:$M$428,DATE(YEAR(B729),MONTH(B729),1))))+1)/DAY(EOMONTH(B729,0))),0)</f>
        <v/>
      </c>
    </row>
    <row r="730" ht="14.25" customHeight="1" s="83">
      <c r="A730" s="103" t="n"/>
      <c r="B730" s="125">
        <f>DATE(YEAR(StartDate),MONTH(StartDate),1)</f>
        <v/>
      </c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Mgmt'!$B:$B,C730,'Client DB &amp; Bed Mgmt'!$E:$E,"Occupied"),0)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>
        <f>IFERROR(J730*SUMPRODUCT(('Client DB &amp; Bed Mgmt'!$A$5:$A$428=A730)*('Client DB &amp; Bed Mgmt'!$B$5:$B$428=C730)*('Client DB &amp; Bed Mgmt'!$D$5:$D$428&lt;&gt;"")*--(('Client DB &amp; Bed Mgmt'!$M$5:$M$428="")+NOT(ISNUMBER('Client DB &amp; Bed Mgmt'!$M$5:$M$428))+IFERROR('Client DB &amp; Bed Mgmt'!$M$5:$M$428&lt;=EOMONTH(B730,0),FALSE)&gt;0)*--(('Client DB &amp; Bed Mgmt'!$N$5:$N$428="")+NOT(ISNUMBER('Client DB &amp; Bed Mgmt'!$N$5:$N$428))+IFERROR('Client DB &amp; Bed Mgmt'!$N$5:$N$428&gt;=DATE(YEAR(B730),MONTH(B730),1),FALSE)&gt;0)*((IF(('Client DB &amp; Bed Mgmt'!$N$5:$N$428="")+NOT(ISNUMBER('Client DB &amp; Bed Mgmt'!$N$5:$N$428)),EOMONTH(B730,0),IF('Client DB &amp; Bed Mgmt'!$N$5:$N$428&lt;EOMONTH(B730,0),'Client DB &amp; Bed Mgmt'!$N$5:$N$428,EOMONTH(B730,0))))-(IF(('Client DB &amp; Bed Mgmt'!$M$5:$M$428="")+NOT(ISNUMBER('Client DB &amp; Bed Mgmt'!$M$5:$M$428)),DATE(YEAR(B730),MONTH(B730),1),IF('Client DB &amp; Bed Mgmt'!$M$5:$M$428&gt;DATE(YEAR(B730),MONTH(B730),1),'Client DB &amp; Bed Mgmt'!$M$5:$M$428,DATE(YEAR(B730),MONTH(B730),1))))+1)/DAY(EOMONTH(B730,0))),0)</f>
        <v/>
      </c>
    </row>
    <row r="731" ht="14.25" customHeight="1" s="83">
      <c r="A731" s="103" t="n"/>
      <c r="B731" s="125">
        <f>DATE(YEAR(StartDate),MONTH(StartDate),1)</f>
        <v/>
      </c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Mgmt'!$B:$B,C731,'Client DB &amp; Bed Mgmt'!$E:$E,"Occupied"),0)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>
        <f>IFERROR(J731*SUMPRODUCT(('Client DB &amp; Bed Mgmt'!$A$5:$A$428=A731)*('Client DB &amp; Bed Mgmt'!$B$5:$B$428=C731)*('Client DB &amp; Bed Mgmt'!$D$5:$D$428&lt;&gt;"")*--(('Client DB &amp; Bed Mgmt'!$M$5:$M$428="")+NOT(ISNUMBER('Client DB &amp; Bed Mgmt'!$M$5:$M$428))+IFERROR('Client DB &amp; Bed Mgmt'!$M$5:$M$428&lt;=EOMONTH(B731,0),FALSE)&gt;0)*--(('Client DB &amp; Bed Mgmt'!$N$5:$N$428="")+NOT(ISNUMBER('Client DB &amp; Bed Mgmt'!$N$5:$N$428))+IFERROR('Client DB &amp; Bed Mgmt'!$N$5:$N$428&gt;=DATE(YEAR(B731),MONTH(B731),1),FALSE)&gt;0)*((IF(('Client DB &amp; Bed Mgmt'!$N$5:$N$428="")+NOT(ISNUMBER('Client DB &amp; Bed Mgmt'!$N$5:$N$428)),EOMONTH(B731,0),IF('Client DB &amp; Bed Mgmt'!$N$5:$N$428&lt;EOMONTH(B731,0),'Client DB &amp; Bed Mgmt'!$N$5:$N$428,EOMONTH(B731,0))))-(IF(('Client DB &amp; Bed Mgmt'!$M$5:$M$428="")+NOT(ISNUMBER('Client DB &amp; Bed Mgmt'!$M$5:$M$428)),DATE(YEAR(B731),MONTH(B731),1),IF('Client DB &amp; Bed Mgmt'!$M$5:$M$428&gt;DATE(YEAR(B731),MONTH(B731),1),'Client DB &amp; Bed Mgmt'!$M$5:$M$428,DATE(YEAR(B731),MONTH(B731),1))))+1)/DAY(EOMONTH(B731,0))),0)</f>
        <v/>
      </c>
    </row>
    <row r="732" ht="14.25" customHeight="1" s="83">
      <c r="A732" s="103" t="n"/>
      <c r="B732" s="125">
        <f>DATE(YEAR(StartDate),MONTH(StartDate),1)</f>
        <v/>
      </c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Mgmt'!$B:$B,C732,'Client DB &amp; Bed Mgmt'!$E:$E,"Occupied"),0)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>
        <f>IFERROR(J732*SUMPRODUCT(('Client DB &amp; Bed Mgmt'!$A$5:$A$428=A732)*('Client DB &amp; Bed Mgmt'!$B$5:$B$428=C732)*('Client DB &amp; Bed Mgmt'!$D$5:$D$428&lt;&gt;"")*--(('Client DB &amp; Bed Mgmt'!$M$5:$M$428="")+NOT(ISNUMBER('Client DB &amp; Bed Mgmt'!$M$5:$M$428))+IFERROR('Client DB &amp; Bed Mgmt'!$M$5:$M$428&lt;=EOMONTH(B732,0),FALSE)&gt;0)*--(('Client DB &amp; Bed Mgmt'!$N$5:$N$428="")+NOT(ISNUMBER('Client DB &amp; Bed Mgmt'!$N$5:$N$428))+IFERROR('Client DB &amp; Bed Mgmt'!$N$5:$N$428&gt;=DATE(YEAR(B732),MONTH(B732),1),FALSE)&gt;0)*((IF(('Client DB &amp; Bed Mgmt'!$N$5:$N$428="")+NOT(ISNUMBER('Client DB &amp; Bed Mgmt'!$N$5:$N$428)),EOMONTH(B732,0),IF('Client DB &amp; Bed Mgmt'!$N$5:$N$428&lt;EOMONTH(B732,0),'Client DB &amp; Bed Mgmt'!$N$5:$N$428,EOMONTH(B732,0))))-(IF(('Client DB &amp; Bed Mgmt'!$M$5:$M$428="")+NOT(ISNUMBER('Client DB &amp; Bed Mgmt'!$M$5:$M$428)),DATE(YEAR(B732),MONTH(B732),1),IF('Client DB &amp; Bed Mgmt'!$M$5:$M$428&gt;DATE(YEAR(B732),MONTH(B732),1),'Client DB &amp; Bed Mgmt'!$M$5:$M$428,DATE(YEAR(B732),MONTH(B732),1))))+1)/DAY(EOMONTH(B732,0))),0)</f>
        <v/>
      </c>
    </row>
    <row r="733" ht="14.25" customHeight="1" s="83">
      <c r="A733" s="103" t="n"/>
      <c r="B733" s="125">
        <f>DATE(YEAR(StartDate),MONTH(StartDate),1)</f>
        <v/>
      </c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Mgmt'!$B:$B,C733,'Client DB &amp; Bed Mgmt'!$E:$E,"Occupied"),0)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>
        <f>IFERROR(J733*SUMPRODUCT(('Client DB &amp; Bed Mgmt'!$A$5:$A$428=A733)*('Client DB &amp; Bed Mgmt'!$B$5:$B$428=C733)*('Client DB &amp; Bed Mgmt'!$D$5:$D$428&lt;&gt;"")*--(('Client DB &amp; Bed Mgmt'!$M$5:$M$428="")+NOT(ISNUMBER('Client DB &amp; Bed Mgmt'!$M$5:$M$428))+IFERROR('Client DB &amp; Bed Mgmt'!$M$5:$M$428&lt;=EOMONTH(B733,0),FALSE)&gt;0)*--(('Client DB &amp; Bed Mgmt'!$N$5:$N$428="")+NOT(ISNUMBER('Client DB &amp; Bed Mgmt'!$N$5:$N$428))+IFERROR('Client DB &amp; Bed Mgmt'!$N$5:$N$428&gt;=DATE(YEAR(B733),MONTH(B733),1),FALSE)&gt;0)*((IF(('Client DB &amp; Bed Mgmt'!$N$5:$N$428="")+NOT(ISNUMBER('Client DB &amp; Bed Mgmt'!$N$5:$N$428)),EOMONTH(B733,0),IF('Client DB &amp; Bed Mgmt'!$N$5:$N$428&lt;EOMONTH(B733,0),'Client DB &amp; Bed Mgmt'!$N$5:$N$428,EOMONTH(B733,0))))-(IF(('Client DB &amp; Bed Mgmt'!$M$5:$M$428="")+NOT(ISNUMBER('Client DB &amp; Bed Mgmt'!$M$5:$M$428)),DATE(YEAR(B733),MONTH(B733),1),IF('Client DB &amp; Bed Mgmt'!$M$5:$M$428&gt;DATE(YEAR(B733),MONTH(B733),1),'Client DB &amp; Bed Mgmt'!$M$5:$M$428,DATE(YEAR(B733),MONTH(B733),1))))+1)/DAY(EOMONTH(B733,0))),0)</f>
        <v/>
      </c>
    </row>
    <row r="734" ht="14.25" customHeight="1" s="83">
      <c r="A734" s="103" t="n"/>
      <c r="B734" s="125">
        <f>DATE(YEAR(StartDate),MONTH(StartDate),1)</f>
        <v/>
      </c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Mgmt'!$B:$B,C734,'Client DB &amp; Bed Mgmt'!$E:$E,"Occupied"),0)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>
        <f>IFERROR(J734*SUMPRODUCT(('Client DB &amp; Bed Mgmt'!$A$5:$A$428=A734)*('Client DB &amp; Bed Mgmt'!$B$5:$B$428=C734)*('Client DB &amp; Bed Mgmt'!$D$5:$D$428&lt;&gt;"")*--(('Client DB &amp; Bed Mgmt'!$M$5:$M$428="")+NOT(ISNUMBER('Client DB &amp; Bed Mgmt'!$M$5:$M$428))+IFERROR('Client DB &amp; Bed Mgmt'!$M$5:$M$428&lt;=EOMONTH(B734,0),FALSE)&gt;0)*--(('Client DB &amp; Bed Mgmt'!$N$5:$N$428="")+NOT(ISNUMBER('Client DB &amp; Bed Mgmt'!$N$5:$N$428))+IFERROR('Client DB &amp; Bed Mgmt'!$N$5:$N$428&gt;=DATE(YEAR(B734),MONTH(B734),1),FALSE)&gt;0)*((IF(('Client DB &amp; Bed Mgmt'!$N$5:$N$428="")+NOT(ISNUMBER('Client DB &amp; Bed Mgmt'!$N$5:$N$428)),EOMONTH(B734,0),IF('Client DB &amp; Bed Mgmt'!$N$5:$N$428&lt;EOMONTH(B734,0),'Client DB &amp; Bed Mgmt'!$N$5:$N$428,EOMONTH(B734,0))))-(IF(('Client DB &amp; Bed Mgmt'!$M$5:$M$428="")+NOT(ISNUMBER('Client DB &amp; Bed Mgmt'!$M$5:$M$428)),DATE(YEAR(B734),MONTH(B734),1),IF('Client DB &amp; Bed Mgmt'!$M$5:$M$428&gt;DATE(YEAR(B734),MONTH(B734),1),'Client DB &amp; Bed Mgmt'!$M$5:$M$428,DATE(YEAR(B734),MONTH(B734),1))))+1)/DAY(EOMONTH(B734,0))),0)</f>
        <v/>
      </c>
    </row>
    <row r="735" ht="14.25" customHeight="1" s="83">
      <c r="A735" s="103" t="n"/>
      <c r="B735" s="125">
        <f>DATE(YEAR(StartDate),MONTH(StartDate),1)</f>
        <v/>
      </c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Mgmt'!$B:$B,C735,'Client DB &amp; Bed Mgmt'!$E:$E,"Occupied"),0)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>
        <f>IFERROR(J735*SUMPRODUCT(('Client DB &amp; Bed Mgmt'!$A$5:$A$428=A735)*('Client DB &amp; Bed Mgmt'!$B$5:$B$428=C735)*('Client DB &amp; Bed Mgmt'!$D$5:$D$428&lt;&gt;"")*--(('Client DB &amp; Bed Mgmt'!$M$5:$M$428="")+NOT(ISNUMBER('Client DB &amp; Bed Mgmt'!$M$5:$M$428))+IFERROR('Client DB &amp; Bed Mgmt'!$M$5:$M$428&lt;=EOMONTH(B735,0),FALSE)&gt;0)*--(('Client DB &amp; Bed Mgmt'!$N$5:$N$428="")+NOT(ISNUMBER('Client DB &amp; Bed Mgmt'!$N$5:$N$428))+IFERROR('Client DB &amp; Bed Mgmt'!$N$5:$N$428&gt;=DATE(YEAR(B735),MONTH(B735),1),FALSE)&gt;0)*((IF(('Client DB &amp; Bed Mgmt'!$N$5:$N$428="")+NOT(ISNUMBER('Client DB &amp; Bed Mgmt'!$N$5:$N$428)),EOMONTH(B735,0),IF('Client DB &amp; Bed Mgmt'!$N$5:$N$428&lt;EOMONTH(B735,0),'Client DB &amp; Bed Mgmt'!$N$5:$N$428,EOMONTH(B735,0))))-(IF(('Client DB &amp; Bed Mgmt'!$M$5:$M$428="")+NOT(ISNUMBER('Client DB &amp; Bed Mgmt'!$M$5:$M$428)),DATE(YEAR(B735),MONTH(B735),1),IF('Client DB &amp; Bed Mgmt'!$M$5:$M$428&gt;DATE(YEAR(B735),MONTH(B735),1),'Client DB &amp; Bed Mgmt'!$M$5:$M$428,DATE(YEAR(B735),MONTH(B735),1))))+1)/DAY(EOMONTH(B735,0))),0)</f>
        <v/>
      </c>
    </row>
    <row r="736" ht="14.25" customHeight="1" s="83">
      <c r="A736" s="103" t="n"/>
      <c r="B736" s="125">
        <f>DATE(YEAR(StartDate),MONTH(StartDate),1)</f>
        <v/>
      </c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Mgmt'!$B:$B,C736,'Client DB &amp; Bed Mgmt'!$E:$E,"Occupied"),0)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>
        <f>IFERROR(J736*SUMPRODUCT(('Client DB &amp; Bed Mgmt'!$A$5:$A$428=A736)*('Client DB &amp; Bed Mgmt'!$B$5:$B$428=C736)*('Client DB &amp; Bed Mgmt'!$D$5:$D$428&lt;&gt;"")*--(('Client DB &amp; Bed Mgmt'!$M$5:$M$428="")+NOT(ISNUMBER('Client DB &amp; Bed Mgmt'!$M$5:$M$428))+IFERROR('Client DB &amp; Bed Mgmt'!$M$5:$M$428&lt;=EOMONTH(B736,0),FALSE)&gt;0)*--(('Client DB &amp; Bed Mgmt'!$N$5:$N$428="")+NOT(ISNUMBER('Client DB &amp; Bed Mgmt'!$N$5:$N$428))+IFERROR('Client DB &amp; Bed Mgmt'!$N$5:$N$428&gt;=DATE(YEAR(B736),MONTH(B736),1),FALSE)&gt;0)*((IF(('Client DB &amp; Bed Mgmt'!$N$5:$N$428="")+NOT(ISNUMBER('Client DB &amp; Bed Mgmt'!$N$5:$N$428)),EOMONTH(B736,0),IF('Client DB &amp; Bed Mgmt'!$N$5:$N$428&lt;EOMONTH(B736,0),'Client DB &amp; Bed Mgmt'!$N$5:$N$428,EOMONTH(B736,0))))-(IF(('Client DB &amp; Bed Mgmt'!$M$5:$M$428="")+NOT(ISNUMBER('Client DB &amp; Bed Mgmt'!$M$5:$M$428)),DATE(YEAR(B736),MONTH(B736),1),IF('Client DB &amp; Bed Mgmt'!$M$5:$M$428&gt;DATE(YEAR(B736),MONTH(B736),1),'Client DB &amp; Bed Mgmt'!$M$5:$M$428,DATE(YEAR(B736),MONTH(B736),1))))+1)/DAY(EOMONTH(B736,0))),0)</f>
        <v/>
      </c>
    </row>
    <row r="737" ht="14.25" customHeight="1" s="83">
      <c r="A737" s="103" t="n"/>
      <c r="B737" s="125">
        <f>DATE(YEAR(StartDate),MONTH(StartDate),1)</f>
        <v/>
      </c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Mgmt'!$B:$B,C737,'Client DB &amp; Bed Mgmt'!$E:$E,"Occupied"),0)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>
        <f>IFERROR(J737*SUMPRODUCT(('Client DB &amp; Bed Mgmt'!$A$5:$A$428=A737)*('Client DB &amp; Bed Mgmt'!$B$5:$B$428=C737)*('Client DB &amp; Bed Mgmt'!$D$5:$D$428&lt;&gt;"")*--(('Client DB &amp; Bed Mgmt'!$M$5:$M$428="")+NOT(ISNUMBER('Client DB &amp; Bed Mgmt'!$M$5:$M$428))+IFERROR('Client DB &amp; Bed Mgmt'!$M$5:$M$428&lt;=EOMONTH(B737,0),FALSE)&gt;0)*--(('Client DB &amp; Bed Mgmt'!$N$5:$N$428="")+NOT(ISNUMBER('Client DB &amp; Bed Mgmt'!$N$5:$N$428))+IFERROR('Client DB &amp; Bed Mgmt'!$N$5:$N$428&gt;=DATE(YEAR(B737),MONTH(B737),1),FALSE)&gt;0)*((IF(('Client DB &amp; Bed Mgmt'!$N$5:$N$428="")+NOT(ISNUMBER('Client DB &amp; Bed Mgmt'!$N$5:$N$428)),EOMONTH(B737,0),IF('Client DB &amp; Bed Mgmt'!$N$5:$N$428&lt;EOMONTH(B737,0),'Client DB &amp; Bed Mgmt'!$N$5:$N$428,EOMONTH(B737,0))))-(IF(('Client DB &amp; Bed Mgmt'!$M$5:$M$428="")+NOT(ISNUMBER('Client DB &amp; Bed Mgmt'!$M$5:$M$428)),DATE(YEAR(B737),MONTH(B737),1),IF('Client DB &amp; Bed Mgmt'!$M$5:$M$428&gt;DATE(YEAR(B737),MONTH(B737),1),'Client DB &amp; Bed Mgmt'!$M$5:$M$428,DATE(YEAR(B737),MONTH(B737),1))))+1)/DAY(EOMONTH(B737,0))),0)</f>
        <v/>
      </c>
    </row>
    <row r="738" ht="14.25" customHeight="1" s="83">
      <c r="A738" s="103" t="n"/>
      <c r="B738" s="125">
        <f>DATE(YEAR(StartDate),MONTH(StartDate),1)</f>
        <v/>
      </c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Mgmt'!$B:$B,C738,'Client DB &amp; Bed Mgmt'!$E:$E,"Occupied"),0)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>
        <f>IFERROR(J738*SUMPRODUCT(('Client DB &amp; Bed Mgmt'!$A$5:$A$428=A738)*('Client DB &amp; Bed Mgmt'!$B$5:$B$428=C738)*('Client DB &amp; Bed Mgmt'!$D$5:$D$428&lt;&gt;"")*--(('Client DB &amp; Bed Mgmt'!$M$5:$M$428="")+NOT(ISNUMBER('Client DB &amp; Bed Mgmt'!$M$5:$M$428))+IFERROR('Client DB &amp; Bed Mgmt'!$M$5:$M$428&lt;=EOMONTH(B738,0),FALSE)&gt;0)*--(('Client DB &amp; Bed Mgmt'!$N$5:$N$428="")+NOT(ISNUMBER('Client DB &amp; Bed Mgmt'!$N$5:$N$428))+IFERROR('Client DB &amp; Bed Mgmt'!$N$5:$N$428&gt;=DATE(YEAR(B738),MONTH(B738),1),FALSE)&gt;0)*((IF(('Client DB &amp; Bed Mgmt'!$N$5:$N$428="")+NOT(ISNUMBER('Client DB &amp; Bed Mgmt'!$N$5:$N$428)),EOMONTH(B738,0),IF('Client DB &amp; Bed Mgmt'!$N$5:$N$428&lt;EOMONTH(B738,0),'Client DB &amp; Bed Mgmt'!$N$5:$N$428,EOMONTH(B738,0))))-(IF(('Client DB &amp; Bed Mgmt'!$M$5:$M$428="")+NOT(ISNUMBER('Client DB &amp; Bed Mgmt'!$M$5:$M$428)),DATE(YEAR(B738),MONTH(B738),1),IF('Client DB &amp; Bed Mgmt'!$M$5:$M$428&gt;DATE(YEAR(B738),MONTH(B738),1),'Client DB &amp; Bed Mgmt'!$M$5:$M$428,DATE(YEAR(B738),MONTH(B738),1))))+1)/DAY(EOMONTH(B738,0))),0)</f>
        <v/>
      </c>
    </row>
    <row r="739" ht="14.25" customHeight="1" s="83">
      <c r="A739" s="103" t="n"/>
      <c r="B739" s="125">
        <f>DATE(YEAR(StartDate),MONTH(StartDate),1)</f>
        <v/>
      </c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Mgmt'!$B:$B,C739,'Client DB &amp; Bed Mgmt'!$E:$E,"Occupied"),0)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>
        <f>IFERROR(J739*SUMPRODUCT(('Client DB &amp; Bed Mgmt'!$A$5:$A$428=A739)*('Client DB &amp; Bed Mgmt'!$B$5:$B$428=C739)*('Client DB &amp; Bed Mgmt'!$D$5:$D$428&lt;&gt;"")*--(('Client DB &amp; Bed Mgmt'!$M$5:$M$428="")+NOT(ISNUMBER('Client DB &amp; Bed Mgmt'!$M$5:$M$428))+IFERROR('Client DB &amp; Bed Mgmt'!$M$5:$M$428&lt;=EOMONTH(B739,0),FALSE)&gt;0)*--(('Client DB &amp; Bed Mgmt'!$N$5:$N$428="")+NOT(ISNUMBER('Client DB &amp; Bed Mgmt'!$N$5:$N$428))+IFERROR('Client DB &amp; Bed Mgmt'!$N$5:$N$428&gt;=DATE(YEAR(B739),MONTH(B739),1),FALSE)&gt;0)*((IF(('Client DB &amp; Bed Mgmt'!$N$5:$N$428="")+NOT(ISNUMBER('Client DB &amp; Bed Mgmt'!$N$5:$N$428)),EOMONTH(B739,0),IF('Client DB &amp; Bed Mgmt'!$N$5:$N$428&lt;EOMONTH(B739,0),'Client DB &amp; Bed Mgmt'!$N$5:$N$428,EOMONTH(B739,0))))-(IF(('Client DB &amp; Bed Mgmt'!$M$5:$M$428="")+NOT(ISNUMBER('Client DB &amp; Bed Mgmt'!$M$5:$M$428)),DATE(YEAR(B739),MONTH(B739),1),IF('Client DB &amp; Bed Mgmt'!$M$5:$M$428&gt;DATE(YEAR(B739),MONTH(B739),1),'Client DB &amp; Bed Mgmt'!$M$5:$M$428,DATE(YEAR(B739),MONTH(B739),1))))+1)/DAY(EOMONTH(B739,0))),0)</f>
        <v/>
      </c>
    </row>
    <row r="740" ht="14.25" customHeight="1" s="83">
      <c r="A740" s="103" t="n"/>
      <c r="B740" s="125">
        <f>DATE(YEAR(StartDate),MONTH(StartDate),1)</f>
        <v/>
      </c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Mgmt'!$B:$B,C740,'Client DB &amp; Bed Mgmt'!$E:$E,"Occupied"),0)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>
        <f>IFERROR(J740*SUMPRODUCT(('Client DB &amp; Bed Mgmt'!$A$5:$A$428=A740)*('Client DB &amp; Bed Mgmt'!$B$5:$B$428=C740)*('Client DB &amp; Bed Mgmt'!$D$5:$D$428&lt;&gt;"")*--(('Client DB &amp; Bed Mgmt'!$M$5:$M$428="")+NOT(ISNUMBER('Client DB &amp; Bed Mgmt'!$M$5:$M$428))+IFERROR('Client DB &amp; Bed Mgmt'!$M$5:$M$428&lt;=EOMONTH(B740,0),FALSE)&gt;0)*--(('Client DB &amp; Bed Mgmt'!$N$5:$N$428="")+NOT(ISNUMBER('Client DB &amp; Bed Mgmt'!$N$5:$N$428))+IFERROR('Client DB &amp; Bed Mgmt'!$N$5:$N$428&gt;=DATE(YEAR(B740),MONTH(B740),1),FALSE)&gt;0)*((IF(('Client DB &amp; Bed Mgmt'!$N$5:$N$428="")+NOT(ISNUMBER('Client DB &amp; Bed Mgmt'!$N$5:$N$428)),EOMONTH(B740,0),IF('Client DB &amp; Bed Mgmt'!$N$5:$N$428&lt;EOMONTH(B740,0),'Client DB &amp; Bed Mgmt'!$N$5:$N$428,EOMONTH(B740,0))))-(IF(('Client DB &amp; Bed Mgmt'!$M$5:$M$428="")+NOT(ISNUMBER('Client DB &amp; Bed Mgmt'!$M$5:$M$428)),DATE(YEAR(B740),MONTH(B740),1),IF('Client DB &amp; Bed Mgmt'!$M$5:$M$428&gt;DATE(YEAR(B740),MONTH(B740),1),'Client DB &amp; Bed Mgmt'!$M$5:$M$428,DATE(YEAR(B740),MONTH(B740),1))))+1)/DAY(EOMONTH(B740,0))),0)</f>
        <v/>
      </c>
    </row>
    <row r="741" ht="14.25" customHeight="1" s="83">
      <c r="A741" s="103" t="n"/>
      <c r="B741" s="125">
        <f>DATE(YEAR(StartDate),MONTH(StartDate),1)</f>
        <v/>
      </c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Mgmt'!$B:$B,C741,'Client DB &amp; Bed Mgmt'!$E:$E,"Occupied"),0)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>
        <f>IFERROR(J741*SUMPRODUCT(('Client DB &amp; Bed Mgmt'!$A$5:$A$428=A741)*('Client DB &amp; Bed Mgmt'!$B$5:$B$428=C741)*('Client DB &amp; Bed Mgmt'!$D$5:$D$428&lt;&gt;"")*--(('Client DB &amp; Bed Mgmt'!$M$5:$M$428="")+NOT(ISNUMBER('Client DB &amp; Bed Mgmt'!$M$5:$M$428))+IFERROR('Client DB &amp; Bed Mgmt'!$M$5:$M$428&lt;=EOMONTH(B741,0),FALSE)&gt;0)*--(('Client DB &amp; Bed Mgmt'!$N$5:$N$428="")+NOT(ISNUMBER('Client DB &amp; Bed Mgmt'!$N$5:$N$428))+IFERROR('Client DB &amp; Bed Mgmt'!$N$5:$N$428&gt;=DATE(YEAR(B741),MONTH(B741),1),FALSE)&gt;0)*((IF(('Client DB &amp; Bed Mgmt'!$N$5:$N$428="")+NOT(ISNUMBER('Client DB &amp; Bed Mgmt'!$N$5:$N$428)),EOMONTH(B741,0),IF('Client DB &amp; Bed Mgmt'!$N$5:$N$428&lt;EOMONTH(B741,0),'Client DB &amp; Bed Mgmt'!$N$5:$N$428,EOMONTH(B741,0))))-(IF(('Client DB &amp; Bed Mgmt'!$M$5:$M$428="")+NOT(ISNUMBER('Client DB &amp; Bed Mgmt'!$M$5:$M$428)),DATE(YEAR(B741),MONTH(B741),1),IF('Client DB &amp; Bed Mgmt'!$M$5:$M$428&gt;DATE(YEAR(B741),MONTH(B741),1),'Client DB &amp; Bed Mgmt'!$M$5:$M$428,DATE(YEAR(B741),MONTH(B741),1))))+1)/DAY(EOMONTH(B741,0))),0)</f>
        <v/>
      </c>
    </row>
    <row r="742" ht="14.25" customHeight="1" s="83">
      <c r="A742" s="103" t="n"/>
      <c r="B742" s="125">
        <f>DATE(YEAR(StartDate),MONTH(StartDate),1)</f>
        <v/>
      </c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Mgmt'!$B:$B,C742,'Client DB &amp; Bed Mgmt'!$E:$E,"Occupied"),0)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>
        <f>IFERROR(J742*SUMPRODUCT(('Client DB &amp; Bed Mgmt'!$A$5:$A$428=A742)*('Client DB &amp; Bed Mgmt'!$B$5:$B$428=C742)*('Client DB &amp; Bed Mgmt'!$D$5:$D$428&lt;&gt;"")*--(('Client DB &amp; Bed Mgmt'!$M$5:$M$428="")+NOT(ISNUMBER('Client DB &amp; Bed Mgmt'!$M$5:$M$428))+IFERROR('Client DB &amp; Bed Mgmt'!$M$5:$M$428&lt;=EOMONTH(B742,0),FALSE)&gt;0)*--(('Client DB &amp; Bed Mgmt'!$N$5:$N$428="")+NOT(ISNUMBER('Client DB &amp; Bed Mgmt'!$N$5:$N$428))+IFERROR('Client DB &amp; Bed Mgmt'!$N$5:$N$428&gt;=DATE(YEAR(B742),MONTH(B742),1),FALSE)&gt;0)*((IF(('Client DB &amp; Bed Mgmt'!$N$5:$N$428="")+NOT(ISNUMBER('Client DB &amp; Bed Mgmt'!$N$5:$N$428)),EOMONTH(B742,0),IF('Client DB &amp; Bed Mgmt'!$N$5:$N$428&lt;EOMONTH(B742,0),'Client DB &amp; Bed Mgmt'!$N$5:$N$428,EOMONTH(B742,0))))-(IF(('Client DB &amp; Bed Mgmt'!$M$5:$M$428="")+NOT(ISNUMBER('Client DB &amp; Bed Mgmt'!$M$5:$M$428)),DATE(YEAR(B742),MONTH(B742),1),IF('Client DB &amp; Bed Mgmt'!$M$5:$M$428&gt;DATE(YEAR(B742),MONTH(B742),1),'Client DB &amp; Bed Mgmt'!$M$5:$M$428,DATE(YEAR(B742),MONTH(B742),1))))+1)/DAY(EOMONTH(B742,0))),0)</f>
        <v/>
      </c>
    </row>
    <row r="743" ht="14.25" customHeight="1" s="83">
      <c r="A743" s="103" t="n"/>
      <c r="B743" s="125">
        <f>DATE(YEAR(StartDate),MONTH(StartDate),1)</f>
        <v/>
      </c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Mgmt'!$B:$B,C743,'Client DB &amp; Bed Mgmt'!$E:$E,"Occupied"),0)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>
        <f>IFERROR(J743*SUMPRODUCT(('Client DB &amp; Bed Mgmt'!$A$5:$A$428=A743)*('Client DB &amp; Bed Mgmt'!$B$5:$B$428=C743)*('Client DB &amp; Bed Mgmt'!$D$5:$D$428&lt;&gt;"")*--(('Client DB &amp; Bed Mgmt'!$M$5:$M$428="")+NOT(ISNUMBER('Client DB &amp; Bed Mgmt'!$M$5:$M$428))+IFERROR('Client DB &amp; Bed Mgmt'!$M$5:$M$428&lt;=EOMONTH(B743,0),FALSE)&gt;0)*--(('Client DB &amp; Bed Mgmt'!$N$5:$N$428="")+NOT(ISNUMBER('Client DB &amp; Bed Mgmt'!$N$5:$N$428))+IFERROR('Client DB &amp; Bed Mgmt'!$N$5:$N$428&gt;=DATE(YEAR(B743),MONTH(B743),1),FALSE)&gt;0)*((IF(('Client DB &amp; Bed Mgmt'!$N$5:$N$428="")+NOT(ISNUMBER('Client DB &amp; Bed Mgmt'!$N$5:$N$428)),EOMONTH(B743,0),IF('Client DB &amp; Bed Mgmt'!$N$5:$N$428&lt;EOMONTH(B743,0),'Client DB &amp; Bed Mgmt'!$N$5:$N$428,EOMONTH(B743,0))))-(IF(('Client DB &amp; Bed Mgmt'!$M$5:$M$428="")+NOT(ISNUMBER('Client DB &amp; Bed Mgmt'!$M$5:$M$428)),DATE(YEAR(B743),MONTH(B743),1),IF('Client DB &amp; Bed Mgmt'!$M$5:$M$428&gt;DATE(YEAR(B743),MONTH(B743),1),'Client DB &amp; Bed Mgmt'!$M$5:$M$428,DATE(YEAR(B743),MONTH(B743),1))))+1)/DAY(EOMONTH(B743,0))),0)</f>
        <v/>
      </c>
    </row>
    <row r="744" ht="14.25" customHeight="1" s="83">
      <c r="A744" s="103" t="n"/>
      <c r="B744" s="125">
        <f>DATE(YEAR(StartDate),MONTH(StartDate),1)</f>
        <v/>
      </c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Mgmt'!$B:$B,C744,'Client DB &amp; Bed Mgmt'!$E:$E,"Occupied"),0)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>
        <f>IFERROR(J744*SUMPRODUCT(('Client DB &amp; Bed Mgmt'!$A$5:$A$428=A744)*('Client DB &amp; Bed Mgmt'!$B$5:$B$428=C744)*('Client DB &amp; Bed Mgmt'!$D$5:$D$428&lt;&gt;"")*--(('Client DB &amp; Bed Mgmt'!$M$5:$M$428="")+NOT(ISNUMBER('Client DB &amp; Bed Mgmt'!$M$5:$M$428))+IFERROR('Client DB &amp; Bed Mgmt'!$M$5:$M$428&lt;=EOMONTH(B744,0),FALSE)&gt;0)*--(('Client DB &amp; Bed Mgmt'!$N$5:$N$428="")+NOT(ISNUMBER('Client DB &amp; Bed Mgmt'!$N$5:$N$428))+IFERROR('Client DB &amp; Bed Mgmt'!$N$5:$N$428&gt;=DATE(YEAR(B744),MONTH(B744),1),FALSE)&gt;0)*((IF(('Client DB &amp; Bed Mgmt'!$N$5:$N$428="")+NOT(ISNUMBER('Client DB &amp; Bed Mgmt'!$N$5:$N$428)),EOMONTH(B744,0),IF('Client DB &amp; Bed Mgmt'!$N$5:$N$428&lt;EOMONTH(B744,0),'Client DB &amp; Bed Mgmt'!$N$5:$N$428,EOMONTH(B744,0))))-(IF(('Client DB &amp; Bed Mgmt'!$M$5:$M$428="")+NOT(ISNUMBER('Client DB &amp; Bed Mgmt'!$M$5:$M$428)),DATE(YEAR(B744),MONTH(B744),1),IF('Client DB &amp; Bed Mgmt'!$M$5:$M$428&gt;DATE(YEAR(B744),MONTH(B744),1),'Client DB &amp; Bed Mgmt'!$M$5:$M$428,DATE(YEAR(B744),MONTH(B744),1))))+1)/DAY(EOMONTH(B744,0))),0)</f>
        <v/>
      </c>
    </row>
    <row r="745" ht="14.25" customHeight="1" s="83">
      <c r="A745" s="103" t="n"/>
      <c r="B745" s="125">
        <f>DATE(YEAR(StartDate),MONTH(StartDate),1)</f>
        <v/>
      </c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Mgmt'!$B:$B,C745,'Client DB &amp; Bed Mgmt'!$E:$E,"Occupied"),0)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>
        <f>IFERROR(J745*SUMPRODUCT(('Client DB &amp; Bed Mgmt'!$A$5:$A$428=A745)*('Client DB &amp; Bed Mgmt'!$B$5:$B$428=C745)*('Client DB &amp; Bed Mgmt'!$D$5:$D$428&lt;&gt;"")*--(('Client DB &amp; Bed Mgmt'!$M$5:$M$428="")+NOT(ISNUMBER('Client DB &amp; Bed Mgmt'!$M$5:$M$428))+IFERROR('Client DB &amp; Bed Mgmt'!$M$5:$M$428&lt;=EOMONTH(B745,0),FALSE)&gt;0)*--(('Client DB &amp; Bed Mgmt'!$N$5:$N$428="")+NOT(ISNUMBER('Client DB &amp; Bed Mgmt'!$N$5:$N$428))+IFERROR('Client DB &amp; Bed Mgmt'!$N$5:$N$428&gt;=DATE(YEAR(B745),MONTH(B745),1),FALSE)&gt;0)*((IF(('Client DB &amp; Bed Mgmt'!$N$5:$N$428="")+NOT(ISNUMBER('Client DB &amp; Bed Mgmt'!$N$5:$N$428)),EOMONTH(B745,0),IF('Client DB &amp; Bed Mgmt'!$N$5:$N$428&lt;EOMONTH(B745,0),'Client DB &amp; Bed Mgmt'!$N$5:$N$428,EOMONTH(B745,0))))-(IF(('Client DB &amp; Bed Mgmt'!$M$5:$M$428="")+NOT(ISNUMBER('Client DB &amp; Bed Mgmt'!$M$5:$M$428)),DATE(YEAR(B745),MONTH(B745),1),IF('Client DB &amp; Bed Mgmt'!$M$5:$M$428&gt;DATE(YEAR(B745),MONTH(B745),1),'Client DB &amp; Bed Mgmt'!$M$5:$M$428,DATE(YEAR(B745),MONTH(B745),1))))+1)/DAY(EOMONTH(B745,0))),0)</f>
        <v/>
      </c>
    </row>
    <row r="746" ht="14.25" customHeight="1" s="83">
      <c r="A746" s="103" t="n"/>
      <c r="B746" s="125">
        <f>DATE(YEAR(StartDate),MONTH(StartDate),1)</f>
        <v/>
      </c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Mgmt'!$B:$B,C746,'Client DB &amp; Bed Mgmt'!$E:$E,"Occupied"),0)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>
        <f>IFERROR(J746*SUMPRODUCT(('Client DB &amp; Bed Mgmt'!$A$5:$A$428=A746)*('Client DB &amp; Bed Mgmt'!$B$5:$B$428=C746)*('Client DB &amp; Bed Mgmt'!$D$5:$D$428&lt;&gt;"")*--(('Client DB &amp; Bed Mgmt'!$M$5:$M$428="")+NOT(ISNUMBER('Client DB &amp; Bed Mgmt'!$M$5:$M$428))+IFERROR('Client DB &amp; Bed Mgmt'!$M$5:$M$428&lt;=EOMONTH(B746,0),FALSE)&gt;0)*--(('Client DB &amp; Bed Mgmt'!$N$5:$N$428="")+NOT(ISNUMBER('Client DB &amp; Bed Mgmt'!$N$5:$N$428))+IFERROR('Client DB &amp; Bed Mgmt'!$N$5:$N$428&gt;=DATE(YEAR(B746),MONTH(B746),1),FALSE)&gt;0)*((IF(('Client DB &amp; Bed Mgmt'!$N$5:$N$428="")+NOT(ISNUMBER('Client DB &amp; Bed Mgmt'!$N$5:$N$428)),EOMONTH(B746,0),IF('Client DB &amp; Bed Mgmt'!$N$5:$N$428&lt;EOMONTH(B746,0),'Client DB &amp; Bed Mgmt'!$N$5:$N$428,EOMONTH(B746,0))))-(IF(('Client DB &amp; Bed Mgmt'!$M$5:$M$428="")+NOT(ISNUMBER('Client DB &amp; Bed Mgmt'!$M$5:$M$428)),DATE(YEAR(B746),MONTH(B746),1),IF('Client DB &amp; Bed Mgmt'!$M$5:$M$428&gt;DATE(YEAR(B746),MONTH(B746),1),'Client DB &amp; Bed Mgmt'!$M$5:$M$428,DATE(YEAR(B746),MONTH(B746),1))))+1)/DAY(EOMONTH(B746,0))),0)</f>
        <v/>
      </c>
    </row>
    <row r="747" ht="14.25" customHeight="1" s="83">
      <c r="A747" s="103" t="n"/>
      <c r="B747" s="125">
        <f>DATE(YEAR(StartDate),MONTH(StartDate),1)</f>
        <v/>
      </c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Mgmt'!$B:$B,C747,'Client DB &amp; Bed Mgmt'!$E:$E,"Occupied"),0)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>
        <f>IFERROR(J747*SUMPRODUCT(('Client DB &amp; Bed Mgmt'!$A$5:$A$428=A747)*('Client DB &amp; Bed Mgmt'!$B$5:$B$428=C747)*('Client DB &amp; Bed Mgmt'!$D$5:$D$428&lt;&gt;"")*--(('Client DB &amp; Bed Mgmt'!$M$5:$M$428="")+NOT(ISNUMBER('Client DB &amp; Bed Mgmt'!$M$5:$M$428))+IFERROR('Client DB &amp; Bed Mgmt'!$M$5:$M$428&lt;=EOMONTH(B747,0),FALSE)&gt;0)*--(('Client DB &amp; Bed Mgmt'!$N$5:$N$428="")+NOT(ISNUMBER('Client DB &amp; Bed Mgmt'!$N$5:$N$428))+IFERROR('Client DB &amp; Bed Mgmt'!$N$5:$N$428&gt;=DATE(YEAR(B747),MONTH(B747),1),FALSE)&gt;0)*((IF(('Client DB &amp; Bed Mgmt'!$N$5:$N$428="")+NOT(ISNUMBER('Client DB &amp; Bed Mgmt'!$N$5:$N$428)),EOMONTH(B747,0),IF('Client DB &amp; Bed Mgmt'!$N$5:$N$428&lt;EOMONTH(B747,0),'Client DB &amp; Bed Mgmt'!$N$5:$N$428,EOMONTH(B747,0))))-(IF(('Client DB &amp; Bed Mgmt'!$M$5:$M$428="")+NOT(ISNUMBER('Client DB &amp; Bed Mgmt'!$M$5:$M$428)),DATE(YEAR(B747),MONTH(B747),1),IF('Client DB &amp; Bed Mgmt'!$M$5:$M$428&gt;DATE(YEAR(B747),MONTH(B747),1),'Client DB &amp; Bed Mgmt'!$M$5:$M$428,DATE(YEAR(B747),MONTH(B747),1))))+1)/DAY(EOMONTH(B747,0))),0)</f>
        <v/>
      </c>
    </row>
    <row r="748" ht="14.25" customHeight="1" s="83">
      <c r="A748" s="103" t="n"/>
      <c r="B748" s="125">
        <f>DATE(YEAR(StartDate),MONTH(StartDate),1)</f>
        <v/>
      </c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Mgmt'!$B:$B,C748,'Client DB &amp; Bed Mgmt'!$E:$E,"Occupied"),0)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>
        <f>IFERROR(J748*SUMPRODUCT(('Client DB &amp; Bed Mgmt'!$A$5:$A$428=A748)*('Client DB &amp; Bed Mgmt'!$B$5:$B$428=C748)*('Client DB &amp; Bed Mgmt'!$D$5:$D$428&lt;&gt;"")*--(('Client DB &amp; Bed Mgmt'!$M$5:$M$428="")+NOT(ISNUMBER('Client DB &amp; Bed Mgmt'!$M$5:$M$428))+IFERROR('Client DB &amp; Bed Mgmt'!$M$5:$M$428&lt;=EOMONTH(B748,0),FALSE)&gt;0)*--(('Client DB &amp; Bed Mgmt'!$N$5:$N$428="")+NOT(ISNUMBER('Client DB &amp; Bed Mgmt'!$N$5:$N$428))+IFERROR('Client DB &amp; Bed Mgmt'!$N$5:$N$428&gt;=DATE(YEAR(B748),MONTH(B748),1),FALSE)&gt;0)*((IF(('Client DB &amp; Bed Mgmt'!$N$5:$N$428="")+NOT(ISNUMBER('Client DB &amp; Bed Mgmt'!$N$5:$N$428)),EOMONTH(B748,0),IF('Client DB &amp; Bed Mgmt'!$N$5:$N$428&lt;EOMONTH(B748,0),'Client DB &amp; Bed Mgmt'!$N$5:$N$428,EOMONTH(B748,0))))-(IF(('Client DB &amp; Bed Mgmt'!$M$5:$M$428="")+NOT(ISNUMBER('Client DB &amp; Bed Mgmt'!$M$5:$M$428)),DATE(YEAR(B748),MONTH(B748),1),IF('Client DB &amp; Bed Mgmt'!$M$5:$M$428&gt;DATE(YEAR(B748),MONTH(B748),1),'Client DB &amp; Bed Mgmt'!$M$5:$M$428,DATE(YEAR(B748),MONTH(B748),1))))+1)/DAY(EOMONTH(B748,0))),0)</f>
        <v/>
      </c>
    </row>
    <row r="749" ht="14.25" customHeight="1" s="83">
      <c r="A749" s="103" t="n"/>
      <c r="B749" s="125">
        <f>DATE(YEAR(StartDate),MONTH(StartDate),1)</f>
        <v/>
      </c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Mgmt'!$B:$B,C749,'Client DB &amp; Bed Mgmt'!$E:$E,"Occupied"),0)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>
        <f>IFERROR(J749*SUMPRODUCT(('Client DB &amp; Bed Mgmt'!$A$5:$A$428=A749)*('Client DB &amp; Bed Mgmt'!$B$5:$B$428=C749)*('Client DB &amp; Bed Mgmt'!$D$5:$D$428&lt;&gt;"")*--(('Client DB &amp; Bed Mgmt'!$M$5:$M$428="")+NOT(ISNUMBER('Client DB &amp; Bed Mgmt'!$M$5:$M$428))+IFERROR('Client DB &amp; Bed Mgmt'!$M$5:$M$428&lt;=EOMONTH(B749,0),FALSE)&gt;0)*--(('Client DB &amp; Bed Mgmt'!$N$5:$N$428="")+NOT(ISNUMBER('Client DB &amp; Bed Mgmt'!$N$5:$N$428))+IFERROR('Client DB &amp; Bed Mgmt'!$N$5:$N$428&gt;=DATE(YEAR(B749),MONTH(B749),1),FALSE)&gt;0)*((IF(('Client DB &amp; Bed Mgmt'!$N$5:$N$428="")+NOT(ISNUMBER('Client DB &amp; Bed Mgmt'!$N$5:$N$428)),EOMONTH(B749,0),IF('Client DB &amp; Bed Mgmt'!$N$5:$N$428&lt;EOMONTH(B749,0),'Client DB &amp; Bed Mgmt'!$N$5:$N$428,EOMONTH(B749,0))))-(IF(('Client DB &amp; Bed Mgmt'!$M$5:$M$428="")+NOT(ISNUMBER('Client DB &amp; Bed Mgmt'!$M$5:$M$428)),DATE(YEAR(B749),MONTH(B749),1),IF('Client DB &amp; Bed Mgmt'!$M$5:$M$428&gt;DATE(YEAR(B749),MONTH(B749),1),'Client DB &amp; Bed Mgmt'!$M$5:$M$428,DATE(YEAR(B749),MONTH(B749),1))))+1)/DAY(EOMONTH(B749,0))),0)</f>
        <v/>
      </c>
    </row>
    <row r="750" ht="14.25" customHeight="1" s="83">
      <c r="A750" s="103" t="n"/>
      <c r="B750" s="125">
        <f>DATE(YEAR(StartDate),MONTH(StartDate),1)</f>
        <v/>
      </c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Mgmt'!$B:$B,C750,'Client DB &amp; Bed Mgmt'!$E:$E,"Occupied"),0)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>
        <f>IFERROR(J750*SUMPRODUCT(('Client DB &amp; Bed Mgmt'!$A$5:$A$428=A750)*('Client DB &amp; Bed Mgmt'!$B$5:$B$428=C750)*('Client DB &amp; Bed Mgmt'!$D$5:$D$428&lt;&gt;"")*--(('Client DB &amp; Bed Mgmt'!$M$5:$M$428="")+NOT(ISNUMBER('Client DB &amp; Bed Mgmt'!$M$5:$M$428))+IFERROR('Client DB &amp; Bed Mgmt'!$M$5:$M$428&lt;=EOMONTH(B750,0),FALSE)&gt;0)*--(('Client DB &amp; Bed Mgmt'!$N$5:$N$428="")+NOT(ISNUMBER('Client DB &amp; Bed Mgmt'!$N$5:$N$428))+IFERROR('Client DB &amp; Bed Mgmt'!$N$5:$N$428&gt;=DATE(YEAR(B750),MONTH(B750),1),FALSE)&gt;0)*((IF(('Client DB &amp; Bed Mgmt'!$N$5:$N$428="")+NOT(ISNUMBER('Client DB &amp; Bed Mgmt'!$N$5:$N$428)),EOMONTH(B750,0),IF('Client DB &amp; Bed Mgmt'!$N$5:$N$428&lt;EOMONTH(B750,0),'Client DB &amp; Bed Mgmt'!$N$5:$N$428,EOMONTH(B750,0))))-(IF(('Client DB &amp; Bed Mgmt'!$M$5:$M$428="")+NOT(ISNUMBER('Client DB &amp; Bed Mgmt'!$M$5:$M$428)),DATE(YEAR(B750),MONTH(B750),1),IF('Client DB &amp; Bed Mgmt'!$M$5:$M$428&gt;DATE(YEAR(B750),MONTH(B750),1),'Client DB &amp; Bed Mgmt'!$M$5:$M$428,DATE(YEAR(B750),MONTH(B750),1))))+1)/DAY(EOMONTH(B750,0))),0)</f>
        <v/>
      </c>
    </row>
    <row r="751" ht="14.25" customHeight="1" s="83">
      <c r="A751" s="103" t="n"/>
      <c r="B751" s="125">
        <f>DATE(YEAR(StartDate),MONTH(StartDate),1)</f>
        <v/>
      </c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Mgmt'!$B:$B,C751,'Client DB &amp; Bed Mgmt'!$E:$E,"Occupied"),0)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>
        <f>IFERROR(J751*SUMPRODUCT(('Client DB &amp; Bed Mgmt'!$A$5:$A$428=A751)*('Client DB &amp; Bed Mgmt'!$B$5:$B$428=C751)*('Client DB &amp; Bed Mgmt'!$D$5:$D$428&lt;&gt;"")*--(('Client DB &amp; Bed Mgmt'!$M$5:$M$428="")+NOT(ISNUMBER('Client DB &amp; Bed Mgmt'!$M$5:$M$428))+IFERROR('Client DB &amp; Bed Mgmt'!$M$5:$M$428&lt;=EOMONTH(B751,0),FALSE)&gt;0)*--(('Client DB &amp; Bed Mgmt'!$N$5:$N$428="")+NOT(ISNUMBER('Client DB &amp; Bed Mgmt'!$N$5:$N$428))+IFERROR('Client DB &amp; Bed Mgmt'!$N$5:$N$428&gt;=DATE(YEAR(B751),MONTH(B751),1),FALSE)&gt;0)*((IF(('Client DB &amp; Bed Mgmt'!$N$5:$N$428="")+NOT(ISNUMBER('Client DB &amp; Bed Mgmt'!$N$5:$N$428)),EOMONTH(B751,0),IF('Client DB &amp; Bed Mgmt'!$N$5:$N$428&lt;EOMONTH(B751,0),'Client DB &amp; Bed Mgmt'!$N$5:$N$428,EOMONTH(B751,0))))-(IF(('Client DB &amp; Bed Mgmt'!$M$5:$M$428="")+NOT(ISNUMBER('Client DB &amp; Bed Mgmt'!$M$5:$M$428)),DATE(YEAR(B751),MONTH(B751),1),IF('Client DB &amp; Bed Mgmt'!$M$5:$M$428&gt;DATE(YEAR(B751),MONTH(B751),1),'Client DB &amp; Bed Mgmt'!$M$5:$M$428,DATE(YEAR(B751),MONTH(B751),1))))+1)/DAY(EOMONTH(B751,0))),0)</f>
        <v/>
      </c>
    </row>
    <row r="752" ht="14.25" customHeight="1" s="83">
      <c r="A752" s="103" t="n"/>
      <c r="B752" s="125">
        <f>DATE(YEAR(StartDate),MONTH(StartDate),1)</f>
        <v/>
      </c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Mgmt'!$B:$B,C752,'Client DB &amp; Bed Mgmt'!$E:$E,"Occupied"),0)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>
        <f>IFERROR(J752*SUMPRODUCT(('Client DB &amp; Bed Mgmt'!$A$5:$A$428=A752)*('Client DB &amp; Bed Mgmt'!$B$5:$B$428=C752)*('Client DB &amp; Bed Mgmt'!$D$5:$D$428&lt;&gt;"")*--(('Client DB &amp; Bed Mgmt'!$M$5:$M$428="")+NOT(ISNUMBER('Client DB &amp; Bed Mgmt'!$M$5:$M$428))+IFERROR('Client DB &amp; Bed Mgmt'!$M$5:$M$428&lt;=EOMONTH(B752,0),FALSE)&gt;0)*--(('Client DB &amp; Bed Mgmt'!$N$5:$N$428="")+NOT(ISNUMBER('Client DB &amp; Bed Mgmt'!$N$5:$N$428))+IFERROR('Client DB &amp; Bed Mgmt'!$N$5:$N$428&gt;=DATE(YEAR(B752),MONTH(B752),1),FALSE)&gt;0)*((IF(('Client DB &amp; Bed Mgmt'!$N$5:$N$428="")+NOT(ISNUMBER('Client DB &amp; Bed Mgmt'!$N$5:$N$428)),EOMONTH(B752,0),IF('Client DB &amp; Bed Mgmt'!$N$5:$N$428&lt;EOMONTH(B752,0),'Client DB &amp; Bed Mgmt'!$N$5:$N$428,EOMONTH(B752,0))))-(IF(('Client DB &amp; Bed Mgmt'!$M$5:$M$428="")+NOT(ISNUMBER('Client DB &amp; Bed Mgmt'!$M$5:$M$428)),DATE(YEAR(B752),MONTH(B752),1),IF('Client DB &amp; Bed Mgmt'!$M$5:$M$428&gt;DATE(YEAR(B752),MONTH(B752),1),'Client DB &amp; Bed Mgmt'!$M$5:$M$428,DATE(YEAR(B752),MONTH(B752),1))))+1)/DAY(EOMONTH(B752,0))),0)</f>
        <v/>
      </c>
    </row>
    <row r="753" ht="14.25" customHeight="1" s="83">
      <c r="A753" s="103" t="n"/>
      <c r="B753" s="125">
        <f>DATE(YEAR(StartDate),MONTH(StartDate),1)</f>
        <v/>
      </c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Mgmt'!$B:$B,C753,'Client DB &amp; Bed Mgmt'!$E:$E,"Occupied"),0)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>
        <f>IFERROR(J753*SUMPRODUCT(('Client DB &amp; Bed Mgmt'!$A$5:$A$428=A753)*('Client DB &amp; Bed Mgmt'!$B$5:$B$428=C753)*('Client DB &amp; Bed Mgmt'!$D$5:$D$428&lt;&gt;"")*--(('Client DB &amp; Bed Mgmt'!$M$5:$M$428="")+NOT(ISNUMBER('Client DB &amp; Bed Mgmt'!$M$5:$M$428))+IFERROR('Client DB &amp; Bed Mgmt'!$M$5:$M$428&lt;=EOMONTH(B753,0),FALSE)&gt;0)*--(('Client DB &amp; Bed Mgmt'!$N$5:$N$428="")+NOT(ISNUMBER('Client DB &amp; Bed Mgmt'!$N$5:$N$428))+IFERROR('Client DB &amp; Bed Mgmt'!$N$5:$N$428&gt;=DATE(YEAR(B753),MONTH(B753),1),FALSE)&gt;0)*((IF(('Client DB &amp; Bed Mgmt'!$N$5:$N$428="")+NOT(ISNUMBER('Client DB &amp; Bed Mgmt'!$N$5:$N$428)),EOMONTH(B753,0),IF('Client DB &amp; Bed Mgmt'!$N$5:$N$428&lt;EOMONTH(B753,0),'Client DB &amp; Bed Mgmt'!$N$5:$N$428,EOMONTH(B753,0))))-(IF(('Client DB &amp; Bed Mgmt'!$M$5:$M$428="")+NOT(ISNUMBER('Client DB &amp; Bed Mgmt'!$M$5:$M$428)),DATE(YEAR(B753),MONTH(B753),1),IF('Client DB &amp; Bed Mgmt'!$M$5:$M$428&gt;DATE(YEAR(B753),MONTH(B753),1),'Client DB &amp; Bed Mgmt'!$M$5:$M$428,DATE(YEAR(B753),MONTH(B753),1))))+1)/DAY(EOMONTH(B753,0))),0)</f>
        <v/>
      </c>
    </row>
    <row r="754" ht="14.25" customHeight="1" s="83">
      <c r="A754" s="103" t="n"/>
      <c r="B754" s="125">
        <f>DATE(YEAR(StartDate),MONTH(StartDate),1)</f>
        <v/>
      </c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Mgmt'!$B:$B,C754,'Client DB &amp; Bed Mgmt'!$E:$E,"Occupied"),0)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>
        <f>IFERROR(J754*SUMPRODUCT(('Client DB &amp; Bed Mgmt'!$A$5:$A$428=A754)*('Client DB &amp; Bed Mgmt'!$B$5:$B$428=C754)*('Client DB &amp; Bed Mgmt'!$D$5:$D$428&lt;&gt;"")*--(('Client DB &amp; Bed Mgmt'!$M$5:$M$428="")+NOT(ISNUMBER('Client DB &amp; Bed Mgmt'!$M$5:$M$428))+IFERROR('Client DB &amp; Bed Mgmt'!$M$5:$M$428&lt;=EOMONTH(B754,0),FALSE)&gt;0)*--(('Client DB &amp; Bed Mgmt'!$N$5:$N$428="")+NOT(ISNUMBER('Client DB &amp; Bed Mgmt'!$N$5:$N$428))+IFERROR('Client DB &amp; Bed Mgmt'!$N$5:$N$428&gt;=DATE(YEAR(B754),MONTH(B754),1),FALSE)&gt;0)*((IF(('Client DB &amp; Bed Mgmt'!$N$5:$N$428="")+NOT(ISNUMBER('Client DB &amp; Bed Mgmt'!$N$5:$N$428)),EOMONTH(B754,0),IF('Client DB &amp; Bed Mgmt'!$N$5:$N$428&lt;EOMONTH(B754,0),'Client DB &amp; Bed Mgmt'!$N$5:$N$428,EOMONTH(B754,0))))-(IF(('Client DB &amp; Bed Mgmt'!$M$5:$M$428="")+NOT(ISNUMBER('Client DB &amp; Bed Mgmt'!$M$5:$M$428)),DATE(YEAR(B754),MONTH(B754),1),IF('Client DB &amp; Bed Mgmt'!$M$5:$M$428&gt;DATE(YEAR(B754),MONTH(B754),1),'Client DB &amp; Bed Mgmt'!$M$5:$M$428,DATE(YEAR(B754),MONTH(B754),1))))+1)/DAY(EOMONTH(B754,0))),0)</f>
        <v/>
      </c>
    </row>
    <row r="755" ht="14.25" customHeight="1" s="83">
      <c r="A755" s="103" t="n"/>
      <c r="B755" s="125">
        <f>DATE(YEAR(StartDate),MONTH(StartDate),1)</f>
        <v/>
      </c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Mgmt'!$B:$B,C755,'Client DB &amp; Bed Mgmt'!$E:$E,"Occupied"),0)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>
        <f>IFERROR(J755*SUMPRODUCT(('Client DB &amp; Bed Mgmt'!$A$5:$A$428=A755)*('Client DB &amp; Bed Mgmt'!$B$5:$B$428=C755)*('Client DB &amp; Bed Mgmt'!$D$5:$D$428&lt;&gt;"")*--(('Client DB &amp; Bed Mgmt'!$M$5:$M$428="")+NOT(ISNUMBER('Client DB &amp; Bed Mgmt'!$M$5:$M$428))+IFERROR('Client DB &amp; Bed Mgmt'!$M$5:$M$428&lt;=EOMONTH(B755,0),FALSE)&gt;0)*--(('Client DB &amp; Bed Mgmt'!$N$5:$N$428="")+NOT(ISNUMBER('Client DB &amp; Bed Mgmt'!$N$5:$N$428))+IFERROR('Client DB &amp; Bed Mgmt'!$N$5:$N$428&gt;=DATE(YEAR(B755),MONTH(B755),1),FALSE)&gt;0)*((IF(('Client DB &amp; Bed Mgmt'!$N$5:$N$428="")+NOT(ISNUMBER('Client DB &amp; Bed Mgmt'!$N$5:$N$428)),EOMONTH(B755,0),IF('Client DB &amp; Bed Mgmt'!$N$5:$N$428&lt;EOMONTH(B755,0),'Client DB &amp; Bed Mgmt'!$N$5:$N$428,EOMONTH(B755,0))))-(IF(('Client DB &amp; Bed Mgmt'!$M$5:$M$428="")+NOT(ISNUMBER('Client DB &amp; Bed Mgmt'!$M$5:$M$428)),DATE(YEAR(B755),MONTH(B755),1),IF('Client DB &amp; Bed Mgmt'!$M$5:$M$428&gt;DATE(YEAR(B755),MONTH(B755),1),'Client DB &amp; Bed Mgmt'!$M$5:$M$428,DATE(YEAR(B755),MONTH(B755),1))))+1)/DAY(EOMONTH(B755,0))),0)</f>
        <v/>
      </c>
    </row>
    <row r="756" ht="14.25" customHeight="1" s="83">
      <c r="A756" s="103" t="n"/>
      <c r="B756" s="125">
        <f>DATE(YEAR(StartDate),MONTH(StartDate),1)</f>
        <v/>
      </c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Mgmt'!$B:$B,C756,'Client DB &amp; Bed Mgmt'!$E:$E,"Occupied"),0)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>
        <f>IFERROR(J756*SUMPRODUCT(('Client DB &amp; Bed Mgmt'!$A$5:$A$428=A756)*('Client DB &amp; Bed Mgmt'!$B$5:$B$428=C756)*('Client DB &amp; Bed Mgmt'!$D$5:$D$428&lt;&gt;"")*--(('Client DB &amp; Bed Mgmt'!$M$5:$M$428="")+NOT(ISNUMBER('Client DB &amp; Bed Mgmt'!$M$5:$M$428))+IFERROR('Client DB &amp; Bed Mgmt'!$M$5:$M$428&lt;=EOMONTH(B756,0),FALSE)&gt;0)*--(('Client DB &amp; Bed Mgmt'!$N$5:$N$428="")+NOT(ISNUMBER('Client DB &amp; Bed Mgmt'!$N$5:$N$428))+IFERROR('Client DB &amp; Bed Mgmt'!$N$5:$N$428&gt;=DATE(YEAR(B756),MONTH(B756),1),FALSE)&gt;0)*((IF(('Client DB &amp; Bed Mgmt'!$N$5:$N$428="")+NOT(ISNUMBER('Client DB &amp; Bed Mgmt'!$N$5:$N$428)),EOMONTH(B756,0),IF('Client DB &amp; Bed Mgmt'!$N$5:$N$428&lt;EOMONTH(B756,0),'Client DB &amp; Bed Mgmt'!$N$5:$N$428,EOMONTH(B756,0))))-(IF(('Client DB &amp; Bed Mgmt'!$M$5:$M$428="")+NOT(ISNUMBER('Client DB &amp; Bed Mgmt'!$M$5:$M$428)),DATE(YEAR(B756),MONTH(B756),1),IF('Client DB &amp; Bed Mgmt'!$M$5:$M$428&gt;DATE(YEAR(B756),MONTH(B756),1),'Client DB &amp; Bed Mgmt'!$M$5:$M$428,DATE(YEAR(B756),MONTH(B756),1))))+1)/DAY(EOMONTH(B756,0))),0)</f>
        <v/>
      </c>
    </row>
    <row r="757" ht="14.25" customHeight="1" s="83">
      <c r="A757" s="103" t="n"/>
      <c r="B757" s="125">
        <f>DATE(YEAR(StartDate),MONTH(StartDate),1)</f>
        <v/>
      </c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Mgmt'!$B:$B,C757,'Client DB &amp; Bed Mgmt'!$E:$E,"Occupied"),0)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>
        <f>IFERROR(J757*SUMPRODUCT(('Client DB &amp; Bed Mgmt'!$A$5:$A$428=A757)*('Client DB &amp; Bed Mgmt'!$B$5:$B$428=C757)*('Client DB &amp; Bed Mgmt'!$D$5:$D$428&lt;&gt;"")*--(('Client DB &amp; Bed Mgmt'!$M$5:$M$428="")+NOT(ISNUMBER('Client DB &amp; Bed Mgmt'!$M$5:$M$428))+IFERROR('Client DB &amp; Bed Mgmt'!$M$5:$M$428&lt;=EOMONTH(B757,0),FALSE)&gt;0)*--(('Client DB &amp; Bed Mgmt'!$N$5:$N$428="")+NOT(ISNUMBER('Client DB &amp; Bed Mgmt'!$N$5:$N$428))+IFERROR('Client DB &amp; Bed Mgmt'!$N$5:$N$428&gt;=DATE(YEAR(B757),MONTH(B757),1),FALSE)&gt;0)*((IF(('Client DB &amp; Bed Mgmt'!$N$5:$N$428="")+NOT(ISNUMBER('Client DB &amp; Bed Mgmt'!$N$5:$N$428)),EOMONTH(B757,0),IF('Client DB &amp; Bed Mgmt'!$N$5:$N$428&lt;EOMONTH(B757,0),'Client DB &amp; Bed Mgmt'!$N$5:$N$428,EOMONTH(B757,0))))-(IF(('Client DB &amp; Bed Mgmt'!$M$5:$M$428="")+NOT(ISNUMBER('Client DB &amp; Bed Mgmt'!$M$5:$M$428)),DATE(YEAR(B757),MONTH(B757),1),IF('Client DB &amp; Bed Mgmt'!$M$5:$M$428&gt;DATE(YEAR(B757),MONTH(B757),1),'Client DB &amp; Bed Mgmt'!$M$5:$M$428,DATE(YEAR(B757),MONTH(B757),1))))+1)/DAY(EOMONTH(B757,0))),0)</f>
        <v/>
      </c>
    </row>
    <row r="758" ht="14.25" customHeight="1" s="83">
      <c r="A758" s="103" t="n"/>
      <c r="B758" s="125">
        <f>DATE(YEAR(StartDate),MONTH(StartDate),1)</f>
        <v/>
      </c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Mgmt'!$B:$B,C758,'Client DB &amp; Bed Mgmt'!$E:$E,"Occupied"),0)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>
        <f>IFERROR(J758*SUMPRODUCT(('Client DB &amp; Bed Mgmt'!$A$5:$A$428=A758)*('Client DB &amp; Bed Mgmt'!$B$5:$B$428=C758)*('Client DB &amp; Bed Mgmt'!$D$5:$D$428&lt;&gt;"")*--(('Client DB &amp; Bed Mgmt'!$M$5:$M$428="")+NOT(ISNUMBER('Client DB &amp; Bed Mgmt'!$M$5:$M$428))+IFERROR('Client DB &amp; Bed Mgmt'!$M$5:$M$428&lt;=EOMONTH(B758,0),FALSE)&gt;0)*--(('Client DB &amp; Bed Mgmt'!$N$5:$N$428="")+NOT(ISNUMBER('Client DB &amp; Bed Mgmt'!$N$5:$N$428))+IFERROR('Client DB &amp; Bed Mgmt'!$N$5:$N$428&gt;=DATE(YEAR(B758),MONTH(B758),1),FALSE)&gt;0)*((IF(('Client DB &amp; Bed Mgmt'!$N$5:$N$428="")+NOT(ISNUMBER('Client DB &amp; Bed Mgmt'!$N$5:$N$428)),EOMONTH(B758,0),IF('Client DB &amp; Bed Mgmt'!$N$5:$N$428&lt;EOMONTH(B758,0),'Client DB &amp; Bed Mgmt'!$N$5:$N$428,EOMONTH(B758,0))))-(IF(('Client DB &amp; Bed Mgmt'!$M$5:$M$428="")+NOT(ISNUMBER('Client DB &amp; Bed Mgmt'!$M$5:$M$428)),DATE(YEAR(B758),MONTH(B758),1),IF('Client DB &amp; Bed Mgmt'!$M$5:$M$428&gt;DATE(YEAR(B758),MONTH(B758),1),'Client DB &amp; Bed Mgmt'!$M$5:$M$428,DATE(YEAR(B758),MONTH(B758),1))))+1)/DAY(EOMONTH(B758,0))),0)</f>
        <v/>
      </c>
    </row>
    <row r="759" ht="14.25" customHeight="1" s="83">
      <c r="A759" s="103" t="n"/>
      <c r="B759" s="125">
        <f>DATE(YEAR(StartDate),MONTH(StartDate),1)</f>
        <v/>
      </c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Mgmt'!$B:$B,C759,'Client DB &amp; Bed Mgmt'!$E:$E,"Occupied"),0)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>
        <f>IFERROR(J759*SUMPRODUCT(('Client DB &amp; Bed Mgmt'!$A$5:$A$428=A759)*('Client DB &amp; Bed Mgmt'!$B$5:$B$428=C759)*('Client DB &amp; Bed Mgmt'!$D$5:$D$428&lt;&gt;"")*--(('Client DB &amp; Bed Mgmt'!$M$5:$M$428="")+NOT(ISNUMBER('Client DB &amp; Bed Mgmt'!$M$5:$M$428))+IFERROR('Client DB &amp; Bed Mgmt'!$M$5:$M$428&lt;=EOMONTH(B759,0),FALSE)&gt;0)*--(('Client DB &amp; Bed Mgmt'!$N$5:$N$428="")+NOT(ISNUMBER('Client DB &amp; Bed Mgmt'!$N$5:$N$428))+IFERROR('Client DB &amp; Bed Mgmt'!$N$5:$N$428&gt;=DATE(YEAR(B759),MONTH(B759),1),FALSE)&gt;0)*((IF(('Client DB &amp; Bed Mgmt'!$N$5:$N$428="")+NOT(ISNUMBER('Client DB &amp; Bed Mgmt'!$N$5:$N$428)),EOMONTH(B759,0),IF('Client DB &amp; Bed Mgmt'!$N$5:$N$428&lt;EOMONTH(B759,0),'Client DB &amp; Bed Mgmt'!$N$5:$N$428,EOMONTH(B759,0))))-(IF(('Client DB &amp; Bed Mgmt'!$M$5:$M$428="")+NOT(ISNUMBER('Client DB &amp; Bed Mgmt'!$M$5:$M$428)),DATE(YEAR(B759),MONTH(B759),1),IF('Client DB &amp; Bed Mgmt'!$M$5:$M$428&gt;DATE(YEAR(B759),MONTH(B759),1),'Client DB &amp; Bed Mgmt'!$M$5:$M$428,DATE(YEAR(B759),MONTH(B759),1))))+1)/DAY(EOMONTH(B759,0))),0)</f>
        <v/>
      </c>
    </row>
    <row r="760" ht="14.25" customHeight="1" s="83">
      <c r="A760" s="103" t="n"/>
      <c r="B760" s="125">
        <f>DATE(YEAR(StartDate),MONTH(StartDate),1)</f>
        <v/>
      </c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Mgmt'!$B:$B,C760,'Client DB &amp; Bed Mgmt'!$E:$E,"Occupied"),0)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>
        <f>IFERROR(J760*SUMPRODUCT(('Client DB &amp; Bed Mgmt'!$A$5:$A$428=A760)*('Client DB &amp; Bed Mgmt'!$B$5:$B$428=C760)*('Client DB &amp; Bed Mgmt'!$D$5:$D$428&lt;&gt;"")*--(('Client DB &amp; Bed Mgmt'!$M$5:$M$428="")+NOT(ISNUMBER('Client DB &amp; Bed Mgmt'!$M$5:$M$428))+IFERROR('Client DB &amp; Bed Mgmt'!$M$5:$M$428&lt;=EOMONTH(B760,0),FALSE)&gt;0)*--(('Client DB &amp; Bed Mgmt'!$N$5:$N$428="")+NOT(ISNUMBER('Client DB &amp; Bed Mgmt'!$N$5:$N$428))+IFERROR('Client DB &amp; Bed Mgmt'!$N$5:$N$428&gt;=DATE(YEAR(B760),MONTH(B760),1),FALSE)&gt;0)*((IF(('Client DB &amp; Bed Mgmt'!$N$5:$N$428="")+NOT(ISNUMBER('Client DB &amp; Bed Mgmt'!$N$5:$N$428)),EOMONTH(B760,0),IF('Client DB &amp; Bed Mgmt'!$N$5:$N$428&lt;EOMONTH(B760,0),'Client DB &amp; Bed Mgmt'!$N$5:$N$428,EOMONTH(B760,0))))-(IF(('Client DB &amp; Bed Mgmt'!$M$5:$M$428="")+NOT(ISNUMBER('Client DB &amp; Bed Mgmt'!$M$5:$M$428)),DATE(YEAR(B760),MONTH(B760),1),IF('Client DB &amp; Bed Mgmt'!$M$5:$M$428&gt;DATE(YEAR(B760),MONTH(B760),1),'Client DB &amp; Bed Mgmt'!$M$5:$M$428,DATE(YEAR(B760),MONTH(B760),1))))+1)/DAY(EOMONTH(B760,0))),0)</f>
        <v/>
      </c>
    </row>
    <row r="761" ht="14.25" customHeight="1" s="83">
      <c r="A761" s="103" t="n"/>
      <c r="B761" s="125">
        <f>DATE(YEAR(StartDate),MONTH(StartDate),1)</f>
        <v/>
      </c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Mgmt'!$B:$B,C761,'Client DB &amp; Bed Mgmt'!$E:$E,"Occupied"),0)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>
        <f>IFERROR(J761*SUMPRODUCT(('Client DB &amp; Bed Mgmt'!$A$5:$A$428=A761)*('Client DB &amp; Bed Mgmt'!$B$5:$B$428=C761)*('Client DB &amp; Bed Mgmt'!$D$5:$D$428&lt;&gt;"")*--(('Client DB &amp; Bed Mgmt'!$M$5:$M$428="")+NOT(ISNUMBER('Client DB &amp; Bed Mgmt'!$M$5:$M$428))+IFERROR('Client DB &amp; Bed Mgmt'!$M$5:$M$428&lt;=EOMONTH(B761,0),FALSE)&gt;0)*--(('Client DB &amp; Bed Mgmt'!$N$5:$N$428="")+NOT(ISNUMBER('Client DB &amp; Bed Mgmt'!$N$5:$N$428))+IFERROR('Client DB &amp; Bed Mgmt'!$N$5:$N$428&gt;=DATE(YEAR(B761),MONTH(B761),1),FALSE)&gt;0)*((IF(('Client DB &amp; Bed Mgmt'!$N$5:$N$428="")+NOT(ISNUMBER('Client DB &amp; Bed Mgmt'!$N$5:$N$428)),EOMONTH(B761,0),IF('Client DB &amp; Bed Mgmt'!$N$5:$N$428&lt;EOMONTH(B761,0),'Client DB &amp; Bed Mgmt'!$N$5:$N$428,EOMONTH(B761,0))))-(IF(('Client DB &amp; Bed Mgmt'!$M$5:$M$428="")+NOT(ISNUMBER('Client DB &amp; Bed Mgmt'!$M$5:$M$428)),DATE(YEAR(B761),MONTH(B761),1),IF('Client DB &amp; Bed Mgmt'!$M$5:$M$428&gt;DATE(YEAR(B761),MONTH(B761),1),'Client DB &amp; Bed Mgmt'!$M$5:$M$428,DATE(YEAR(B761),MONTH(B761),1))))+1)/DAY(EOMONTH(B761,0))),0)</f>
        <v/>
      </c>
    </row>
    <row r="762" ht="14.25" customHeight="1" s="83">
      <c r="A762" s="103" t="n"/>
      <c r="B762" s="125">
        <f>DATE(YEAR(StartDate),MONTH(StartDate),1)</f>
        <v/>
      </c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Mgmt'!$B:$B,C762,'Client DB &amp; Bed Mgmt'!$E:$E,"Occupied"),0)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>
        <f>IFERROR(J762*SUMPRODUCT(('Client DB &amp; Bed Mgmt'!$A$5:$A$428=A762)*('Client DB &amp; Bed Mgmt'!$B$5:$B$428=C762)*('Client DB &amp; Bed Mgmt'!$D$5:$D$428&lt;&gt;"")*--(('Client DB &amp; Bed Mgmt'!$M$5:$M$428="")+NOT(ISNUMBER('Client DB &amp; Bed Mgmt'!$M$5:$M$428))+IFERROR('Client DB &amp; Bed Mgmt'!$M$5:$M$428&lt;=EOMONTH(B762,0),FALSE)&gt;0)*--(('Client DB &amp; Bed Mgmt'!$N$5:$N$428="")+NOT(ISNUMBER('Client DB &amp; Bed Mgmt'!$N$5:$N$428))+IFERROR('Client DB &amp; Bed Mgmt'!$N$5:$N$428&gt;=DATE(YEAR(B762),MONTH(B762),1),FALSE)&gt;0)*((IF(('Client DB &amp; Bed Mgmt'!$N$5:$N$428="")+NOT(ISNUMBER('Client DB &amp; Bed Mgmt'!$N$5:$N$428)),EOMONTH(B762,0),IF('Client DB &amp; Bed Mgmt'!$N$5:$N$428&lt;EOMONTH(B762,0),'Client DB &amp; Bed Mgmt'!$N$5:$N$428,EOMONTH(B762,0))))-(IF(('Client DB &amp; Bed Mgmt'!$M$5:$M$428="")+NOT(ISNUMBER('Client DB &amp; Bed Mgmt'!$M$5:$M$428)),DATE(YEAR(B762),MONTH(B762),1),IF('Client DB &amp; Bed Mgmt'!$M$5:$M$428&gt;DATE(YEAR(B762),MONTH(B762),1),'Client DB &amp; Bed Mgmt'!$M$5:$M$428,DATE(YEAR(B762),MONTH(B762),1))))+1)/DAY(EOMONTH(B762,0))),0)</f>
        <v/>
      </c>
    </row>
    <row r="763" ht="14.25" customHeight="1" s="83">
      <c r="A763" s="103" t="n"/>
      <c r="B763" s="125">
        <f>DATE(YEAR(StartDate),MONTH(StartDate),1)</f>
        <v/>
      </c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Mgmt'!$B:$B,C763,'Client DB &amp; Bed Mgmt'!$E:$E,"Occupied"),0)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>
        <f>IFERROR(J763*SUMPRODUCT(('Client DB &amp; Bed Mgmt'!$A$5:$A$428=A763)*('Client DB &amp; Bed Mgmt'!$B$5:$B$428=C763)*('Client DB &amp; Bed Mgmt'!$D$5:$D$428&lt;&gt;"")*--(('Client DB &amp; Bed Mgmt'!$M$5:$M$428="")+NOT(ISNUMBER('Client DB &amp; Bed Mgmt'!$M$5:$M$428))+IFERROR('Client DB &amp; Bed Mgmt'!$M$5:$M$428&lt;=EOMONTH(B763,0),FALSE)&gt;0)*--(('Client DB &amp; Bed Mgmt'!$N$5:$N$428="")+NOT(ISNUMBER('Client DB &amp; Bed Mgmt'!$N$5:$N$428))+IFERROR('Client DB &amp; Bed Mgmt'!$N$5:$N$428&gt;=DATE(YEAR(B763),MONTH(B763),1),FALSE)&gt;0)*((IF(('Client DB &amp; Bed Mgmt'!$N$5:$N$428="")+NOT(ISNUMBER('Client DB &amp; Bed Mgmt'!$N$5:$N$428)),EOMONTH(B763,0),IF('Client DB &amp; Bed Mgmt'!$N$5:$N$428&lt;EOMONTH(B763,0),'Client DB &amp; Bed Mgmt'!$N$5:$N$428,EOMONTH(B763,0))))-(IF(('Client DB &amp; Bed Mgmt'!$M$5:$M$428="")+NOT(ISNUMBER('Client DB &amp; Bed Mgmt'!$M$5:$M$428)),DATE(YEAR(B763),MONTH(B763),1),IF('Client DB &amp; Bed Mgmt'!$M$5:$M$428&gt;DATE(YEAR(B763),MONTH(B763),1),'Client DB &amp; Bed Mgmt'!$M$5:$M$428,DATE(YEAR(B763),MONTH(B763),1))))+1)/DAY(EOMONTH(B763,0))),0)</f>
        <v/>
      </c>
    </row>
    <row r="764" ht="14.25" customHeight="1" s="83">
      <c r="A764" s="103" t="n"/>
      <c r="B764" s="125">
        <f>DATE(YEAR(StartDate),MONTH(StartDate),1)</f>
        <v/>
      </c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Mgmt'!$B:$B,C764,'Client DB &amp; Bed Mgmt'!$E:$E,"Occupied"),0)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>
        <f>IFERROR(J764*SUMPRODUCT(('Client DB &amp; Bed Mgmt'!$A$5:$A$428=A764)*('Client DB &amp; Bed Mgmt'!$B$5:$B$428=C764)*('Client DB &amp; Bed Mgmt'!$D$5:$D$428&lt;&gt;"")*--(('Client DB &amp; Bed Mgmt'!$M$5:$M$428="")+NOT(ISNUMBER('Client DB &amp; Bed Mgmt'!$M$5:$M$428))+IFERROR('Client DB &amp; Bed Mgmt'!$M$5:$M$428&lt;=EOMONTH(B764,0),FALSE)&gt;0)*--(('Client DB &amp; Bed Mgmt'!$N$5:$N$428="")+NOT(ISNUMBER('Client DB &amp; Bed Mgmt'!$N$5:$N$428))+IFERROR('Client DB &amp; Bed Mgmt'!$N$5:$N$428&gt;=DATE(YEAR(B764),MONTH(B764),1),FALSE)&gt;0)*((IF(('Client DB &amp; Bed Mgmt'!$N$5:$N$428="")+NOT(ISNUMBER('Client DB &amp; Bed Mgmt'!$N$5:$N$428)),EOMONTH(B764,0),IF('Client DB &amp; Bed Mgmt'!$N$5:$N$428&lt;EOMONTH(B764,0),'Client DB &amp; Bed Mgmt'!$N$5:$N$428,EOMONTH(B764,0))))-(IF(('Client DB &amp; Bed Mgmt'!$M$5:$M$428="")+NOT(ISNUMBER('Client DB &amp; Bed Mgmt'!$M$5:$M$428)),DATE(YEAR(B764),MONTH(B764),1),IF('Client DB &amp; Bed Mgmt'!$M$5:$M$428&gt;DATE(YEAR(B764),MONTH(B764),1),'Client DB &amp; Bed Mgmt'!$M$5:$M$428,DATE(YEAR(B764),MONTH(B764),1))))+1)/DAY(EOMONTH(B764,0))),0)</f>
        <v/>
      </c>
    </row>
    <row r="765" ht="14.25" customHeight="1" s="83">
      <c r="A765" s="103" t="n"/>
      <c r="B765" s="125">
        <f>DATE(YEAR(StartDate),MONTH(StartDate),1)</f>
        <v/>
      </c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Mgmt'!$B:$B,C765,'Client DB &amp; Bed Mgmt'!$E:$E,"Occupied"),0)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>
        <f>IFERROR(J765*SUMPRODUCT(('Client DB &amp; Bed Mgmt'!$A$5:$A$428=A765)*('Client DB &amp; Bed Mgmt'!$B$5:$B$428=C765)*('Client DB &amp; Bed Mgmt'!$D$5:$D$428&lt;&gt;"")*--(('Client DB &amp; Bed Mgmt'!$M$5:$M$428="")+NOT(ISNUMBER('Client DB &amp; Bed Mgmt'!$M$5:$M$428))+IFERROR('Client DB &amp; Bed Mgmt'!$M$5:$M$428&lt;=EOMONTH(B765,0),FALSE)&gt;0)*--(('Client DB &amp; Bed Mgmt'!$N$5:$N$428="")+NOT(ISNUMBER('Client DB &amp; Bed Mgmt'!$N$5:$N$428))+IFERROR('Client DB &amp; Bed Mgmt'!$N$5:$N$428&gt;=DATE(YEAR(B765),MONTH(B765),1),FALSE)&gt;0)*((IF(('Client DB &amp; Bed Mgmt'!$N$5:$N$428="")+NOT(ISNUMBER('Client DB &amp; Bed Mgmt'!$N$5:$N$428)),EOMONTH(B765,0),IF('Client DB &amp; Bed Mgmt'!$N$5:$N$428&lt;EOMONTH(B765,0),'Client DB &amp; Bed Mgmt'!$N$5:$N$428,EOMONTH(B765,0))))-(IF(('Client DB &amp; Bed Mgmt'!$M$5:$M$428="")+NOT(ISNUMBER('Client DB &amp; Bed Mgmt'!$M$5:$M$428)),DATE(YEAR(B765),MONTH(B765),1),IF('Client DB &amp; Bed Mgmt'!$M$5:$M$428&gt;DATE(YEAR(B765),MONTH(B765),1),'Client DB &amp; Bed Mgmt'!$M$5:$M$428,DATE(YEAR(B765),MONTH(B765),1))))+1)/DAY(EOMONTH(B765,0))),0)</f>
        <v/>
      </c>
    </row>
    <row r="766" ht="14.25" customHeight="1" s="83">
      <c r="A766" s="103" t="n"/>
      <c r="B766" s="125">
        <f>DATE(YEAR(StartDate),MONTH(StartDate),1)</f>
        <v/>
      </c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Mgmt'!$B:$B,C766,'Client DB &amp; Bed Mgmt'!$E:$E,"Occupied"),0)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>
        <f>IFERROR(J766*SUMPRODUCT(('Client DB &amp; Bed Mgmt'!$A$5:$A$428=A766)*('Client DB &amp; Bed Mgmt'!$B$5:$B$428=C766)*('Client DB &amp; Bed Mgmt'!$D$5:$D$428&lt;&gt;"")*--(('Client DB &amp; Bed Mgmt'!$M$5:$M$428="")+NOT(ISNUMBER('Client DB &amp; Bed Mgmt'!$M$5:$M$428))+IFERROR('Client DB &amp; Bed Mgmt'!$M$5:$M$428&lt;=EOMONTH(B766,0),FALSE)&gt;0)*--(('Client DB &amp; Bed Mgmt'!$N$5:$N$428="")+NOT(ISNUMBER('Client DB &amp; Bed Mgmt'!$N$5:$N$428))+IFERROR('Client DB &amp; Bed Mgmt'!$N$5:$N$428&gt;=DATE(YEAR(B766),MONTH(B766),1),FALSE)&gt;0)*((IF(('Client DB &amp; Bed Mgmt'!$N$5:$N$428="")+NOT(ISNUMBER('Client DB &amp; Bed Mgmt'!$N$5:$N$428)),EOMONTH(B766,0),IF('Client DB &amp; Bed Mgmt'!$N$5:$N$428&lt;EOMONTH(B766,0),'Client DB &amp; Bed Mgmt'!$N$5:$N$428,EOMONTH(B766,0))))-(IF(('Client DB &amp; Bed Mgmt'!$M$5:$M$428="")+NOT(ISNUMBER('Client DB &amp; Bed Mgmt'!$M$5:$M$428)),DATE(YEAR(B766),MONTH(B766),1),IF('Client DB &amp; Bed Mgmt'!$M$5:$M$428&gt;DATE(YEAR(B766),MONTH(B766),1),'Client DB &amp; Bed Mgmt'!$M$5:$M$428,DATE(YEAR(B766),MONTH(B766),1))))+1)/DAY(EOMONTH(B766,0))),0)</f>
        <v/>
      </c>
    </row>
    <row r="767" ht="14.25" customHeight="1" s="83">
      <c r="A767" s="103" t="n"/>
      <c r="B767" s="125">
        <f>DATE(YEAR(StartDate),MONTH(StartDate),1)</f>
        <v/>
      </c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Mgmt'!$B:$B,C767,'Client DB &amp; Bed Mgmt'!$E:$E,"Occupied"),0)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>
        <f>IFERROR(J767*SUMPRODUCT(('Client DB &amp; Bed Mgmt'!$A$5:$A$428=A767)*('Client DB &amp; Bed Mgmt'!$B$5:$B$428=C767)*('Client DB &amp; Bed Mgmt'!$D$5:$D$428&lt;&gt;"")*--(('Client DB &amp; Bed Mgmt'!$M$5:$M$428="")+NOT(ISNUMBER('Client DB &amp; Bed Mgmt'!$M$5:$M$428))+IFERROR('Client DB &amp; Bed Mgmt'!$M$5:$M$428&lt;=EOMONTH(B767,0),FALSE)&gt;0)*--(('Client DB &amp; Bed Mgmt'!$N$5:$N$428="")+NOT(ISNUMBER('Client DB &amp; Bed Mgmt'!$N$5:$N$428))+IFERROR('Client DB &amp; Bed Mgmt'!$N$5:$N$428&gt;=DATE(YEAR(B767),MONTH(B767),1),FALSE)&gt;0)*((IF(('Client DB &amp; Bed Mgmt'!$N$5:$N$428="")+NOT(ISNUMBER('Client DB &amp; Bed Mgmt'!$N$5:$N$428)),EOMONTH(B767,0),IF('Client DB &amp; Bed Mgmt'!$N$5:$N$428&lt;EOMONTH(B767,0),'Client DB &amp; Bed Mgmt'!$N$5:$N$428,EOMONTH(B767,0))))-(IF(('Client DB &amp; Bed Mgmt'!$M$5:$M$428="")+NOT(ISNUMBER('Client DB &amp; Bed Mgmt'!$M$5:$M$428)),DATE(YEAR(B767),MONTH(B767),1),IF('Client DB &amp; Bed Mgmt'!$M$5:$M$428&gt;DATE(YEAR(B767),MONTH(B767),1),'Client DB &amp; Bed Mgmt'!$M$5:$M$428,DATE(YEAR(B767),MONTH(B767),1))))+1)/DAY(EOMONTH(B767,0))),0)</f>
        <v/>
      </c>
    </row>
    <row r="768" ht="14.25" customHeight="1" s="83">
      <c r="A768" s="103" t="n"/>
      <c r="B768" s="125">
        <f>DATE(YEAR(StartDate),MONTH(StartDate),1)</f>
        <v/>
      </c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Mgmt'!$B:$B,C768,'Client DB &amp; Bed Mgmt'!$E:$E,"Occupied"),0)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>
        <f>IFERROR(J768*SUMPRODUCT(('Client DB &amp; Bed Mgmt'!$A$5:$A$428=A768)*('Client DB &amp; Bed Mgmt'!$B$5:$B$428=C768)*('Client DB &amp; Bed Mgmt'!$D$5:$D$428&lt;&gt;"")*--(('Client DB &amp; Bed Mgmt'!$M$5:$M$428="")+NOT(ISNUMBER('Client DB &amp; Bed Mgmt'!$M$5:$M$428))+IFERROR('Client DB &amp; Bed Mgmt'!$M$5:$M$428&lt;=EOMONTH(B768,0),FALSE)&gt;0)*--(('Client DB &amp; Bed Mgmt'!$N$5:$N$428="")+NOT(ISNUMBER('Client DB &amp; Bed Mgmt'!$N$5:$N$428))+IFERROR('Client DB &amp; Bed Mgmt'!$N$5:$N$428&gt;=DATE(YEAR(B768),MONTH(B768),1),FALSE)&gt;0)*((IF(('Client DB &amp; Bed Mgmt'!$N$5:$N$428="")+NOT(ISNUMBER('Client DB &amp; Bed Mgmt'!$N$5:$N$428)),EOMONTH(B768,0),IF('Client DB &amp; Bed Mgmt'!$N$5:$N$428&lt;EOMONTH(B768,0),'Client DB &amp; Bed Mgmt'!$N$5:$N$428,EOMONTH(B768,0))))-(IF(('Client DB &amp; Bed Mgmt'!$M$5:$M$428="")+NOT(ISNUMBER('Client DB &amp; Bed Mgmt'!$M$5:$M$428)),DATE(YEAR(B768),MONTH(B768),1),IF('Client DB &amp; Bed Mgmt'!$M$5:$M$428&gt;DATE(YEAR(B768),MONTH(B768),1),'Client DB &amp; Bed Mgmt'!$M$5:$M$428,DATE(YEAR(B768),MONTH(B768),1))))+1)/DAY(EOMONTH(B768,0))),0)</f>
        <v/>
      </c>
    </row>
    <row r="769" ht="14.25" customHeight="1" s="83">
      <c r="A769" s="103" t="n"/>
      <c r="B769" s="125">
        <f>DATE(YEAR(StartDate),MONTH(StartDate),1)</f>
        <v/>
      </c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Mgmt'!$B:$B,C769,'Client DB &amp; Bed Mgmt'!$E:$E,"Occupied"),0)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>
        <f>IFERROR(J769*SUMPRODUCT(('Client DB &amp; Bed Mgmt'!$A$5:$A$428=A769)*('Client DB &amp; Bed Mgmt'!$B$5:$B$428=C769)*('Client DB &amp; Bed Mgmt'!$D$5:$D$428&lt;&gt;"")*--(('Client DB &amp; Bed Mgmt'!$M$5:$M$428="")+NOT(ISNUMBER('Client DB &amp; Bed Mgmt'!$M$5:$M$428))+IFERROR('Client DB &amp; Bed Mgmt'!$M$5:$M$428&lt;=EOMONTH(B769,0),FALSE)&gt;0)*--(('Client DB &amp; Bed Mgmt'!$N$5:$N$428="")+NOT(ISNUMBER('Client DB &amp; Bed Mgmt'!$N$5:$N$428))+IFERROR('Client DB &amp; Bed Mgmt'!$N$5:$N$428&gt;=DATE(YEAR(B769),MONTH(B769),1),FALSE)&gt;0)*((IF(('Client DB &amp; Bed Mgmt'!$N$5:$N$428="")+NOT(ISNUMBER('Client DB &amp; Bed Mgmt'!$N$5:$N$428)),EOMONTH(B769,0),IF('Client DB &amp; Bed Mgmt'!$N$5:$N$428&lt;EOMONTH(B769,0),'Client DB &amp; Bed Mgmt'!$N$5:$N$428,EOMONTH(B769,0))))-(IF(('Client DB &amp; Bed Mgmt'!$M$5:$M$428="")+NOT(ISNUMBER('Client DB &amp; Bed Mgmt'!$M$5:$M$428)),DATE(YEAR(B769),MONTH(B769),1),IF('Client DB &amp; Bed Mgmt'!$M$5:$M$428&gt;DATE(YEAR(B769),MONTH(B769),1),'Client DB &amp; Bed Mgmt'!$M$5:$M$428,DATE(YEAR(B769),MONTH(B769),1))))+1)/DAY(EOMONTH(B769,0))),0)</f>
        <v/>
      </c>
    </row>
    <row r="770" ht="14.25" customHeight="1" s="83">
      <c r="A770" s="103" t="n"/>
      <c r="B770" s="125">
        <f>DATE(YEAR(StartDate),MONTH(StartDate),1)</f>
        <v/>
      </c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Mgmt'!$B:$B,C770,'Client DB &amp; Bed Mgmt'!$E:$E,"Occupied"),0)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>
        <f>IFERROR(J770*SUMPRODUCT(('Client DB &amp; Bed Mgmt'!$A$5:$A$428=A770)*('Client DB &amp; Bed Mgmt'!$B$5:$B$428=C770)*('Client DB &amp; Bed Mgmt'!$D$5:$D$428&lt;&gt;"")*--(('Client DB &amp; Bed Mgmt'!$M$5:$M$428="")+NOT(ISNUMBER('Client DB &amp; Bed Mgmt'!$M$5:$M$428))+IFERROR('Client DB &amp; Bed Mgmt'!$M$5:$M$428&lt;=EOMONTH(B770,0),FALSE)&gt;0)*--(('Client DB &amp; Bed Mgmt'!$N$5:$N$428="")+NOT(ISNUMBER('Client DB &amp; Bed Mgmt'!$N$5:$N$428))+IFERROR('Client DB &amp; Bed Mgmt'!$N$5:$N$428&gt;=DATE(YEAR(B770),MONTH(B770),1),FALSE)&gt;0)*((IF(('Client DB &amp; Bed Mgmt'!$N$5:$N$428="")+NOT(ISNUMBER('Client DB &amp; Bed Mgmt'!$N$5:$N$428)),EOMONTH(B770,0),IF('Client DB &amp; Bed Mgmt'!$N$5:$N$428&lt;EOMONTH(B770,0),'Client DB &amp; Bed Mgmt'!$N$5:$N$428,EOMONTH(B770,0))))-(IF(('Client DB &amp; Bed Mgmt'!$M$5:$M$428="")+NOT(ISNUMBER('Client DB &amp; Bed Mgmt'!$M$5:$M$428)),DATE(YEAR(B770),MONTH(B770),1),IF('Client DB &amp; Bed Mgmt'!$M$5:$M$428&gt;DATE(YEAR(B770),MONTH(B770),1),'Client DB &amp; Bed Mgmt'!$M$5:$M$428,DATE(YEAR(B770),MONTH(B770),1))))+1)/DAY(EOMONTH(B770,0))),0)</f>
        <v/>
      </c>
    </row>
    <row r="771" ht="14.25" customHeight="1" s="83">
      <c r="A771" s="103" t="n"/>
      <c r="B771" s="125">
        <f>DATE(YEAR(StartDate),MONTH(StartDate),1)</f>
        <v/>
      </c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Mgmt'!$B:$B,C771,'Client DB &amp; Bed Mgmt'!$E:$E,"Occupied"),0)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>
        <f>IFERROR(J771*SUMPRODUCT(('Client DB &amp; Bed Mgmt'!$A$5:$A$428=A771)*('Client DB &amp; Bed Mgmt'!$B$5:$B$428=C771)*('Client DB &amp; Bed Mgmt'!$D$5:$D$428&lt;&gt;"")*--(('Client DB &amp; Bed Mgmt'!$M$5:$M$428="")+NOT(ISNUMBER('Client DB &amp; Bed Mgmt'!$M$5:$M$428))+IFERROR('Client DB &amp; Bed Mgmt'!$M$5:$M$428&lt;=EOMONTH(B771,0),FALSE)&gt;0)*--(('Client DB &amp; Bed Mgmt'!$N$5:$N$428="")+NOT(ISNUMBER('Client DB &amp; Bed Mgmt'!$N$5:$N$428))+IFERROR('Client DB &amp; Bed Mgmt'!$N$5:$N$428&gt;=DATE(YEAR(B771),MONTH(B771),1),FALSE)&gt;0)*((IF(('Client DB &amp; Bed Mgmt'!$N$5:$N$428="")+NOT(ISNUMBER('Client DB &amp; Bed Mgmt'!$N$5:$N$428)),EOMONTH(B771,0),IF('Client DB &amp; Bed Mgmt'!$N$5:$N$428&lt;EOMONTH(B771,0),'Client DB &amp; Bed Mgmt'!$N$5:$N$428,EOMONTH(B771,0))))-(IF(('Client DB &amp; Bed Mgmt'!$M$5:$M$428="")+NOT(ISNUMBER('Client DB &amp; Bed Mgmt'!$M$5:$M$428)),DATE(YEAR(B771),MONTH(B771),1),IF('Client DB &amp; Bed Mgmt'!$M$5:$M$428&gt;DATE(YEAR(B771),MONTH(B771),1),'Client DB &amp; Bed Mgmt'!$M$5:$M$428,DATE(YEAR(B771),MONTH(B771),1))))+1)/DAY(EOMONTH(B771,0))),0)</f>
        <v/>
      </c>
    </row>
    <row r="772" ht="14.25" customHeight="1" s="83">
      <c r="A772" s="103" t="n"/>
      <c r="B772" s="125">
        <f>DATE(YEAR(StartDate),MONTH(StartDate),1)</f>
        <v/>
      </c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Mgmt'!$B:$B,C772,'Client DB &amp; Bed Mgmt'!$E:$E,"Occupied"),0)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>
        <f>IFERROR(J772*SUMPRODUCT(('Client DB &amp; Bed Mgmt'!$A$5:$A$428=A772)*('Client DB &amp; Bed Mgmt'!$B$5:$B$428=C772)*('Client DB &amp; Bed Mgmt'!$D$5:$D$428&lt;&gt;"")*--(('Client DB &amp; Bed Mgmt'!$M$5:$M$428="")+NOT(ISNUMBER('Client DB &amp; Bed Mgmt'!$M$5:$M$428))+IFERROR('Client DB &amp; Bed Mgmt'!$M$5:$M$428&lt;=EOMONTH(B772,0),FALSE)&gt;0)*--(('Client DB &amp; Bed Mgmt'!$N$5:$N$428="")+NOT(ISNUMBER('Client DB &amp; Bed Mgmt'!$N$5:$N$428))+IFERROR('Client DB &amp; Bed Mgmt'!$N$5:$N$428&gt;=DATE(YEAR(B772),MONTH(B772),1),FALSE)&gt;0)*((IF(('Client DB &amp; Bed Mgmt'!$N$5:$N$428="")+NOT(ISNUMBER('Client DB &amp; Bed Mgmt'!$N$5:$N$428)),EOMONTH(B772,0),IF('Client DB &amp; Bed Mgmt'!$N$5:$N$428&lt;EOMONTH(B772,0),'Client DB &amp; Bed Mgmt'!$N$5:$N$428,EOMONTH(B772,0))))-(IF(('Client DB &amp; Bed Mgmt'!$M$5:$M$428="")+NOT(ISNUMBER('Client DB &amp; Bed Mgmt'!$M$5:$M$428)),DATE(YEAR(B772),MONTH(B772),1),IF('Client DB &amp; Bed Mgmt'!$M$5:$M$428&gt;DATE(YEAR(B772),MONTH(B772),1),'Client DB &amp; Bed Mgmt'!$M$5:$M$428,DATE(YEAR(B772),MONTH(B772),1))))+1)/DAY(EOMONTH(B772,0))),0)</f>
        <v/>
      </c>
    </row>
    <row r="773" ht="14.25" customHeight="1" s="83">
      <c r="A773" s="103" t="n"/>
      <c r="B773" s="125">
        <f>DATE(YEAR(StartDate),MONTH(StartDate),1)</f>
        <v/>
      </c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Mgmt'!$B:$B,C773,'Client DB &amp; Bed Mgmt'!$E:$E,"Occupied"),0)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>
        <f>IFERROR(J773*SUMPRODUCT(('Client DB &amp; Bed Mgmt'!$A$5:$A$428=A773)*('Client DB &amp; Bed Mgmt'!$B$5:$B$428=C773)*('Client DB &amp; Bed Mgmt'!$D$5:$D$428&lt;&gt;"")*--(('Client DB &amp; Bed Mgmt'!$M$5:$M$428="")+NOT(ISNUMBER('Client DB &amp; Bed Mgmt'!$M$5:$M$428))+IFERROR('Client DB &amp; Bed Mgmt'!$M$5:$M$428&lt;=EOMONTH(B773,0),FALSE)&gt;0)*--(('Client DB &amp; Bed Mgmt'!$N$5:$N$428="")+NOT(ISNUMBER('Client DB &amp; Bed Mgmt'!$N$5:$N$428))+IFERROR('Client DB &amp; Bed Mgmt'!$N$5:$N$428&gt;=DATE(YEAR(B773),MONTH(B773),1),FALSE)&gt;0)*((IF(('Client DB &amp; Bed Mgmt'!$N$5:$N$428="")+NOT(ISNUMBER('Client DB &amp; Bed Mgmt'!$N$5:$N$428)),EOMONTH(B773,0),IF('Client DB &amp; Bed Mgmt'!$N$5:$N$428&lt;EOMONTH(B773,0),'Client DB &amp; Bed Mgmt'!$N$5:$N$428,EOMONTH(B773,0))))-(IF(('Client DB &amp; Bed Mgmt'!$M$5:$M$428="")+NOT(ISNUMBER('Client DB &amp; Bed Mgmt'!$M$5:$M$428)),DATE(YEAR(B773),MONTH(B773),1),IF('Client DB &amp; Bed Mgmt'!$M$5:$M$428&gt;DATE(YEAR(B773),MONTH(B773),1),'Client DB &amp; Bed Mgmt'!$M$5:$M$428,DATE(YEAR(B773),MONTH(B773),1))))+1)/DAY(EOMONTH(B773,0))),0)</f>
        <v/>
      </c>
    </row>
    <row r="774" ht="14.25" customHeight="1" s="83">
      <c r="A774" s="103" t="n"/>
      <c r="B774" s="125">
        <f>DATE(YEAR(StartDate),MONTH(StartDate),1)</f>
        <v/>
      </c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Mgmt'!$B:$B,C774,'Client DB &amp; Bed Mgmt'!$E:$E,"Occupied"),0)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>
        <f>IFERROR(J774*SUMPRODUCT(('Client DB &amp; Bed Mgmt'!$A$5:$A$428=A774)*('Client DB &amp; Bed Mgmt'!$B$5:$B$428=C774)*('Client DB &amp; Bed Mgmt'!$D$5:$D$428&lt;&gt;"")*--(('Client DB &amp; Bed Mgmt'!$M$5:$M$428="")+NOT(ISNUMBER('Client DB &amp; Bed Mgmt'!$M$5:$M$428))+IFERROR('Client DB &amp; Bed Mgmt'!$M$5:$M$428&lt;=EOMONTH(B774,0),FALSE)&gt;0)*--(('Client DB &amp; Bed Mgmt'!$N$5:$N$428="")+NOT(ISNUMBER('Client DB &amp; Bed Mgmt'!$N$5:$N$428))+IFERROR('Client DB &amp; Bed Mgmt'!$N$5:$N$428&gt;=DATE(YEAR(B774),MONTH(B774),1),FALSE)&gt;0)*((IF(('Client DB &amp; Bed Mgmt'!$N$5:$N$428="")+NOT(ISNUMBER('Client DB &amp; Bed Mgmt'!$N$5:$N$428)),EOMONTH(B774,0),IF('Client DB &amp; Bed Mgmt'!$N$5:$N$428&lt;EOMONTH(B774,0),'Client DB &amp; Bed Mgmt'!$N$5:$N$428,EOMONTH(B774,0))))-(IF(('Client DB &amp; Bed Mgmt'!$M$5:$M$428="")+NOT(ISNUMBER('Client DB &amp; Bed Mgmt'!$M$5:$M$428)),DATE(YEAR(B774),MONTH(B774),1),IF('Client DB &amp; Bed Mgmt'!$M$5:$M$428&gt;DATE(YEAR(B774),MONTH(B774),1),'Client DB &amp; Bed Mgmt'!$M$5:$M$428,DATE(YEAR(B774),MONTH(B774),1))))+1)/DAY(EOMONTH(B774,0))),0)</f>
        <v/>
      </c>
    </row>
    <row r="775" ht="14.25" customHeight="1" s="83">
      <c r="A775" s="103" t="n"/>
      <c r="B775" s="125">
        <f>DATE(YEAR(StartDate),MONTH(StartDate),1)</f>
        <v/>
      </c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Mgmt'!$B:$B,C775,'Client DB &amp; Bed Mgmt'!$E:$E,"Occupied"),0)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>
        <f>IFERROR(J775*SUMPRODUCT(('Client DB &amp; Bed Mgmt'!$A$5:$A$428=A775)*('Client DB &amp; Bed Mgmt'!$B$5:$B$428=C775)*('Client DB &amp; Bed Mgmt'!$D$5:$D$428&lt;&gt;"")*--(('Client DB &amp; Bed Mgmt'!$M$5:$M$428="")+NOT(ISNUMBER('Client DB &amp; Bed Mgmt'!$M$5:$M$428))+IFERROR('Client DB &amp; Bed Mgmt'!$M$5:$M$428&lt;=EOMONTH(B775,0),FALSE)&gt;0)*--(('Client DB &amp; Bed Mgmt'!$N$5:$N$428="")+NOT(ISNUMBER('Client DB &amp; Bed Mgmt'!$N$5:$N$428))+IFERROR('Client DB &amp; Bed Mgmt'!$N$5:$N$428&gt;=DATE(YEAR(B775),MONTH(B775),1),FALSE)&gt;0)*((IF(('Client DB &amp; Bed Mgmt'!$N$5:$N$428="")+NOT(ISNUMBER('Client DB &amp; Bed Mgmt'!$N$5:$N$428)),EOMONTH(B775,0),IF('Client DB &amp; Bed Mgmt'!$N$5:$N$428&lt;EOMONTH(B775,0),'Client DB &amp; Bed Mgmt'!$N$5:$N$428,EOMONTH(B775,0))))-(IF(('Client DB &amp; Bed Mgmt'!$M$5:$M$428="")+NOT(ISNUMBER('Client DB &amp; Bed Mgmt'!$M$5:$M$428)),DATE(YEAR(B775),MONTH(B775),1),IF('Client DB &amp; Bed Mgmt'!$M$5:$M$428&gt;DATE(YEAR(B775),MONTH(B775),1),'Client DB &amp; Bed Mgmt'!$M$5:$M$428,DATE(YEAR(B775),MONTH(B775),1))))+1)/DAY(EOMONTH(B775,0))),0)</f>
        <v/>
      </c>
    </row>
    <row r="776" ht="14.25" customHeight="1" s="83">
      <c r="A776" s="103" t="n"/>
      <c r="B776" s="125">
        <f>DATE(YEAR(StartDate),MONTH(StartDate),1)</f>
        <v/>
      </c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Mgmt'!$B:$B,C776,'Client DB &amp; Bed Mgmt'!$E:$E,"Occupied"),0)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>
        <f>IFERROR(J776*SUMPRODUCT(('Client DB &amp; Bed Mgmt'!$A$5:$A$428=A776)*('Client DB &amp; Bed Mgmt'!$B$5:$B$428=C776)*('Client DB &amp; Bed Mgmt'!$D$5:$D$428&lt;&gt;"")*--(('Client DB &amp; Bed Mgmt'!$M$5:$M$428="")+NOT(ISNUMBER('Client DB &amp; Bed Mgmt'!$M$5:$M$428))+IFERROR('Client DB &amp; Bed Mgmt'!$M$5:$M$428&lt;=EOMONTH(B776,0),FALSE)&gt;0)*--(('Client DB &amp; Bed Mgmt'!$N$5:$N$428="")+NOT(ISNUMBER('Client DB &amp; Bed Mgmt'!$N$5:$N$428))+IFERROR('Client DB &amp; Bed Mgmt'!$N$5:$N$428&gt;=DATE(YEAR(B776),MONTH(B776),1),FALSE)&gt;0)*((IF(('Client DB &amp; Bed Mgmt'!$N$5:$N$428="")+NOT(ISNUMBER('Client DB &amp; Bed Mgmt'!$N$5:$N$428)),EOMONTH(B776,0),IF('Client DB &amp; Bed Mgmt'!$N$5:$N$428&lt;EOMONTH(B776,0),'Client DB &amp; Bed Mgmt'!$N$5:$N$428,EOMONTH(B776,0))))-(IF(('Client DB &amp; Bed Mgmt'!$M$5:$M$428="")+NOT(ISNUMBER('Client DB &amp; Bed Mgmt'!$M$5:$M$428)),DATE(YEAR(B776),MONTH(B776),1),IF('Client DB &amp; Bed Mgmt'!$M$5:$M$428&gt;DATE(YEAR(B776),MONTH(B776),1),'Client DB &amp; Bed Mgmt'!$M$5:$M$428,DATE(YEAR(B776),MONTH(B776),1))))+1)/DAY(EOMONTH(B776,0))),0)</f>
        <v/>
      </c>
    </row>
    <row r="777" ht="14.25" customHeight="1" s="83">
      <c r="A777" s="103" t="n"/>
      <c r="B777" s="125">
        <f>DATE(YEAR(StartDate),MONTH(StartDate),1)</f>
        <v/>
      </c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Mgmt'!$B:$B,C777,'Client DB &amp; Bed Mgmt'!$E:$E,"Occupied"),0)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>
        <f>IFERROR(J777*SUMPRODUCT(('Client DB &amp; Bed Mgmt'!$A$5:$A$428=A777)*('Client DB &amp; Bed Mgmt'!$B$5:$B$428=C777)*('Client DB &amp; Bed Mgmt'!$D$5:$D$428&lt;&gt;"")*--(('Client DB &amp; Bed Mgmt'!$M$5:$M$428="")+NOT(ISNUMBER('Client DB &amp; Bed Mgmt'!$M$5:$M$428))+IFERROR('Client DB &amp; Bed Mgmt'!$M$5:$M$428&lt;=EOMONTH(B777,0),FALSE)&gt;0)*--(('Client DB &amp; Bed Mgmt'!$N$5:$N$428="")+NOT(ISNUMBER('Client DB &amp; Bed Mgmt'!$N$5:$N$428))+IFERROR('Client DB &amp; Bed Mgmt'!$N$5:$N$428&gt;=DATE(YEAR(B777),MONTH(B777),1),FALSE)&gt;0)*((IF(('Client DB &amp; Bed Mgmt'!$N$5:$N$428="")+NOT(ISNUMBER('Client DB &amp; Bed Mgmt'!$N$5:$N$428)),EOMONTH(B777,0),IF('Client DB &amp; Bed Mgmt'!$N$5:$N$428&lt;EOMONTH(B777,0),'Client DB &amp; Bed Mgmt'!$N$5:$N$428,EOMONTH(B777,0))))-(IF(('Client DB &amp; Bed Mgmt'!$M$5:$M$428="")+NOT(ISNUMBER('Client DB &amp; Bed Mgmt'!$M$5:$M$428)),DATE(YEAR(B777),MONTH(B777),1),IF('Client DB &amp; Bed Mgmt'!$M$5:$M$428&gt;DATE(YEAR(B777),MONTH(B777),1),'Client DB &amp; Bed Mgmt'!$M$5:$M$428,DATE(YEAR(B777),MONTH(B777),1))))+1)/DAY(EOMONTH(B777,0))),0)</f>
        <v/>
      </c>
    </row>
    <row r="778" ht="14.25" customHeight="1" s="83">
      <c r="A778" s="103" t="n"/>
      <c r="B778" s="125">
        <f>DATE(YEAR(StartDate),MONTH(StartDate),1)</f>
        <v/>
      </c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Mgmt'!$B:$B,C778,'Client DB &amp; Bed Mgmt'!$E:$E,"Occupied"),0)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>
        <f>IFERROR(J778*SUMPRODUCT(('Client DB &amp; Bed Mgmt'!$A$5:$A$428=A778)*('Client DB &amp; Bed Mgmt'!$B$5:$B$428=C778)*('Client DB &amp; Bed Mgmt'!$D$5:$D$428&lt;&gt;"")*--(('Client DB &amp; Bed Mgmt'!$M$5:$M$428="")+NOT(ISNUMBER('Client DB &amp; Bed Mgmt'!$M$5:$M$428))+IFERROR('Client DB &amp; Bed Mgmt'!$M$5:$M$428&lt;=EOMONTH(B778,0),FALSE)&gt;0)*--(('Client DB &amp; Bed Mgmt'!$N$5:$N$428="")+NOT(ISNUMBER('Client DB &amp; Bed Mgmt'!$N$5:$N$428))+IFERROR('Client DB &amp; Bed Mgmt'!$N$5:$N$428&gt;=DATE(YEAR(B778),MONTH(B778),1),FALSE)&gt;0)*((IF(('Client DB &amp; Bed Mgmt'!$N$5:$N$428="")+NOT(ISNUMBER('Client DB &amp; Bed Mgmt'!$N$5:$N$428)),EOMONTH(B778,0),IF('Client DB &amp; Bed Mgmt'!$N$5:$N$428&lt;EOMONTH(B778,0),'Client DB &amp; Bed Mgmt'!$N$5:$N$428,EOMONTH(B778,0))))-(IF(('Client DB &amp; Bed Mgmt'!$M$5:$M$428="")+NOT(ISNUMBER('Client DB &amp; Bed Mgmt'!$M$5:$M$428)),DATE(YEAR(B778),MONTH(B778),1),IF('Client DB &amp; Bed Mgmt'!$M$5:$M$428&gt;DATE(YEAR(B778),MONTH(B778),1),'Client DB &amp; Bed Mgmt'!$M$5:$M$428,DATE(YEAR(B778),MONTH(B778),1))))+1)/DAY(EOMONTH(B778,0))),0)</f>
        <v/>
      </c>
    </row>
    <row r="779" ht="14.25" customHeight="1" s="83">
      <c r="A779" s="103" t="n"/>
      <c r="B779" s="125">
        <f>DATE(YEAR(StartDate),MONTH(StartDate),1)</f>
        <v/>
      </c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Mgmt'!$B:$B,C779,'Client DB &amp; Bed Mgmt'!$E:$E,"Occupied"),0)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>
        <f>IFERROR(J779*SUMPRODUCT(('Client DB &amp; Bed Mgmt'!$A$5:$A$428=A779)*('Client DB &amp; Bed Mgmt'!$B$5:$B$428=C779)*('Client DB &amp; Bed Mgmt'!$D$5:$D$428&lt;&gt;"")*--(('Client DB &amp; Bed Mgmt'!$M$5:$M$428="")+NOT(ISNUMBER('Client DB &amp; Bed Mgmt'!$M$5:$M$428))+IFERROR('Client DB &amp; Bed Mgmt'!$M$5:$M$428&lt;=EOMONTH(B779,0),FALSE)&gt;0)*--(('Client DB &amp; Bed Mgmt'!$N$5:$N$428="")+NOT(ISNUMBER('Client DB &amp; Bed Mgmt'!$N$5:$N$428))+IFERROR('Client DB &amp; Bed Mgmt'!$N$5:$N$428&gt;=DATE(YEAR(B779),MONTH(B779),1),FALSE)&gt;0)*((IF(('Client DB &amp; Bed Mgmt'!$N$5:$N$428="")+NOT(ISNUMBER('Client DB &amp; Bed Mgmt'!$N$5:$N$428)),EOMONTH(B779,0),IF('Client DB &amp; Bed Mgmt'!$N$5:$N$428&lt;EOMONTH(B779,0),'Client DB &amp; Bed Mgmt'!$N$5:$N$428,EOMONTH(B779,0))))-(IF(('Client DB &amp; Bed Mgmt'!$M$5:$M$428="")+NOT(ISNUMBER('Client DB &amp; Bed Mgmt'!$M$5:$M$428)),DATE(YEAR(B779),MONTH(B779),1),IF('Client DB &amp; Bed Mgmt'!$M$5:$M$428&gt;DATE(YEAR(B779),MONTH(B779),1),'Client DB &amp; Bed Mgmt'!$M$5:$M$428,DATE(YEAR(B779),MONTH(B779),1))))+1)/DAY(EOMONTH(B779,0))),0)</f>
        <v/>
      </c>
    </row>
    <row r="780" ht="14.25" customHeight="1" s="83">
      <c r="A780" s="103" t="n"/>
      <c r="B780" s="125">
        <f>DATE(YEAR(StartDate),MONTH(StartDate),1)</f>
        <v/>
      </c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Mgmt'!$B:$B,C780,'Client DB &amp; Bed Mgmt'!$E:$E,"Occupied"),0)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>
        <f>IFERROR(J780*SUMPRODUCT(('Client DB &amp; Bed Mgmt'!$A$5:$A$428=A780)*('Client DB &amp; Bed Mgmt'!$B$5:$B$428=C780)*('Client DB &amp; Bed Mgmt'!$D$5:$D$428&lt;&gt;"")*--(('Client DB &amp; Bed Mgmt'!$M$5:$M$428="")+NOT(ISNUMBER('Client DB &amp; Bed Mgmt'!$M$5:$M$428))+IFERROR('Client DB &amp; Bed Mgmt'!$M$5:$M$428&lt;=EOMONTH(B780,0),FALSE)&gt;0)*--(('Client DB &amp; Bed Mgmt'!$N$5:$N$428="")+NOT(ISNUMBER('Client DB &amp; Bed Mgmt'!$N$5:$N$428))+IFERROR('Client DB &amp; Bed Mgmt'!$N$5:$N$428&gt;=DATE(YEAR(B780),MONTH(B780),1),FALSE)&gt;0)*((IF(('Client DB &amp; Bed Mgmt'!$N$5:$N$428="")+NOT(ISNUMBER('Client DB &amp; Bed Mgmt'!$N$5:$N$428)),EOMONTH(B780,0),IF('Client DB &amp; Bed Mgmt'!$N$5:$N$428&lt;EOMONTH(B780,0),'Client DB &amp; Bed Mgmt'!$N$5:$N$428,EOMONTH(B780,0))))-(IF(('Client DB &amp; Bed Mgmt'!$M$5:$M$428="")+NOT(ISNUMBER('Client DB &amp; Bed Mgmt'!$M$5:$M$428)),DATE(YEAR(B780),MONTH(B780),1),IF('Client DB &amp; Bed Mgmt'!$M$5:$M$428&gt;DATE(YEAR(B780),MONTH(B780),1),'Client DB &amp; Bed Mgmt'!$M$5:$M$428,DATE(YEAR(B780),MONTH(B780),1))))+1)/DAY(EOMONTH(B780,0))),0)</f>
        <v/>
      </c>
    </row>
    <row r="781" ht="14.25" customHeight="1" s="83">
      <c r="A781" s="103" t="n"/>
      <c r="B781" s="125">
        <f>DATE(YEAR(StartDate),MONTH(StartDate),1)</f>
        <v/>
      </c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Mgmt'!$B:$B,C781,'Client DB &amp; Bed Mgmt'!$E:$E,"Occupied"),0)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>
        <f>IFERROR(J781*SUMPRODUCT(('Client DB &amp; Bed Mgmt'!$A$5:$A$428=A781)*('Client DB &amp; Bed Mgmt'!$B$5:$B$428=C781)*('Client DB &amp; Bed Mgmt'!$D$5:$D$428&lt;&gt;"")*--(('Client DB &amp; Bed Mgmt'!$M$5:$M$428="")+NOT(ISNUMBER('Client DB &amp; Bed Mgmt'!$M$5:$M$428))+IFERROR('Client DB &amp; Bed Mgmt'!$M$5:$M$428&lt;=EOMONTH(B781,0),FALSE)&gt;0)*--(('Client DB &amp; Bed Mgmt'!$N$5:$N$428="")+NOT(ISNUMBER('Client DB &amp; Bed Mgmt'!$N$5:$N$428))+IFERROR('Client DB &amp; Bed Mgmt'!$N$5:$N$428&gt;=DATE(YEAR(B781),MONTH(B781),1),FALSE)&gt;0)*((IF(('Client DB &amp; Bed Mgmt'!$N$5:$N$428="")+NOT(ISNUMBER('Client DB &amp; Bed Mgmt'!$N$5:$N$428)),EOMONTH(B781,0),IF('Client DB &amp; Bed Mgmt'!$N$5:$N$428&lt;EOMONTH(B781,0),'Client DB &amp; Bed Mgmt'!$N$5:$N$428,EOMONTH(B781,0))))-(IF(('Client DB &amp; Bed Mgmt'!$M$5:$M$428="")+NOT(ISNUMBER('Client DB &amp; Bed Mgmt'!$M$5:$M$428)),DATE(YEAR(B781),MONTH(B781),1),IF('Client DB &amp; Bed Mgmt'!$M$5:$M$428&gt;DATE(YEAR(B781),MONTH(B781),1),'Client DB &amp; Bed Mgmt'!$M$5:$M$428,DATE(YEAR(B781),MONTH(B781),1))))+1)/DAY(EOMONTH(B781,0))),0)</f>
        <v/>
      </c>
    </row>
    <row r="782" ht="14.25" customHeight="1" s="83">
      <c r="A782" s="103" t="n"/>
      <c r="B782" s="125">
        <f>DATE(YEAR(StartDate),MONTH(StartDate),1)</f>
        <v/>
      </c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Mgmt'!$B:$B,C782,'Client DB &amp; Bed Mgmt'!$E:$E,"Occupied"),0)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>
        <f>IFERROR(J782*SUMPRODUCT(('Client DB &amp; Bed Mgmt'!$A$5:$A$428=A782)*('Client DB &amp; Bed Mgmt'!$B$5:$B$428=C782)*('Client DB &amp; Bed Mgmt'!$D$5:$D$428&lt;&gt;"")*--(('Client DB &amp; Bed Mgmt'!$M$5:$M$428="")+NOT(ISNUMBER('Client DB &amp; Bed Mgmt'!$M$5:$M$428))+IFERROR('Client DB &amp; Bed Mgmt'!$M$5:$M$428&lt;=EOMONTH(B782,0),FALSE)&gt;0)*--(('Client DB &amp; Bed Mgmt'!$N$5:$N$428="")+NOT(ISNUMBER('Client DB &amp; Bed Mgmt'!$N$5:$N$428))+IFERROR('Client DB &amp; Bed Mgmt'!$N$5:$N$428&gt;=DATE(YEAR(B782),MONTH(B782),1),FALSE)&gt;0)*((IF(('Client DB &amp; Bed Mgmt'!$N$5:$N$428="")+NOT(ISNUMBER('Client DB &amp; Bed Mgmt'!$N$5:$N$428)),EOMONTH(B782,0),IF('Client DB &amp; Bed Mgmt'!$N$5:$N$428&lt;EOMONTH(B782,0),'Client DB &amp; Bed Mgmt'!$N$5:$N$428,EOMONTH(B782,0))))-(IF(('Client DB &amp; Bed Mgmt'!$M$5:$M$428="")+NOT(ISNUMBER('Client DB &amp; Bed Mgmt'!$M$5:$M$428)),DATE(YEAR(B782),MONTH(B782),1),IF('Client DB &amp; Bed Mgmt'!$M$5:$M$428&gt;DATE(YEAR(B782),MONTH(B782),1),'Client DB &amp; Bed Mgmt'!$M$5:$M$428,DATE(YEAR(B782),MONTH(B782),1))))+1)/DAY(EOMONTH(B782,0))),0)</f>
        <v/>
      </c>
    </row>
    <row r="783" ht="14.25" customHeight="1" s="83">
      <c r="A783" s="103" t="n"/>
      <c r="B783" s="125">
        <f>DATE(YEAR(StartDate),MONTH(StartDate),1)</f>
        <v/>
      </c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Mgmt'!$B:$B,C783,'Client DB &amp; Bed Mgmt'!$E:$E,"Occupied"),0)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>
        <f>IFERROR(J783*SUMPRODUCT(('Client DB &amp; Bed Mgmt'!$A$5:$A$428=A783)*('Client DB &amp; Bed Mgmt'!$B$5:$B$428=C783)*('Client DB &amp; Bed Mgmt'!$D$5:$D$428&lt;&gt;"")*--(('Client DB &amp; Bed Mgmt'!$M$5:$M$428="")+NOT(ISNUMBER('Client DB &amp; Bed Mgmt'!$M$5:$M$428))+IFERROR('Client DB &amp; Bed Mgmt'!$M$5:$M$428&lt;=EOMONTH(B783,0),FALSE)&gt;0)*--(('Client DB &amp; Bed Mgmt'!$N$5:$N$428="")+NOT(ISNUMBER('Client DB &amp; Bed Mgmt'!$N$5:$N$428))+IFERROR('Client DB &amp; Bed Mgmt'!$N$5:$N$428&gt;=DATE(YEAR(B783),MONTH(B783),1),FALSE)&gt;0)*((IF(('Client DB &amp; Bed Mgmt'!$N$5:$N$428="")+NOT(ISNUMBER('Client DB &amp; Bed Mgmt'!$N$5:$N$428)),EOMONTH(B783,0),IF('Client DB &amp; Bed Mgmt'!$N$5:$N$428&lt;EOMONTH(B783,0),'Client DB &amp; Bed Mgmt'!$N$5:$N$428,EOMONTH(B783,0))))-(IF(('Client DB &amp; Bed Mgmt'!$M$5:$M$428="")+NOT(ISNUMBER('Client DB &amp; Bed Mgmt'!$M$5:$M$428)),DATE(YEAR(B783),MONTH(B783),1),IF('Client DB &amp; Bed Mgmt'!$M$5:$M$428&gt;DATE(YEAR(B783),MONTH(B783),1),'Client DB &amp; Bed Mgmt'!$M$5:$M$428,DATE(YEAR(B783),MONTH(B783),1))))+1)/DAY(EOMONTH(B783,0))),0)</f>
        <v/>
      </c>
    </row>
    <row r="784" ht="14.25" customHeight="1" s="83">
      <c r="A784" s="103" t="n"/>
      <c r="B784" s="125">
        <f>DATE(YEAR(StartDate),MONTH(StartDate),1)</f>
        <v/>
      </c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Mgmt'!$B:$B,C784,'Client DB &amp; Bed Mgmt'!$E:$E,"Occupied"),0)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>
        <f>IFERROR(J784*SUMPRODUCT(('Client DB &amp; Bed Mgmt'!$A$5:$A$428=A784)*('Client DB &amp; Bed Mgmt'!$B$5:$B$428=C784)*('Client DB &amp; Bed Mgmt'!$D$5:$D$428&lt;&gt;"")*--(('Client DB &amp; Bed Mgmt'!$M$5:$M$428="")+NOT(ISNUMBER('Client DB &amp; Bed Mgmt'!$M$5:$M$428))+IFERROR('Client DB &amp; Bed Mgmt'!$M$5:$M$428&lt;=EOMONTH(B784,0),FALSE)&gt;0)*--(('Client DB &amp; Bed Mgmt'!$N$5:$N$428="")+NOT(ISNUMBER('Client DB &amp; Bed Mgmt'!$N$5:$N$428))+IFERROR('Client DB &amp; Bed Mgmt'!$N$5:$N$428&gt;=DATE(YEAR(B784),MONTH(B784),1),FALSE)&gt;0)*((IF(('Client DB &amp; Bed Mgmt'!$N$5:$N$428="")+NOT(ISNUMBER('Client DB &amp; Bed Mgmt'!$N$5:$N$428)),EOMONTH(B784,0),IF('Client DB &amp; Bed Mgmt'!$N$5:$N$428&lt;EOMONTH(B784,0),'Client DB &amp; Bed Mgmt'!$N$5:$N$428,EOMONTH(B784,0))))-(IF(('Client DB &amp; Bed Mgmt'!$M$5:$M$428="")+NOT(ISNUMBER('Client DB &amp; Bed Mgmt'!$M$5:$M$428)),DATE(YEAR(B784),MONTH(B784),1),IF('Client DB &amp; Bed Mgmt'!$M$5:$M$428&gt;DATE(YEAR(B784),MONTH(B784),1),'Client DB &amp; Bed Mgmt'!$M$5:$M$428,DATE(YEAR(B784),MONTH(B784),1))))+1)/DAY(EOMONTH(B784,0))),0)</f>
        <v/>
      </c>
    </row>
    <row r="785" ht="14.25" customHeight="1" s="83">
      <c r="A785" s="103" t="n"/>
      <c r="B785" s="125">
        <f>DATE(YEAR(StartDate),MONTH(StartDate),1)</f>
        <v/>
      </c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Mgmt'!$B:$B,C785,'Client DB &amp; Bed Mgmt'!$E:$E,"Occupied"),0)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>
        <f>IFERROR(J785*SUMPRODUCT(('Client DB &amp; Bed Mgmt'!$A$5:$A$428=A785)*('Client DB &amp; Bed Mgmt'!$B$5:$B$428=C785)*('Client DB &amp; Bed Mgmt'!$D$5:$D$428&lt;&gt;"")*--(('Client DB &amp; Bed Mgmt'!$M$5:$M$428="")+NOT(ISNUMBER('Client DB &amp; Bed Mgmt'!$M$5:$M$428))+IFERROR('Client DB &amp; Bed Mgmt'!$M$5:$M$428&lt;=EOMONTH(B785,0),FALSE)&gt;0)*--(('Client DB &amp; Bed Mgmt'!$N$5:$N$428="")+NOT(ISNUMBER('Client DB &amp; Bed Mgmt'!$N$5:$N$428))+IFERROR('Client DB &amp; Bed Mgmt'!$N$5:$N$428&gt;=DATE(YEAR(B785),MONTH(B785),1),FALSE)&gt;0)*((IF(('Client DB &amp; Bed Mgmt'!$N$5:$N$428="")+NOT(ISNUMBER('Client DB &amp; Bed Mgmt'!$N$5:$N$428)),EOMONTH(B785,0),IF('Client DB &amp; Bed Mgmt'!$N$5:$N$428&lt;EOMONTH(B785,0),'Client DB &amp; Bed Mgmt'!$N$5:$N$428,EOMONTH(B785,0))))-(IF(('Client DB &amp; Bed Mgmt'!$M$5:$M$428="")+NOT(ISNUMBER('Client DB &amp; Bed Mgmt'!$M$5:$M$428)),DATE(YEAR(B785),MONTH(B785),1),IF('Client DB &amp; Bed Mgmt'!$M$5:$M$428&gt;DATE(YEAR(B785),MONTH(B785),1),'Client DB &amp; Bed Mgmt'!$M$5:$M$428,DATE(YEAR(B785),MONTH(B785),1))))+1)/DAY(EOMONTH(B785,0))),0)</f>
        <v/>
      </c>
    </row>
    <row r="786" ht="14.25" customHeight="1" s="83">
      <c r="A786" s="103" t="n"/>
      <c r="B786" s="125">
        <f>DATE(YEAR(StartDate),MONTH(StartDate),1)</f>
        <v/>
      </c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Mgmt'!$B:$B,C786,'Client DB &amp; Bed Mgmt'!$E:$E,"Occupied"),0)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>
        <f>IFERROR(J786*SUMPRODUCT(('Client DB &amp; Bed Mgmt'!$A$5:$A$428=A786)*('Client DB &amp; Bed Mgmt'!$B$5:$B$428=C786)*('Client DB &amp; Bed Mgmt'!$D$5:$D$428&lt;&gt;"")*--(('Client DB &amp; Bed Mgmt'!$M$5:$M$428="")+NOT(ISNUMBER('Client DB &amp; Bed Mgmt'!$M$5:$M$428))+IFERROR('Client DB &amp; Bed Mgmt'!$M$5:$M$428&lt;=EOMONTH(B786,0),FALSE)&gt;0)*--(('Client DB &amp; Bed Mgmt'!$N$5:$N$428="")+NOT(ISNUMBER('Client DB &amp; Bed Mgmt'!$N$5:$N$428))+IFERROR('Client DB &amp; Bed Mgmt'!$N$5:$N$428&gt;=DATE(YEAR(B786),MONTH(B786),1),FALSE)&gt;0)*((IF(('Client DB &amp; Bed Mgmt'!$N$5:$N$428="")+NOT(ISNUMBER('Client DB &amp; Bed Mgmt'!$N$5:$N$428)),EOMONTH(B786,0),IF('Client DB &amp; Bed Mgmt'!$N$5:$N$428&lt;EOMONTH(B786,0),'Client DB &amp; Bed Mgmt'!$N$5:$N$428,EOMONTH(B786,0))))-(IF(('Client DB &amp; Bed Mgmt'!$M$5:$M$428="")+NOT(ISNUMBER('Client DB &amp; Bed Mgmt'!$M$5:$M$428)),DATE(YEAR(B786),MONTH(B786),1),IF('Client DB &amp; Bed Mgmt'!$M$5:$M$428&gt;DATE(YEAR(B786),MONTH(B786),1),'Client DB &amp; Bed Mgmt'!$M$5:$M$428,DATE(YEAR(B786),MONTH(B786),1))))+1)/DAY(EOMONTH(B786,0))),0)</f>
        <v/>
      </c>
    </row>
    <row r="787" ht="14.25" customHeight="1" s="83">
      <c r="A787" s="103" t="n"/>
      <c r="B787" s="125">
        <f>DATE(YEAR(StartDate),MONTH(StartDate),1)</f>
        <v/>
      </c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Mgmt'!$B:$B,C787,'Client DB &amp; Bed Mgmt'!$E:$E,"Occupied"),0)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>
        <f>IFERROR(J787*SUMPRODUCT(('Client DB &amp; Bed Mgmt'!$A$5:$A$428=A787)*('Client DB &amp; Bed Mgmt'!$B$5:$B$428=C787)*('Client DB &amp; Bed Mgmt'!$D$5:$D$428&lt;&gt;"")*--(('Client DB &amp; Bed Mgmt'!$M$5:$M$428="")+NOT(ISNUMBER('Client DB &amp; Bed Mgmt'!$M$5:$M$428))+IFERROR('Client DB &amp; Bed Mgmt'!$M$5:$M$428&lt;=EOMONTH(B787,0),FALSE)&gt;0)*--(('Client DB &amp; Bed Mgmt'!$N$5:$N$428="")+NOT(ISNUMBER('Client DB &amp; Bed Mgmt'!$N$5:$N$428))+IFERROR('Client DB &amp; Bed Mgmt'!$N$5:$N$428&gt;=DATE(YEAR(B787),MONTH(B787),1),FALSE)&gt;0)*((IF(('Client DB &amp; Bed Mgmt'!$N$5:$N$428="")+NOT(ISNUMBER('Client DB &amp; Bed Mgmt'!$N$5:$N$428)),EOMONTH(B787,0),IF('Client DB &amp; Bed Mgmt'!$N$5:$N$428&lt;EOMONTH(B787,0),'Client DB &amp; Bed Mgmt'!$N$5:$N$428,EOMONTH(B787,0))))-(IF(('Client DB &amp; Bed Mgmt'!$M$5:$M$428="")+NOT(ISNUMBER('Client DB &amp; Bed Mgmt'!$M$5:$M$428)),DATE(YEAR(B787),MONTH(B787),1),IF('Client DB &amp; Bed Mgmt'!$M$5:$M$428&gt;DATE(YEAR(B787),MONTH(B787),1),'Client DB &amp; Bed Mgmt'!$M$5:$M$428,DATE(YEAR(B787),MONTH(B787),1))))+1)/DAY(EOMONTH(B787,0))),0)</f>
        <v/>
      </c>
    </row>
    <row r="788" ht="14.25" customHeight="1" s="83">
      <c r="A788" s="103" t="n"/>
      <c r="B788" s="125">
        <f>DATE(YEAR(StartDate),MONTH(StartDate),1)</f>
        <v/>
      </c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Mgmt'!$B:$B,C788,'Client DB &amp; Bed Mgmt'!$E:$E,"Occupied"),0)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>
        <f>IFERROR(J788*SUMPRODUCT(('Client DB &amp; Bed Mgmt'!$A$5:$A$428=A788)*('Client DB &amp; Bed Mgmt'!$B$5:$B$428=C788)*('Client DB &amp; Bed Mgmt'!$D$5:$D$428&lt;&gt;"")*--(('Client DB &amp; Bed Mgmt'!$M$5:$M$428="")+NOT(ISNUMBER('Client DB &amp; Bed Mgmt'!$M$5:$M$428))+IFERROR('Client DB &amp; Bed Mgmt'!$M$5:$M$428&lt;=EOMONTH(B788,0),FALSE)&gt;0)*--(('Client DB &amp; Bed Mgmt'!$N$5:$N$428="")+NOT(ISNUMBER('Client DB &amp; Bed Mgmt'!$N$5:$N$428))+IFERROR('Client DB &amp; Bed Mgmt'!$N$5:$N$428&gt;=DATE(YEAR(B788),MONTH(B788),1),FALSE)&gt;0)*((IF(('Client DB &amp; Bed Mgmt'!$N$5:$N$428="")+NOT(ISNUMBER('Client DB &amp; Bed Mgmt'!$N$5:$N$428)),EOMONTH(B788,0),IF('Client DB &amp; Bed Mgmt'!$N$5:$N$428&lt;EOMONTH(B788,0),'Client DB &amp; Bed Mgmt'!$N$5:$N$428,EOMONTH(B788,0))))-(IF(('Client DB &amp; Bed Mgmt'!$M$5:$M$428="")+NOT(ISNUMBER('Client DB &amp; Bed Mgmt'!$M$5:$M$428)),DATE(YEAR(B788),MONTH(B788),1),IF('Client DB &amp; Bed Mgmt'!$M$5:$M$428&gt;DATE(YEAR(B788),MONTH(B788),1),'Client DB &amp; Bed Mgmt'!$M$5:$M$428,DATE(YEAR(B788),MONTH(B788),1))))+1)/DAY(EOMONTH(B788,0))),0)</f>
        <v/>
      </c>
    </row>
    <row r="789" ht="14.25" customHeight="1" s="83">
      <c r="A789" s="103" t="n"/>
      <c r="B789" s="125">
        <f>DATE(YEAR(StartDate),MONTH(StartDate),1)</f>
        <v/>
      </c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Mgmt'!$B:$B,C789,'Client DB &amp; Bed Mgmt'!$E:$E,"Occupied"),0)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>
        <f>IFERROR(J789*SUMPRODUCT(('Client DB &amp; Bed Mgmt'!$A$5:$A$428=A789)*('Client DB &amp; Bed Mgmt'!$B$5:$B$428=C789)*('Client DB &amp; Bed Mgmt'!$D$5:$D$428&lt;&gt;"")*--(('Client DB &amp; Bed Mgmt'!$M$5:$M$428="")+NOT(ISNUMBER('Client DB &amp; Bed Mgmt'!$M$5:$M$428))+IFERROR('Client DB &amp; Bed Mgmt'!$M$5:$M$428&lt;=EOMONTH(B789,0),FALSE)&gt;0)*--(('Client DB &amp; Bed Mgmt'!$N$5:$N$428="")+NOT(ISNUMBER('Client DB &amp; Bed Mgmt'!$N$5:$N$428))+IFERROR('Client DB &amp; Bed Mgmt'!$N$5:$N$428&gt;=DATE(YEAR(B789),MONTH(B789),1),FALSE)&gt;0)*((IF(('Client DB &amp; Bed Mgmt'!$N$5:$N$428="")+NOT(ISNUMBER('Client DB &amp; Bed Mgmt'!$N$5:$N$428)),EOMONTH(B789,0),IF('Client DB &amp; Bed Mgmt'!$N$5:$N$428&lt;EOMONTH(B789,0),'Client DB &amp; Bed Mgmt'!$N$5:$N$428,EOMONTH(B789,0))))-(IF(('Client DB &amp; Bed Mgmt'!$M$5:$M$428="")+NOT(ISNUMBER('Client DB &amp; Bed Mgmt'!$M$5:$M$428)),DATE(YEAR(B789),MONTH(B789),1),IF('Client DB &amp; Bed Mgmt'!$M$5:$M$428&gt;DATE(YEAR(B789),MONTH(B789),1),'Client DB &amp; Bed Mgmt'!$M$5:$M$428,DATE(YEAR(B789),MONTH(B789),1))))+1)/DAY(EOMONTH(B789,0))),0)</f>
        <v/>
      </c>
    </row>
    <row r="790" ht="14.25" customHeight="1" s="83">
      <c r="A790" s="103" t="n"/>
      <c r="B790" s="125">
        <f>DATE(YEAR(StartDate),MONTH(StartDate),1)</f>
        <v/>
      </c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Mgmt'!$B:$B,C790,'Client DB &amp; Bed Mgmt'!$E:$E,"Occupied"),0)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>
        <f>IFERROR(J790*SUMPRODUCT(('Client DB &amp; Bed Mgmt'!$A$5:$A$428=A790)*('Client DB &amp; Bed Mgmt'!$B$5:$B$428=C790)*('Client DB &amp; Bed Mgmt'!$D$5:$D$428&lt;&gt;"")*--(('Client DB &amp; Bed Mgmt'!$M$5:$M$428="")+NOT(ISNUMBER('Client DB &amp; Bed Mgmt'!$M$5:$M$428))+IFERROR('Client DB &amp; Bed Mgmt'!$M$5:$M$428&lt;=EOMONTH(B790,0),FALSE)&gt;0)*--(('Client DB &amp; Bed Mgmt'!$N$5:$N$428="")+NOT(ISNUMBER('Client DB &amp; Bed Mgmt'!$N$5:$N$428))+IFERROR('Client DB &amp; Bed Mgmt'!$N$5:$N$428&gt;=DATE(YEAR(B790),MONTH(B790),1),FALSE)&gt;0)*((IF(('Client DB &amp; Bed Mgmt'!$N$5:$N$428="")+NOT(ISNUMBER('Client DB &amp; Bed Mgmt'!$N$5:$N$428)),EOMONTH(B790,0),IF('Client DB &amp; Bed Mgmt'!$N$5:$N$428&lt;EOMONTH(B790,0),'Client DB &amp; Bed Mgmt'!$N$5:$N$428,EOMONTH(B790,0))))-(IF(('Client DB &amp; Bed Mgmt'!$M$5:$M$428="")+NOT(ISNUMBER('Client DB &amp; Bed Mgmt'!$M$5:$M$428)),DATE(YEAR(B790),MONTH(B790),1),IF('Client DB &amp; Bed Mgmt'!$M$5:$M$428&gt;DATE(YEAR(B790),MONTH(B790),1),'Client DB &amp; Bed Mgmt'!$M$5:$M$428,DATE(YEAR(B790),MONTH(B790),1))))+1)/DAY(EOMONTH(B790,0))),0)</f>
        <v/>
      </c>
    </row>
    <row r="791" ht="14.25" customHeight="1" s="83">
      <c r="A791" s="103" t="n"/>
      <c r="B791" s="125">
        <f>DATE(YEAR(StartDate),MONTH(StartDate),1)</f>
        <v/>
      </c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Mgmt'!$B:$B,C791,'Client DB &amp; Bed Mgmt'!$E:$E,"Occupied"),0)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>
        <f>IFERROR(J791*SUMPRODUCT(('Client DB &amp; Bed Mgmt'!$A$5:$A$428=A791)*('Client DB &amp; Bed Mgmt'!$B$5:$B$428=C791)*('Client DB &amp; Bed Mgmt'!$D$5:$D$428&lt;&gt;"")*--(('Client DB &amp; Bed Mgmt'!$M$5:$M$428="")+NOT(ISNUMBER('Client DB &amp; Bed Mgmt'!$M$5:$M$428))+IFERROR('Client DB &amp; Bed Mgmt'!$M$5:$M$428&lt;=EOMONTH(B791,0),FALSE)&gt;0)*--(('Client DB &amp; Bed Mgmt'!$N$5:$N$428="")+NOT(ISNUMBER('Client DB &amp; Bed Mgmt'!$N$5:$N$428))+IFERROR('Client DB &amp; Bed Mgmt'!$N$5:$N$428&gt;=DATE(YEAR(B791),MONTH(B791),1),FALSE)&gt;0)*((IF(('Client DB &amp; Bed Mgmt'!$N$5:$N$428="")+NOT(ISNUMBER('Client DB &amp; Bed Mgmt'!$N$5:$N$428)),EOMONTH(B791,0),IF('Client DB &amp; Bed Mgmt'!$N$5:$N$428&lt;EOMONTH(B791,0),'Client DB &amp; Bed Mgmt'!$N$5:$N$428,EOMONTH(B791,0))))-(IF(('Client DB &amp; Bed Mgmt'!$M$5:$M$428="")+NOT(ISNUMBER('Client DB &amp; Bed Mgmt'!$M$5:$M$428)),DATE(YEAR(B791),MONTH(B791),1),IF('Client DB &amp; Bed Mgmt'!$M$5:$M$428&gt;DATE(YEAR(B791),MONTH(B791),1),'Client DB &amp; Bed Mgmt'!$M$5:$M$428,DATE(YEAR(B791),MONTH(B791),1))))+1)/DAY(EOMONTH(B791,0))),0)</f>
        <v/>
      </c>
    </row>
    <row r="792" ht="14.25" customHeight="1" s="83">
      <c r="A792" s="103" t="n"/>
      <c r="B792" s="125">
        <f>DATE(YEAR(StartDate),MONTH(StartDate),1)</f>
        <v/>
      </c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Mgmt'!$B:$B,C792,'Client DB &amp; Bed Mgmt'!$E:$E,"Occupied"),0)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>
        <f>IFERROR(J792*SUMPRODUCT(('Client DB &amp; Bed Mgmt'!$A$5:$A$428=A792)*('Client DB &amp; Bed Mgmt'!$B$5:$B$428=C792)*('Client DB &amp; Bed Mgmt'!$D$5:$D$428&lt;&gt;"")*--(('Client DB &amp; Bed Mgmt'!$M$5:$M$428="")+NOT(ISNUMBER('Client DB &amp; Bed Mgmt'!$M$5:$M$428))+IFERROR('Client DB &amp; Bed Mgmt'!$M$5:$M$428&lt;=EOMONTH(B792,0),FALSE)&gt;0)*--(('Client DB &amp; Bed Mgmt'!$N$5:$N$428="")+NOT(ISNUMBER('Client DB &amp; Bed Mgmt'!$N$5:$N$428))+IFERROR('Client DB &amp; Bed Mgmt'!$N$5:$N$428&gt;=DATE(YEAR(B792),MONTH(B792),1),FALSE)&gt;0)*((IF(('Client DB &amp; Bed Mgmt'!$N$5:$N$428="")+NOT(ISNUMBER('Client DB &amp; Bed Mgmt'!$N$5:$N$428)),EOMONTH(B792,0),IF('Client DB &amp; Bed Mgmt'!$N$5:$N$428&lt;EOMONTH(B792,0),'Client DB &amp; Bed Mgmt'!$N$5:$N$428,EOMONTH(B792,0))))-(IF(('Client DB &amp; Bed Mgmt'!$M$5:$M$428="")+NOT(ISNUMBER('Client DB &amp; Bed Mgmt'!$M$5:$M$428)),DATE(YEAR(B792),MONTH(B792),1),IF('Client DB &amp; Bed Mgmt'!$M$5:$M$428&gt;DATE(YEAR(B792),MONTH(B792),1),'Client DB &amp; Bed Mgmt'!$M$5:$M$428,DATE(YEAR(B792),MONTH(B792),1))))+1)/DAY(EOMONTH(B792,0))),0)</f>
        <v/>
      </c>
    </row>
    <row r="793" ht="14.25" customHeight="1" s="83">
      <c r="A793" s="103" t="n"/>
      <c r="B793" s="125">
        <f>DATE(YEAR(StartDate),MONTH(StartDate),1)</f>
        <v/>
      </c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Mgmt'!$B:$B,C793,'Client DB &amp; Bed Mgmt'!$E:$E,"Occupied"),0)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>
        <f>IFERROR(J793*SUMPRODUCT(('Client DB &amp; Bed Mgmt'!$A$5:$A$428=A793)*('Client DB &amp; Bed Mgmt'!$B$5:$B$428=C793)*('Client DB &amp; Bed Mgmt'!$D$5:$D$428&lt;&gt;"")*--(('Client DB &amp; Bed Mgmt'!$M$5:$M$428="")+NOT(ISNUMBER('Client DB &amp; Bed Mgmt'!$M$5:$M$428))+IFERROR('Client DB &amp; Bed Mgmt'!$M$5:$M$428&lt;=EOMONTH(B793,0),FALSE)&gt;0)*--(('Client DB &amp; Bed Mgmt'!$N$5:$N$428="")+NOT(ISNUMBER('Client DB &amp; Bed Mgmt'!$N$5:$N$428))+IFERROR('Client DB &amp; Bed Mgmt'!$N$5:$N$428&gt;=DATE(YEAR(B793),MONTH(B793),1),FALSE)&gt;0)*((IF(('Client DB &amp; Bed Mgmt'!$N$5:$N$428="")+NOT(ISNUMBER('Client DB &amp; Bed Mgmt'!$N$5:$N$428)),EOMONTH(B793,0),IF('Client DB &amp; Bed Mgmt'!$N$5:$N$428&lt;EOMONTH(B793,0),'Client DB &amp; Bed Mgmt'!$N$5:$N$428,EOMONTH(B793,0))))-(IF(('Client DB &amp; Bed Mgmt'!$M$5:$M$428="")+NOT(ISNUMBER('Client DB &amp; Bed Mgmt'!$M$5:$M$428)),DATE(YEAR(B793),MONTH(B793),1),IF('Client DB &amp; Bed Mgmt'!$M$5:$M$428&gt;DATE(YEAR(B793),MONTH(B793),1),'Client DB &amp; Bed Mgmt'!$M$5:$M$428,DATE(YEAR(B793),MONTH(B793),1))))+1)/DAY(EOMONTH(B793,0))),0)</f>
        <v/>
      </c>
    </row>
    <row r="794" ht="14.25" customHeight="1" s="83">
      <c r="A794" s="103" t="n"/>
      <c r="B794" s="125">
        <f>DATE(YEAR(StartDate),MONTH(StartDate),1)</f>
        <v/>
      </c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Mgmt'!$B:$B,C794,'Client DB &amp; Bed Mgmt'!$E:$E,"Occupied"),0)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>
        <f>IFERROR(J794*SUMPRODUCT(('Client DB &amp; Bed Mgmt'!$A$5:$A$428=A794)*('Client DB &amp; Bed Mgmt'!$B$5:$B$428=C794)*('Client DB &amp; Bed Mgmt'!$D$5:$D$428&lt;&gt;"")*--(('Client DB &amp; Bed Mgmt'!$M$5:$M$428="")+NOT(ISNUMBER('Client DB &amp; Bed Mgmt'!$M$5:$M$428))+IFERROR('Client DB &amp; Bed Mgmt'!$M$5:$M$428&lt;=EOMONTH(B794,0),FALSE)&gt;0)*--(('Client DB &amp; Bed Mgmt'!$N$5:$N$428="")+NOT(ISNUMBER('Client DB &amp; Bed Mgmt'!$N$5:$N$428))+IFERROR('Client DB &amp; Bed Mgmt'!$N$5:$N$428&gt;=DATE(YEAR(B794),MONTH(B794),1),FALSE)&gt;0)*((IF(('Client DB &amp; Bed Mgmt'!$N$5:$N$428="")+NOT(ISNUMBER('Client DB &amp; Bed Mgmt'!$N$5:$N$428)),EOMONTH(B794,0),IF('Client DB &amp; Bed Mgmt'!$N$5:$N$428&lt;EOMONTH(B794,0),'Client DB &amp; Bed Mgmt'!$N$5:$N$428,EOMONTH(B794,0))))-(IF(('Client DB &amp; Bed Mgmt'!$M$5:$M$428="")+NOT(ISNUMBER('Client DB &amp; Bed Mgmt'!$M$5:$M$428)),DATE(YEAR(B794),MONTH(B794),1),IF('Client DB &amp; Bed Mgmt'!$M$5:$M$428&gt;DATE(YEAR(B794),MONTH(B794),1),'Client DB &amp; Bed Mgmt'!$M$5:$M$428,DATE(YEAR(B794),MONTH(B794),1))))+1)/DAY(EOMONTH(B794,0))),0)</f>
        <v/>
      </c>
    </row>
    <row r="795" ht="14.25" customHeight="1" s="83">
      <c r="A795" s="103" t="n"/>
      <c r="B795" s="125">
        <f>DATE(YEAR(StartDate),MONTH(StartDate),1)</f>
        <v/>
      </c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Mgmt'!$B:$B,C795,'Client DB &amp; Bed Mgmt'!$E:$E,"Occupied"),0)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>
        <f>IFERROR(J795*SUMPRODUCT(('Client DB &amp; Bed Mgmt'!$A$5:$A$428=A795)*('Client DB &amp; Bed Mgmt'!$B$5:$B$428=C795)*('Client DB &amp; Bed Mgmt'!$D$5:$D$428&lt;&gt;"")*--(('Client DB &amp; Bed Mgmt'!$M$5:$M$428="")+NOT(ISNUMBER('Client DB &amp; Bed Mgmt'!$M$5:$M$428))+IFERROR('Client DB &amp; Bed Mgmt'!$M$5:$M$428&lt;=EOMONTH(B795,0),FALSE)&gt;0)*--(('Client DB &amp; Bed Mgmt'!$N$5:$N$428="")+NOT(ISNUMBER('Client DB &amp; Bed Mgmt'!$N$5:$N$428))+IFERROR('Client DB &amp; Bed Mgmt'!$N$5:$N$428&gt;=DATE(YEAR(B795),MONTH(B795),1),FALSE)&gt;0)*((IF(('Client DB &amp; Bed Mgmt'!$N$5:$N$428="")+NOT(ISNUMBER('Client DB &amp; Bed Mgmt'!$N$5:$N$428)),EOMONTH(B795,0),IF('Client DB &amp; Bed Mgmt'!$N$5:$N$428&lt;EOMONTH(B795,0),'Client DB &amp; Bed Mgmt'!$N$5:$N$428,EOMONTH(B795,0))))-(IF(('Client DB &amp; Bed Mgmt'!$M$5:$M$428="")+NOT(ISNUMBER('Client DB &amp; Bed Mgmt'!$M$5:$M$428)),DATE(YEAR(B795),MONTH(B795),1),IF('Client DB &amp; Bed Mgmt'!$M$5:$M$428&gt;DATE(YEAR(B795),MONTH(B795),1),'Client DB &amp; Bed Mgmt'!$M$5:$M$428,DATE(YEAR(B795),MONTH(B795),1))))+1)/DAY(EOMONTH(B795,0))),0)</f>
        <v/>
      </c>
    </row>
    <row r="796" ht="14.25" customHeight="1" s="83">
      <c r="A796" s="103" t="n"/>
      <c r="B796" s="125">
        <f>DATE(YEAR(StartDate),MONTH(StartDate),1)</f>
        <v/>
      </c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Mgmt'!$B:$B,C796,'Client DB &amp; Bed Mgmt'!$E:$E,"Occupied"),0)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>
        <f>IFERROR(J796*SUMPRODUCT(('Client DB &amp; Bed Mgmt'!$A$5:$A$428=A796)*('Client DB &amp; Bed Mgmt'!$B$5:$B$428=C796)*('Client DB &amp; Bed Mgmt'!$D$5:$D$428&lt;&gt;"")*--(('Client DB &amp; Bed Mgmt'!$M$5:$M$428="")+NOT(ISNUMBER('Client DB &amp; Bed Mgmt'!$M$5:$M$428))+IFERROR('Client DB &amp; Bed Mgmt'!$M$5:$M$428&lt;=EOMONTH(B796,0),FALSE)&gt;0)*--(('Client DB &amp; Bed Mgmt'!$N$5:$N$428="")+NOT(ISNUMBER('Client DB &amp; Bed Mgmt'!$N$5:$N$428))+IFERROR('Client DB &amp; Bed Mgmt'!$N$5:$N$428&gt;=DATE(YEAR(B796),MONTH(B796),1),FALSE)&gt;0)*((IF(('Client DB &amp; Bed Mgmt'!$N$5:$N$428="")+NOT(ISNUMBER('Client DB &amp; Bed Mgmt'!$N$5:$N$428)),EOMONTH(B796,0),IF('Client DB &amp; Bed Mgmt'!$N$5:$N$428&lt;EOMONTH(B796,0),'Client DB &amp; Bed Mgmt'!$N$5:$N$428,EOMONTH(B796,0))))-(IF(('Client DB &amp; Bed Mgmt'!$M$5:$M$428="")+NOT(ISNUMBER('Client DB &amp; Bed Mgmt'!$M$5:$M$428)),DATE(YEAR(B796),MONTH(B796),1),IF('Client DB &amp; Bed Mgmt'!$M$5:$M$428&gt;DATE(YEAR(B796),MONTH(B796),1),'Client DB &amp; Bed Mgmt'!$M$5:$M$428,DATE(YEAR(B796),MONTH(B796),1))))+1)/DAY(EOMONTH(B796,0))),0)</f>
        <v/>
      </c>
    </row>
    <row r="797" ht="14.25" customHeight="1" s="83">
      <c r="A797" s="103" t="n"/>
      <c r="B797" s="125">
        <f>DATE(YEAR(StartDate),MONTH(StartDate),1)</f>
        <v/>
      </c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Mgmt'!$B:$B,C797,'Client DB &amp; Bed Mgmt'!$E:$E,"Occupied"),0)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>
        <f>IFERROR(J797*SUMPRODUCT(('Client DB &amp; Bed Mgmt'!$A$5:$A$428=A797)*('Client DB &amp; Bed Mgmt'!$B$5:$B$428=C797)*('Client DB &amp; Bed Mgmt'!$D$5:$D$428&lt;&gt;"")*--(('Client DB &amp; Bed Mgmt'!$M$5:$M$428="")+NOT(ISNUMBER('Client DB &amp; Bed Mgmt'!$M$5:$M$428))+IFERROR('Client DB &amp; Bed Mgmt'!$M$5:$M$428&lt;=EOMONTH(B797,0),FALSE)&gt;0)*--(('Client DB &amp; Bed Mgmt'!$N$5:$N$428="")+NOT(ISNUMBER('Client DB &amp; Bed Mgmt'!$N$5:$N$428))+IFERROR('Client DB &amp; Bed Mgmt'!$N$5:$N$428&gt;=DATE(YEAR(B797),MONTH(B797),1),FALSE)&gt;0)*((IF(('Client DB &amp; Bed Mgmt'!$N$5:$N$428="")+NOT(ISNUMBER('Client DB &amp; Bed Mgmt'!$N$5:$N$428)),EOMONTH(B797,0),IF('Client DB &amp; Bed Mgmt'!$N$5:$N$428&lt;EOMONTH(B797,0),'Client DB &amp; Bed Mgmt'!$N$5:$N$428,EOMONTH(B797,0))))-(IF(('Client DB &amp; Bed Mgmt'!$M$5:$M$428="")+NOT(ISNUMBER('Client DB &amp; Bed Mgmt'!$M$5:$M$428)),DATE(YEAR(B797),MONTH(B797),1),IF('Client DB &amp; Bed Mgmt'!$M$5:$M$428&gt;DATE(YEAR(B797),MONTH(B797),1),'Client DB &amp; Bed Mgmt'!$M$5:$M$428,DATE(YEAR(B797),MONTH(B797),1))))+1)/DAY(EOMONTH(B797,0))),0)</f>
        <v/>
      </c>
    </row>
    <row r="798" ht="14.25" customHeight="1" s="83">
      <c r="A798" s="103" t="n"/>
      <c r="B798" s="125">
        <f>DATE(YEAR(StartDate),MONTH(StartDate),1)</f>
        <v/>
      </c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Mgmt'!$B:$B,C798,'Client DB &amp; Bed Mgmt'!$E:$E,"Occupied"),0)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>
        <f>IFERROR(J798*SUMPRODUCT(('Client DB &amp; Bed Mgmt'!$A$5:$A$428=A798)*('Client DB &amp; Bed Mgmt'!$B$5:$B$428=C798)*('Client DB &amp; Bed Mgmt'!$D$5:$D$428&lt;&gt;"")*--(('Client DB &amp; Bed Mgmt'!$M$5:$M$428="")+NOT(ISNUMBER('Client DB &amp; Bed Mgmt'!$M$5:$M$428))+IFERROR('Client DB &amp; Bed Mgmt'!$M$5:$M$428&lt;=EOMONTH(B798,0),FALSE)&gt;0)*--(('Client DB &amp; Bed Mgmt'!$N$5:$N$428="")+NOT(ISNUMBER('Client DB &amp; Bed Mgmt'!$N$5:$N$428))+IFERROR('Client DB &amp; Bed Mgmt'!$N$5:$N$428&gt;=DATE(YEAR(B798),MONTH(B798),1),FALSE)&gt;0)*((IF(('Client DB &amp; Bed Mgmt'!$N$5:$N$428="")+NOT(ISNUMBER('Client DB &amp; Bed Mgmt'!$N$5:$N$428)),EOMONTH(B798,0),IF('Client DB &amp; Bed Mgmt'!$N$5:$N$428&lt;EOMONTH(B798,0),'Client DB &amp; Bed Mgmt'!$N$5:$N$428,EOMONTH(B798,0))))-(IF(('Client DB &amp; Bed Mgmt'!$M$5:$M$428="")+NOT(ISNUMBER('Client DB &amp; Bed Mgmt'!$M$5:$M$428)),DATE(YEAR(B798),MONTH(B798),1),IF('Client DB &amp; Bed Mgmt'!$M$5:$M$428&gt;DATE(YEAR(B798),MONTH(B798),1),'Client DB &amp; Bed Mgmt'!$M$5:$M$428,DATE(YEAR(B798),MONTH(B798),1))))+1)/DAY(EOMONTH(B798,0))),0)</f>
        <v/>
      </c>
    </row>
    <row r="799" ht="14.25" customHeight="1" s="83">
      <c r="A799" s="103" t="n"/>
      <c r="B799" s="125">
        <f>DATE(YEAR(StartDate),MONTH(StartDate),1)</f>
        <v/>
      </c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Mgmt'!$B:$B,C799,'Client DB &amp; Bed Mgmt'!$E:$E,"Occupied"),0)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>
        <f>IFERROR(J799*SUMPRODUCT(('Client DB &amp; Bed Mgmt'!$A$5:$A$428=A799)*('Client DB &amp; Bed Mgmt'!$B$5:$B$428=C799)*('Client DB &amp; Bed Mgmt'!$D$5:$D$428&lt;&gt;"")*--(('Client DB &amp; Bed Mgmt'!$M$5:$M$428="")+NOT(ISNUMBER('Client DB &amp; Bed Mgmt'!$M$5:$M$428))+IFERROR('Client DB &amp; Bed Mgmt'!$M$5:$M$428&lt;=EOMONTH(B799,0),FALSE)&gt;0)*--(('Client DB &amp; Bed Mgmt'!$N$5:$N$428="")+NOT(ISNUMBER('Client DB &amp; Bed Mgmt'!$N$5:$N$428))+IFERROR('Client DB &amp; Bed Mgmt'!$N$5:$N$428&gt;=DATE(YEAR(B799),MONTH(B799),1),FALSE)&gt;0)*((IF(('Client DB &amp; Bed Mgmt'!$N$5:$N$428="")+NOT(ISNUMBER('Client DB &amp; Bed Mgmt'!$N$5:$N$428)),EOMONTH(B799,0),IF('Client DB &amp; Bed Mgmt'!$N$5:$N$428&lt;EOMONTH(B799,0),'Client DB &amp; Bed Mgmt'!$N$5:$N$428,EOMONTH(B799,0))))-(IF(('Client DB &amp; Bed Mgmt'!$M$5:$M$428="")+NOT(ISNUMBER('Client DB &amp; Bed Mgmt'!$M$5:$M$428)),DATE(YEAR(B799),MONTH(B799),1),IF('Client DB &amp; Bed Mgmt'!$M$5:$M$428&gt;DATE(YEAR(B799),MONTH(B799),1),'Client DB &amp; Bed Mgmt'!$M$5:$M$428,DATE(YEAR(B799),MONTH(B799),1))))+1)/DAY(EOMONTH(B799,0))),0)</f>
        <v/>
      </c>
    </row>
    <row r="800" ht="14.25" customHeight="1" s="83">
      <c r="A800" s="103" t="n"/>
      <c r="B800" s="125">
        <f>DATE(YEAR(StartDate),MONTH(StartDate),1)</f>
        <v/>
      </c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 t="n"/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>
        <f>IFERROR(J800*SUMPRODUCT(('Client DB &amp; Bed Mgmt'!$A$5:$A$428=A800)*('Client DB &amp; Bed Mgmt'!$B$5:$B$428=C800)*('Client DB &amp; Bed Mgmt'!$D$5:$D$428&lt;&gt;"")*--(('Client DB &amp; Bed Mgmt'!$M$5:$M$428="")+NOT(ISNUMBER('Client DB &amp; Bed Mgmt'!$M$5:$M$428))+IFERROR('Client DB &amp; Bed Mgmt'!$M$5:$M$428&lt;=EOMONTH(B800,0),FALSE)&gt;0)*--(('Client DB &amp; Bed Mgmt'!$N$5:$N$428="")+NOT(ISNUMBER('Client DB &amp; Bed Mgmt'!$N$5:$N$428))+IFERROR('Client DB &amp; Bed Mgmt'!$N$5:$N$428&gt;=DATE(YEAR(B800),MONTH(B800),1),FALSE)&gt;0)*((IF(('Client DB &amp; Bed Mgmt'!$N$5:$N$428="")+NOT(ISNUMBER('Client DB &amp; Bed Mgmt'!$N$5:$N$428)),EOMONTH(B800,0),IF('Client DB &amp; Bed Mgmt'!$N$5:$N$428&lt;EOMONTH(B800,0),'Client DB &amp; Bed Mgmt'!$N$5:$N$428,EOMONTH(B800,0))))-(IF(('Client DB &amp; Bed Mgmt'!$M$5:$M$428="")+NOT(ISNUMBER('Client DB &amp; Bed Mgmt'!$M$5:$M$428)),DATE(YEAR(B800),MONTH(B800),1),IF('Client DB &amp; Bed Mgmt'!$M$5:$M$428&gt;DATE(YEAR(B800),MONTH(B800),1),'Client DB &amp; Bed Mgmt'!$M$5:$M$428,DATE(YEAR(B800),MONTH(B800),1))))+1)/DAY(EOMONTH(B800,0))),0)</f>
        <v/>
      </c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 t="n">
        <v>46023</v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G19*$H$24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G20*$H$24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G23*$H$24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2026-06-27T11:20:31Z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