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600" firstSheet="0" activeTab="3" autoFilterDateGrouping="1"/>
  </bookViews>
  <sheets>
    <sheet name="Dashboard &amp; Global Settings" sheetId="1" state="visible" r:id="rId1"/>
    <sheet name="Renovation &amp; Projects" sheetId="2" state="visible" r:id="rId2"/>
    <sheet name="Client DB &amp; Bed Mgmt" sheetId="3" state="visible" r:id="rId3"/>
    <sheet name="Electricity Management" sheetId="4" state="visible" r:id="rId4"/>
    <sheet name="Invoice Generator" sheetId="5" state="visible" r:id="rId5"/>
    <sheet name="12-Month Financial Model" sheetId="6" state="visible" r:id="rId6"/>
    <sheet name="12-Month Financial Model (2)" sheetId="7" state="visible" r:id="rId7"/>
    <sheet name="Settings &amp; Master Config" sheetId="8" state="visible" r:id="rId8"/>
    <sheet name="Settings &amp; Master Config (2)" sheetId="9" state="visible" r:id="rId9"/>
    <sheet name="Feuille15" sheetId="10" state="visible" r:id="rId10"/>
  </sheets>
  <definedNames>
    <definedName name="BedIDList" hidden="0" function="0" vbProcedure="0">'Client DB &amp; Bed Mgmt'!$C$5:$C$428</definedName>
    <definedName name="ClientNameList" hidden="0" function="0" vbProcedure="0">'Client DB &amp; Bed Mgmt'!$D$5:$D$428</definedName>
    <definedName name="ClientStatusList" hidden="0" function="0" vbProcedure="0">'Settings &amp; Master Config'!$I$3:$I$5</definedName>
    <definedName name="CurrentMonth" hidden="0" function="0" vbProcedure="0">'Dashboard &amp; Global Settings'!$B$4</definedName>
    <definedName name="CurrentYear" hidden="0" function="0" vbProcedure="0">'Dashboard &amp; Global Settings'!$B$5</definedName>
    <definedName name="DashboardDormFilterList" hidden="0" function="0" vbProcedure="0">'Settings &amp; Master Config'!$O$3:$O$120</definedName>
    <definedName name="DefaultRentPerBed" hidden="0" function="0" vbProcedure="0">'Settings &amp; Master Config'!$C$10</definedName>
    <definedName name="DormList" hidden="0" function="0" vbProcedure="0">'Settings &amp; Master Config'!$A$21:$A$120</definedName>
    <definedName name="FixedGeneratorFee" hidden="0" function="0" vbProcedure="0">'Settings &amp; Master Config'!$C$8</definedName>
    <definedName name="FixedGovernmentFee" hidden="0" function="0" vbProcedure="0">'Settings &amp; Master Config'!$C$9</definedName>
    <definedName name="GeneratorRate" hidden="0" function="0" vbProcedure="0">'Settings &amp; Master Config'!$C$6</definedName>
    <definedName name="GovernmentRate" hidden="0" function="0" vbProcedure="0">'Settings &amp; Master Config'!$C$7</definedName>
    <definedName name="InflationRate" hidden="0" function="0" vbProcedure="0">'Settings &amp; Master Config'!$C$12</definedName>
    <definedName name="InvoiceSelectorTypeList" hidden="0" function="0" vbProcedure="0">'Settings &amp; Master Config'!$H$5:$H$6</definedName>
    <definedName name="MonthList" hidden="0" function="0" vbProcedure="0">'Settings &amp; Master Config'!$J$3:$J$14</definedName>
    <definedName name="OwnershipList" hidden="0" function="0" vbProcedure="0">'Settings &amp; Master Config'!$L$3:$L$4</definedName>
    <definedName name="PaymentStatusList" hidden="0" function="0" vbProcedure="0">'Settings &amp; Master Config'!$K$3:$K$6</definedName>
    <definedName name="ProjectStatusList" hidden="0" function="0" vbProcedure="0">'Settings &amp; Master Config'!$M$3:$M$5</definedName>
    <definedName name="RenovationCategoryList" hidden="0" function="0" vbProcedure="0">'Settings &amp; Master Config'!$P$3:$P$13</definedName>
    <definedName name="SelectedDorm" hidden="0" function="0" vbProcedure="0">'Dashboard &amp; Global Settings'!$B$6</definedName>
    <definedName name="StartDate" hidden="0" function="0" vbProcedure="0">'12-Month Financial Model'!$B$4</definedName>
    <definedName name="TargetOccupancy" hidden="0" function="0" vbProcedure="0">'Settings &amp; Master Config'!$C$11</definedName>
    <definedName name="TenantNameList" hidden="0" function="0" vbProcedure="0">'Client DB &amp; Bed Mgmt'!$D$5:$D$428</definedName>
    <definedName name="TenantStatusList" hidden="0" function="0" vbProcedure="0">'Settings &amp; Master Config'!$I$3:$I$5</definedName>
    <definedName name="YearList" hidden="0" function="0" vbProcedure="0">'Settings &amp; Master Config'!$R$3:$R$13</definedName>
    <definedName name="YesNoList" hidden="0" function="0" vbProcedure="0">'Settings &amp; Master Config'!$N$3:$N$4</definedName>
    <definedName name="_xlnm._FilterDatabase" localSheetId="0" hidden="1">'Dashboard &amp; Global Settings'!$A$36:$D$48</definedName>
    <definedName name="_xlnm._FilterDatabase" localSheetId="2" hidden="1">'Client DB &amp; Bed Mgmt'!$A$4:$T$428</definedName>
    <definedName name="_xlnm.Print_Area" localSheetId="4">'Invoice Generator'!$B$2:$G$34</definedName>
    <definedName name="StartDate" localSheetId="6" hidden="0" function="0" vbProcedure="0">'12-Month Financial Model (2)'!$B$4</definedName>
    <definedName name="ClientStatusList" localSheetId="8" hidden="0" function="0" vbProcedure="0">'Settings &amp; Master Config (2)'!$I$3:$I$5</definedName>
    <definedName name="DashboardDormFilterList" localSheetId="8" hidden="0" function="0" vbProcedure="0">'Settings &amp; Master Config (2)'!$O$3:$O$120</definedName>
    <definedName name="DefaultRentPerBed" localSheetId="8" hidden="0" function="0" vbProcedure="0">'Settings &amp; Master Config (2)'!$C$10</definedName>
    <definedName name="DormList" localSheetId="8" hidden="0" function="0" vbProcedure="0">'Settings &amp; Master Config (2)'!$A$21:$A$120</definedName>
    <definedName name="FixedGeneratorFee" localSheetId="8" hidden="0" function="0" vbProcedure="0">'Settings &amp; Master Config (2)'!$C$8</definedName>
    <definedName name="FixedGovernmentFee" localSheetId="8" hidden="0" function="0" vbProcedure="0">'Settings &amp; Master Config (2)'!$C$9</definedName>
    <definedName name="GeneratorRate" localSheetId="8" hidden="0" function="0" vbProcedure="0">'Settings &amp; Master Config (2)'!$C$6</definedName>
    <definedName name="GovernmentRate" localSheetId="8" hidden="0" function="0" vbProcedure="0">'Settings &amp; Master Config (2)'!$C$7</definedName>
    <definedName name="InflationRate" localSheetId="8" hidden="0" function="0" vbProcedure="0">'Settings &amp; Master Config (2)'!$C$12</definedName>
    <definedName name="InvoiceSelectorTypeList" localSheetId="8" hidden="0" function="0" vbProcedure="0">'Settings &amp; Master Config (2)'!$H$5:$H$6</definedName>
    <definedName name="MonthList" localSheetId="8" hidden="0" function="0" vbProcedure="0">'Settings &amp; Master Config (2)'!$J$3:$J$14</definedName>
    <definedName name="OwnershipList" localSheetId="8" hidden="0" function="0" vbProcedure="0">'Settings &amp; Master Config (2)'!$L$3:$L$4</definedName>
    <definedName name="PaymentStatusList" localSheetId="8" hidden="0" function="0" vbProcedure="0">'Settings &amp; Master Config (2)'!$K$3:$K$6</definedName>
    <definedName name="ProjectStatusList" localSheetId="8" hidden="0" function="0" vbProcedure="0">'Settings &amp; Master Config (2)'!$M$3:$M$5</definedName>
    <definedName name="RenovationCategoryList" localSheetId="8" hidden="0" function="0" vbProcedure="0">'Settings &amp; Master Config (2)'!$P$3:$P$13</definedName>
    <definedName name="TargetOccupancy" localSheetId="8" hidden="0" function="0" vbProcedure="0">'Settings &amp; Master Config (2)'!$C$11</definedName>
    <definedName name="TenantStatusList" localSheetId="8" hidden="0" function="0" vbProcedure="0">'Settings &amp; Master Config (2)'!$I$3:$I$5</definedName>
    <definedName name="YearList" localSheetId="8" hidden="0" function="0" vbProcedure="0">'Settings &amp; Master Config (2)'!$Q$3:$Q$13</definedName>
    <definedName name="YesNoList" localSheetId="8" hidden="0" function="0" vbProcedure="0">'Settings &amp; Master Config (2)'!$N$3:$N$4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8">
    <numFmt numFmtId="164" formatCode="mmmm"/>
    <numFmt numFmtId="165" formatCode="\$#,##0.00"/>
    <numFmt numFmtId="166" formatCode="mmm\ yy"/>
    <numFmt numFmtId="167" formatCode="m/d/yyyy"/>
    <numFmt numFmtId="168" formatCode="d\-mmm"/>
    <numFmt numFmtId="169" formatCode="mmm\ yyyy"/>
    <numFmt numFmtId="170" formatCode="mmmm\ yyyy"/>
    <numFmt numFmtId="171" formatCode="mmm yyyy"/>
  </numFmts>
  <fonts count="18">
    <font>
      <name val="Calibri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b val="1"/>
      <color rgb="FFFFFFFF"/>
      <sz val="18"/>
    </font>
    <font>
      <name val="Calibri"/>
      <charset val="134"/>
      <family val="0"/>
      <i val="1"/>
      <color rgb="FF1F4E78"/>
      <sz val="10"/>
    </font>
    <font>
      <name val="Calibri"/>
      <charset val="134"/>
      <family val="0"/>
      <b val="1"/>
      <color rgb="FF1F4E78"/>
      <sz val="11"/>
    </font>
    <font>
      <name val="Calibri"/>
      <charset val="134"/>
      <family val="0"/>
      <b val="1"/>
      <sz val="11"/>
    </font>
    <font>
      <name val="Calibri"/>
      <charset val="134"/>
      <family val="0"/>
      <b val="1"/>
      <color rgb="FFFFFFFF"/>
      <sz val="11"/>
    </font>
    <font>
      <name val="Calibri"/>
      <charset val="134"/>
      <family val="0"/>
      <b val="1"/>
      <color rgb="FFC00000"/>
      <sz val="11"/>
    </font>
    <font>
      <name val="Calibri"/>
      <charset val="134"/>
      <family val="0"/>
      <b val="1"/>
      <color theme="0"/>
      <sz val="11"/>
    </font>
    <font>
      <name val="Arial"/>
      <family val="2"/>
      <sz val="10"/>
    </font>
    <font>
      <name val="Calibri"/>
      <charset val="134"/>
      <family val="0"/>
      <b val="1"/>
      <color rgb="FF17365D"/>
      <sz val="24"/>
    </font>
    <font>
      <name val="Calibri"/>
      <charset val="134"/>
      <family val="0"/>
      <b val="1"/>
      <color rgb="FF000000"/>
      <sz val="11"/>
    </font>
    <font>
      <name val="Calibri"/>
      <charset val="134"/>
      <family val="0"/>
      <color rgb="FF000000"/>
      <sz val="11"/>
    </font>
    <font>
      <name val="Calibri"/>
      <charset val="134"/>
      <family val="0"/>
      <b val="1"/>
      <color rgb="FFFFFFFF"/>
      <sz val="12"/>
    </font>
    <font>
      <name val="Calibri"/>
      <charset val="134"/>
      <family val="0"/>
      <i val="1"/>
      <color rgb="FF1F4E78"/>
      <sz val="9"/>
    </font>
    <font>
      <name val="Calibri"/>
      <charset val="134"/>
      <family val="0"/>
      <b val="1"/>
      <color rgb="FFFFFFFF"/>
      <sz val="15"/>
    </font>
  </fonts>
  <fills count="11">
    <fill>
      <patternFill/>
    </fill>
    <fill>
      <patternFill patternType="gray125"/>
    </fill>
    <fill>
      <patternFill patternType="solid">
        <fgColor rgb="FF17365D"/>
        <bgColor rgb="FF17375E"/>
      </patternFill>
    </fill>
    <fill>
      <patternFill patternType="solid">
        <fgColor rgb="FFFFFFFF"/>
        <bgColor rgb="FFF3F6FA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EAF3F8"/>
        <bgColor rgb="FFF3F6FA"/>
      </patternFill>
    </fill>
    <fill>
      <patternFill patternType="solid">
        <fgColor rgb="FF0F766E"/>
        <bgColor rgb="FF008080"/>
      </patternFill>
    </fill>
    <fill>
      <patternFill patternType="solid">
        <fgColor theme="3" tint="-0.25"/>
        <bgColor rgb="FF17365D"/>
      </patternFill>
    </fill>
    <fill>
      <patternFill patternType="solid">
        <fgColor rgb="FF1F4E78"/>
        <bgColor rgb="FF17375E"/>
      </patternFill>
    </fill>
    <fill>
      <patternFill patternType="solid">
        <fgColor rgb="FFF3F6FA"/>
        <bgColor rgb="FFEAF3F8"/>
      </patternFill>
    </fill>
  </fills>
  <borders count="1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/>
      <diagonal/>
    </border>
    <border>
      <left style="medium">
        <color rgb="FF17365D"/>
      </left>
      <right style="medium">
        <color rgb="FF17365D"/>
      </right>
      <top/>
      <bottom/>
      <diagonal/>
    </border>
    <border>
      <left style="medium">
        <color rgb="FF17365D"/>
      </left>
      <right/>
      <top/>
      <bottom/>
      <diagonal/>
    </border>
    <border>
      <left/>
      <right style="medium">
        <color rgb="FF17365D"/>
      </right>
      <top/>
      <bottom/>
      <diagonal/>
    </border>
    <border>
      <left style="thin">
        <color rgb="FFD9E2F3"/>
      </left>
      <right style="medium">
        <color rgb="FF17365D"/>
      </right>
      <top style="thin">
        <color rgb="FFD9E2F3"/>
      </top>
      <bottom style="thin">
        <color rgb="FFD9E2F3"/>
      </bottom>
      <diagonal/>
    </border>
    <border>
      <left style="medium">
        <color rgb="FF17365D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17365D"/>
      </left>
      <right/>
      <top/>
      <bottom style="thin">
        <color rgb="FFD9E2F3"/>
      </bottom>
      <diagonal/>
    </border>
    <border>
      <left/>
      <right style="medium">
        <color rgb="FF17365D"/>
      </right>
      <top/>
      <bottom style="thin">
        <color rgb="FFD9E2F3"/>
      </bottom>
      <diagonal/>
    </border>
    <border>
      <left style="medium">
        <color rgb="FF17365D"/>
      </left>
      <right style="medium">
        <color rgb="FF17365D"/>
      </right>
      <top style="thin">
        <color rgb="FFD9E2F3"/>
      </top>
      <bottom style="medium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 style="medium">
        <color rgb="FF17365D"/>
      </right>
      <top style="medium">
        <color rgb="FF17365D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medium">
        <color rgb="FF17365D"/>
      </right>
      <top style="thin">
        <color rgb="FFD9E2F3"/>
      </top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general" vertical="center" wrapText="1"/>
      <protection locked="0" hidden="0"/>
    </xf>
    <xf numFmtId="0" fontId="6" fillId="4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7" fillId="3" borderId="1" applyAlignment="1" applyProtection="1" pivotButton="0" quotePrefix="0" xfId="0">
      <alignment horizontal="general" vertical="center" wrapText="1"/>
      <protection locked="0" hidden="0"/>
    </xf>
    <xf numFmtId="164" fontId="0" fillId="5" borderId="1" applyAlignment="1" applyProtection="1" pivotButton="0" quotePrefix="0" xfId="0">
      <alignment horizontal="general" vertical="center" wrapText="1"/>
      <protection locked="0" hidden="0"/>
    </xf>
    <xf numFmtId="0" fontId="0" fillId="5" borderId="1" applyAlignment="1" applyProtection="1" pivotButton="0" quotePrefix="0" xfId="0">
      <alignment horizontal="general" vertical="center" wrapText="1"/>
      <protection locked="0" hidden="0"/>
    </xf>
    <xf numFmtId="0" fontId="0" fillId="5" borderId="1" applyAlignment="1" applyProtection="1" pivotButton="0" quotePrefix="0" xfId="0">
      <alignment horizontal="general" vertical="center" wrapText="1"/>
      <protection locked="0" hidden="0"/>
    </xf>
    <xf numFmtId="0" fontId="6" fillId="4" borderId="1" applyAlignment="1" applyProtection="1" pivotButton="0" quotePrefix="0" xfId="0">
      <alignment horizontal="general" vertical="center" wrapText="1"/>
      <protection locked="0" hidden="0"/>
    </xf>
    <xf numFmtId="165" fontId="0" fillId="6" borderId="1" applyAlignment="1" applyProtection="1" pivotButton="0" quotePrefix="0" xfId="0">
      <alignment horizontal="general" vertical="center" wrapText="1"/>
      <protection locked="0" hidden="0"/>
    </xf>
    <xf numFmtId="10" fontId="0" fillId="6" borderId="1" applyAlignment="1" applyProtection="1" pivotButton="0" quotePrefix="0" xfId="0">
      <alignment horizontal="general" vertical="center" wrapText="1"/>
      <protection locked="0" hidden="0"/>
    </xf>
    <xf numFmtId="1" fontId="0" fillId="6" borderId="1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166" fontId="0" fillId="6" borderId="0" applyAlignment="1" applyProtection="1" pivotButton="0" quotePrefix="0" xfId="0">
      <alignment horizontal="center" vertical="center" wrapText="1"/>
      <protection locked="0" hidden="0"/>
    </xf>
    <xf numFmtId="165" fontId="0" fillId="6" borderId="0" applyAlignment="1" applyProtection="1" pivotButton="0" quotePrefix="0" xfId="0">
      <alignment horizontal="center" vertical="center" wrapText="1"/>
      <protection locked="0" hidden="0"/>
    </xf>
    <xf numFmtId="10" fontId="0" fillId="6" borderId="0" applyAlignment="1" applyProtection="1" pivotButton="0" quotePrefix="0" xfId="0">
      <alignment horizontal="center" vertical="center" wrapText="1"/>
      <protection locked="0" hidden="0"/>
    </xf>
    <xf numFmtId="0" fontId="0" fillId="3" borderId="0" applyAlignment="1" applyProtection="1" pivotButton="0" quotePrefix="0" xfId="0">
      <alignment horizontal="general" vertical="center" wrapText="1"/>
      <protection locked="0" hidden="0"/>
    </xf>
    <xf numFmtId="165" fontId="0" fillId="6" borderId="0" applyAlignment="1" applyProtection="1" pivotButton="0" quotePrefix="0" xfId="0">
      <alignment horizontal="general" vertical="center" wrapText="1"/>
      <protection locked="0" hidden="0"/>
    </xf>
    <xf numFmtId="0" fontId="6" fillId="3" borderId="1" applyAlignment="1" applyProtection="1" pivotButton="0" quotePrefix="0" xfId="0">
      <alignment horizontal="general" vertical="center" wrapText="1"/>
      <protection locked="0" hidden="0"/>
    </xf>
    <xf numFmtId="0" fontId="0" fillId="5" borderId="0" applyAlignment="1" applyProtection="1" pivotButton="0" quotePrefix="0" xfId="0">
      <alignment horizontal="general" vertical="center" wrapText="1"/>
      <protection locked="0" hidden="0"/>
    </xf>
    <xf numFmtId="165" fontId="0" fillId="5" borderId="0" applyAlignment="1" applyProtection="1" pivotButton="0" quotePrefix="0" xfId="0">
      <alignment horizontal="general" vertical="center" wrapText="1"/>
      <protection locked="0" hidden="0"/>
    </xf>
    <xf numFmtId="10" fontId="0" fillId="6" borderId="0" applyAlignment="1" applyProtection="1" pivotButton="0" quotePrefix="0" xfId="0">
      <alignment horizontal="general" vertical="center" wrapText="1"/>
      <protection locked="0" hidden="0"/>
    </xf>
    <xf numFmtId="0" fontId="0" fillId="5" borderId="0" applyAlignment="1" applyProtection="1" pivotButton="0" quotePrefix="0" xfId="0">
      <alignment horizontal="general" vertical="center" wrapText="1"/>
      <protection locked="0" hidden="0"/>
    </xf>
    <xf numFmtId="167" fontId="0" fillId="5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center" wrapText="1"/>
    </xf>
    <xf numFmtId="0" fontId="9" fillId="5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general" vertical="center"/>
    </xf>
    <xf numFmtId="0" fontId="0" fillId="5" borderId="0" applyAlignment="1" pivotButton="0" quotePrefix="0" xfId="0">
      <alignment horizontal="general" vertical="center" wrapText="1"/>
    </xf>
    <xf numFmtId="0" fontId="0" fillId="5" borderId="0" applyAlignment="1" pivotButton="0" quotePrefix="0" xfId="0">
      <alignment horizontal="general" vertical="center" wrapText="1"/>
    </xf>
    <xf numFmtId="165" fontId="0" fillId="5" borderId="0" applyAlignment="1" pivotButton="0" quotePrefix="0" xfId="0">
      <alignment horizontal="general" vertical="center" wrapText="1"/>
    </xf>
    <xf numFmtId="168" fontId="0" fillId="0" borderId="0" applyAlignment="1" pivotButton="0" quotePrefix="0" xfId="0">
      <alignment horizontal="general" vertical="bottom"/>
    </xf>
    <xf numFmtId="167" fontId="0" fillId="5" borderId="0" applyAlignment="1" pivotButton="0" quotePrefix="0" xfId="0">
      <alignment horizontal="general" vertical="center" wrapText="1"/>
    </xf>
    <xf numFmtId="0" fontId="0" fillId="6" borderId="0" applyAlignment="1" pivotButton="0" quotePrefix="0" xfId="0">
      <alignment horizontal="general" vertical="center" wrapText="1"/>
    </xf>
    <xf numFmtId="0" fontId="9" fillId="5" borderId="0" applyAlignment="1" applyProtection="1" pivotButton="0" quotePrefix="0" xfId="0">
      <alignment horizontal="left" vertical="center" wrapText="1"/>
      <protection locked="0" hidden="0"/>
    </xf>
    <xf numFmtId="0" fontId="8" fillId="7" borderId="1" applyAlignment="1" applyProtection="1" pivotButton="0" quotePrefix="0" xfId="0">
      <alignment horizontal="center" vertical="center" wrapText="1"/>
      <protection locked="0" hidden="0"/>
    </xf>
    <xf numFmtId="169" fontId="0" fillId="5" borderId="0" applyAlignment="1" applyProtection="1" pivotButton="0" quotePrefix="0" xfId="0">
      <alignment horizontal="general" vertical="center" wrapText="1"/>
      <protection locked="0" hidden="0"/>
    </xf>
    <xf numFmtId="2" fontId="0" fillId="5" borderId="0" applyAlignment="1" applyProtection="1" pivotButton="0" quotePrefix="0" xfId="0">
      <alignment horizontal="general" vertical="center" wrapText="1"/>
      <protection locked="0" hidden="0"/>
    </xf>
    <xf numFmtId="2" fontId="0" fillId="6" borderId="0" applyAlignment="1" applyProtection="1" pivotButton="0" quotePrefix="0" xfId="0">
      <alignment horizontal="general" vertical="center" wrapText="1"/>
      <protection locked="0" hidden="0"/>
    </xf>
    <xf numFmtId="165" fontId="0" fillId="6" borderId="1" applyAlignment="1" applyProtection="1" pivotButton="0" quotePrefix="0" xfId="0">
      <alignment horizontal="right" vertical="center"/>
      <protection locked="0" hidden="0"/>
    </xf>
    <xf numFmtId="0" fontId="12" fillId="3" borderId="2" applyAlignment="1" applyProtection="1" pivotButton="0" quotePrefix="0" xfId="0">
      <alignment horizontal="general" vertical="center" wrapText="1"/>
      <protection locked="0" hidden="0"/>
    </xf>
    <xf numFmtId="0" fontId="5" fillId="3" borderId="3" applyAlignment="1" applyProtection="1" pivotButton="0" quotePrefix="0" xfId="0">
      <alignment horizontal="general" vertical="center" wrapText="1"/>
      <protection locked="0" hidden="0"/>
    </xf>
    <xf numFmtId="0" fontId="0" fillId="3" borderId="4" applyAlignment="1" applyProtection="1" pivotButton="0" quotePrefix="0" xfId="0">
      <alignment horizontal="general" vertical="center" wrapText="1"/>
      <protection locked="0" hidden="0"/>
    </xf>
    <xf numFmtId="0" fontId="0" fillId="3" borderId="5" applyAlignment="1" applyProtection="1" pivotButton="0" quotePrefix="0" xfId="0">
      <alignment horizontal="general" vertical="center" wrapText="1"/>
      <protection locked="0" hidden="0"/>
    </xf>
    <xf numFmtId="0" fontId="8" fillId="9" borderId="4" applyAlignment="1" applyProtection="1" pivotButton="0" quotePrefix="0" xfId="0">
      <alignment horizontal="left" vertical="center"/>
      <protection locked="0" hidden="0"/>
    </xf>
    <xf numFmtId="0" fontId="13" fillId="5" borderId="1" applyAlignment="1" applyProtection="1" pivotButton="0" quotePrefix="0" xfId="0">
      <alignment horizontal="left" vertical="center"/>
      <protection locked="0" hidden="0"/>
    </xf>
    <xf numFmtId="0" fontId="8" fillId="9" borderId="0" applyAlignment="1" applyProtection="1" pivotButton="0" quotePrefix="0" xfId="0">
      <alignment horizontal="left" vertical="center"/>
      <protection locked="0" hidden="0"/>
    </xf>
    <xf numFmtId="0" fontId="13" fillId="5" borderId="6" applyAlignment="1" applyProtection="1" pivotButton="0" quotePrefix="0" xfId="0">
      <alignment horizontal="left" vertical="center"/>
      <protection locked="0" hidden="0"/>
    </xf>
    <xf numFmtId="167" fontId="14" fillId="5" borderId="6" applyAlignment="1" applyProtection="1" pivotButton="0" quotePrefix="0" xfId="0">
      <alignment horizontal="center" vertical="center"/>
      <protection locked="0" hidden="0"/>
    </xf>
    <xf numFmtId="170" fontId="14" fillId="5" borderId="1" applyAlignment="1" applyProtection="1" pivotButton="0" quotePrefix="0" xfId="0">
      <alignment horizontal="center" vertical="center"/>
      <protection locked="0" hidden="0"/>
    </xf>
    <xf numFmtId="0" fontId="14" fillId="6" borderId="6" applyAlignment="1" applyProtection="1" pivotButton="0" quotePrefix="0" xfId="0">
      <alignment horizontal="center" vertical="center"/>
      <protection locked="0" hidden="0"/>
    </xf>
    <xf numFmtId="0" fontId="6" fillId="4" borderId="7" applyAlignment="1" applyProtection="1" pivotButton="0" quotePrefix="0" xfId="0">
      <alignment horizontal="general" vertical="center" wrapText="1"/>
      <protection locked="0" hidden="0"/>
    </xf>
    <xf numFmtId="0" fontId="0" fillId="6" borderId="1" applyAlignment="1" applyProtection="1" pivotButton="0" quotePrefix="0" xfId="0">
      <alignment horizontal="left" vertical="center"/>
      <protection locked="0" hidden="0"/>
    </xf>
    <xf numFmtId="0" fontId="0" fillId="6" borderId="6" applyAlignment="1" applyProtection="1" pivotButton="0" quotePrefix="0" xfId="0">
      <alignment horizontal="left" vertical="center"/>
      <protection locked="0" hidden="0"/>
    </xf>
    <xf numFmtId="167" fontId="0" fillId="6" borderId="6" applyAlignment="1" applyProtection="1" pivotButton="0" quotePrefix="0" xfId="0">
      <alignment horizontal="left" vertical="center"/>
      <protection locked="0" hidden="0"/>
    </xf>
    <xf numFmtId="170" fontId="0" fillId="6" borderId="1" applyAlignment="1" applyProtection="1" pivotButton="0" quotePrefix="0" xfId="0">
      <alignment horizontal="left" vertical="center"/>
      <protection locked="0" hidden="0"/>
    </xf>
    <xf numFmtId="0" fontId="15" fillId="2" borderId="3" applyAlignment="1" applyProtection="1" pivotButton="0" quotePrefix="0" xfId="0">
      <alignment horizontal="general" vertical="center" wrapText="1"/>
      <protection locked="0" hidden="0"/>
    </xf>
    <xf numFmtId="0" fontId="13" fillId="3" borderId="8" applyAlignment="1" applyProtection="1" pivotButton="0" quotePrefix="0" xfId="0">
      <alignment horizontal="general" vertical="center" wrapText="1"/>
      <protection locked="0" hidden="0"/>
    </xf>
    <xf numFmtId="165" fontId="14" fillId="6" borderId="9" applyAlignment="1" applyProtection="1" pivotButton="0" quotePrefix="0" xfId="0">
      <alignment horizontal="right" vertical="bottom"/>
      <protection locked="0" hidden="0"/>
    </xf>
    <xf numFmtId="0" fontId="16" fillId="3" borderId="3" applyAlignment="1" applyProtection="1" pivotButton="0" quotePrefix="0" xfId="0">
      <alignment horizontal="general" vertical="center" wrapText="1"/>
      <protection locked="0" hidden="0"/>
    </xf>
    <xf numFmtId="0" fontId="17" fillId="2" borderId="4" applyAlignment="1" applyProtection="1" pivotButton="0" quotePrefix="0" xfId="0">
      <alignment horizontal="general" vertical="center" wrapText="1"/>
      <protection locked="0" hidden="0"/>
    </xf>
    <xf numFmtId="165" fontId="17" fillId="2" borderId="5" applyAlignment="1" applyProtection="1" pivotButton="0" quotePrefix="0" xfId="0">
      <alignment horizontal="right" vertical="bottom"/>
      <protection locked="0" hidden="0"/>
    </xf>
    <xf numFmtId="0" fontId="6" fillId="3" borderId="4" applyAlignment="1" applyProtection="1" pivotButton="0" quotePrefix="0" xfId="0">
      <alignment horizontal="general" vertical="center" wrapText="1"/>
      <protection locked="0" hidden="0"/>
    </xf>
    <xf numFmtId="0" fontId="0" fillId="5" borderId="10" applyAlignment="1" applyProtection="1" pivotButton="0" quotePrefix="0" xfId="0">
      <alignment horizontal="general" vertical="top" wrapText="1"/>
      <protection locked="0" hidden="0"/>
    </xf>
    <xf numFmtId="167" fontId="0" fillId="5" borderId="1" applyAlignment="1" applyProtection="1" pivotButton="0" quotePrefix="0" xfId="0">
      <alignment horizontal="general" vertical="center" wrapText="1"/>
      <protection locked="0" hidden="0"/>
    </xf>
    <xf numFmtId="165" fontId="0" fillId="5" borderId="1" applyAlignment="1" applyProtection="1" pivotButton="0" quotePrefix="0" xfId="0">
      <alignment horizontal="general" vertical="center" wrapText="1"/>
      <protection locked="0" hidden="0"/>
    </xf>
    <xf numFmtId="10" fontId="0" fillId="5" borderId="1" applyAlignment="1" applyProtection="1" pivotButton="0" quotePrefix="0" xfId="0">
      <alignment horizontal="general" vertical="center" wrapText="1"/>
      <protection locked="0" hidden="0"/>
    </xf>
    <xf numFmtId="0" fontId="0" fillId="6" borderId="0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general" vertical="center" wrapText="1"/>
      <protection locked="0" hidden="0"/>
    </xf>
    <xf numFmtId="0" fontId="6" fillId="4" borderId="0" applyAlignment="1" applyProtection="1" pivotButton="0" quotePrefix="0" xfId="0">
      <alignment horizontal="general" vertical="center" wrapText="1"/>
      <protection locked="0" hidden="0"/>
    </xf>
    <xf numFmtId="0" fontId="0" fillId="10" borderId="0" applyAlignment="1" applyProtection="1" pivotButton="0" quotePrefix="0" xfId="0">
      <alignment horizontal="general" vertical="center" wrapText="1"/>
      <protection locked="0" hidden="0"/>
    </xf>
    <xf numFmtId="164" fontId="0" fillId="10" borderId="0" applyAlignment="1" applyProtection="1" pivotButton="0" quotePrefix="0" xfId="0">
      <alignment horizontal="general" vertical="center" wrapText="1"/>
      <protection locked="0" hidden="0"/>
    </xf>
    <xf numFmtId="165" fontId="0" fillId="10" borderId="1" applyAlignment="1" applyProtection="1" pivotButton="0" quotePrefix="0" xfId="0">
      <alignment horizontal="general" vertical="center" wrapText="1"/>
      <protection locked="0" hidden="0"/>
    </xf>
    <xf numFmtId="10" fontId="0" fillId="10" borderId="1" applyAlignment="1" applyProtection="1" pivotButton="0" quotePrefix="0" xfId="0">
      <alignment horizontal="general" vertical="center" wrapText="1"/>
      <protection locked="0" hidden="0"/>
    </xf>
    <xf numFmtId="0" fontId="0" fillId="10" borderId="1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applyAlignment="1" applyProtection="1" pivotButton="0" quotePrefix="0" xfId="0">
      <alignment horizontal="general" vertical="center" wrapText="1"/>
      <protection locked="0" hidden="0"/>
    </xf>
    <xf numFmtId="0" fontId="6" fillId="4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7" fillId="3" borderId="1" applyAlignment="1" applyProtection="1" pivotButton="0" quotePrefix="0" xfId="0">
      <alignment horizontal="general" vertical="center" wrapText="1"/>
      <protection locked="0" hidden="0"/>
    </xf>
    <xf numFmtId="164" fontId="0" fillId="5" borderId="1" applyAlignment="1" applyProtection="1" pivotButton="0" quotePrefix="0" xfId="0">
      <alignment horizontal="general" vertical="center" wrapText="1"/>
      <protection locked="0" hidden="0"/>
    </xf>
    <xf numFmtId="0" fontId="0" fillId="5" borderId="1" applyAlignment="1" applyProtection="1" pivotButton="0" quotePrefix="0" xfId="0">
      <alignment horizontal="general" vertical="center" wrapText="1"/>
      <protection locked="0" hidden="0"/>
    </xf>
    <xf numFmtId="0" fontId="6" fillId="4" borderId="1" applyAlignment="1" applyProtection="1" pivotButton="0" quotePrefix="0" xfId="0">
      <alignment horizontal="general" vertical="center" wrapText="1"/>
      <protection locked="0" hidden="0"/>
    </xf>
    <xf numFmtId="165" fontId="0" fillId="6" borderId="1" applyAlignment="1" applyProtection="1" pivotButton="0" quotePrefix="0" xfId="0">
      <alignment horizontal="general" vertical="center" wrapText="1"/>
      <protection locked="0" hidden="0"/>
    </xf>
    <xf numFmtId="10" fontId="0" fillId="6" borderId="1" applyAlignment="1" applyProtection="1" pivotButton="0" quotePrefix="0" xfId="0">
      <alignment horizontal="general" vertical="center" wrapText="1"/>
      <protection locked="0" hidden="0"/>
    </xf>
    <xf numFmtId="1" fontId="0" fillId="6" borderId="1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166" fontId="0" fillId="6" borderId="0" applyAlignment="1" applyProtection="1" pivotButton="0" quotePrefix="0" xfId="0">
      <alignment horizontal="center" vertical="center" wrapText="1"/>
      <protection locked="0" hidden="0"/>
    </xf>
    <xf numFmtId="165" fontId="0" fillId="6" borderId="0" applyAlignment="1" applyProtection="1" pivotButton="0" quotePrefix="0" xfId="0">
      <alignment horizontal="center" vertical="center" wrapText="1"/>
      <protection locked="0" hidden="0"/>
    </xf>
    <xf numFmtId="10" fontId="0" fillId="6" borderId="0" applyAlignment="1" applyProtection="1" pivotButton="0" quotePrefix="0" xfId="0">
      <alignment horizontal="center" vertical="center" wrapText="1"/>
      <protection locked="0" hidden="0"/>
    </xf>
    <xf numFmtId="0" fontId="0" fillId="3" borderId="0" applyAlignment="1" applyProtection="1" pivotButton="0" quotePrefix="0" xfId="0">
      <alignment horizontal="general" vertical="center" wrapText="1"/>
      <protection locked="0" hidden="0"/>
    </xf>
    <xf numFmtId="165" fontId="0" fillId="6" borderId="0" applyAlignment="1" applyProtection="1" pivotButton="0" quotePrefix="0" xfId="0">
      <alignment horizontal="general" vertical="center" wrapText="1"/>
      <protection locked="0" hidden="0"/>
    </xf>
    <xf numFmtId="0" fontId="6" fillId="3" borderId="1" applyAlignment="1" applyProtection="1" pivotButton="0" quotePrefix="0" xfId="0">
      <alignment horizontal="general" vertical="center" wrapText="1"/>
      <protection locked="0" hidden="0"/>
    </xf>
    <xf numFmtId="0" fontId="0" fillId="5" borderId="0" applyAlignment="1" applyProtection="1" pivotButton="0" quotePrefix="0" xfId="0">
      <alignment horizontal="general" vertical="center" wrapText="1"/>
      <protection locked="0" hidden="0"/>
    </xf>
    <xf numFmtId="165" fontId="0" fillId="5" borderId="0" applyAlignment="1" applyProtection="1" pivotButton="0" quotePrefix="0" xfId="0">
      <alignment horizontal="general" vertical="center" wrapText="1"/>
      <protection locked="0" hidden="0"/>
    </xf>
    <xf numFmtId="10" fontId="0" fillId="6" borderId="0" applyAlignment="1" applyProtection="1" pivotButton="0" quotePrefix="0" xfId="0">
      <alignment horizontal="general" vertical="center" wrapText="1"/>
      <protection locked="0" hidden="0"/>
    </xf>
    <xf numFmtId="167" fontId="0" fillId="5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center" wrapText="1"/>
    </xf>
    <xf numFmtId="0" fontId="9" fillId="5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general" vertical="center"/>
    </xf>
    <xf numFmtId="0" fontId="0" fillId="5" borderId="0" applyAlignment="1" pivotButton="0" quotePrefix="0" xfId="0">
      <alignment horizontal="general" vertical="center" wrapText="1"/>
    </xf>
    <xf numFmtId="165" fontId="0" fillId="5" borderId="0" applyAlignment="1" pivotButton="0" quotePrefix="0" xfId="0">
      <alignment horizontal="general" vertical="center" wrapText="1"/>
    </xf>
    <xf numFmtId="168" fontId="0" fillId="0" borderId="0" applyAlignment="1" pivotButton="0" quotePrefix="0" xfId="0">
      <alignment horizontal="general" vertical="bottom"/>
    </xf>
    <xf numFmtId="167" fontId="0" fillId="5" borderId="0" applyAlignment="1" pivotButton="0" quotePrefix="0" xfId="0">
      <alignment horizontal="general" vertical="center" wrapText="1"/>
    </xf>
    <xf numFmtId="0" fontId="0" fillId="6" borderId="0" applyAlignment="1" pivotButton="0" quotePrefix="0" xfId="0">
      <alignment horizontal="general" vertical="center" wrapText="1"/>
    </xf>
    <xf numFmtId="0" fontId="9" fillId="5" borderId="0" applyAlignment="1" applyProtection="1" pivotButton="0" quotePrefix="0" xfId="0">
      <alignment horizontal="left" vertical="center" wrapText="1"/>
      <protection locked="0" hidden="0"/>
    </xf>
    <xf numFmtId="0" fontId="6" fillId="4" borderId="0" applyAlignment="1" applyProtection="1" pivotButton="0" quotePrefix="0" xfId="0">
      <alignment horizontal="general" vertical="center" wrapText="1"/>
      <protection locked="0" hidden="0"/>
    </xf>
    <xf numFmtId="0" fontId="8" fillId="7" borderId="1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169" fontId="0" fillId="5" borderId="0" applyAlignment="1" applyProtection="1" pivotButton="0" quotePrefix="0" xfId="0">
      <alignment horizontal="general" vertical="center" wrapText="1"/>
      <protection locked="0" hidden="0"/>
    </xf>
    <xf numFmtId="2" fontId="0" fillId="5" borderId="0" applyAlignment="1" applyProtection="1" pivotButton="0" quotePrefix="0" xfId="0">
      <alignment horizontal="general" vertical="center" wrapText="1"/>
      <protection locked="0" hidden="0"/>
    </xf>
    <xf numFmtId="2" fontId="0" fillId="6" borderId="0" applyAlignment="1" applyProtection="1" pivotButton="0" quotePrefix="0" xfId="0">
      <alignment horizontal="general" vertical="center" wrapText="1"/>
      <protection locked="0" hidden="0"/>
    </xf>
    <xf numFmtId="165" fontId="0" fillId="6" borderId="1" applyAlignment="1" applyProtection="1" pivotButton="0" quotePrefix="0" xfId="0">
      <alignment horizontal="right" vertical="center"/>
      <protection locked="0" hidden="0"/>
    </xf>
    <xf numFmtId="165" fontId="0" fillId="6" borderId="1" applyAlignment="1" applyProtection="1" pivotButton="0" quotePrefix="0" xfId="0">
      <alignment horizontal="right" vertical="center"/>
      <protection locked="0" hidden="0"/>
    </xf>
    <xf numFmtId="165" fontId="0" fillId="6" borderId="0" applyAlignment="1" applyProtection="1" pivotButton="0" quotePrefix="0" xfId="0">
      <alignment horizontal="general" vertical="center" wrapText="1"/>
      <protection locked="0" hidden="0"/>
    </xf>
    <xf numFmtId="0" fontId="12" fillId="3" borderId="2" applyAlignment="1" applyProtection="1" pivotButton="0" quotePrefix="0" xfId="0">
      <alignment horizontal="general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5" fillId="3" borderId="3" applyAlignment="1" applyProtection="1" pivotButton="0" quotePrefix="0" xfId="0">
      <alignment horizontal="general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3" borderId="4" applyAlignment="1" applyProtection="1" pivotButton="0" quotePrefix="0" xfId="0">
      <alignment horizontal="general" vertical="center" wrapText="1"/>
      <protection locked="0" hidden="0"/>
    </xf>
    <xf numFmtId="0" fontId="0" fillId="3" borderId="5" applyAlignment="1" applyProtection="1" pivotButton="0" quotePrefix="0" xfId="0">
      <alignment horizontal="general" vertical="center" wrapText="1"/>
      <protection locked="0" hidden="0"/>
    </xf>
    <xf numFmtId="0" fontId="8" fillId="9" borderId="4" applyAlignment="1" applyProtection="1" pivotButton="0" quotePrefix="0" xfId="0">
      <alignment horizontal="left" vertical="center"/>
      <protection locked="0" hidden="0"/>
    </xf>
    <xf numFmtId="0" fontId="13" fillId="5" borderId="1" applyAlignment="1" applyProtection="1" pivotButton="0" quotePrefix="0" xfId="0">
      <alignment horizontal="left" vertical="center"/>
      <protection locked="0" hidden="0"/>
    </xf>
    <xf numFmtId="0" fontId="8" fillId="9" borderId="0" applyAlignment="1" applyProtection="1" pivotButton="0" quotePrefix="0" xfId="0">
      <alignment horizontal="left" vertical="center"/>
      <protection locked="0" hidden="0"/>
    </xf>
    <xf numFmtId="0" fontId="13" fillId="5" borderId="6" applyAlignment="1" applyProtection="1" pivotButton="0" quotePrefix="0" xfId="0">
      <alignment horizontal="left" vertical="center"/>
      <protection locked="0" hidden="0"/>
    </xf>
    <xf numFmtId="167" fontId="14" fillId="5" borderId="6" applyAlignment="1" applyProtection="1" pivotButton="0" quotePrefix="0" xfId="0">
      <alignment horizontal="center" vertical="center"/>
      <protection locked="0" hidden="0"/>
    </xf>
    <xf numFmtId="170" fontId="14" fillId="5" borderId="1" applyAlignment="1" applyProtection="1" pivotButton="0" quotePrefix="0" xfId="0">
      <alignment horizontal="center" vertical="center"/>
      <protection locked="0" hidden="0"/>
    </xf>
    <xf numFmtId="0" fontId="14" fillId="6" borderId="6" applyAlignment="1" applyProtection="1" pivotButton="0" quotePrefix="0" xfId="0">
      <alignment horizontal="center" vertical="center"/>
      <protection locked="0" hidden="0"/>
    </xf>
    <xf numFmtId="0" fontId="6" fillId="4" borderId="7" applyAlignment="1" applyProtection="1" pivotButton="0" quotePrefix="0" xfId="0">
      <alignment horizontal="general" vertical="center" wrapText="1"/>
      <protection locked="0" hidden="0"/>
    </xf>
    <xf numFmtId="0" fontId="0" fillId="6" borderId="1" applyAlignment="1" applyProtection="1" pivotButton="0" quotePrefix="0" xfId="0">
      <alignment horizontal="left" vertical="center"/>
      <protection locked="0" hidden="0"/>
    </xf>
    <xf numFmtId="0" fontId="0" fillId="6" borderId="6" applyAlignment="1" applyProtection="1" pivotButton="0" quotePrefix="0" xfId="0">
      <alignment horizontal="left" vertical="center"/>
      <protection locked="0" hidden="0"/>
    </xf>
    <xf numFmtId="167" fontId="0" fillId="6" borderId="6" applyAlignment="1" applyProtection="1" pivotButton="0" quotePrefix="0" xfId="0">
      <alignment horizontal="left" vertical="center"/>
      <protection locked="0" hidden="0"/>
    </xf>
    <xf numFmtId="170" fontId="0" fillId="6" borderId="1" applyAlignment="1" applyProtection="1" pivotButton="0" quotePrefix="0" xfId="0">
      <alignment horizontal="left" vertical="center"/>
      <protection locked="0" hidden="0"/>
    </xf>
    <xf numFmtId="0" fontId="15" fillId="2" borderId="3" applyAlignment="1" applyProtection="1" pivotButton="0" quotePrefix="0" xfId="0">
      <alignment horizontal="general" vertical="center" wrapText="1"/>
      <protection locked="0" hidden="0"/>
    </xf>
    <xf numFmtId="165" fontId="14" fillId="6" borderId="9" applyAlignment="1" applyProtection="1" pivotButton="0" quotePrefix="0" xfId="0">
      <alignment horizontal="right" vertical="bottom"/>
      <protection locked="0" hidden="0"/>
    </xf>
    <xf numFmtId="0" fontId="13" fillId="3" borderId="8" applyAlignment="1" applyProtection="1" pivotButton="0" quotePrefix="0" xfId="0">
      <alignment horizontal="general" vertical="center" wrapText="1"/>
      <protection locked="0" hidden="0"/>
    </xf>
    <xf numFmtId="0" fontId="0" fillId="0" borderId="13" applyProtection="1" pivotButton="0" quotePrefix="0" xfId="0">
      <protection locked="0" hidden="0"/>
    </xf>
    <xf numFmtId="165" fontId="14" fillId="6" borderId="9" applyAlignment="1" applyProtection="1" pivotButton="0" quotePrefix="0" xfId="0">
      <alignment horizontal="right" vertical="bottom"/>
      <protection locked="0" hidden="0"/>
    </xf>
    <xf numFmtId="0" fontId="16" fillId="3" borderId="3" applyAlignment="1" applyProtection="1" pivotButton="0" quotePrefix="0" xfId="0">
      <alignment horizontal="general" vertical="center" wrapText="1"/>
      <protection locked="0" hidden="0"/>
    </xf>
    <xf numFmtId="0" fontId="17" fillId="2" borderId="4" applyAlignment="1" applyProtection="1" pivotButton="0" quotePrefix="0" xfId="0">
      <alignment horizontal="general" vertical="center" wrapText="1"/>
      <protection locked="0" hidden="0"/>
    </xf>
    <xf numFmtId="165" fontId="17" fillId="2" borderId="5" applyAlignment="1" applyProtection="1" pivotButton="0" quotePrefix="0" xfId="0">
      <alignment horizontal="right" vertical="bottom"/>
      <protection locked="0" hidden="0"/>
    </xf>
    <xf numFmtId="165" fontId="17" fillId="2" borderId="5" applyAlignment="1" applyProtection="1" pivotButton="0" quotePrefix="0" xfId="0">
      <alignment horizontal="right" vertical="bottom"/>
      <protection locked="0" hidden="0"/>
    </xf>
    <xf numFmtId="0" fontId="6" fillId="3" borderId="4" applyAlignment="1" applyProtection="1" pivotButton="0" quotePrefix="0" xfId="0">
      <alignment horizontal="general" vertical="center" wrapText="1"/>
      <protection locked="0" hidden="0"/>
    </xf>
    <xf numFmtId="0" fontId="0" fillId="5" borderId="10" applyAlignment="1" applyProtection="1" pivotButton="0" quotePrefix="0" xfId="0">
      <alignment horizontal="general" vertical="top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0" fillId="5" borderId="1" applyAlignment="1" applyProtection="1" pivotButton="0" quotePrefix="0" xfId="0">
      <alignment horizontal="general" vertical="center" wrapText="1"/>
      <protection locked="0" hidden="0"/>
    </xf>
    <xf numFmtId="165" fontId="0" fillId="5" borderId="1" applyAlignment="1" applyProtection="1" pivotButton="0" quotePrefix="0" xfId="0">
      <alignment horizontal="general" vertical="center" wrapText="1"/>
      <protection locked="0" hidden="0"/>
    </xf>
    <xf numFmtId="10" fontId="0" fillId="5" borderId="1" applyAlignment="1" applyProtection="1" pivotButton="0" quotePrefix="0" xfId="0">
      <alignment horizontal="general" vertical="center" wrapText="1"/>
      <protection locked="0" hidden="0"/>
    </xf>
    <xf numFmtId="0" fontId="0" fillId="6" borderId="0" applyAlignment="1" applyProtection="1" pivotButton="0" quotePrefix="0" xfId="0">
      <alignment horizontal="general" vertical="center" wrapText="1"/>
      <protection locked="0" hidden="0"/>
    </xf>
    <xf numFmtId="0" fontId="0" fillId="10" borderId="0" applyAlignment="1" applyProtection="1" pivotButton="0" quotePrefix="0" xfId="0">
      <alignment horizontal="general" vertical="center" wrapText="1"/>
      <protection locked="0" hidden="0"/>
    </xf>
    <xf numFmtId="164" fontId="0" fillId="10" borderId="0" applyAlignment="1" applyProtection="1" pivotButton="0" quotePrefix="0" xfId="0">
      <alignment horizontal="general" vertical="center" wrapText="1"/>
      <protection locked="0" hidden="0"/>
    </xf>
    <xf numFmtId="165" fontId="0" fillId="10" borderId="1" applyAlignment="1" applyProtection="1" pivotButton="0" quotePrefix="0" xfId="0">
      <alignment horizontal="general" vertical="center" wrapText="1"/>
      <protection locked="0" hidden="0"/>
    </xf>
    <xf numFmtId="10" fontId="0" fillId="10" borderId="1" applyAlignment="1" applyProtection="1" pivotButton="0" quotePrefix="0" xfId="0">
      <alignment horizontal="general" vertical="center" wrapText="1"/>
      <protection locked="0" hidden="0"/>
    </xf>
    <xf numFmtId="0" fontId="0" fillId="10" borderId="1" applyAlignment="1" applyProtection="1" pivotButton="0" quotePrefix="0" xfId="0">
      <alignment horizontal="general" vertical="center" wrapText="1"/>
      <protection locked="0" hidden="0"/>
    </xf>
    <xf numFmtId="2" fontId="0" fillId="6" borderId="1" applyAlignment="1" applyProtection="1" pivotButton="0" quotePrefix="0" xfId="0">
      <alignment horizontal="right" vertical="center"/>
      <protection locked="0" hidden="0"/>
    </xf>
    <xf numFmtId="171" fontId="0" fillId="5" borderId="0" applyAlignment="1" applyProtection="1" pivotButton="0" quotePrefix="0" xfId="0">
      <alignment horizontal="general" vertical="center" wrapText="1"/>
      <protection locked="0" hidden="0"/>
    </xf>
    <xf numFmtId="171" fontId="0" fillId="6" borderId="1" applyAlignment="1" applyProtection="1" pivotButton="0" quotePrefix="0" xfId="0">
      <alignment horizontal="right" vertical="center"/>
      <protection locked="0" hidden="0"/>
    </xf>
    <xf numFmtId="0" fontId="0" fillId="6" borderId="1" applyAlignment="1" applyProtection="1" pivotButton="0" quotePrefix="0" xfId="0">
      <alignment horizontal="right" vertical="center"/>
      <protection locked="0" hidden="0"/>
    </xf>
    <xf numFmtId="171" fontId="0" fillId="6" borderId="0" applyAlignment="1" applyProtection="1" pivotButton="0" quotePrefix="0" xfId="0">
      <alignment horizontal="general" vertical="center" wrapText="1"/>
      <protection locked="0" hidden="0"/>
    </xf>
    <xf numFmtId="1" fontId="0" fillId="6" borderId="0" applyAlignment="1" applyProtection="1" pivotButton="0" quotePrefix="0" xfId="0">
      <alignment horizontal="general" vertical="center" wrapText="1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1737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3F6FA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7375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DoorM</author>
  </authors>
  <commentList>
    <comment ref="A4" authorId="0" shapeId="0">
      <text>
        <t>Use only the building/dorm value here, e.g. Dorm 1, Dorm 2, Dorm 3. Do not put the client name here.</t>
      </text>
    </comment>
    <comment ref="D4" authorId="0" shapeId="0">
      <text>
        <t>Put the name of the client/person renting the bed/room here.</t>
      </text>
    </comment>
    <comment ref="G4" authorId="0" shapeId="0">
      <text>
        <t>Monthly Rent is the total room rent, not the client share. The client share is calculated automatically.</t>
      </text>
    </comment>
  </commentList>
</comments>
</file>

<file path=xl/comments/comment2.xml><?xml version="1.0" encoding="utf-8"?>
<comments xmlns="http://schemas.openxmlformats.org/spreadsheetml/2006/main">
  <authors>
    <author>DoorM</author>
  </authors>
  <commentList>
    <comment ref="J5" authorId="0" shapeId="0">
      <text>
        <t>Formule visible: Total Room Electricity / clients Occupied actifs dans la meme Dorm/Room pour ce mois. La colonne Dorm doit rester Dorm 1/Dorm 2/etc, pas le nom client.</t>
      </text>
    </comment>
  </commentList>
</comments>
</file>

<file path=xl/comments/comment3.xml><?xml version="1.0" encoding="utf-8"?>
<comments xmlns="http://schemas.openxmlformats.org/spreadsheetml/2006/main">
  <authors>
    <author>DoorM</author>
  </authors>
  <commentList>
    <comment ref="B18" authorId="0" shapeId="0">
      <text>
        <t>Calculated as room Monthly Rent divided by the number of occupied beds in the same room.</t>
      </text>
    </comment>
    <comment ref="B19" authorId="0" shapeId="0">
      <text>
        <t>Room generator electricity divided by active occupied clients in the same room during the billing month.</t>
      </text>
    </comment>
    <comment ref="B20" authorId="0" shapeId="0">
      <text>
        <t>Room government electricity divided by active occupied clients in the same room during the billing month.</t>
      </text>
    </comment>
  </commentList>
</comments>
</file>

<file path=xl/tables/table1.xml><?xml version="1.0" encoding="utf-8"?>
<table xmlns="http://schemas.openxmlformats.org/spreadsheetml/2006/main" id="1" name="RenovationTracker" displayName="RenovationTracker" ref="A10:K200" headerRowCount="1" totalsRowCount="0" totalsRowShown="0">
  <autoFilter ref="A10:K200"/>
  <tableColumns count="11">
    <tableColumn id="1" name="Dorm Name"/>
    <tableColumn id="2" name="Category"/>
    <tableColumn id="3" name="Estimated Budget"/>
    <tableColumn id="4" name="Actual Cost"/>
    <tableColumn id="5" name="Variance"/>
    <tableColumn id="6" name="Variance %"/>
    <tableColumn id="7" name="Payment Status"/>
    <tableColumn id="8" name="Contractor Name"/>
    <tableColumn id="9" name="Contractor Phone"/>
    <tableColumn id="10" name="Completion Date"/>
    <tableColumn id="11" name="Notes"/>
  </tableColumns>
</table>
</file>

<file path=xl/tables/table2.xml><?xml version="1.0" encoding="utf-8"?>
<table xmlns="http://schemas.openxmlformats.org/spreadsheetml/2006/main" id="2" name="CommonElectricity" displayName="CommonElectricity" ref="K5:T300" headerRowCount="1" totalsRowCount="0" totalsRowShown="0">
  <autoFilter ref="K5:T300">
    <filterColumn colId="0" hiddenButton="0" showButton="1">
      <filters>
        <filter val="Dorm 1"/>
      </filters>
    </filterColumn>
  </autoFilter>
  <tableColumns count="10">
    <tableColumn id="1" name="Dorm"/>
    <tableColumn id="2" name="room"/>
    <tableColumn id="3" name="Total Occupied Beds"/>
    <tableColumn id="4" name="Common Area Meter kWh"/>
    <tableColumn id="5" name="Generator kWh Supplied"/>
    <tableColumn id="6" name="Government kWh"/>
    <tableColumn id="7" name="Generator Charge"/>
    <tableColumn id="8" name="Government Charge"/>
    <tableColumn id="9" name="Common Area Cost"/>
    <tableColumn id="10" name="Common Area Per Person"/>
  </tableColumns>
</table>
</file>

<file path=xl/tables/table3.xml><?xml version="1.0" encoding="utf-8"?>
<table xmlns="http://schemas.openxmlformats.org/spreadsheetml/2006/main" id="3" name="RoomElectricity" displayName="RoomElectricity" ref="A5:J800" headerRowCount="1" totalsRowCount="0" totalsRowShown="0">
  <autoFilter ref="A5:J800"/>
  <tableColumns count="10">
    <tableColumn id="1" name="Dorm"/>
    <tableColumn id="2" name="Month"/>
    <tableColumn id="3" name="Room Number"/>
    <tableColumn id="4" name="Total Room Meter kWh"/>
    <tableColumn id="5" name="Generator kWh Supplied"/>
    <tableColumn id="6" name="Government kWh"/>
    <tableColumn id="7" name="Generator Charge"/>
    <tableColumn id="8" name="Government Charge"/>
    <tableColumn id="9" name="Total Room Electricity"/>
    <tableColumn id="10" name="elec/ocupaied"/>
  </tableColumns>
</table>
</file>

<file path=xl/tables/table4.xml><?xml version="1.0" encoding="utf-8"?>
<table xmlns="http://schemas.openxmlformats.org/spreadsheetml/2006/main" id="4" name="FinancialModel" displayName="FinancialModel" ref="A13:U300" headerRowCount="1" totalsRowCount="0" totalsRowShown="0">
  <autoFilter ref="A13:U300">
    <filterColumn colId="1" hiddenButton="0" showButton="1">
      <filters>
        <filter val="Dorm 1"/>
      </filters>
    </filterColumn>
  </autoFilter>
  <tableColumns count="21">
    <tableColumn id="1" name="Month"/>
    <tableColumn id="2" name="Dorm Name"/>
    <tableColumn id="3" name="Ownership Type"/>
    <tableColumn id="4" name="Bed Capacity"/>
    <tableColumn id="5" name="Rent Per Bed"/>
    <tableColumn id="6" name="Target Occupancy %"/>
    <tableColumn id="7" name="Inflation %"/>
    <tableColumn id="8" name="Maximum Gross Revenue"/>
    <tableColumn id="9" name="Actual Revenue"/>
    <tableColumn id="10" name="Target Revenue"/>
    <tableColumn id="11" name="Municipality Fees"/>
    <tableColumn id="12" name="Building Subscription Fees"/>
    <tableColumn id="13" name="Cleaning"/>
    <tableColumn id="14" name="Maintenance"/>
    <tableColumn id="15" name="Internet"/>
    <tableColumn id="16" name="Supplies"/>
    <tableColumn id="17" name="Marketing"/>
    <tableColumn id="18" name="Building Rent"/>
    <tableColumn id="19" name="Operating Expenses"/>
    <tableColumn id="20" name="Net Profit"/>
    <tableColumn id="21" name="Net Margin"/>
  </tableColumns>
</table>
</file>

<file path=xl/tables/table5.xml><?xml version="1.0" encoding="utf-8"?>
<table xmlns="http://schemas.openxmlformats.org/spreadsheetml/2006/main" id="5" name="FinancialModel_7" displayName="FinancialModel_7" ref="A13:U300" headerRowCount="1" totalsRowCount="0" totalsRowShown="0">
  <autoFilter ref="A13:U300"/>
  <tableColumns count="21">
    <tableColumn id="1" name="Month"/>
    <tableColumn id="2" name="Dorm Name"/>
    <tableColumn id="3" name="Ownership Type"/>
    <tableColumn id="4" name="Bed Capacity"/>
    <tableColumn id="5" name="Rent Per Bed"/>
    <tableColumn id="6" name="Target Occupancy %"/>
    <tableColumn id="7" name="Inflation %"/>
    <tableColumn id="8" name="Maximum Gross Revenue"/>
    <tableColumn id="9" name="Actual Revenue"/>
    <tableColumn id="10" name="Target Revenue"/>
    <tableColumn id="11" name="Municipality Fees"/>
    <tableColumn id="12" name="Building Subscription Fees"/>
    <tableColumn id="13" name="Cleaning"/>
    <tableColumn id="14" name="Maintenance"/>
    <tableColumn id="15" name="Internet"/>
    <tableColumn id="16" name="Supplies"/>
    <tableColumn id="17" name="Marketing"/>
    <tableColumn id="18" name="Building Rent"/>
    <tableColumn id="19" name="Operating Expenses"/>
    <tableColumn id="20" name="Net Profit"/>
    <tableColumn id="21" name="Net Margin"/>
  </tableColumns>
</table>
</file>

<file path=xl/tables/table6.xml><?xml version="1.0" encoding="utf-8"?>
<table xmlns="http://schemas.openxmlformats.org/spreadsheetml/2006/main" id="6" name="DormRegistry" displayName="DormRegistry" ref="A20:G120" headerRowCount="1" totalsRowCount="0" totalsRowShown="0">
  <autoFilter ref="A20:G120"/>
  <tableColumns count="7">
    <tableColumn id="1" name="Dorm Name"/>
    <tableColumn id="2" name="Status"/>
    <tableColumn id="3" name="Ownership Type"/>
    <tableColumn id="4" name="Number of Rooms"/>
    <tableColumn id="5" name="Beds per Room"/>
    <tableColumn id="6" name="Bed Capacity"/>
    <tableColumn id="7" name="Notes"/>
  </tableColumns>
</table>
</file>

<file path=xl/tables/table7.xml><?xml version="1.0" encoding="utf-8"?>
<table xmlns="http://schemas.openxmlformats.org/spreadsheetml/2006/main" id="7" name="DormRegistry_8" displayName="DormRegistry_8" ref="A20:G120" headerRowCount="1" totalsRowCount="0" totalsRowShown="0">
  <autoFilter ref="A20:G120"/>
  <tableColumns count="7">
    <tableColumn id="1" name="Dorm Name"/>
    <tableColumn id="2" name="Status"/>
    <tableColumn id="3" name="Ownership Type"/>
    <tableColumn id="4" name="Number of Rooms"/>
    <tableColumn id="5" name="Beds per Room"/>
    <tableColumn id="6" name="Bed Capacity"/>
    <tableColumn id="7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22" activeCellId="0" sqref="C22"/>
    </sheetView>
  </sheetViews>
  <sheetFormatPr baseColWidth="8" defaultColWidth="9.00390625" defaultRowHeight="14.25" customHeight="0" zeroHeight="0" outlineLevelRow="0"/>
  <cols>
    <col width="18" customWidth="1" style="82" min="1" max="1"/>
    <col width="24.11" customWidth="1" style="82" min="2" max="2"/>
    <col width="18" customWidth="1" style="82" min="3" max="12"/>
  </cols>
  <sheetData>
    <row r="1" ht="27.75" customHeight="1" s="83">
      <c r="A1" s="84" t="inlineStr">
        <is>
          <t>Executive Dashboard &amp; Global Settings</t>
        </is>
      </c>
      <c r="B1" s="85" t="n"/>
      <c r="C1" s="85" t="n"/>
      <c r="D1" s="85" t="n"/>
      <c r="E1" s="85" t="n"/>
      <c r="F1" s="85" t="n"/>
      <c r="G1" s="85" t="n"/>
      <c r="H1" s="85" t="n"/>
    </row>
    <row r="2" ht="14.25" customHeight="1" s="83">
      <c r="A2" s="86" t="inlineStr">
        <is>
          <t>Portfolio-level controls, KPIs, charts, and dorm-level filtering.</t>
        </is>
      </c>
      <c r="B2" s="85" t="n"/>
      <c r="C2" s="85" t="n"/>
      <c r="D2" s="85" t="n"/>
      <c r="E2" s="85" t="n"/>
      <c r="F2" s="85" t="n"/>
      <c r="G2" s="85" t="n"/>
      <c r="H2" s="85" t="n"/>
    </row>
    <row r="3" ht="14.25" customHeight="1" s="83">
      <c r="A3" s="122" t="inlineStr">
        <is>
          <t>Global Controls</t>
        </is>
      </c>
      <c r="B3" s="85" t="n"/>
      <c r="C3" s="85" t="n"/>
      <c r="D3" s="85" t="n"/>
      <c r="E3" s="88" t="n"/>
      <c r="F3" s="88" t="n"/>
      <c r="G3" s="88" t="n"/>
      <c r="H3" s="88" t="n"/>
    </row>
    <row r="4" ht="14.25" customHeight="1" s="83">
      <c r="A4" s="89" t="inlineStr">
        <is>
          <t>Current Month</t>
        </is>
      </c>
      <c r="B4" s="90" t="n">
        <v>46023</v>
      </c>
      <c r="C4" s="88" t="n"/>
      <c r="D4" s="88" t="n"/>
      <c r="E4" s="88" t="n"/>
      <c r="F4" s="88" t="n"/>
      <c r="G4" s="88" t="n"/>
      <c r="H4" s="88" t="n"/>
    </row>
    <row r="5" ht="14.25" customHeight="1" s="83">
      <c r="A5" s="89" t="inlineStr">
        <is>
          <t>Current Year</t>
        </is>
      </c>
      <c r="B5" s="91" t="n">
        <v>2026</v>
      </c>
      <c r="C5" s="88" t="n"/>
      <c r="D5" s="88" t="n"/>
      <c r="E5" s="88" t="n"/>
      <c r="F5" s="88" t="n"/>
      <c r="G5" s="88" t="n"/>
      <c r="H5" s="88" t="n"/>
    </row>
    <row r="6" ht="14.25" customHeight="1" s="83">
      <c r="A6" s="89" t="inlineStr">
        <is>
          <t>Dorm Filter</t>
        </is>
      </c>
      <c r="B6" s="91" t="inlineStr">
        <is>
          <t>All Dorms</t>
        </is>
      </c>
      <c r="C6" s="88" t="n"/>
      <c r="D6" s="88" t="n"/>
      <c r="E6" s="88" t="n"/>
      <c r="F6" s="88" t="n"/>
      <c r="G6" s="88" t="n"/>
      <c r="H6" s="88" t="n"/>
    </row>
    <row r="7" ht="14.25" customHeight="1" s="83">
      <c r="A7" s="88" t="n"/>
      <c r="B7" s="88" t="n"/>
      <c r="C7" s="88" t="n"/>
      <c r="D7" s="88" t="n"/>
      <c r="E7" s="88" t="n"/>
      <c r="F7" s="88" t="n"/>
      <c r="G7" s="88" t="n"/>
      <c r="H7" s="88" t="n"/>
    </row>
    <row r="8" ht="28.5" customHeight="1" s="83">
      <c r="A8" s="92" t="inlineStr">
        <is>
          <t>Revenue</t>
        </is>
      </c>
      <c r="B8" s="89" t="inlineStr">
        <is>
          <t>Total Portfolio Revenue</t>
        </is>
      </c>
      <c r="C8" s="93" t="n"/>
      <c r="D8" s="88" t="n"/>
      <c r="E8" s="88" t="n"/>
      <c r="F8" s="88" t="n"/>
      <c r="G8" s="88" t="n"/>
      <c r="H8" s="88" t="n"/>
    </row>
    <row r="9" ht="28.5" customHeight="1" s="83">
      <c r="A9" s="92" t="inlineStr">
        <is>
          <t>Revenue</t>
        </is>
      </c>
      <c r="B9" s="89" t="inlineStr">
        <is>
          <t>Revenue This Month</t>
        </is>
      </c>
      <c r="C9" s="93" t="n"/>
      <c r="D9" s="88" t="n"/>
      <c r="E9" s="88" t="n"/>
      <c r="F9" s="88" t="n"/>
      <c r="G9" s="88" t="n"/>
      <c r="H9" s="88" t="n"/>
    </row>
    <row r="10" ht="14.25" customHeight="1" s="83">
      <c r="A10" s="92" t="inlineStr">
        <is>
          <t>Revenue</t>
        </is>
      </c>
      <c r="B10" s="89" t="inlineStr">
        <is>
          <t>Revenue YTD</t>
        </is>
      </c>
      <c r="C10" s="93">
        <f>SUMPRODUCT((FinancialModel[Month]&gt;=DATE(CurrentYear,1,1))*(FinancialModel[Month]&lt;=EOMONTH(DATE(CurrentYear,MONTH(CurrentMonth),1),0))*(FinancialModel[Actual Revenue])*(IF(SelectedDorm="All Dorms",1,--(FinancialModel[[#This Row],[Dorm Name]]=SelectedDorm))))</f>
        <v/>
      </c>
      <c r="D10" s="88" t="n"/>
      <c r="E10" s="88" t="n"/>
      <c r="F10" s="88" t="n"/>
      <c r="G10" s="88" t="n"/>
      <c r="H10" s="88" t="n"/>
    </row>
    <row r="11" ht="28.5" customHeight="1" s="83">
      <c r="A11" s="92" t="inlineStr">
        <is>
          <t>Expenses</t>
        </is>
      </c>
      <c r="B11" s="89" t="inlineStr">
        <is>
          <t>Total Operating Expenses</t>
        </is>
      </c>
      <c r="C11" s="93">
        <f>SUMPRODUCT((FinancialModel[Month]=DATE(CurrentYear,MONTH(CurrentMonth),1))*(FinancialModel[Operating Expenses])*(IF(SelectedDorm="All Dorms",1,--(FinancialModel[[#This Row],[Dorm Name]]=SelectedDorm))))</f>
        <v/>
      </c>
      <c r="D11" s="88" t="n"/>
      <c r="E11" s="88" t="n"/>
      <c r="F11" s="88" t="n"/>
      <c r="G11" s="88" t="n"/>
      <c r="H11" s="88" t="n"/>
    </row>
    <row r="12" ht="14.25" customHeight="1" s="83">
      <c r="A12" s="92" t="inlineStr">
        <is>
          <t>Expenses</t>
        </is>
      </c>
      <c r="B12" s="89" t="inlineStr">
        <is>
          <t>Electricity Expenses</t>
        </is>
      </c>
      <c r="C12" s="93">
        <f>SUMPRODUCT((RoomElectricity[Month]=DATE(CurrentYear,MONTH(CurrentMonth),1))*(RoomElectricity[Total Room Electricity])*(IF(SelectedDorm="All Dorms",1,--(RoomElectricity[Dorm]=SelectedDorm))))+SUMPRODUCT(('Electricity Management'!$B$6:$B$300=DATE(CurrentYear,MONTH(CurrentMonth),1))*(CommonElectricity[Common Area Cost])*(IF(SelectedDorm="All Dorms",1,--(CommonElectricity[Dorm]=SelectedDorm))))</f>
        <v/>
      </c>
      <c r="D12" s="88" t="n"/>
      <c r="E12" s="88" t="n"/>
      <c r="F12" s="88" t="n"/>
      <c r="G12" s="88" t="n"/>
      <c r="H12" s="88" t="n"/>
    </row>
    <row r="13" ht="28.5" customHeight="1" s="83">
      <c r="A13" s="92" t="inlineStr">
        <is>
          <t>Expenses</t>
        </is>
      </c>
      <c r="B13" s="89" t="inlineStr">
        <is>
          <t>Renovation Expenses</t>
        </is>
      </c>
      <c r="C13" s="93">
        <f>IF(SelectedDorm="All Dorms",SUM(RenovationTracker[Actual Cost]),SUMIFS(RenovationTracker[Actual Cost],RenovationTracker[Dorm Name],SelectedDorm))</f>
        <v/>
      </c>
      <c r="D13" s="88" t="n"/>
      <c r="E13" s="88" t="n"/>
      <c r="F13" s="88" t="n"/>
      <c r="G13" s="88" t="n"/>
      <c r="H13" s="88" t="n"/>
    </row>
    <row r="14" ht="14.25" customHeight="1" s="83">
      <c r="A14" s="92" t="inlineStr">
        <is>
          <t>Expenses</t>
        </is>
      </c>
      <c r="B14" s="89" t="inlineStr">
        <is>
          <t>Rental Expenses</t>
        </is>
      </c>
      <c r="C14" s="93">
        <f>SUMPRODUCT((FinancialModel[Month]=DATE(CurrentYear,MONTH(CurrentMonth),1))*(FinancialModel[Building Rent])*(IF(SelectedDorm="All Dorms",1,--(FinancialModel[[#This Row],[Dorm Name]]=SelectedDorm))))</f>
        <v/>
      </c>
      <c r="D14" s="88" t="n"/>
      <c r="E14" s="88" t="n"/>
      <c r="F14" s="88" t="n"/>
      <c r="G14" s="88" t="n"/>
      <c r="H14" s="88" t="n"/>
    </row>
    <row r="15" ht="14.25" customHeight="1" s="83">
      <c r="A15" s="92" t="inlineStr">
        <is>
          <t>Profitability</t>
        </is>
      </c>
      <c r="B15" s="89" t="inlineStr">
        <is>
          <t>Net Profit</t>
        </is>
      </c>
      <c r="C15" s="93">
        <f>C9-C11-C12</f>
        <v/>
      </c>
      <c r="D15" s="88" t="n"/>
      <c r="E15" s="88" t="n"/>
      <c r="F15" s="88" t="n"/>
      <c r="G15" s="88" t="n"/>
      <c r="H15" s="88" t="n"/>
    </row>
    <row r="16" ht="14.25" customHeight="1" s="83">
      <c r="A16" s="92" t="inlineStr">
        <is>
          <t>Profitability</t>
        </is>
      </c>
      <c r="B16" s="89" t="inlineStr">
        <is>
          <t>Net Margin %</t>
        </is>
      </c>
      <c r="C16" s="94">
        <f>IFERROR(C15/C9,0)</f>
        <v/>
      </c>
      <c r="D16" s="88" t="n"/>
      <c r="E16" s="88" t="n"/>
      <c r="F16" s="88" t="n"/>
      <c r="G16" s="88" t="n"/>
      <c r="H16" s="88" t="n"/>
    </row>
    <row r="17" ht="14.25" customHeight="1" s="83">
      <c r="A17" s="92" t="inlineStr">
        <is>
          <t>Occupancy</t>
        </is>
      </c>
      <c r="B17" s="89" t="inlineStr">
        <is>
          <t>Total Beds</t>
        </is>
      </c>
      <c r="C17" s="95">
        <f>IF(SelectedDorm="All Dorms",SUM(DormRegistry[Bed Capacity]),IFERROR(_xlfn.XLOOKUP(SelectedDorm,DormRegistry[Dorm Name],DormRegistry[Bed Capacity]),0))</f>
        <v/>
      </c>
      <c r="D17" s="88" t="n"/>
      <c r="E17" s="88" t="n"/>
      <c r="F17" s="88" t="n"/>
      <c r="G17" s="88" t="n"/>
      <c r="H17" s="88" t="n"/>
    </row>
    <row r="18" ht="14.25" customHeight="1" s="83">
      <c r="A18" s="92" t="inlineStr">
        <is>
          <t>Occupancy</t>
        </is>
      </c>
      <c r="B18" s="89" t="inlineStr">
        <is>
          <t>Occupied Beds</t>
        </is>
      </c>
      <c r="C18" s="95" t="n"/>
      <c r="D18" s="88" t="n"/>
      <c r="E18" s="88" t="n"/>
      <c r="F18" s="88" t="n"/>
      <c r="G18" s="88" t="n"/>
      <c r="H18" s="88" t="n"/>
    </row>
    <row r="19" ht="14.25" customHeight="1" s="83">
      <c r="A19" s="92" t="inlineStr">
        <is>
          <t>Occupancy</t>
        </is>
      </c>
      <c r="B19" s="89" t="inlineStr">
        <is>
          <t>Available Beds</t>
        </is>
      </c>
      <c r="C19" s="95">
        <f>C17-C18</f>
        <v/>
      </c>
      <c r="D19" s="88" t="n"/>
      <c r="E19" s="88" t="n"/>
      <c r="F19" s="88" t="n"/>
      <c r="G19" s="88" t="n"/>
      <c r="H19" s="88" t="n"/>
    </row>
    <row r="20" ht="14.25" customHeight="1" s="83">
      <c r="A20" s="92" t="inlineStr">
        <is>
          <t>Occupancy</t>
        </is>
      </c>
      <c r="B20" s="89" t="inlineStr">
        <is>
          <t>Occupancy %</t>
        </is>
      </c>
      <c r="C20" s="94">
        <f>IFERROR(C18/C17,0)</f>
        <v/>
      </c>
      <c r="D20" s="88" t="n"/>
      <c r="E20" s="88" t="n"/>
      <c r="F20" s="88" t="n"/>
      <c r="G20" s="88" t="n"/>
      <c r="H20" s="88" t="n"/>
    </row>
    <row r="21" ht="14.25" customHeight="1" s="83">
      <c r="A21" s="88" t="n"/>
      <c r="B21" s="88" t="n"/>
      <c r="C21" s="88" t="n"/>
      <c r="D21" s="88" t="n"/>
      <c r="E21" s="88" t="n"/>
      <c r="F21" s="88" t="n"/>
      <c r="G21" s="88" t="n"/>
      <c r="H21" s="88" t="n"/>
    </row>
    <row r="22" ht="14.25" customHeight="1" s="83">
      <c r="A22" s="88" t="n"/>
      <c r="B22" s="88" t="n"/>
      <c r="C22" s="88" t="n"/>
      <c r="D22" s="88" t="n"/>
      <c r="E22" s="88" t="n"/>
      <c r="F22" s="88" t="n"/>
      <c r="G22" s="88" t="n"/>
      <c r="H22" s="88" t="n"/>
    </row>
    <row r="23" ht="14.25" customHeight="1" s="83">
      <c r="A23" s="88" t="n"/>
      <c r="B23" s="88" t="n"/>
      <c r="C23" s="88" t="n"/>
      <c r="D23" s="88" t="n"/>
      <c r="E23" s="88" t="n"/>
      <c r="F23" s="88" t="n"/>
      <c r="G23" s="88" t="n"/>
      <c r="H23" s="88" t="n"/>
    </row>
    <row r="24" ht="14.25" customHeight="1" s="83">
      <c r="A24" s="88" t="n"/>
      <c r="B24" s="88" t="n"/>
      <c r="C24" s="88" t="n"/>
      <c r="D24" s="88" t="n"/>
      <c r="E24" s="88" t="n"/>
      <c r="F24" s="88" t="n"/>
      <c r="G24" s="88" t="n"/>
      <c r="H24" s="88" t="n"/>
    </row>
    <row r="25" ht="14.25" customHeight="1" s="83">
      <c r="A25" s="88" t="n"/>
      <c r="B25" s="88" t="n"/>
      <c r="C25" s="88" t="n"/>
      <c r="D25" s="88" t="n"/>
      <c r="E25" s="88" t="n"/>
      <c r="F25" s="88" t="n"/>
      <c r="G25" s="88" t="n"/>
      <c r="H25" s="88" t="n"/>
    </row>
    <row r="26" ht="14.25" customHeight="1" s="83">
      <c r="A26" s="88" t="n"/>
      <c r="B26" s="88" t="n"/>
      <c r="C26" s="88" t="n"/>
      <c r="D26" s="88" t="n"/>
      <c r="E26" s="88" t="n"/>
      <c r="F26" s="88" t="n"/>
      <c r="G26" s="88" t="n"/>
      <c r="H26" s="88" t="n"/>
    </row>
    <row r="27" ht="14.25" customHeight="1" s="83">
      <c r="A27" s="88" t="n"/>
      <c r="B27" s="88" t="n"/>
      <c r="C27" s="88" t="n"/>
      <c r="D27" s="88" t="n"/>
      <c r="E27" s="88" t="n"/>
      <c r="F27" s="88" t="n"/>
      <c r="G27" s="88" t="n"/>
      <c r="H27" s="88" t="n"/>
    </row>
    <row r="28" ht="14.25" customHeight="1" s="83">
      <c r="A28" s="88" t="n"/>
      <c r="B28" s="88" t="n"/>
      <c r="C28" s="88" t="n"/>
      <c r="D28" s="88" t="n"/>
      <c r="E28" s="88" t="n"/>
      <c r="F28" s="88" t="n"/>
      <c r="G28" s="88" t="n"/>
      <c r="H28" s="88" t="n"/>
    </row>
    <row r="29" ht="14.25" customHeight="1" s="83">
      <c r="A29" s="88" t="n"/>
      <c r="B29" s="88" t="n"/>
      <c r="C29" s="88" t="n"/>
      <c r="D29" s="88" t="n"/>
      <c r="E29" s="88" t="n"/>
      <c r="F29" s="88" t="n"/>
      <c r="G29" s="88" t="n"/>
      <c r="H29" s="88" t="n"/>
    </row>
    <row r="30" ht="14.25" customHeight="1" s="83">
      <c r="A30" s="88" t="n"/>
      <c r="B30" s="88" t="n"/>
      <c r="C30" s="88" t="n"/>
      <c r="D30" s="88" t="n"/>
      <c r="E30" s="88" t="n"/>
      <c r="F30" s="88" t="n"/>
      <c r="G30" s="88" t="n"/>
      <c r="H30" s="88" t="n"/>
    </row>
    <row r="31" ht="14.25" customHeight="1" s="83">
      <c r="A31" s="88" t="n"/>
      <c r="B31" s="88" t="n"/>
      <c r="C31" s="88" t="n"/>
      <c r="D31" s="88" t="n"/>
      <c r="E31" s="88" t="n"/>
      <c r="F31" s="88" t="n"/>
      <c r="G31" s="88" t="n"/>
      <c r="H31" s="88" t="n"/>
    </row>
    <row r="32" ht="14.25" customHeight="1" s="83">
      <c r="A32" s="88" t="n"/>
      <c r="B32" s="88" t="n"/>
      <c r="C32" s="88" t="n"/>
      <c r="D32" s="88" t="n"/>
      <c r="E32" s="88" t="n"/>
      <c r="F32" s="88" t="n"/>
      <c r="G32" s="88" t="n"/>
      <c r="H32" s="88" t="n"/>
    </row>
    <row r="33" ht="14.25" customHeight="1" s="83">
      <c r="A33" s="88" t="n"/>
      <c r="B33" s="88" t="n"/>
      <c r="C33" s="88" t="n"/>
      <c r="D33" s="88" t="n"/>
      <c r="E33" s="88" t="n"/>
      <c r="F33" s="88" t="n"/>
      <c r="G33" s="88" t="n"/>
      <c r="H33" s="88" t="n"/>
    </row>
    <row r="34" ht="14.25" customHeight="1" s="83">
      <c r="A34" s="88" t="n"/>
      <c r="B34" s="88" t="n"/>
      <c r="C34" s="88" t="n"/>
      <c r="D34" s="88" t="n"/>
      <c r="E34" s="88" t="n"/>
      <c r="F34" s="88" t="n"/>
      <c r="G34" s="88" t="n"/>
      <c r="H34" s="88" t="n"/>
    </row>
    <row r="35" ht="14.25" customHeight="1" s="83">
      <c r="A35" s="88" t="n"/>
      <c r="B35" s="88" t="n"/>
      <c r="C35" s="88" t="n"/>
      <c r="D35" s="88" t="n"/>
      <c r="E35" s="88" t="n"/>
      <c r="F35" s="88" t="n"/>
      <c r="G35" s="88" t="n"/>
      <c r="H35" s="88" t="n"/>
    </row>
    <row r="36" ht="14.25" customHeight="1" s="83">
      <c r="A36" s="124" t="inlineStr">
        <is>
          <t>Month</t>
        </is>
      </c>
      <c r="B36" s="124" t="inlineStr">
        <is>
          <t>Revenue Trend</t>
        </is>
      </c>
      <c r="C36" s="124" t="inlineStr">
        <is>
          <t>Expense Trend</t>
        </is>
      </c>
      <c r="D36" s="124" t="inlineStr">
        <is>
          <t>Occupancy %</t>
        </is>
      </c>
      <c r="E36" s="88" t="n"/>
      <c r="F36" s="124" t="inlineStr">
        <is>
          <t>Dorm</t>
        </is>
      </c>
      <c r="G36" s="124" t="inlineStr">
        <is>
          <t>Revenue</t>
        </is>
      </c>
      <c r="H36" s="88" t="n"/>
    </row>
    <row r="37" ht="14.25" customHeight="1" s="83">
      <c r="A37" s="97">
        <f>EDATE(DATE(CurrentYear,MONTH(CurrentMonth),1),-11)</f>
        <v/>
      </c>
      <c r="B37" s="98">
        <f>SUMPRODUCT((FinancialModel[Month]=A37)*(FinancialModel[Actual Revenue])*(IF(SelectedDorm="All Dorms",1,--(FinancialModel[[#This Row],[Dorm Name]]=SelectedDorm))))</f>
        <v/>
      </c>
      <c r="C37" s="98">
        <f>SUMPRODUCT((FinancialModel[Month]=A37)*(FinancialModel[Operating Expenses])*(IF(SelectedDorm="All Dorms",1,--(FinancialModel[[#This Row],[Dorm Name]]=SelectedDorm))))</f>
        <v/>
      </c>
      <c r="D37" s="99" t="n"/>
      <c r="E37" s="88" t="n"/>
      <c r="F37" s="100" t="inlineStr">
        <is>
          <t>Dorm 1</t>
        </is>
      </c>
      <c r="G37" s="130">
        <f>SUMIFS(FinancialModel[Actual Revenue],FinancialModel[Dorm Name],F37)</f>
        <v/>
      </c>
      <c r="H37" s="88" t="n"/>
    </row>
    <row r="38" ht="14.25" customHeight="1" s="83">
      <c r="A38" s="97">
        <f>EDATE(DATE(CurrentYear,MONTH(CurrentMonth),1),-10)</f>
        <v/>
      </c>
      <c r="B38" s="98">
        <f>SUMPRODUCT((FinancialModel[Month]=A38)*(FinancialModel[Actual Revenue])*(IF(SelectedDorm="All Dorms",1,--(FinancialModel[[#This Row],[Dorm Name]]=SelectedDorm))))</f>
        <v/>
      </c>
      <c r="C38" s="98">
        <f>SUMPRODUCT((FinancialModel[Month]=A38)*(FinancialModel[Operating Expenses])*(IF(SelectedDorm="All Dorms",1,--(FinancialModel[[#This Row],[Dorm Name]]=SelectedDorm))))</f>
        <v/>
      </c>
      <c r="D38" s="99" t="n"/>
      <c r="E38" s="88" t="n"/>
      <c r="F38" s="100" t="inlineStr">
        <is>
          <t>Dorm 2</t>
        </is>
      </c>
      <c r="G38" s="130">
        <f>SUMIFS(FinancialModel[Actual Revenue],FinancialModel[Dorm Name],F38)</f>
        <v/>
      </c>
      <c r="H38" s="88" t="n"/>
    </row>
    <row r="39" ht="14.25" customHeight="1" s="83">
      <c r="A39" s="97">
        <f>EDATE(DATE(CurrentYear,MONTH(CurrentMonth),1),-9)</f>
        <v/>
      </c>
      <c r="B39" s="98">
        <f>SUMPRODUCT((FinancialModel[Month]=A39)*(FinancialModel[Actual Revenue])*(IF(SelectedDorm="All Dorms",1,--(FinancialModel[[#This Row],[Dorm Name]]=SelectedDorm))))</f>
        <v/>
      </c>
      <c r="C39" s="98">
        <f>SUMPRODUCT((FinancialModel[Month]=A39)*(FinancialModel[Operating Expenses])*(IF(SelectedDorm="All Dorms",1,--(FinancialModel[[#This Row],[Dorm Name]]=SelectedDorm))))</f>
        <v/>
      </c>
      <c r="D39" s="99" t="n"/>
      <c r="E39" s="88" t="n"/>
      <c r="F39" s="100" t="inlineStr">
        <is>
          <t>Dorm 3</t>
        </is>
      </c>
      <c r="G39" s="130">
        <f>SUMIFS(FinancialModel[Actual Revenue],FinancialModel[Dorm Name],F39)</f>
        <v/>
      </c>
      <c r="H39" s="88" t="n"/>
    </row>
    <row r="40" ht="14.25" customHeight="1" s="83">
      <c r="A40" s="97">
        <f>EDATE(DATE(CurrentYear,MONTH(CurrentMonth),1),-8)</f>
        <v/>
      </c>
      <c r="B40" s="98">
        <f>SUMPRODUCT((FinancialModel[Month]=A40)*(FinancialModel[Actual Revenue])*(IF(SelectedDorm="All Dorms",1,--(FinancialModel[[#This Row],[Dorm Name]]=SelectedDorm))))</f>
        <v/>
      </c>
      <c r="C40" s="98">
        <f>SUMPRODUCT((FinancialModel[Month]=A40)*(FinancialModel[Operating Expenses])*(IF(SelectedDorm="All Dorms",1,--(FinancialModel[[#This Row],[Dorm Name]]=SelectedDorm))))</f>
        <v/>
      </c>
      <c r="D40" s="99" t="n"/>
      <c r="E40" s="88" t="n"/>
      <c r="F40" s="88" t="n"/>
      <c r="G40" s="88" t="n"/>
      <c r="H40" s="88" t="n"/>
    </row>
    <row r="41" ht="14.25" customHeight="1" s="83">
      <c r="A41" s="97">
        <f>EDATE(DATE(CurrentYear,MONTH(CurrentMonth),1),-7)</f>
        <v/>
      </c>
      <c r="B41" s="98">
        <f>SUMPRODUCT((FinancialModel[Month]=A41)*(FinancialModel[Actual Revenue])*(IF(SelectedDorm="All Dorms",1,--(FinancialModel[[#This Row],[Dorm Name]]=SelectedDorm))))</f>
        <v/>
      </c>
      <c r="C41" s="98">
        <f>SUMPRODUCT((FinancialModel[Month]=A41)*(FinancialModel[Operating Expenses])*(IF(SelectedDorm="All Dorms",1,--(FinancialModel[[#This Row],[Dorm Name]]=SelectedDorm))))</f>
        <v/>
      </c>
      <c r="D41" s="99" t="n"/>
      <c r="E41" s="88" t="n"/>
      <c r="F41" s="88" t="n"/>
      <c r="G41" s="88" t="n"/>
      <c r="H41" s="88" t="n"/>
    </row>
    <row r="42" ht="14.25" customHeight="1" s="83">
      <c r="A42" s="97">
        <f>EDATE(DATE(CurrentYear,MONTH(CurrentMonth),1),-6)</f>
        <v/>
      </c>
      <c r="B42" s="98">
        <f>SUMPRODUCT((FinancialModel[Month]=A42)*(FinancialModel[Actual Revenue])*(IF(SelectedDorm="All Dorms",1,--(FinancialModel[[#This Row],[Dorm Name]]=SelectedDorm))))</f>
        <v/>
      </c>
      <c r="C42" s="98">
        <f>SUMPRODUCT((FinancialModel[Month]=A42)*(FinancialModel[Operating Expenses])*(IF(SelectedDorm="All Dorms",1,--(FinancialModel[[#This Row],[Dorm Name]]=SelectedDorm))))</f>
        <v/>
      </c>
      <c r="D42" s="99" t="n"/>
      <c r="E42" s="88" t="n"/>
      <c r="F42" s="88" t="n"/>
      <c r="G42" s="88" t="n"/>
      <c r="H42" s="88" t="n"/>
    </row>
    <row r="43" ht="14.25" customHeight="1" s="83">
      <c r="A43" s="97">
        <f>EDATE(DATE(CurrentYear,MONTH(CurrentMonth),1),-5)</f>
        <v/>
      </c>
      <c r="B43" s="98">
        <f>SUMPRODUCT((FinancialModel[Month]=A43)*(FinancialModel[Actual Revenue])*(IF(SelectedDorm="All Dorms",1,--(FinancialModel[[#This Row],[Dorm Name]]=SelectedDorm))))</f>
        <v/>
      </c>
      <c r="C43" s="98">
        <f>SUMPRODUCT((FinancialModel[Month]=A43)*(FinancialModel[Operating Expenses])*(IF(SelectedDorm="All Dorms",1,--(FinancialModel[[#This Row],[Dorm Name]]=SelectedDorm))))</f>
        <v/>
      </c>
      <c r="D43" s="99" t="n"/>
      <c r="E43" s="88" t="n"/>
      <c r="F43" s="88" t="n"/>
      <c r="G43" s="88" t="n"/>
      <c r="H43" s="88" t="n"/>
    </row>
    <row r="44" ht="14.25" customHeight="1" s="83">
      <c r="A44" s="97">
        <f>EDATE(DATE(CurrentYear,MONTH(CurrentMonth),1),-4)</f>
        <v/>
      </c>
      <c r="B44" s="98">
        <f>SUMPRODUCT((FinancialModel[Month]=A44)*(FinancialModel[Actual Revenue])*(IF(SelectedDorm="All Dorms",1,--(FinancialModel[[#This Row],[Dorm Name]]=SelectedDorm))))</f>
        <v/>
      </c>
      <c r="C44" s="98">
        <f>SUMPRODUCT((FinancialModel[Month]=A44)*(FinancialModel[Operating Expenses])*(IF(SelectedDorm="All Dorms",1,--(FinancialModel[[#This Row],[Dorm Name]]=SelectedDorm))))</f>
        <v/>
      </c>
      <c r="D44" s="99" t="n"/>
      <c r="E44" s="88" t="n"/>
      <c r="F44" s="88" t="n"/>
      <c r="G44" s="88" t="n"/>
      <c r="H44" s="88" t="n"/>
    </row>
    <row r="45" ht="14.25" customHeight="1" s="83">
      <c r="A45" s="97">
        <f>EDATE(DATE(CurrentYear,MONTH(CurrentMonth),1),-3)</f>
        <v/>
      </c>
      <c r="B45" s="98">
        <f>SUMPRODUCT((FinancialModel[Month]=A45)*(FinancialModel[Actual Revenue])*(IF(SelectedDorm="All Dorms",1,--(FinancialModel[[#This Row],[Dorm Name]]=SelectedDorm))))</f>
        <v/>
      </c>
      <c r="C45" s="98">
        <f>SUMPRODUCT((FinancialModel[Month]=A45)*(FinancialModel[Operating Expenses])*(IF(SelectedDorm="All Dorms",1,--(FinancialModel[[#This Row],[Dorm Name]]=SelectedDorm))))</f>
        <v/>
      </c>
      <c r="D45" s="99" t="n"/>
      <c r="E45" s="88" t="n"/>
      <c r="F45" s="88" t="n"/>
      <c r="G45" s="88" t="n"/>
      <c r="H45" s="88" t="n"/>
    </row>
    <row r="46" ht="14.25" customHeight="1" s="83">
      <c r="A46" s="97">
        <f>EDATE(DATE(CurrentYear,MONTH(CurrentMonth),1),-2)</f>
        <v/>
      </c>
      <c r="B46" s="98">
        <f>SUMPRODUCT((FinancialModel[Month]=A46)*(FinancialModel[Actual Revenue])*(IF(SelectedDorm="All Dorms",1,--(FinancialModel[[#This Row],[Dorm Name]]=SelectedDorm))))</f>
        <v/>
      </c>
      <c r="C46" s="98">
        <f>SUMPRODUCT((FinancialModel[Month]=A46)*(FinancialModel[Operating Expenses])*(IF(SelectedDorm="All Dorms",1,--(FinancialModel[[#This Row],[Dorm Name]]=SelectedDorm))))</f>
        <v/>
      </c>
      <c r="D46" s="99" t="n"/>
      <c r="E46" s="88" t="n"/>
      <c r="F46" s="88" t="n"/>
      <c r="G46" s="88" t="n"/>
      <c r="H46" s="88" t="n"/>
    </row>
    <row r="47" ht="14.25" customHeight="1" s="83">
      <c r="A47" s="97">
        <f>EDATE(DATE(CurrentYear,MONTH(CurrentMonth),1),-1)</f>
        <v/>
      </c>
      <c r="B47" s="98">
        <f>SUMPRODUCT((FinancialModel[Month]=A47)*(FinancialModel[Actual Revenue])*(IF(SelectedDorm="All Dorms",1,--(FinancialModel[[#This Row],[Dorm Name]]=SelectedDorm))))</f>
        <v/>
      </c>
      <c r="C47" s="98">
        <f>SUMPRODUCT((FinancialModel[Month]=A47)*(FinancialModel[Operating Expenses])*(IF(SelectedDorm="All Dorms",1,--(FinancialModel[[#This Row],[Dorm Name]]=SelectedDorm))))</f>
        <v/>
      </c>
      <c r="D47" s="99" t="n"/>
      <c r="E47" s="88" t="n"/>
      <c r="F47" s="88" t="n"/>
      <c r="G47" s="88" t="n"/>
      <c r="H47" s="88" t="n"/>
    </row>
    <row r="48" ht="14.25" customHeight="1" s="83">
      <c r="A48" s="97">
        <f>EDATE(DATE(CurrentYear,MONTH(CurrentMonth),1),0)</f>
        <v/>
      </c>
      <c r="B48" s="98">
        <f>SUMPRODUCT((FinancialModel[Month]=A48)*(FinancialModel[Actual Revenue])*(IF(SelectedDorm="All Dorms",1,--(FinancialModel[[#This Row],[Dorm Name]]=SelectedDorm))))</f>
        <v/>
      </c>
      <c r="C48" s="98">
        <f>SUMPRODUCT((FinancialModel[Month]=A48)*(FinancialModel[Operating Expenses])*(IF(SelectedDorm="All Dorms",1,--(FinancialModel[[#This Row],[Dorm Name]]=SelectedDorm))))</f>
        <v/>
      </c>
      <c r="D48" s="99" t="n"/>
      <c r="E48" s="88" t="n"/>
      <c r="F48" s="88" t="n"/>
      <c r="G48" s="88" t="n"/>
      <c r="H48" s="88" t="n"/>
    </row>
  </sheetData>
  <autoFilter ref="A36:D48"/>
  <mergeCells count="3">
    <mergeCell ref="A2:H2"/>
    <mergeCell ref="A3:D3"/>
    <mergeCell ref="A1:H1"/>
  </mergeCells>
  <conditionalFormatting sqref="C20">
    <cfRule type="cellIs" rank="0" priority="2" equalAverage="0" operator="lessThan" aboveAverage="0" dxfId="4" text="" percent="0" bottom="0">
      <formula>TargetOccupancy</formula>
    </cfRule>
  </conditionalFormatting>
  <conditionalFormatting sqref="C15">
    <cfRule type="cellIs" rank="0" priority="3" equalAverage="0" operator="lessThan" aboveAverage="0" dxfId="4" text="" percent="0" bottom="0">
      <formula>0</formula>
    </cfRule>
  </conditionalFormatting>
  <dataValidations count="3">
    <dataValidation sqref="B4" showDropDown="0" showInputMessage="0" showErrorMessage="0" allowBlank="1" errorTitle="Invalid selection" error="Select a value from the dropdown list." type="list" errorStyle="stop" operator="between">
      <formula1>MonthList</formula1>
      <formula2>0</formula2>
    </dataValidation>
    <dataValidation sqref="B5" showDropDown="0" showInputMessage="0" showErrorMessage="0" allowBlank="1" errorTitle="Invalid selection" error="Select a value from the dropdown list." type="list" errorStyle="stop" operator="between">
      <formula1>YearList</formula1>
      <formula2>0</formula2>
    </dataValidation>
    <dataValidation sqref="B6" showDropDown="0" showInputMessage="0" showErrorMessage="0" allowBlank="0" type="list" errorStyle="stop" operator="between">
      <formula1>DashboardDormFilterList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9.00390625" defaultRowHeight="14.25" customHeight="0" zeroHeight="0" outlineLevelRow="0"/>
  <cols>
    <col width="14" customWidth="1" style="82" min="1" max="1"/>
    <col width="28" customWidth="1" style="82" min="2" max="2"/>
    <col width="16" customWidth="1" style="82" min="3" max="5"/>
    <col width="14" customWidth="1" style="82" min="6" max="6"/>
    <col width="17" customWidth="1" style="82" min="7" max="7"/>
    <col width="20" customWidth="1" style="82" min="8" max="8"/>
    <col width="18" customWidth="1" style="82" min="9" max="9"/>
    <col width="16" customWidth="1" style="82" min="10" max="10"/>
    <col width="36" customWidth="1" style="82" min="11" max="11"/>
  </cols>
  <sheetData>
    <row r="1" ht="27.75" customHeight="1" s="83">
      <c r="A1" s="84" t="inlineStr">
        <is>
          <t>Dorm Renovation &amp; Project Tracker</t>
        </is>
      </c>
      <c r="B1" s="85" t="n"/>
      <c r="C1" s="85" t="n"/>
      <c r="D1" s="85" t="n"/>
      <c r="E1" s="85" t="n"/>
      <c r="F1" s="85" t="n"/>
      <c r="G1" s="85" t="n"/>
      <c r="H1" s="85" t="n"/>
      <c r="I1" s="88" t="n"/>
      <c r="J1" s="88" t="n"/>
      <c r="K1" s="88" t="n"/>
    </row>
    <row r="2" ht="14.25" customHeight="1" s="83">
      <c r="A2" s="86" t="inlineStr">
        <is>
          <t>Budget, contractor, completion, and variance tracker for projects.</t>
        </is>
      </c>
      <c r="B2" s="85" t="n"/>
      <c r="C2" s="85" t="n"/>
      <c r="D2" s="85" t="n"/>
      <c r="E2" s="85" t="n"/>
      <c r="F2" s="85" t="n"/>
      <c r="G2" s="85" t="n"/>
      <c r="H2" s="85" t="n"/>
      <c r="I2" s="88" t="n"/>
      <c r="J2" s="88" t="n"/>
      <c r="K2" s="88" t="n"/>
    </row>
    <row r="3" ht="14.25" customHeight="1" s="83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</row>
    <row r="4" ht="14.25" customHeight="1" s="83">
      <c r="A4" s="102" t="inlineStr">
        <is>
          <t>Total Budget</t>
        </is>
      </c>
      <c r="B4" s="93">
        <f>SUM(RenovationTracker[Estimated Budget])</f>
        <v/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</row>
    <row r="5" ht="14.25" customHeight="1" s="83">
      <c r="A5" s="102" t="inlineStr">
        <is>
          <t>Total Spent</t>
        </is>
      </c>
      <c r="B5" s="93">
        <f>SUM(RenovationTracker[Actual Cost])</f>
        <v/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</row>
    <row r="6" ht="28.5" customHeight="1" s="83">
      <c r="A6" s="102" t="inlineStr">
        <is>
          <t>Remaining Budget</t>
        </is>
      </c>
      <c r="B6" s="93">
        <f>B5-B6</f>
        <v/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</row>
    <row r="7" ht="14.25" customHeight="1" s="83">
      <c r="A7" s="102" t="inlineStr">
        <is>
          <t>Completion %</t>
        </is>
      </c>
      <c r="B7" s="94">
        <f>IFERROR(COUNTIF(RenovationTracker[Payment Status],"Paid")/COUNTA(RenovationTracker[Category]),0)</f>
        <v/>
      </c>
      <c r="C7" s="88" t="n"/>
      <c r="D7" s="88" t="n"/>
      <c r="E7" s="88" t="n"/>
      <c r="F7" s="88" t="n"/>
      <c r="G7" s="88" t="n"/>
      <c r="H7" s="88" t="n"/>
      <c r="I7" s="88" t="n"/>
      <c r="J7" s="88" t="n"/>
      <c r="K7" s="88" t="n"/>
    </row>
    <row r="8" ht="14.25" customHeight="1" s="83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</row>
    <row r="9" ht="14.25" customHeight="1" s="83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</row>
    <row r="10" ht="23.85" customHeight="1" s="83">
      <c r="A10" s="124" t="inlineStr">
        <is>
          <t>Dorm Name</t>
        </is>
      </c>
      <c r="B10" s="124" t="inlineStr">
        <is>
          <t>Category</t>
        </is>
      </c>
      <c r="C10" s="124" t="inlineStr">
        <is>
          <t>Estimated Budget</t>
        </is>
      </c>
      <c r="D10" s="124" t="inlineStr">
        <is>
          <t>Actual Cost</t>
        </is>
      </c>
      <c r="E10" s="124" t="inlineStr">
        <is>
          <t>Variance</t>
        </is>
      </c>
      <c r="F10" s="124" t="inlineStr">
        <is>
          <t>Variance %</t>
        </is>
      </c>
      <c r="G10" s="124" t="inlineStr">
        <is>
          <t>Payment Status</t>
        </is>
      </c>
      <c r="H10" s="124" t="inlineStr">
        <is>
          <t>Contractor Name</t>
        </is>
      </c>
      <c r="I10" s="124" t="inlineStr">
        <is>
          <t>Contractor Phone</t>
        </is>
      </c>
      <c r="J10" s="124" t="inlineStr">
        <is>
          <t>Completion Date</t>
        </is>
      </c>
      <c r="K10" s="124" t="inlineStr">
        <is>
          <t>Notes</t>
        </is>
      </c>
    </row>
    <row r="11" ht="14.25" customHeight="1" s="83">
      <c r="A11" s="103" t="inlineStr">
        <is>
          <t>Dorm 2</t>
        </is>
      </c>
      <c r="B11" s="103" t="inlineStr">
        <is>
          <t>Painting</t>
        </is>
      </c>
      <c r="C11" s="104" t="n">
        <v>10</v>
      </c>
      <c r="D11" s="104" t="n">
        <v>15</v>
      </c>
      <c r="E11" s="130">
        <f>D11-C11</f>
        <v/>
      </c>
      <c r="F11" s="105">
        <f>IFERROR(E11/C11,0)</f>
        <v/>
      </c>
      <c r="G11" s="103" t="inlineStr">
        <is>
          <t>Unpaid</t>
        </is>
      </c>
      <c r="H11" s="103" t="n"/>
      <c r="I11" s="103" t="n"/>
      <c r="J11" s="106" t="n"/>
      <c r="K11" s="103" t="n"/>
    </row>
    <row r="12" ht="14.25" customHeight="1" s="83">
      <c r="A12" s="103" t="inlineStr">
        <is>
          <t>Dorm 2</t>
        </is>
      </c>
      <c r="B12" s="103" t="inlineStr">
        <is>
          <t>Beds &amp; Mattresses</t>
        </is>
      </c>
      <c r="C12" s="104" t="n">
        <v>0</v>
      </c>
      <c r="D12" s="104" t="n">
        <v>0</v>
      </c>
      <c r="E12" s="130">
        <f>D12-C12</f>
        <v/>
      </c>
      <c r="F12" s="105">
        <f>IFERROR(E12/C12,0)</f>
        <v/>
      </c>
      <c r="G12" s="103" t="inlineStr">
        <is>
          <t>Unpaid</t>
        </is>
      </c>
      <c r="H12" s="103" t="n"/>
      <c r="I12" s="103" t="n"/>
      <c r="J12" s="106" t="n"/>
      <c r="K12" s="103" t="n"/>
    </row>
    <row r="13" ht="14.25" customHeight="1" s="83">
      <c r="A13" s="103" t="inlineStr">
        <is>
          <t>Dorm 2</t>
        </is>
      </c>
      <c r="B13" s="103" t="inlineStr">
        <is>
          <t>Kitchen Appliances</t>
        </is>
      </c>
      <c r="C13" s="104" t="n">
        <v>0</v>
      </c>
      <c r="D13" s="104" t="n">
        <v>0</v>
      </c>
      <c r="E13" s="130">
        <f>D13-C13</f>
        <v/>
      </c>
      <c r="F13" s="105">
        <f>IFERROR(E13/C13,0)</f>
        <v/>
      </c>
      <c r="G13" s="103" t="inlineStr">
        <is>
          <t>Unpaid</t>
        </is>
      </c>
      <c r="H13" s="103" t="n"/>
      <c r="I13" s="103" t="n"/>
      <c r="J13" s="106" t="n"/>
      <c r="K13" s="103" t="n"/>
    </row>
    <row r="14" ht="14.25" customHeight="1" s="83">
      <c r="A14" s="103" t="inlineStr">
        <is>
          <t>Dorm 2</t>
        </is>
      </c>
      <c r="B14" s="103" t="inlineStr">
        <is>
          <t>Plumbing</t>
        </is>
      </c>
      <c r="C14" s="104" t="n">
        <v>0</v>
      </c>
      <c r="D14" s="104" t="n">
        <v>0</v>
      </c>
      <c r="E14" s="130">
        <f>D14-C14</f>
        <v/>
      </c>
      <c r="F14" s="105">
        <f>IFERROR(E14/C14,0)</f>
        <v/>
      </c>
      <c r="G14" s="103" t="inlineStr">
        <is>
          <t>Unpaid</t>
        </is>
      </c>
      <c r="H14" s="103" t="n"/>
      <c r="I14" s="103" t="n"/>
      <c r="J14" s="106" t="n"/>
      <c r="K14" s="103" t="n"/>
    </row>
    <row r="15" ht="14.25" customHeight="1" s="83">
      <c r="A15" s="103" t="inlineStr">
        <is>
          <t>Dorm 2</t>
        </is>
      </c>
      <c r="B15" s="103" t="inlineStr">
        <is>
          <t>Furniture</t>
        </is>
      </c>
      <c r="C15" s="104" t="n">
        <v>0</v>
      </c>
      <c r="D15" s="104" t="n">
        <v>0</v>
      </c>
      <c r="E15" s="130">
        <f>D15-C15</f>
        <v/>
      </c>
      <c r="F15" s="105">
        <f>IFERROR(E15/C15,0)</f>
        <v/>
      </c>
      <c r="G15" s="103" t="inlineStr">
        <is>
          <t>Unpaid</t>
        </is>
      </c>
      <c r="H15" s="103" t="n"/>
      <c r="I15" s="103" t="n"/>
      <c r="J15" s="106" t="n"/>
      <c r="K15" s="103" t="n"/>
    </row>
    <row r="16" ht="14.25" customHeight="1" s="83">
      <c r="A16" s="103" t="inlineStr">
        <is>
          <t>Dorm 2</t>
        </is>
      </c>
      <c r="B16" s="103" t="inlineStr">
        <is>
          <t>Electricity &amp; Wiring</t>
        </is>
      </c>
      <c r="C16" s="104" t="n">
        <v>0</v>
      </c>
      <c r="D16" s="104" t="n">
        <v>0</v>
      </c>
      <c r="E16" s="130">
        <f>D16-C16</f>
        <v/>
      </c>
      <c r="F16" s="105">
        <f>IFERROR(E16/C16,0)</f>
        <v/>
      </c>
      <c r="G16" s="103" t="inlineStr">
        <is>
          <t>Unpaid</t>
        </is>
      </c>
      <c r="H16" s="103" t="n"/>
      <c r="I16" s="103" t="n"/>
      <c r="J16" s="106" t="n"/>
      <c r="K16" s="103" t="n"/>
    </row>
    <row r="17" ht="14.25" customHeight="1" s="83">
      <c r="A17" s="103" t="inlineStr">
        <is>
          <t>Dorm 2</t>
        </is>
      </c>
      <c r="B17" s="103" t="inlineStr">
        <is>
          <t>CCTV Installation</t>
        </is>
      </c>
      <c r="C17" s="104" t="n">
        <v>0</v>
      </c>
      <c r="D17" s="104" t="n">
        <v>0</v>
      </c>
      <c r="E17" s="130">
        <f>D17-C17</f>
        <v/>
      </c>
      <c r="F17" s="105">
        <f>IFERROR(E17/C17,0)</f>
        <v/>
      </c>
      <c r="G17" s="103" t="inlineStr">
        <is>
          <t>Unpaid</t>
        </is>
      </c>
      <c r="H17" s="103" t="n"/>
      <c r="I17" s="103" t="n"/>
      <c r="J17" s="106" t="n"/>
      <c r="K17" s="103" t="n"/>
    </row>
    <row r="18" ht="14.25" customHeight="1" s="83">
      <c r="A18" s="103" t="inlineStr">
        <is>
          <t>Dorm 2</t>
        </is>
      </c>
      <c r="B18" s="103" t="inlineStr">
        <is>
          <t>Internet Infrastructure</t>
        </is>
      </c>
      <c r="C18" s="104" t="n">
        <v>0</v>
      </c>
      <c r="D18" s="104" t="n">
        <v>0</v>
      </c>
      <c r="E18" s="130">
        <f>D18-C18</f>
        <v/>
      </c>
      <c r="F18" s="105">
        <f>IFERROR(E18/C18,0)</f>
        <v/>
      </c>
      <c r="G18" s="103" t="inlineStr">
        <is>
          <t>Unpaid</t>
        </is>
      </c>
      <c r="H18" s="103" t="n"/>
      <c r="I18" s="103" t="n"/>
      <c r="J18" s="106" t="n"/>
      <c r="K18" s="103" t="n"/>
    </row>
    <row r="19" ht="14.25" customHeight="1" s="83">
      <c r="A19" s="103" t="inlineStr">
        <is>
          <t>Dorm 2</t>
        </is>
      </c>
      <c r="B19" s="103" t="inlineStr">
        <is>
          <t>Curtains &amp; Decorations</t>
        </is>
      </c>
      <c r="C19" s="104" t="n">
        <v>0</v>
      </c>
      <c r="D19" s="104" t="n">
        <v>0</v>
      </c>
      <c r="E19" s="130">
        <f>D19-C19</f>
        <v/>
      </c>
      <c r="F19" s="105">
        <f>IFERROR(E19/C19,0)</f>
        <v/>
      </c>
      <c r="G19" s="103" t="inlineStr">
        <is>
          <t>Unpaid</t>
        </is>
      </c>
      <c r="H19" s="103" t="n"/>
      <c r="I19" s="103" t="n"/>
      <c r="J19" s="106" t="n"/>
      <c r="K19" s="103" t="n"/>
    </row>
    <row r="20" ht="14.25" customHeight="1" s="83">
      <c r="A20" s="103" t="inlineStr">
        <is>
          <t>Dorm 2</t>
        </is>
      </c>
      <c r="B20" s="103" t="inlineStr">
        <is>
          <t>Cleaning Equipment</t>
        </is>
      </c>
      <c r="C20" s="104" t="n">
        <v>0</v>
      </c>
      <c r="D20" s="104" t="n">
        <v>0</v>
      </c>
      <c r="E20" s="130">
        <f>D20-C20</f>
        <v/>
      </c>
      <c r="F20" s="105">
        <f>IFERROR(E20/C20,0)</f>
        <v/>
      </c>
      <c r="G20" s="103" t="inlineStr">
        <is>
          <t>Unpaid</t>
        </is>
      </c>
      <c r="H20" s="103" t="n"/>
      <c r="I20" s="103" t="n"/>
      <c r="J20" s="106" t="n"/>
      <c r="K20" s="103" t="n"/>
    </row>
    <row r="21" ht="14.25" customHeight="1" s="83">
      <c r="A21" s="103" t="inlineStr">
        <is>
          <t>Dorm 2</t>
        </is>
      </c>
      <c r="B21" s="103" t="inlineStr">
        <is>
          <t>Contingency / Miscellaneous</t>
        </is>
      </c>
      <c r="C21" s="104" t="n">
        <v>0</v>
      </c>
      <c r="D21" s="104" t="n">
        <v>0</v>
      </c>
      <c r="E21" s="130">
        <f>D21-C21</f>
        <v/>
      </c>
      <c r="F21" s="105">
        <f>IFERROR(E21/C21,0)</f>
        <v/>
      </c>
      <c r="G21" s="103" t="inlineStr">
        <is>
          <t>Unpaid</t>
        </is>
      </c>
      <c r="H21" s="103" t="n"/>
      <c r="I21" s="103" t="n"/>
      <c r="J21" s="106" t="n"/>
      <c r="K21" s="103" t="n"/>
    </row>
    <row r="22" ht="14.25" customHeight="1" s="83">
      <c r="A22" s="103" t="n"/>
      <c r="B22" s="103" t="n"/>
      <c r="C22" s="104" t="n"/>
      <c r="D22" s="104" t="n"/>
      <c r="E22" s="130">
        <f>D22-C22</f>
        <v/>
      </c>
      <c r="F22" s="105">
        <f>IFERROR(E22/C22,0)</f>
        <v/>
      </c>
      <c r="G22" s="103" t="n"/>
      <c r="H22" s="103" t="n"/>
      <c r="I22" s="103" t="n"/>
      <c r="J22" s="106" t="n"/>
      <c r="K22" s="103" t="n"/>
    </row>
    <row r="23" ht="14.25" customHeight="1" s="83">
      <c r="A23" s="103" t="n"/>
      <c r="B23" s="103" t="n"/>
      <c r="C23" s="104" t="n"/>
      <c r="D23" s="104" t="n"/>
      <c r="E23" s="130">
        <f>D23-C23</f>
        <v/>
      </c>
      <c r="F23" s="105">
        <f>IFERROR(E23/C23,0)</f>
        <v/>
      </c>
      <c r="G23" s="103" t="n"/>
      <c r="H23" s="103" t="n"/>
      <c r="I23" s="103" t="n"/>
      <c r="J23" s="106" t="n"/>
      <c r="K23" s="103" t="n"/>
    </row>
    <row r="24" ht="14.25" customHeight="1" s="83">
      <c r="A24" s="103" t="n"/>
      <c r="B24" s="103" t="n"/>
      <c r="C24" s="104" t="n"/>
      <c r="D24" s="104" t="n"/>
      <c r="E24" s="130">
        <f>D24-C24</f>
        <v/>
      </c>
      <c r="F24" s="105">
        <f>IFERROR(E24/C24,0)</f>
        <v/>
      </c>
      <c r="G24" s="103" t="n"/>
      <c r="H24" s="103" t="n"/>
      <c r="I24" s="103" t="n"/>
      <c r="J24" s="106" t="n"/>
      <c r="K24" s="103" t="n"/>
    </row>
    <row r="25" ht="14.25" customHeight="1" s="83">
      <c r="A25" s="103" t="n"/>
      <c r="B25" s="103" t="n"/>
      <c r="C25" s="104" t="n"/>
      <c r="D25" s="104" t="n"/>
      <c r="E25" s="130">
        <f>D25-C25</f>
        <v/>
      </c>
      <c r="F25" s="105">
        <f>IFERROR(E25/C25,0)</f>
        <v/>
      </c>
      <c r="G25" s="103" t="n"/>
      <c r="H25" s="103" t="n"/>
      <c r="I25" s="103" t="n"/>
      <c r="J25" s="106" t="n"/>
      <c r="K25" s="103" t="n"/>
    </row>
    <row r="26" ht="14.25" customHeight="1" s="83">
      <c r="A26" s="103" t="n"/>
      <c r="B26" s="103" t="n"/>
      <c r="C26" s="104" t="n"/>
      <c r="D26" s="104" t="n"/>
      <c r="E26" s="130">
        <f>D26-C26</f>
        <v/>
      </c>
      <c r="F26" s="105">
        <f>IFERROR(E26/C26,0)</f>
        <v/>
      </c>
      <c r="G26" s="103" t="n"/>
      <c r="H26" s="103" t="n"/>
      <c r="I26" s="103" t="n"/>
      <c r="J26" s="106" t="n"/>
      <c r="K26" s="103" t="n"/>
    </row>
    <row r="27" ht="14.25" customHeight="1" s="83">
      <c r="A27" s="103" t="n"/>
      <c r="B27" s="103" t="n"/>
      <c r="C27" s="104" t="n"/>
      <c r="D27" s="104" t="n"/>
      <c r="E27" s="130">
        <f>D27-C27</f>
        <v/>
      </c>
      <c r="F27" s="105">
        <f>IFERROR(E27/C27,0)</f>
        <v/>
      </c>
      <c r="G27" s="103" t="n"/>
      <c r="H27" s="103" t="n"/>
      <c r="I27" s="103" t="n"/>
      <c r="J27" s="106" t="n"/>
      <c r="K27" s="103" t="n"/>
    </row>
    <row r="28" ht="14.25" customHeight="1" s="83">
      <c r="A28" s="103" t="n"/>
      <c r="B28" s="103" t="n"/>
      <c r="C28" s="104" t="n"/>
      <c r="D28" s="104" t="n"/>
      <c r="E28" s="130">
        <f>D28-C28</f>
        <v/>
      </c>
      <c r="F28" s="105">
        <f>IFERROR(E28/C28,0)</f>
        <v/>
      </c>
      <c r="G28" s="103" t="n"/>
      <c r="H28" s="103" t="n"/>
      <c r="I28" s="103" t="n"/>
      <c r="J28" s="106" t="n"/>
      <c r="K28" s="103" t="n"/>
    </row>
    <row r="29" ht="14.25" customHeight="1" s="83">
      <c r="A29" s="103" t="n"/>
      <c r="B29" s="103" t="n"/>
      <c r="C29" s="104" t="n"/>
      <c r="D29" s="104" t="n"/>
      <c r="E29" s="130">
        <f>D29-C29</f>
        <v/>
      </c>
      <c r="F29" s="105">
        <f>IFERROR(E29/C29,0)</f>
        <v/>
      </c>
      <c r="G29" s="103" t="n"/>
      <c r="H29" s="103" t="n"/>
      <c r="I29" s="103" t="n"/>
      <c r="J29" s="106" t="n"/>
      <c r="K29" s="103" t="n"/>
    </row>
    <row r="30" ht="14.25" customHeight="1" s="83">
      <c r="A30" s="103" t="n"/>
      <c r="B30" s="103" t="n"/>
      <c r="C30" s="104" t="n"/>
      <c r="D30" s="104" t="n"/>
      <c r="E30" s="130">
        <f>D30-C30</f>
        <v/>
      </c>
      <c r="F30" s="105">
        <f>IFERROR(E30/C30,0)</f>
        <v/>
      </c>
      <c r="G30" s="103" t="n"/>
      <c r="H30" s="103" t="n"/>
      <c r="I30" s="103" t="n"/>
      <c r="J30" s="106" t="n"/>
      <c r="K30" s="103" t="n"/>
    </row>
    <row r="31" ht="14.25" customHeight="1" s="83">
      <c r="A31" s="103" t="n"/>
      <c r="B31" s="103" t="n"/>
      <c r="C31" s="104" t="n"/>
      <c r="D31" s="104" t="n"/>
      <c r="E31" s="130">
        <f>D31-C31</f>
        <v/>
      </c>
      <c r="F31" s="105">
        <f>IFERROR(E31/C31,0)</f>
        <v/>
      </c>
      <c r="G31" s="103" t="n"/>
      <c r="H31" s="103" t="n"/>
      <c r="I31" s="103" t="n"/>
      <c r="J31" s="106" t="n"/>
      <c r="K31" s="103" t="n"/>
    </row>
    <row r="32" ht="14.25" customHeight="1" s="83">
      <c r="A32" s="103" t="n"/>
      <c r="B32" s="103" t="n"/>
      <c r="C32" s="104" t="n"/>
      <c r="D32" s="104" t="n"/>
      <c r="E32" s="130">
        <f>D32-C32</f>
        <v/>
      </c>
      <c r="F32" s="105">
        <f>IFERROR(E32/C32,0)</f>
        <v/>
      </c>
      <c r="G32" s="103" t="n"/>
      <c r="H32" s="103" t="n"/>
      <c r="I32" s="103" t="n"/>
      <c r="J32" s="106" t="n"/>
      <c r="K32" s="103" t="n"/>
    </row>
    <row r="33" ht="14.25" customHeight="1" s="83">
      <c r="A33" s="103" t="n"/>
      <c r="B33" s="103" t="n"/>
      <c r="C33" s="104" t="n"/>
      <c r="D33" s="104" t="n"/>
      <c r="E33" s="130">
        <f>D33-C33</f>
        <v/>
      </c>
      <c r="F33" s="105">
        <f>IFERROR(E33/C33,0)</f>
        <v/>
      </c>
      <c r="G33" s="103" t="n"/>
      <c r="H33" s="103" t="n"/>
      <c r="I33" s="103" t="n"/>
      <c r="J33" s="106" t="n"/>
      <c r="K33" s="103" t="n"/>
    </row>
    <row r="34" ht="14.25" customHeight="1" s="83">
      <c r="A34" s="103" t="n"/>
      <c r="B34" s="103" t="n"/>
      <c r="C34" s="104" t="n"/>
      <c r="D34" s="104" t="n"/>
      <c r="E34" s="130">
        <f>D34-C34</f>
        <v/>
      </c>
      <c r="F34" s="105">
        <f>IFERROR(E34/C34,0)</f>
        <v/>
      </c>
      <c r="G34" s="103" t="n"/>
      <c r="H34" s="103" t="n"/>
      <c r="I34" s="103" t="n"/>
      <c r="J34" s="106" t="n"/>
      <c r="K34" s="103" t="n"/>
    </row>
    <row r="35" ht="14.25" customHeight="1" s="83">
      <c r="A35" s="103" t="n"/>
      <c r="B35" s="103" t="n"/>
      <c r="C35" s="104" t="n"/>
      <c r="D35" s="104" t="n"/>
      <c r="E35" s="130">
        <f>D35-C35</f>
        <v/>
      </c>
      <c r="F35" s="105">
        <f>IFERROR(E35/C35,0)</f>
        <v/>
      </c>
      <c r="G35" s="103" t="n"/>
      <c r="H35" s="103" t="n"/>
      <c r="I35" s="103" t="n"/>
      <c r="J35" s="106" t="n"/>
      <c r="K35" s="103" t="n"/>
    </row>
    <row r="36" ht="14.25" customHeight="1" s="83">
      <c r="A36" s="103" t="n"/>
      <c r="B36" s="103" t="n"/>
      <c r="C36" s="104" t="n"/>
      <c r="D36" s="104" t="n"/>
      <c r="E36" s="130">
        <f>D36-C36</f>
        <v/>
      </c>
      <c r="F36" s="105">
        <f>IFERROR(E36/C36,0)</f>
        <v/>
      </c>
      <c r="G36" s="103" t="n"/>
      <c r="H36" s="103" t="n"/>
      <c r="I36" s="103" t="n"/>
      <c r="J36" s="106" t="n"/>
      <c r="K36" s="103" t="n"/>
    </row>
    <row r="37" ht="14.25" customHeight="1" s="83">
      <c r="A37" s="103" t="n"/>
      <c r="B37" s="103" t="n"/>
      <c r="C37" s="104" t="n"/>
      <c r="D37" s="104" t="n"/>
      <c r="E37" s="130">
        <f>D37-C37</f>
        <v/>
      </c>
      <c r="F37" s="105">
        <f>IFERROR(E37/C37,0)</f>
        <v/>
      </c>
      <c r="G37" s="103" t="n"/>
      <c r="H37" s="103" t="n"/>
      <c r="I37" s="103" t="n"/>
      <c r="J37" s="106" t="n"/>
      <c r="K37" s="103" t="n"/>
    </row>
    <row r="38" ht="14.25" customHeight="1" s="83">
      <c r="A38" s="103" t="n"/>
      <c r="B38" s="103" t="n"/>
      <c r="C38" s="104" t="n"/>
      <c r="D38" s="104" t="n"/>
      <c r="E38" s="130">
        <f>D38-C38</f>
        <v/>
      </c>
      <c r="F38" s="105">
        <f>IFERROR(E38/C38,0)</f>
        <v/>
      </c>
      <c r="G38" s="103" t="n"/>
      <c r="H38" s="103" t="n"/>
      <c r="I38" s="103" t="n"/>
      <c r="J38" s="106" t="n"/>
      <c r="K38" s="103" t="n"/>
    </row>
    <row r="39" ht="14.25" customHeight="1" s="83">
      <c r="A39" s="103" t="n"/>
      <c r="B39" s="103" t="n"/>
      <c r="C39" s="104" t="n"/>
      <c r="D39" s="104" t="n"/>
      <c r="E39" s="130">
        <f>D39-C39</f>
        <v/>
      </c>
      <c r="F39" s="105">
        <f>IFERROR(E39/C39,0)</f>
        <v/>
      </c>
      <c r="G39" s="103" t="n"/>
      <c r="H39" s="103" t="n"/>
      <c r="I39" s="103" t="n"/>
      <c r="J39" s="106" t="n"/>
      <c r="K39" s="103" t="n"/>
    </row>
    <row r="40" ht="14.25" customHeight="1" s="83">
      <c r="A40" s="103" t="n"/>
      <c r="B40" s="103" t="n"/>
      <c r="C40" s="104" t="n"/>
      <c r="D40" s="104" t="n"/>
      <c r="E40" s="130">
        <f>D40-C40</f>
        <v/>
      </c>
      <c r="F40" s="105">
        <f>IFERROR(E40/C40,0)</f>
        <v/>
      </c>
      <c r="G40" s="103" t="n"/>
      <c r="H40" s="103" t="n"/>
      <c r="I40" s="103" t="n"/>
      <c r="J40" s="106" t="n"/>
      <c r="K40" s="103" t="n"/>
    </row>
    <row r="41" ht="14.25" customHeight="1" s="83">
      <c r="A41" s="103" t="n"/>
      <c r="B41" s="103" t="n"/>
      <c r="C41" s="104" t="n"/>
      <c r="D41" s="104" t="n"/>
      <c r="E41" s="130">
        <f>D41-C41</f>
        <v/>
      </c>
      <c r="F41" s="105">
        <f>IFERROR(E41/C41,0)</f>
        <v/>
      </c>
      <c r="G41" s="103" t="n"/>
      <c r="H41" s="103" t="n"/>
      <c r="I41" s="103" t="n"/>
      <c r="J41" s="106" t="n"/>
      <c r="K41" s="103" t="n"/>
    </row>
    <row r="42" ht="14.25" customHeight="1" s="83">
      <c r="A42" s="103" t="n"/>
      <c r="B42" s="103" t="n"/>
      <c r="C42" s="104" t="n"/>
      <c r="D42" s="104" t="n"/>
      <c r="E42" s="130">
        <f>D42-C42</f>
        <v/>
      </c>
      <c r="F42" s="105">
        <f>IFERROR(E42/C42,0)</f>
        <v/>
      </c>
      <c r="G42" s="103" t="n"/>
      <c r="H42" s="103" t="n"/>
      <c r="I42" s="103" t="n"/>
      <c r="J42" s="106" t="n"/>
      <c r="K42" s="103" t="n"/>
    </row>
    <row r="43" ht="14.25" customHeight="1" s="83">
      <c r="A43" s="103" t="n"/>
      <c r="B43" s="103" t="n"/>
      <c r="C43" s="104" t="n"/>
      <c r="D43" s="104" t="n"/>
      <c r="E43" s="130">
        <f>D43-C43</f>
        <v/>
      </c>
      <c r="F43" s="105">
        <f>IFERROR(E43/C43,0)</f>
        <v/>
      </c>
      <c r="G43" s="103" t="n"/>
      <c r="H43" s="103" t="n"/>
      <c r="I43" s="103" t="n"/>
      <c r="J43" s="106" t="n"/>
      <c r="K43" s="103" t="n"/>
    </row>
    <row r="44" ht="14.25" customHeight="1" s="83">
      <c r="A44" s="103" t="n"/>
      <c r="B44" s="103" t="n"/>
      <c r="C44" s="104" t="n"/>
      <c r="D44" s="104" t="n"/>
      <c r="E44" s="130">
        <f>D44-C44</f>
        <v/>
      </c>
      <c r="F44" s="105">
        <f>IFERROR(E44/C44,0)</f>
        <v/>
      </c>
      <c r="G44" s="103" t="n"/>
      <c r="H44" s="103" t="n"/>
      <c r="I44" s="103" t="n"/>
      <c r="J44" s="106" t="n"/>
      <c r="K44" s="103" t="n"/>
    </row>
    <row r="45" ht="14.25" customHeight="1" s="83">
      <c r="A45" s="103" t="n"/>
      <c r="B45" s="103" t="n"/>
      <c r="C45" s="104" t="n"/>
      <c r="D45" s="104" t="n"/>
      <c r="E45" s="130">
        <f>D45-C45</f>
        <v/>
      </c>
      <c r="F45" s="105">
        <f>IFERROR(E45/C45,0)</f>
        <v/>
      </c>
      <c r="G45" s="103" t="n"/>
      <c r="H45" s="103" t="n"/>
      <c r="I45" s="103" t="n"/>
      <c r="J45" s="106" t="n"/>
      <c r="K45" s="103" t="n"/>
    </row>
    <row r="46" ht="14.25" customHeight="1" s="83">
      <c r="A46" s="103" t="n"/>
      <c r="B46" s="103" t="n"/>
      <c r="C46" s="104" t="n"/>
      <c r="D46" s="104" t="n"/>
      <c r="E46" s="130">
        <f>D46-C46</f>
        <v/>
      </c>
      <c r="F46" s="105">
        <f>IFERROR(E46/C46,0)</f>
        <v/>
      </c>
      <c r="G46" s="103" t="n"/>
      <c r="H46" s="103" t="n"/>
      <c r="I46" s="103" t="n"/>
      <c r="J46" s="106" t="n"/>
      <c r="K46" s="103" t="n"/>
    </row>
    <row r="47" ht="14.25" customHeight="1" s="83">
      <c r="A47" s="103" t="n"/>
      <c r="B47" s="103" t="n"/>
      <c r="C47" s="104" t="n"/>
      <c r="D47" s="104" t="n"/>
      <c r="E47" s="130">
        <f>D47-C47</f>
        <v/>
      </c>
      <c r="F47" s="105">
        <f>IFERROR(E47/C47,0)</f>
        <v/>
      </c>
      <c r="G47" s="103" t="n"/>
      <c r="H47" s="103" t="n"/>
      <c r="I47" s="103" t="n"/>
      <c r="J47" s="106" t="n"/>
      <c r="K47" s="103" t="n"/>
    </row>
    <row r="48" ht="14.25" customHeight="1" s="83">
      <c r="A48" s="103" t="n"/>
      <c r="B48" s="103" t="n"/>
      <c r="C48" s="104" t="n"/>
      <c r="D48" s="104" t="n"/>
      <c r="E48" s="130">
        <f>D48-C48</f>
        <v/>
      </c>
      <c r="F48" s="105">
        <f>IFERROR(E48/C48,0)</f>
        <v/>
      </c>
      <c r="G48" s="103" t="n"/>
      <c r="H48" s="103" t="n"/>
      <c r="I48" s="103" t="n"/>
      <c r="J48" s="106" t="n"/>
      <c r="K48" s="103" t="n"/>
    </row>
    <row r="49" ht="14.25" customHeight="1" s="83">
      <c r="A49" s="103" t="n"/>
      <c r="B49" s="103" t="n"/>
      <c r="C49" s="104" t="n"/>
      <c r="D49" s="104" t="n"/>
      <c r="E49" s="130">
        <f>D49-C49</f>
        <v/>
      </c>
      <c r="F49" s="105">
        <f>IFERROR(E49/C49,0)</f>
        <v/>
      </c>
      <c r="G49" s="103" t="n"/>
      <c r="H49" s="103" t="n"/>
      <c r="I49" s="103" t="n"/>
      <c r="J49" s="106" t="n"/>
      <c r="K49" s="103" t="n"/>
    </row>
    <row r="50" ht="14.25" customHeight="1" s="83">
      <c r="A50" s="103" t="n"/>
      <c r="B50" s="103" t="n"/>
      <c r="C50" s="104" t="n"/>
      <c r="D50" s="104" t="n"/>
      <c r="E50" s="130">
        <f>D50-C50</f>
        <v/>
      </c>
      <c r="F50" s="105">
        <f>IFERROR(E50/C50,0)</f>
        <v/>
      </c>
      <c r="G50" s="103" t="n"/>
      <c r="H50" s="103" t="n"/>
      <c r="I50" s="103" t="n"/>
      <c r="J50" s="106" t="n"/>
      <c r="K50" s="103" t="n"/>
    </row>
    <row r="51" ht="14.25" customHeight="1" s="83">
      <c r="A51" s="103" t="n"/>
      <c r="B51" s="103" t="n"/>
      <c r="C51" s="104" t="n"/>
      <c r="D51" s="104" t="n"/>
      <c r="E51" s="130">
        <f>D51-C51</f>
        <v/>
      </c>
      <c r="F51" s="105">
        <f>IFERROR(E51/C51,0)</f>
        <v/>
      </c>
      <c r="G51" s="103" t="n"/>
      <c r="H51" s="103" t="n"/>
      <c r="I51" s="103" t="n"/>
      <c r="J51" s="106" t="n"/>
      <c r="K51" s="103" t="n"/>
    </row>
    <row r="52" ht="14.25" customHeight="1" s="83">
      <c r="A52" s="103" t="n"/>
      <c r="B52" s="103" t="n"/>
      <c r="C52" s="104" t="n"/>
      <c r="D52" s="104" t="n"/>
      <c r="E52" s="130">
        <f>D52-C52</f>
        <v/>
      </c>
      <c r="F52" s="105">
        <f>IFERROR(E52/C52,0)</f>
        <v/>
      </c>
      <c r="G52" s="103" t="n"/>
      <c r="H52" s="103" t="n"/>
      <c r="I52" s="103" t="n"/>
      <c r="J52" s="106" t="n"/>
      <c r="K52" s="103" t="n"/>
    </row>
    <row r="53" ht="14.25" customHeight="1" s="83">
      <c r="A53" s="103" t="n"/>
      <c r="B53" s="103" t="n"/>
      <c r="C53" s="104" t="n"/>
      <c r="D53" s="104" t="n"/>
      <c r="E53" s="130">
        <f>D53-C53</f>
        <v/>
      </c>
      <c r="F53" s="105">
        <f>IFERROR(E53/C53,0)</f>
        <v/>
      </c>
      <c r="G53" s="103" t="n"/>
      <c r="H53" s="103" t="n"/>
      <c r="I53" s="103" t="n"/>
      <c r="J53" s="106" t="n"/>
      <c r="K53" s="103" t="n"/>
    </row>
    <row r="54" ht="14.25" customHeight="1" s="83">
      <c r="A54" s="103" t="n"/>
      <c r="B54" s="103" t="n"/>
      <c r="C54" s="104" t="n"/>
      <c r="D54" s="104" t="n"/>
      <c r="E54" s="130">
        <f>D54-C54</f>
        <v/>
      </c>
      <c r="F54" s="105">
        <f>IFERROR(E54/C54,0)</f>
        <v/>
      </c>
      <c r="G54" s="103" t="n"/>
      <c r="H54" s="103" t="n"/>
      <c r="I54" s="103" t="n"/>
      <c r="J54" s="106" t="n"/>
      <c r="K54" s="103" t="n"/>
    </row>
    <row r="55" ht="14.25" customHeight="1" s="83">
      <c r="A55" s="103" t="n"/>
      <c r="B55" s="103" t="n"/>
      <c r="C55" s="104" t="n"/>
      <c r="D55" s="104" t="n"/>
      <c r="E55" s="130">
        <f>D55-C55</f>
        <v/>
      </c>
      <c r="F55" s="105">
        <f>IFERROR(E55/C55,0)</f>
        <v/>
      </c>
      <c r="G55" s="103" t="n"/>
      <c r="H55" s="103" t="n"/>
      <c r="I55" s="103" t="n"/>
      <c r="J55" s="106" t="n"/>
      <c r="K55" s="103" t="n"/>
    </row>
    <row r="56" ht="14.25" customHeight="1" s="83">
      <c r="A56" s="103" t="n"/>
      <c r="B56" s="103" t="n"/>
      <c r="C56" s="104" t="n"/>
      <c r="D56" s="104" t="n"/>
      <c r="E56" s="130">
        <f>D56-C56</f>
        <v/>
      </c>
      <c r="F56" s="105">
        <f>IFERROR(E56/C56,0)</f>
        <v/>
      </c>
      <c r="G56" s="103" t="n"/>
      <c r="H56" s="103" t="n"/>
      <c r="I56" s="103" t="n"/>
      <c r="J56" s="106" t="n"/>
      <c r="K56" s="103" t="n"/>
    </row>
    <row r="57" ht="14.25" customHeight="1" s="83">
      <c r="A57" s="103" t="n"/>
      <c r="B57" s="103" t="n"/>
      <c r="C57" s="104" t="n"/>
      <c r="D57" s="104" t="n"/>
      <c r="E57" s="130">
        <f>D57-C57</f>
        <v/>
      </c>
      <c r="F57" s="105">
        <f>IFERROR(E57/C57,0)</f>
        <v/>
      </c>
      <c r="G57" s="103" t="n"/>
      <c r="H57" s="103" t="n"/>
      <c r="I57" s="103" t="n"/>
      <c r="J57" s="106" t="n"/>
      <c r="K57" s="103" t="n"/>
    </row>
    <row r="58" ht="14.25" customHeight="1" s="83">
      <c r="A58" s="103" t="n"/>
      <c r="B58" s="103" t="n"/>
      <c r="C58" s="104" t="n"/>
      <c r="D58" s="104" t="n"/>
      <c r="E58" s="130">
        <f>D58-C58</f>
        <v/>
      </c>
      <c r="F58" s="105">
        <f>IFERROR(E58/C58,0)</f>
        <v/>
      </c>
      <c r="G58" s="103" t="n"/>
      <c r="H58" s="103" t="n"/>
      <c r="I58" s="103" t="n"/>
      <c r="J58" s="106" t="n"/>
      <c r="K58" s="103" t="n"/>
    </row>
    <row r="59" ht="14.25" customHeight="1" s="83">
      <c r="A59" s="103" t="n"/>
      <c r="B59" s="103" t="n"/>
      <c r="C59" s="104" t="n"/>
      <c r="D59" s="104" t="n"/>
      <c r="E59" s="130">
        <f>D59-C59</f>
        <v/>
      </c>
      <c r="F59" s="105">
        <f>IFERROR(E59/C59,0)</f>
        <v/>
      </c>
      <c r="G59" s="103" t="n"/>
      <c r="H59" s="103" t="n"/>
      <c r="I59" s="103" t="n"/>
      <c r="J59" s="106" t="n"/>
      <c r="K59" s="103" t="n"/>
    </row>
    <row r="60" ht="14.25" customHeight="1" s="83">
      <c r="A60" s="103" t="n"/>
      <c r="B60" s="103" t="n"/>
      <c r="C60" s="104" t="n"/>
      <c r="D60" s="104" t="n"/>
      <c r="E60" s="130">
        <f>D60-C60</f>
        <v/>
      </c>
      <c r="F60" s="105">
        <f>IFERROR(E60/C60,0)</f>
        <v/>
      </c>
      <c r="G60" s="103" t="n"/>
      <c r="H60" s="103" t="n"/>
      <c r="I60" s="103" t="n"/>
      <c r="J60" s="106" t="n"/>
      <c r="K60" s="103" t="n"/>
    </row>
    <row r="61" ht="14.25" customHeight="1" s="83">
      <c r="A61" s="103" t="n"/>
      <c r="B61" s="103" t="n"/>
      <c r="C61" s="104" t="n"/>
      <c r="D61" s="104" t="n"/>
      <c r="E61" s="130">
        <f>D61-C61</f>
        <v/>
      </c>
      <c r="F61" s="105">
        <f>IFERROR(E61/C61,0)</f>
        <v/>
      </c>
      <c r="G61" s="103" t="n"/>
      <c r="H61" s="103" t="n"/>
      <c r="I61" s="103" t="n"/>
      <c r="J61" s="106" t="n"/>
      <c r="K61" s="103" t="n"/>
    </row>
    <row r="62" ht="14.25" customHeight="1" s="83">
      <c r="A62" s="103" t="n"/>
      <c r="B62" s="103" t="n"/>
      <c r="C62" s="104" t="n"/>
      <c r="D62" s="104" t="n"/>
      <c r="E62" s="130">
        <f>D62-C62</f>
        <v/>
      </c>
      <c r="F62" s="105">
        <f>IFERROR(E62/C62,0)</f>
        <v/>
      </c>
      <c r="G62" s="103" t="n"/>
      <c r="H62" s="103" t="n"/>
      <c r="I62" s="103" t="n"/>
      <c r="J62" s="106" t="n"/>
      <c r="K62" s="103" t="n"/>
    </row>
    <row r="63" ht="14.25" customHeight="1" s="83">
      <c r="A63" s="103" t="n"/>
      <c r="B63" s="103" t="n"/>
      <c r="C63" s="104" t="n"/>
      <c r="D63" s="104" t="n"/>
      <c r="E63" s="130">
        <f>D63-C63</f>
        <v/>
      </c>
      <c r="F63" s="105">
        <f>IFERROR(E63/C63,0)</f>
        <v/>
      </c>
      <c r="G63" s="103" t="n"/>
      <c r="H63" s="103" t="n"/>
      <c r="I63" s="103" t="n"/>
      <c r="J63" s="106" t="n"/>
      <c r="K63" s="103" t="n"/>
    </row>
    <row r="64" ht="14.25" customHeight="1" s="83">
      <c r="A64" s="103" t="n"/>
      <c r="B64" s="103" t="n"/>
      <c r="C64" s="104" t="n"/>
      <c r="D64" s="104" t="n"/>
      <c r="E64" s="130">
        <f>D64-C64</f>
        <v/>
      </c>
      <c r="F64" s="105">
        <f>IFERROR(E64/C64,0)</f>
        <v/>
      </c>
      <c r="G64" s="103" t="n"/>
      <c r="H64" s="103" t="n"/>
      <c r="I64" s="103" t="n"/>
      <c r="J64" s="106" t="n"/>
      <c r="K64" s="103" t="n"/>
    </row>
    <row r="65" ht="14.25" customHeight="1" s="83">
      <c r="A65" s="103" t="n"/>
      <c r="B65" s="103" t="n"/>
      <c r="C65" s="104" t="n"/>
      <c r="D65" s="104" t="n"/>
      <c r="E65" s="130">
        <f>D65-C65</f>
        <v/>
      </c>
      <c r="F65" s="105">
        <f>IFERROR(E65/C65,0)</f>
        <v/>
      </c>
      <c r="G65" s="103" t="n"/>
      <c r="H65" s="103" t="n"/>
      <c r="I65" s="103" t="n"/>
      <c r="J65" s="106" t="n"/>
      <c r="K65" s="103" t="n"/>
    </row>
    <row r="66" ht="14.25" customHeight="1" s="83">
      <c r="A66" s="103" t="n"/>
      <c r="B66" s="103" t="n"/>
      <c r="C66" s="104" t="n"/>
      <c r="D66" s="104" t="n"/>
      <c r="E66" s="130">
        <f>D66-C66</f>
        <v/>
      </c>
      <c r="F66" s="105">
        <f>IFERROR(E66/C66,0)</f>
        <v/>
      </c>
      <c r="G66" s="103" t="n"/>
      <c r="H66" s="103" t="n"/>
      <c r="I66" s="103" t="n"/>
      <c r="J66" s="106" t="n"/>
      <c r="K66" s="103" t="n"/>
    </row>
    <row r="67" ht="14.25" customHeight="1" s="83">
      <c r="A67" s="103" t="n"/>
      <c r="B67" s="103" t="n"/>
      <c r="C67" s="104" t="n"/>
      <c r="D67" s="104" t="n"/>
      <c r="E67" s="130">
        <f>D67-C67</f>
        <v/>
      </c>
      <c r="F67" s="105">
        <f>IFERROR(E67/C67,0)</f>
        <v/>
      </c>
      <c r="G67" s="103" t="n"/>
      <c r="H67" s="103" t="n"/>
      <c r="I67" s="103" t="n"/>
      <c r="J67" s="106" t="n"/>
      <c r="K67" s="103" t="n"/>
    </row>
    <row r="68" ht="14.25" customHeight="1" s="83">
      <c r="A68" s="103" t="n"/>
      <c r="B68" s="103" t="n"/>
      <c r="C68" s="104" t="n"/>
      <c r="D68" s="104" t="n"/>
      <c r="E68" s="130">
        <f>D68-C68</f>
        <v/>
      </c>
      <c r="F68" s="105">
        <f>IFERROR(E68/C68,0)</f>
        <v/>
      </c>
      <c r="G68" s="103" t="n"/>
      <c r="H68" s="103" t="n"/>
      <c r="I68" s="103" t="n"/>
      <c r="J68" s="106" t="n"/>
      <c r="K68" s="103" t="n"/>
    </row>
    <row r="69" ht="14.25" customHeight="1" s="83">
      <c r="A69" s="103" t="n"/>
      <c r="B69" s="103" t="n"/>
      <c r="C69" s="104" t="n"/>
      <c r="D69" s="104" t="n"/>
      <c r="E69" s="130">
        <f>D69-C69</f>
        <v/>
      </c>
      <c r="F69" s="105">
        <f>IFERROR(E69/C69,0)</f>
        <v/>
      </c>
      <c r="G69" s="103" t="n"/>
      <c r="H69" s="103" t="n"/>
      <c r="I69" s="103" t="n"/>
      <c r="J69" s="106" t="n"/>
      <c r="K69" s="103" t="n"/>
    </row>
    <row r="70" ht="14.25" customHeight="1" s="83">
      <c r="A70" s="103" t="n"/>
      <c r="B70" s="103" t="n"/>
      <c r="C70" s="104" t="n"/>
      <c r="D70" s="104" t="n"/>
      <c r="E70" s="130">
        <f>D70-C70</f>
        <v/>
      </c>
      <c r="F70" s="105">
        <f>IFERROR(E70/C70,0)</f>
        <v/>
      </c>
      <c r="G70" s="103" t="n"/>
      <c r="H70" s="103" t="n"/>
      <c r="I70" s="103" t="n"/>
      <c r="J70" s="106" t="n"/>
      <c r="K70" s="103" t="n"/>
    </row>
    <row r="71" ht="14.25" customHeight="1" s="83">
      <c r="A71" s="103" t="n"/>
      <c r="B71" s="103" t="n"/>
      <c r="C71" s="104" t="n"/>
      <c r="D71" s="104" t="n"/>
      <c r="E71" s="130">
        <f>D71-C71</f>
        <v/>
      </c>
      <c r="F71" s="105">
        <f>IFERROR(E71/C71,0)</f>
        <v/>
      </c>
      <c r="G71" s="103" t="n"/>
      <c r="H71" s="103" t="n"/>
      <c r="I71" s="103" t="n"/>
      <c r="J71" s="106" t="n"/>
      <c r="K71" s="103" t="n"/>
    </row>
    <row r="72" ht="14.25" customHeight="1" s="83">
      <c r="A72" s="103" t="n"/>
      <c r="B72" s="103" t="n"/>
      <c r="C72" s="104" t="n"/>
      <c r="D72" s="104" t="n"/>
      <c r="E72" s="130">
        <f>D72-C72</f>
        <v/>
      </c>
      <c r="F72" s="105">
        <f>IFERROR(E72/C72,0)</f>
        <v/>
      </c>
      <c r="G72" s="103" t="n"/>
      <c r="H72" s="103" t="n"/>
      <c r="I72" s="103" t="n"/>
      <c r="J72" s="106" t="n"/>
      <c r="K72" s="103" t="n"/>
    </row>
    <row r="73" ht="14.25" customHeight="1" s="83">
      <c r="A73" s="103" t="n"/>
      <c r="B73" s="103" t="n"/>
      <c r="C73" s="104" t="n"/>
      <c r="D73" s="104" t="n"/>
      <c r="E73" s="130">
        <f>D73-C73</f>
        <v/>
      </c>
      <c r="F73" s="105">
        <f>IFERROR(E73/C73,0)</f>
        <v/>
      </c>
      <c r="G73" s="103" t="n"/>
      <c r="H73" s="103" t="n"/>
      <c r="I73" s="103" t="n"/>
      <c r="J73" s="106" t="n"/>
      <c r="K73" s="103" t="n"/>
    </row>
    <row r="74" ht="14.25" customHeight="1" s="83">
      <c r="A74" s="103" t="n"/>
      <c r="B74" s="103" t="n"/>
      <c r="C74" s="104" t="n"/>
      <c r="D74" s="104" t="n"/>
      <c r="E74" s="130">
        <f>D74-C74</f>
        <v/>
      </c>
      <c r="F74" s="105">
        <f>IFERROR(E74/C74,0)</f>
        <v/>
      </c>
      <c r="G74" s="103" t="n"/>
      <c r="H74" s="103" t="n"/>
      <c r="I74" s="103" t="n"/>
      <c r="J74" s="106" t="n"/>
      <c r="K74" s="103" t="n"/>
    </row>
    <row r="75" ht="14.25" customHeight="1" s="83">
      <c r="A75" s="103" t="n"/>
      <c r="B75" s="103" t="n"/>
      <c r="C75" s="104" t="n"/>
      <c r="D75" s="104" t="n"/>
      <c r="E75" s="130">
        <f>D75-C75</f>
        <v/>
      </c>
      <c r="F75" s="105">
        <f>IFERROR(E75/C75,0)</f>
        <v/>
      </c>
      <c r="G75" s="103" t="n"/>
      <c r="H75" s="103" t="n"/>
      <c r="I75" s="103" t="n"/>
      <c r="J75" s="106" t="n"/>
      <c r="K75" s="103" t="n"/>
    </row>
    <row r="76" ht="14.25" customHeight="1" s="83">
      <c r="A76" s="103" t="n"/>
      <c r="B76" s="103" t="n"/>
      <c r="C76" s="104" t="n"/>
      <c r="D76" s="104" t="n"/>
      <c r="E76" s="130">
        <f>D76-C76</f>
        <v/>
      </c>
      <c r="F76" s="105">
        <f>IFERROR(E76/C76,0)</f>
        <v/>
      </c>
      <c r="G76" s="103" t="n"/>
      <c r="H76" s="103" t="n"/>
      <c r="I76" s="103" t="n"/>
      <c r="J76" s="106" t="n"/>
      <c r="K76" s="103" t="n"/>
    </row>
    <row r="77" ht="14.25" customHeight="1" s="83">
      <c r="A77" s="103" t="n"/>
      <c r="B77" s="103" t="n"/>
      <c r="C77" s="104" t="n"/>
      <c r="D77" s="104" t="n"/>
      <c r="E77" s="130">
        <f>D77-C77</f>
        <v/>
      </c>
      <c r="F77" s="105">
        <f>IFERROR(E77/C77,0)</f>
        <v/>
      </c>
      <c r="G77" s="103" t="n"/>
      <c r="H77" s="103" t="n"/>
      <c r="I77" s="103" t="n"/>
      <c r="J77" s="106" t="n"/>
      <c r="K77" s="103" t="n"/>
    </row>
    <row r="78" ht="14.25" customHeight="1" s="83">
      <c r="A78" s="103" t="n"/>
      <c r="B78" s="103" t="n"/>
      <c r="C78" s="104" t="n"/>
      <c r="D78" s="104" t="n"/>
      <c r="E78" s="130">
        <f>D78-C78</f>
        <v/>
      </c>
      <c r="F78" s="105">
        <f>IFERROR(E78/C78,0)</f>
        <v/>
      </c>
      <c r="G78" s="103" t="n"/>
      <c r="H78" s="103" t="n"/>
      <c r="I78" s="103" t="n"/>
      <c r="J78" s="106" t="n"/>
      <c r="K78" s="103" t="n"/>
    </row>
    <row r="79" ht="14.25" customHeight="1" s="83">
      <c r="A79" s="103" t="n"/>
      <c r="B79" s="103" t="n"/>
      <c r="C79" s="104" t="n"/>
      <c r="D79" s="104" t="n"/>
      <c r="E79" s="130">
        <f>D79-C79</f>
        <v/>
      </c>
      <c r="F79" s="105">
        <f>IFERROR(E79/C79,0)</f>
        <v/>
      </c>
      <c r="G79" s="103" t="n"/>
      <c r="H79" s="103" t="n"/>
      <c r="I79" s="103" t="n"/>
      <c r="J79" s="106" t="n"/>
      <c r="K79" s="103" t="n"/>
    </row>
    <row r="80" ht="14.25" customHeight="1" s="83">
      <c r="A80" s="103" t="n"/>
      <c r="B80" s="103" t="n"/>
      <c r="C80" s="104" t="n"/>
      <c r="D80" s="104" t="n"/>
      <c r="E80" s="130">
        <f>D80-C80</f>
        <v/>
      </c>
      <c r="F80" s="105">
        <f>IFERROR(E80/C80,0)</f>
        <v/>
      </c>
      <c r="G80" s="103" t="n"/>
      <c r="H80" s="103" t="n"/>
      <c r="I80" s="103" t="n"/>
      <c r="J80" s="106" t="n"/>
      <c r="K80" s="103" t="n"/>
    </row>
    <row r="81" ht="14.25" customHeight="1" s="83">
      <c r="A81" s="103" t="n"/>
      <c r="B81" s="103" t="n"/>
      <c r="C81" s="104" t="n"/>
      <c r="D81" s="104" t="n"/>
      <c r="E81" s="130">
        <f>D81-C81</f>
        <v/>
      </c>
      <c r="F81" s="105">
        <f>IFERROR(E81/C81,0)</f>
        <v/>
      </c>
      <c r="G81" s="103" t="n"/>
      <c r="H81" s="103" t="n"/>
      <c r="I81" s="103" t="n"/>
      <c r="J81" s="106" t="n"/>
      <c r="K81" s="103" t="n"/>
    </row>
    <row r="82" ht="14.25" customHeight="1" s="83">
      <c r="A82" s="103" t="n"/>
      <c r="B82" s="103" t="n"/>
      <c r="C82" s="104" t="n"/>
      <c r="D82" s="104" t="n"/>
      <c r="E82" s="130">
        <f>D82-C82</f>
        <v/>
      </c>
      <c r="F82" s="105">
        <f>IFERROR(E82/C82,0)</f>
        <v/>
      </c>
      <c r="G82" s="103" t="n"/>
      <c r="H82" s="103" t="n"/>
      <c r="I82" s="103" t="n"/>
      <c r="J82" s="106" t="n"/>
      <c r="K82" s="103" t="n"/>
    </row>
    <row r="83" ht="14.25" customHeight="1" s="83">
      <c r="A83" s="103" t="n"/>
      <c r="B83" s="103" t="n"/>
      <c r="C83" s="104" t="n"/>
      <c r="D83" s="104" t="n"/>
      <c r="E83" s="130">
        <f>D83-C83</f>
        <v/>
      </c>
      <c r="F83" s="105">
        <f>IFERROR(E83/C83,0)</f>
        <v/>
      </c>
      <c r="G83" s="103" t="n"/>
      <c r="H83" s="103" t="n"/>
      <c r="I83" s="103" t="n"/>
      <c r="J83" s="106" t="n"/>
      <c r="K83" s="103" t="n"/>
    </row>
    <row r="84" ht="14.25" customHeight="1" s="83">
      <c r="A84" s="103" t="n"/>
      <c r="B84" s="103" t="n"/>
      <c r="C84" s="104" t="n"/>
      <c r="D84" s="104" t="n"/>
      <c r="E84" s="130">
        <f>D84-C84</f>
        <v/>
      </c>
      <c r="F84" s="105">
        <f>IFERROR(E84/C84,0)</f>
        <v/>
      </c>
      <c r="G84" s="103" t="n"/>
      <c r="H84" s="103" t="n"/>
      <c r="I84" s="103" t="n"/>
      <c r="J84" s="106" t="n"/>
      <c r="K84" s="103" t="n"/>
    </row>
    <row r="85" ht="14.25" customHeight="1" s="83">
      <c r="A85" s="103" t="n"/>
      <c r="B85" s="103" t="n"/>
      <c r="C85" s="104" t="n"/>
      <c r="D85" s="104" t="n"/>
      <c r="E85" s="130">
        <f>D85-C85</f>
        <v/>
      </c>
      <c r="F85" s="105">
        <f>IFERROR(E85/C85,0)</f>
        <v/>
      </c>
      <c r="G85" s="103" t="n"/>
      <c r="H85" s="103" t="n"/>
      <c r="I85" s="103" t="n"/>
      <c r="J85" s="106" t="n"/>
      <c r="K85" s="103" t="n"/>
    </row>
    <row r="86" ht="14.25" customHeight="1" s="83">
      <c r="A86" s="103" t="n"/>
      <c r="B86" s="103" t="n"/>
      <c r="C86" s="104" t="n"/>
      <c r="D86" s="104" t="n"/>
      <c r="E86" s="130">
        <f>D86-C86</f>
        <v/>
      </c>
      <c r="F86" s="105">
        <f>IFERROR(E86/C86,0)</f>
        <v/>
      </c>
      <c r="G86" s="103" t="n"/>
      <c r="H86" s="103" t="n"/>
      <c r="I86" s="103" t="n"/>
      <c r="J86" s="106" t="n"/>
      <c r="K86" s="103" t="n"/>
    </row>
    <row r="87" ht="14.25" customHeight="1" s="83">
      <c r="A87" s="103" t="n"/>
      <c r="B87" s="103" t="n"/>
      <c r="C87" s="104" t="n"/>
      <c r="D87" s="104" t="n"/>
      <c r="E87" s="130">
        <f>D87-C87</f>
        <v/>
      </c>
      <c r="F87" s="105">
        <f>IFERROR(E87/C87,0)</f>
        <v/>
      </c>
      <c r="G87" s="103" t="n"/>
      <c r="H87" s="103" t="n"/>
      <c r="I87" s="103" t="n"/>
      <c r="J87" s="106" t="n"/>
      <c r="K87" s="103" t="n"/>
    </row>
    <row r="88" ht="14.25" customHeight="1" s="83">
      <c r="A88" s="103" t="n"/>
      <c r="B88" s="103" t="n"/>
      <c r="C88" s="104" t="n"/>
      <c r="D88" s="104" t="n"/>
      <c r="E88" s="130">
        <f>D88-C88</f>
        <v/>
      </c>
      <c r="F88" s="105">
        <f>IFERROR(E88/C88,0)</f>
        <v/>
      </c>
      <c r="G88" s="103" t="n"/>
      <c r="H88" s="103" t="n"/>
      <c r="I88" s="103" t="n"/>
      <c r="J88" s="106" t="n"/>
      <c r="K88" s="103" t="n"/>
    </row>
    <row r="89" ht="14.25" customHeight="1" s="83">
      <c r="A89" s="103" t="n"/>
      <c r="B89" s="103" t="n"/>
      <c r="C89" s="104" t="n"/>
      <c r="D89" s="104" t="n"/>
      <c r="E89" s="130">
        <f>D89-C89</f>
        <v/>
      </c>
      <c r="F89" s="105">
        <f>IFERROR(E89/C89,0)</f>
        <v/>
      </c>
      <c r="G89" s="103" t="n"/>
      <c r="H89" s="103" t="n"/>
      <c r="I89" s="103" t="n"/>
      <c r="J89" s="106" t="n"/>
      <c r="K89" s="103" t="n"/>
    </row>
    <row r="90" ht="14.25" customHeight="1" s="83">
      <c r="A90" s="103" t="n"/>
      <c r="B90" s="103" t="n"/>
      <c r="C90" s="104" t="n"/>
      <c r="D90" s="104" t="n"/>
      <c r="E90" s="130">
        <f>D90-C90</f>
        <v/>
      </c>
      <c r="F90" s="105">
        <f>IFERROR(E90/C90,0)</f>
        <v/>
      </c>
      <c r="G90" s="103" t="n"/>
      <c r="H90" s="103" t="n"/>
      <c r="I90" s="103" t="n"/>
      <c r="J90" s="106" t="n"/>
      <c r="K90" s="103" t="n"/>
    </row>
    <row r="91" ht="14.25" customHeight="1" s="83">
      <c r="A91" s="103" t="n"/>
      <c r="B91" s="103" t="n"/>
      <c r="C91" s="104" t="n"/>
      <c r="D91" s="104" t="n"/>
      <c r="E91" s="130">
        <f>D91-C91</f>
        <v/>
      </c>
      <c r="F91" s="105">
        <f>IFERROR(E91/C91,0)</f>
        <v/>
      </c>
      <c r="G91" s="103" t="n"/>
      <c r="H91" s="103" t="n"/>
      <c r="I91" s="103" t="n"/>
      <c r="J91" s="106" t="n"/>
      <c r="K91" s="103" t="n"/>
    </row>
    <row r="92" ht="14.25" customHeight="1" s="83">
      <c r="A92" s="103" t="n"/>
      <c r="B92" s="103" t="n"/>
      <c r="C92" s="104" t="n"/>
      <c r="D92" s="104" t="n"/>
      <c r="E92" s="130">
        <f>D92-C92</f>
        <v/>
      </c>
      <c r="F92" s="105">
        <f>IFERROR(E92/C92,0)</f>
        <v/>
      </c>
      <c r="G92" s="103" t="n"/>
      <c r="H92" s="103" t="n"/>
      <c r="I92" s="103" t="n"/>
      <c r="J92" s="106" t="n"/>
      <c r="K92" s="103" t="n"/>
    </row>
    <row r="93" ht="14.25" customHeight="1" s="83">
      <c r="A93" s="103" t="n"/>
      <c r="B93" s="103" t="n"/>
      <c r="C93" s="104" t="n"/>
      <c r="D93" s="104" t="n"/>
      <c r="E93" s="130">
        <f>D93-C93</f>
        <v/>
      </c>
      <c r="F93" s="105">
        <f>IFERROR(E93/C93,0)</f>
        <v/>
      </c>
      <c r="G93" s="103" t="n"/>
      <c r="H93" s="103" t="n"/>
      <c r="I93" s="103" t="n"/>
      <c r="J93" s="106" t="n"/>
      <c r="K93" s="103" t="n"/>
    </row>
    <row r="94" ht="14.25" customHeight="1" s="83">
      <c r="A94" s="103" t="n"/>
      <c r="B94" s="103" t="n"/>
      <c r="C94" s="104" t="n"/>
      <c r="D94" s="104" t="n"/>
      <c r="E94" s="130">
        <f>D94-C94</f>
        <v/>
      </c>
      <c r="F94" s="105">
        <f>IFERROR(E94/C94,0)</f>
        <v/>
      </c>
      <c r="G94" s="103" t="n"/>
      <c r="H94" s="103" t="n"/>
      <c r="I94" s="103" t="n"/>
      <c r="J94" s="106" t="n"/>
      <c r="K94" s="103" t="n"/>
    </row>
    <row r="95" ht="14.25" customHeight="1" s="83">
      <c r="A95" s="103" t="n"/>
      <c r="B95" s="103" t="n"/>
      <c r="C95" s="104" t="n"/>
      <c r="D95" s="104" t="n"/>
      <c r="E95" s="130">
        <f>D95-C95</f>
        <v/>
      </c>
      <c r="F95" s="105">
        <f>IFERROR(E95/C95,0)</f>
        <v/>
      </c>
      <c r="G95" s="103" t="n"/>
      <c r="H95" s="103" t="n"/>
      <c r="I95" s="103" t="n"/>
      <c r="J95" s="106" t="n"/>
      <c r="K95" s="103" t="n"/>
    </row>
    <row r="96" ht="14.25" customHeight="1" s="83">
      <c r="A96" s="103" t="n"/>
      <c r="B96" s="103" t="n"/>
      <c r="C96" s="104" t="n"/>
      <c r="D96" s="104" t="n"/>
      <c r="E96" s="130">
        <f>D96-C96</f>
        <v/>
      </c>
      <c r="F96" s="105">
        <f>IFERROR(E96/C96,0)</f>
        <v/>
      </c>
      <c r="G96" s="103" t="n"/>
      <c r="H96" s="103" t="n"/>
      <c r="I96" s="103" t="n"/>
      <c r="J96" s="106" t="n"/>
      <c r="K96" s="103" t="n"/>
    </row>
    <row r="97" ht="14.25" customHeight="1" s="83">
      <c r="A97" s="103" t="n"/>
      <c r="B97" s="103" t="n"/>
      <c r="C97" s="104" t="n"/>
      <c r="D97" s="104" t="n"/>
      <c r="E97" s="130">
        <f>D97-C97</f>
        <v/>
      </c>
      <c r="F97" s="105">
        <f>IFERROR(E97/C97,0)</f>
        <v/>
      </c>
      <c r="G97" s="103" t="n"/>
      <c r="H97" s="103" t="n"/>
      <c r="I97" s="103" t="n"/>
      <c r="J97" s="106" t="n"/>
      <c r="K97" s="103" t="n"/>
    </row>
    <row r="98" ht="14.25" customHeight="1" s="83">
      <c r="A98" s="103" t="n"/>
      <c r="B98" s="103" t="n"/>
      <c r="C98" s="104" t="n"/>
      <c r="D98" s="104" t="n"/>
      <c r="E98" s="130">
        <f>D98-C98</f>
        <v/>
      </c>
      <c r="F98" s="105">
        <f>IFERROR(E98/C98,0)</f>
        <v/>
      </c>
      <c r="G98" s="103" t="n"/>
      <c r="H98" s="103" t="n"/>
      <c r="I98" s="103" t="n"/>
      <c r="J98" s="106" t="n"/>
      <c r="K98" s="103" t="n"/>
    </row>
    <row r="99" ht="14.25" customHeight="1" s="83">
      <c r="A99" s="103" t="n"/>
      <c r="B99" s="103" t="n"/>
      <c r="C99" s="104" t="n"/>
      <c r="D99" s="104" t="n"/>
      <c r="E99" s="130">
        <f>D99-C99</f>
        <v/>
      </c>
      <c r="F99" s="105">
        <f>IFERROR(E99/C99,0)</f>
        <v/>
      </c>
      <c r="G99" s="103" t="n"/>
      <c r="H99" s="103" t="n"/>
      <c r="I99" s="103" t="n"/>
      <c r="J99" s="106" t="n"/>
      <c r="K99" s="103" t="n"/>
    </row>
    <row r="100" ht="14.25" customHeight="1" s="83">
      <c r="A100" s="103" t="n"/>
      <c r="B100" s="103" t="n"/>
      <c r="C100" s="104" t="n"/>
      <c r="D100" s="104" t="n"/>
      <c r="E100" s="130">
        <f>D100-C100</f>
        <v/>
      </c>
      <c r="F100" s="105">
        <f>IFERROR(E100/C100,0)</f>
        <v/>
      </c>
      <c r="G100" s="103" t="n"/>
      <c r="H100" s="103" t="n"/>
      <c r="I100" s="103" t="n"/>
      <c r="J100" s="106" t="n"/>
      <c r="K100" s="103" t="n"/>
    </row>
    <row r="101" ht="14.25" customHeight="1" s="83">
      <c r="A101" s="103" t="n"/>
      <c r="B101" s="103" t="n"/>
      <c r="C101" s="104" t="n"/>
      <c r="D101" s="104" t="n"/>
      <c r="E101" s="130">
        <f>D101-C101</f>
        <v/>
      </c>
      <c r="F101" s="105">
        <f>IFERROR(E101/C101,0)</f>
        <v/>
      </c>
      <c r="G101" s="103" t="n"/>
      <c r="H101" s="103" t="n"/>
      <c r="I101" s="103" t="n"/>
      <c r="J101" s="106" t="n"/>
      <c r="K101" s="103" t="n"/>
    </row>
    <row r="102" ht="14.25" customHeight="1" s="83">
      <c r="A102" s="103" t="n"/>
      <c r="B102" s="103" t="n"/>
      <c r="C102" s="104" t="n"/>
      <c r="D102" s="104" t="n"/>
      <c r="E102" s="130">
        <f>D102-C102</f>
        <v/>
      </c>
      <c r="F102" s="105">
        <f>IFERROR(E102/C102,0)</f>
        <v/>
      </c>
      <c r="G102" s="103" t="n"/>
      <c r="H102" s="103" t="n"/>
      <c r="I102" s="103" t="n"/>
      <c r="J102" s="106" t="n"/>
      <c r="K102" s="103" t="n"/>
    </row>
    <row r="103" ht="14.25" customHeight="1" s="83">
      <c r="A103" s="103" t="n"/>
      <c r="B103" s="103" t="n"/>
      <c r="C103" s="104" t="n"/>
      <c r="D103" s="104" t="n"/>
      <c r="E103" s="130">
        <f>D103-C103</f>
        <v/>
      </c>
      <c r="F103" s="105">
        <f>IFERROR(E103/C103,0)</f>
        <v/>
      </c>
      <c r="G103" s="103" t="n"/>
      <c r="H103" s="103" t="n"/>
      <c r="I103" s="103" t="n"/>
      <c r="J103" s="106" t="n"/>
      <c r="K103" s="103" t="n"/>
    </row>
    <row r="104" ht="14.25" customHeight="1" s="83">
      <c r="A104" s="103" t="n"/>
      <c r="B104" s="103" t="n"/>
      <c r="C104" s="104" t="n"/>
      <c r="D104" s="104" t="n"/>
      <c r="E104" s="130">
        <f>D104-C104</f>
        <v/>
      </c>
      <c r="F104" s="105">
        <f>IFERROR(E104/C104,0)</f>
        <v/>
      </c>
      <c r="G104" s="103" t="n"/>
      <c r="H104" s="103" t="n"/>
      <c r="I104" s="103" t="n"/>
      <c r="J104" s="106" t="n"/>
      <c r="K104" s="103" t="n"/>
    </row>
    <row r="105" ht="14.25" customHeight="1" s="83">
      <c r="A105" s="103" t="n"/>
      <c r="B105" s="103" t="n"/>
      <c r="C105" s="104" t="n"/>
      <c r="D105" s="104" t="n"/>
      <c r="E105" s="130">
        <f>D105-C105</f>
        <v/>
      </c>
      <c r="F105" s="105">
        <f>IFERROR(E105/C105,0)</f>
        <v/>
      </c>
      <c r="G105" s="103" t="n"/>
      <c r="H105" s="103" t="n"/>
      <c r="I105" s="103" t="n"/>
      <c r="J105" s="106" t="n"/>
      <c r="K105" s="103" t="n"/>
    </row>
    <row r="106" ht="14.25" customHeight="1" s="83">
      <c r="A106" s="103" t="n"/>
      <c r="B106" s="103" t="n"/>
      <c r="C106" s="104" t="n"/>
      <c r="D106" s="104" t="n"/>
      <c r="E106" s="130">
        <f>D106-C106</f>
        <v/>
      </c>
      <c r="F106" s="105">
        <f>IFERROR(E106/C106,0)</f>
        <v/>
      </c>
      <c r="G106" s="103" t="n"/>
      <c r="H106" s="103" t="n"/>
      <c r="I106" s="103" t="n"/>
      <c r="J106" s="106" t="n"/>
      <c r="K106" s="103" t="n"/>
    </row>
    <row r="107" ht="14.25" customHeight="1" s="83">
      <c r="A107" s="103" t="n"/>
      <c r="B107" s="103" t="n"/>
      <c r="C107" s="104" t="n"/>
      <c r="D107" s="104" t="n"/>
      <c r="E107" s="130">
        <f>D107-C107</f>
        <v/>
      </c>
      <c r="F107" s="105">
        <f>IFERROR(E107/C107,0)</f>
        <v/>
      </c>
      <c r="G107" s="103" t="n"/>
      <c r="H107" s="103" t="n"/>
      <c r="I107" s="103" t="n"/>
      <c r="J107" s="106" t="n"/>
      <c r="K107" s="103" t="n"/>
    </row>
    <row r="108" ht="14.25" customHeight="1" s="83">
      <c r="A108" s="103" t="n"/>
      <c r="B108" s="103" t="n"/>
      <c r="C108" s="104" t="n"/>
      <c r="D108" s="104" t="n"/>
      <c r="E108" s="130">
        <f>D108-C108</f>
        <v/>
      </c>
      <c r="F108" s="105">
        <f>IFERROR(E108/C108,0)</f>
        <v/>
      </c>
      <c r="G108" s="103" t="n"/>
      <c r="H108" s="103" t="n"/>
      <c r="I108" s="103" t="n"/>
      <c r="J108" s="106" t="n"/>
      <c r="K108" s="103" t="n"/>
    </row>
    <row r="109" ht="14.25" customHeight="1" s="83">
      <c r="A109" s="103" t="n"/>
      <c r="B109" s="103" t="n"/>
      <c r="C109" s="104" t="n"/>
      <c r="D109" s="104" t="n"/>
      <c r="E109" s="130">
        <f>D109-C109</f>
        <v/>
      </c>
      <c r="F109" s="105">
        <f>IFERROR(E109/C109,0)</f>
        <v/>
      </c>
      <c r="G109" s="103" t="n"/>
      <c r="H109" s="103" t="n"/>
      <c r="I109" s="103" t="n"/>
      <c r="J109" s="106" t="n"/>
      <c r="K109" s="103" t="n"/>
    </row>
    <row r="110" ht="14.25" customHeight="1" s="83">
      <c r="A110" s="103" t="n"/>
      <c r="B110" s="103" t="n"/>
      <c r="C110" s="104" t="n"/>
      <c r="D110" s="104" t="n"/>
      <c r="E110" s="130">
        <f>D110-C110</f>
        <v/>
      </c>
      <c r="F110" s="105">
        <f>IFERROR(E110/C110,0)</f>
        <v/>
      </c>
      <c r="G110" s="103" t="n"/>
      <c r="H110" s="103" t="n"/>
      <c r="I110" s="103" t="n"/>
      <c r="J110" s="106" t="n"/>
      <c r="K110" s="103" t="n"/>
    </row>
    <row r="111" ht="14.25" customHeight="1" s="83">
      <c r="A111" s="103" t="n"/>
      <c r="B111" s="103" t="n"/>
      <c r="C111" s="104" t="n"/>
      <c r="D111" s="104" t="n"/>
      <c r="E111" s="130">
        <f>D111-C111</f>
        <v/>
      </c>
      <c r="F111" s="105">
        <f>IFERROR(E111/C111,0)</f>
        <v/>
      </c>
      <c r="G111" s="103" t="n"/>
      <c r="H111" s="103" t="n"/>
      <c r="I111" s="103" t="n"/>
      <c r="J111" s="106" t="n"/>
      <c r="K111" s="103" t="n"/>
    </row>
    <row r="112" ht="14.25" customHeight="1" s="83">
      <c r="A112" s="103" t="n"/>
      <c r="B112" s="103" t="n"/>
      <c r="C112" s="104" t="n"/>
      <c r="D112" s="104" t="n"/>
      <c r="E112" s="130">
        <f>D112-C112</f>
        <v/>
      </c>
      <c r="F112" s="105">
        <f>IFERROR(E112/C112,0)</f>
        <v/>
      </c>
      <c r="G112" s="103" t="n"/>
      <c r="H112" s="103" t="n"/>
      <c r="I112" s="103" t="n"/>
      <c r="J112" s="106" t="n"/>
      <c r="K112" s="103" t="n"/>
    </row>
    <row r="113" ht="14.25" customHeight="1" s="83">
      <c r="A113" s="103" t="n"/>
      <c r="B113" s="103" t="n"/>
      <c r="C113" s="104" t="n"/>
      <c r="D113" s="104" t="n"/>
      <c r="E113" s="130">
        <f>D113-C113</f>
        <v/>
      </c>
      <c r="F113" s="105">
        <f>IFERROR(E113/C113,0)</f>
        <v/>
      </c>
      <c r="G113" s="103" t="n"/>
      <c r="H113" s="103" t="n"/>
      <c r="I113" s="103" t="n"/>
      <c r="J113" s="106" t="n"/>
      <c r="K113" s="103" t="n"/>
    </row>
    <row r="114" ht="14.25" customHeight="1" s="83">
      <c r="A114" s="103" t="n"/>
      <c r="B114" s="103" t="n"/>
      <c r="C114" s="104" t="n"/>
      <c r="D114" s="104" t="n"/>
      <c r="E114" s="130">
        <f>D114-C114</f>
        <v/>
      </c>
      <c r="F114" s="105">
        <f>IFERROR(E114/C114,0)</f>
        <v/>
      </c>
      <c r="G114" s="103" t="n"/>
      <c r="H114" s="103" t="n"/>
      <c r="I114" s="103" t="n"/>
      <c r="J114" s="106" t="n"/>
      <c r="K114" s="103" t="n"/>
    </row>
    <row r="115" ht="14.25" customHeight="1" s="83">
      <c r="A115" s="103" t="n"/>
      <c r="B115" s="103" t="n"/>
      <c r="C115" s="104" t="n"/>
      <c r="D115" s="104" t="n"/>
      <c r="E115" s="130">
        <f>D115-C115</f>
        <v/>
      </c>
      <c r="F115" s="105">
        <f>IFERROR(E115/C115,0)</f>
        <v/>
      </c>
      <c r="G115" s="103" t="n"/>
      <c r="H115" s="103" t="n"/>
      <c r="I115" s="103" t="n"/>
      <c r="J115" s="106" t="n"/>
      <c r="K115" s="103" t="n"/>
    </row>
    <row r="116" ht="14.25" customHeight="1" s="83">
      <c r="A116" s="103" t="n"/>
      <c r="B116" s="103" t="n"/>
      <c r="C116" s="104" t="n"/>
      <c r="D116" s="104" t="n"/>
      <c r="E116" s="130">
        <f>D116-C116</f>
        <v/>
      </c>
      <c r="F116" s="105">
        <f>IFERROR(E116/C116,0)</f>
        <v/>
      </c>
      <c r="G116" s="103" t="n"/>
      <c r="H116" s="103" t="n"/>
      <c r="I116" s="103" t="n"/>
      <c r="J116" s="106" t="n"/>
      <c r="K116" s="103" t="n"/>
    </row>
    <row r="117" ht="14.25" customHeight="1" s="83">
      <c r="A117" s="103" t="n"/>
      <c r="B117" s="103" t="n"/>
      <c r="C117" s="104" t="n"/>
      <c r="D117" s="104" t="n"/>
      <c r="E117" s="130">
        <f>D117-C117</f>
        <v/>
      </c>
      <c r="F117" s="105">
        <f>IFERROR(E117/C117,0)</f>
        <v/>
      </c>
      <c r="G117" s="103" t="n"/>
      <c r="H117" s="103" t="n"/>
      <c r="I117" s="103" t="n"/>
      <c r="J117" s="106" t="n"/>
      <c r="K117" s="103" t="n"/>
    </row>
    <row r="118" ht="14.25" customHeight="1" s="83">
      <c r="A118" s="103" t="n"/>
      <c r="B118" s="103" t="n"/>
      <c r="C118" s="104" t="n"/>
      <c r="D118" s="104" t="n"/>
      <c r="E118" s="130">
        <f>D118-C118</f>
        <v/>
      </c>
      <c r="F118" s="105">
        <f>IFERROR(E118/C118,0)</f>
        <v/>
      </c>
      <c r="G118" s="103" t="n"/>
      <c r="H118" s="103" t="n"/>
      <c r="I118" s="103" t="n"/>
      <c r="J118" s="106" t="n"/>
      <c r="K118" s="103" t="n"/>
    </row>
    <row r="119" ht="14.25" customHeight="1" s="83">
      <c r="A119" s="103" t="n"/>
      <c r="B119" s="103" t="n"/>
      <c r="C119" s="104" t="n"/>
      <c r="D119" s="104" t="n"/>
      <c r="E119" s="130">
        <f>D119-C119</f>
        <v/>
      </c>
      <c r="F119" s="105">
        <f>IFERROR(E119/C119,0)</f>
        <v/>
      </c>
      <c r="G119" s="103" t="n"/>
      <c r="H119" s="103" t="n"/>
      <c r="I119" s="103" t="n"/>
      <c r="J119" s="106" t="n"/>
      <c r="K119" s="103" t="n"/>
    </row>
    <row r="120" ht="14.25" customHeight="1" s="83">
      <c r="A120" s="103" t="n"/>
      <c r="B120" s="103" t="n"/>
      <c r="C120" s="104" t="n"/>
      <c r="D120" s="104" t="n"/>
      <c r="E120" s="130">
        <f>D120-C120</f>
        <v/>
      </c>
      <c r="F120" s="105">
        <f>IFERROR(E120/C120,0)</f>
        <v/>
      </c>
      <c r="G120" s="103" t="n"/>
      <c r="H120" s="103" t="n"/>
      <c r="I120" s="103" t="n"/>
      <c r="J120" s="106" t="n"/>
      <c r="K120" s="103" t="n"/>
    </row>
    <row r="121" ht="14.25" customHeight="1" s="83">
      <c r="A121" s="103" t="n"/>
      <c r="B121" s="103" t="n"/>
      <c r="C121" s="104" t="n"/>
      <c r="D121" s="104" t="n"/>
      <c r="E121" s="130">
        <f>D121-C121</f>
        <v/>
      </c>
      <c r="F121" s="105">
        <f>IFERROR(E121/C121,0)</f>
        <v/>
      </c>
      <c r="G121" s="103" t="n"/>
      <c r="H121" s="103" t="n"/>
      <c r="I121" s="103" t="n"/>
      <c r="J121" s="106" t="n"/>
      <c r="K121" s="103" t="n"/>
    </row>
    <row r="122" ht="14.25" customHeight="1" s="83">
      <c r="A122" s="103" t="n"/>
      <c r="B122" s="103" t="n"/>
      <c r="C122" s="104" t="n"/>
      <c r="D122" s="104" t="n"/>
      <c r="E122" s="130">
        <f>D122-C122</f>
        <v/>
      </c>
      <c r="F122" s="105">
        <f>IFERROR(E122/C122,0)</f>
        <v/>
      </c>
      <c r="G122" s="103" t="n"/>
      <c r="H122" s="103" t="n"/>
      <c r="I122" s="103" t="n"/>
      <c r="J122" s="106" t="n"/>
      <c r="K122" s="103" t="n"/>
    </row>
    <row r="123" ht="14.25" customHeight="1" s="83">
      <c r="A123" s="103" t="n"/>
      <c r="B123" s="103" t="n"/>
      <c r="C123" s="104" t="n"/>
      <c r="D123" s="104" t="n"/>
      <c r="E123" s="130">
        <f>D123-C123</f>
        <v/>
      </c>
      <c r="F123" s="105">
        <f>IFERROR(E123/C123,0)</f>
        <v/>
      </c>
      <c r="G123" s="103" t="n"/>
      <c r="H123" s="103" t="n"/>
      <c r="I123" s="103" t="n"/>
      <c r="J123" s="106" t="n"/>
      <c r="K123" s="103" t="n"/>
    </row>
    <row r="124" ht="14.25" customHeight="1" s="83">
      <c r="A124" s="103" t="n"/>
      <c r="B124" s="103" t="n"/>
      <c r="C124" s="104" t="n"/>
      <c r="D124" s="104" t="n"/>
      <c r="E124" s="130">
        <f>D124-C124</f>
        <v/>
      </c>
      <c r="F124" s="105">
        <f>IFERROR(E124/C124,0)</f>
        <v/>
      </c>
      <c r="G124" s="103" t="n"/>
      <c r="H124" s="103" t="n"/>
      <c r="I124" s="103" t="n"/>
      <c r="J124" s="106" t="n"/>
      <c r="K124" s="103" t="n"/>
    </row>
    <row r="125" ht="14.25" customHeight="1" s="83">
      <c r="A125" s="103" t="n"/>
      <c r="B125" s="103" t="n"/>
      <c r="C125" s="104" t="n"/>
      <c r="D125" s="104" t="n"/>
      <c r="E125" s="130">
        <f>D125-C125</f>
        <v/>
      </c>
      <c r="F125" s="105">
        <f>IFERROR(E125/C125,0)</f>
        <v/>
      </c>
      <c r="G125" s="103" t="n"/>
      <c r="H125" s="103" t="n"/>
      <c r="I125" s="103" t="n"/>
      <c r="J125" s="106" t="n"/>
      <c r="K125" s="103" t="n"/>
    </row>
    <row r="126" ht="14.25" customHeight="1" s="83">
      <c r="A126" s="103" t="n"/>
      <c r="B126" s="103" t="n"/>
      <c r="C126" s="104" t="n"/>
      <c r="D126" s="104" t="n"/>
      <c r="E126" s="130">
        <f>D126-C126</f>
        <v/>
      </c>
      <c r="F126" s="105">
        <f>IFERROR(E126/C126,0)</f>
        <v/>
      </c>
      <c r="G126" s="103" t="n"/>
      <c r="H126" s="103" t="n"/>
      <c r="I126" s="103" t="n"/>
      <c r="J126" s="106" t="n"/>
      <c r="K126" s="103" t="n"/>
    </row>
    <row r="127" ht="14.25" customHeight="1" s="83">
      <c r="A127" s="103" t="n"/>
      <c r="B127" s="103" t="n"/>
      <c r="C127" s="104" t="n"/>
      <c r="D127" s="104" t="n"/>
      <c r="E127" s="130">
        <f>D127-C127</f>
        <v/>
      </c>
      <c r="F127" s="105">
        <f>IFERROR(E127/C127,0)</f>
        <v/>
      </c>
      <c r="G127" s="103" t="n"/>
      <c r="H127" s="103" t="n"/>
      <c r="I127" s="103" t="n"/>
      <c r="J127" s="106" t="n"/>
      <c r="K127" s="103" t="n"/>
    </row>
    <row r="128" ht="14.25" customHeight="1" s="83">
      <c r="A128" s="103" t="n"/>
      <c r="B128" s="103" t="n"/>
      <c r="C128" s="104" t="n"/>
      <c r="D128" s="104" t="n"/>
      <c r="E128" s="130">
        <f>D128-C128</f>
        <v/>
      </c>
      <c r="F128" s="105">
        <f>IFERROR(E128/C128,0)</f>
        <v/>
      </c>
      <c r="G128" s="103" t="n"/>
      <c r="H128" s="103" t="n"/>
      <c r="I128" s="103" t="n"/>
      <c r="J128" s="106" t="n"/>
      <c r="K128" s="103" t="n"/>
    </row>
    <row r="129" ht="14.25" customHeight="1" s="83">
      <c r="A129" s="103" t="n"/>
      <c r="B129" s="103" t="n"/>
      <c r="C129" s="104" t="n"/>
      <c r="D129" s="104" t="n"/>
      <c r="E129" s="130">
        <f>D129-C129</f>
        <v/>
      </c>
      <c r="F129" s="105">
        <f>IFERROR(E129/C129,0)</f>
        <v/>
      </c>
      <c r="G129" s="103" t="n"/>
      <c r="H129" s="103" t="n"/>
      <c r="I129" s="103" t="n"/>
      <c r="J129" s="106" t="n"/>
      <c r="K129" s="103" t="n"/>
    </row>
    <row r="130" ht="14.25" customHeight="1" s="83">
      <c r="A130" s="103" t="n"/>
      <c r="B130" s="103" t="n"/>
      <c r="C130" s="104" t="n"/>
      <c r="D130" s="104" t="n"/>
      <c r="E130" s="130">
        <f>D130-C130</f>
        <v/>
      </c>
      <c r="F130" s="105">
        <f>IFERROR(E130/C130,0)</f>
        <v/>
      </c>
      <c r="G130" s="103" t="n"/>
      <c r="H130" s="103" t="n"/>
      <c r="I130" s="103" t="n"/>
      <c r="J130" s="106" t="n"/>
      <c r="K130" s="103" t="n"/>
    </row>
    <row r="131" ht="14.25" customHeight="1" s="83">
      <c r="A131" s="103" t="n"/>
      <c r="B131" s="103" t="n"/>
      <c r="C131" s="104" t="n"/>
      <c r="D131" s="104" t="n"/>
      <c r="E131" s="130">
        <f>D131-C131</f>
        <v/>
      </c>
      <c r="F131" s="105">
        <f>IFERROR(E131/C131,0)</f>
        <v/>
      </c>
      <c r="G131" s="103" t="n"/>
      <c r="H131" s="103" t="n"/>
      <c r="I131" s="103" t="n"/>
      <c r="J131" s="106" t="n"/>
      <c r="K131" s="103" t="n"/>
    </row>
    <row r="132" ht="14.25" customHeight="1" s="83">
      <c r="A132" s="103" t="n"/>
      <c r="B132" s="103" t="n"/>
      <c r="C132" s="104" t="n"/>
      <c r="D132" s="104" t="n"/>
      <c r="E132" s="130">
        <f>D132-C132</f>
        <v/>
      </c>
      <c r="F132" s="105">
        <f>IFERROR(E132/C132,0)</f>
        <v/>
      </c>
      <c r="G132" s="103" t="n"/>
      <c r="H132" s="103" t="n"/>
      <c r="I132" s="103" t="n"/>
      <c r="J132" s="106" t="n"/>
      <c r="K132" s="103" t="n"/>
    </row>
    <row r="133" ht="14.25" customHeight="1" s="83">
      <c r="A133" s="103" t="n"/>
      <c r="B133" s="103" t="n"/>
      <c r="C133" s="104" t="n"/>
      <c r="D133" s="104" t="n"/>
      <c r="E133" s="130">
        <f>D133-C133</f>
        <v/>
      </c>
      <c r="F133" s="105">
        <f>IFERROR(E133/C133,0)</f>
        <v/>
      </c>
      <c r="G133" s="103" t="n"/>
      <c r="H133" s="103" t="n"/>
      <c r="I133" s="103" t="n"/>
      <c r="J133" s="106" t="n"/>
      <c r="K133" s="103" t="n"/>
    </row>
    <row r="134" ht="14.25" customHeight="1" s="83">
      <c r="A134" s="103" t="n"/>
      <c r="B134" s="103" t="n"/>
      <c r="C134" s="104" t="n"/>
      <c r="D134" s="104" t="n"/>
      <c r="E134" s="130">
        <f>D134-C134</f>
        <v/>
      </c>
      <c r="F134" s="105">
        <f>IFERROR(E134/C134,0)</f>
        <v/>
      </c>
      <c r="G134" s="103" t="n"/>
      <c r="H134" s="103" t="n"/>
      <c r="I134" s="103" t="n"/>
      <c r="J134" s="106" t="n"/>
      <c r="K134" s="103" t="n"/>
    </row>
    <row r="135" ht="14.25" customHeight="1" s="83">
      <c r="A135" s="103" t="n"/>
      <c r="B135" s="103" t="n"/>
      <c r="C135" s="104" t="n"/>
      <c r="D135" s="104" t="n"/>
      <c r="E135" s="130">
        <f>D135-C135</f>
        <v/>
      </c>
      <c r="F135" s="105">
        <f>IFERROR(E135/C135,0)</f>
        <v/>
      </c>
      <c r="G135" s="103" t="n"/>
      <c r="H135" s="103" t="n"/>
      <c r="I135" s="103" t="n"/>
      <c r="J135" s="106" t="n"/>
      <c r="K135" s="103" t="n"/>
    </row>
    <row r="136" ht="14.25" customHeight="1" s="83">
      <c r="A136" s="103" t="n"/>
      <c r="B136" s="103" t="n"/>
      <c r="C136" s="104" t="n"/>
      <c r="D136" s="104" t="n"/>
      <c r="E136" s="130">
        <f>D136-C136</f>
        <v/>
      </c>
      <c r="F136" s="105">
        <f>IFERROR(E136/C136,0)</f>
        <v/>
      </c>
      <c r="G136" s="103" t="n"/>
      <c r="H136" s="103" t="n"/>
      <c r="I136" s="103" t="n"/>
      <c r="J136" s="106" t="n"/>
      <c r="K136" s="103" t="n"/>
    </row>
    <row r="137" ht="14.25" customHeight="1" s="83">
      <c r="A137" s="103" t="n"/>
      <c r="B137" s="103" t="n"/>
      <c r="C137" s="104" t="n"/>
      <c r="D137" s="104" t="n"/>
      <c r="E137" s="130">
        <f>D137-C137</f>
        <v/>
      </c>
      <c r="F137" s="105">
        <f>IFERROR(E137/C137,0)</f>
        <v/>
      </c>
      <c r="G137" s="103" t="n"/>
      <c r="H137" s="103" t="n"/>
      <c r="I137" s="103" t="n"/>
      <c r="J137" s="106" t="n"/>
      <c r="K137" s="103" t="n"/>
    </row>
    <row r="138" ht="14.25" customHeight="1" s="83">
      <c r="A138" s="103" t="n"/>
      <c r="B138" s="103" t="n"/>
      <c r="C138" s="104" t="n"/>
      <c r="D138" s="104" t="n"/>
      <c r="E138" s="130">
        <f>D138-C138</f>
        <v/>
      </c>
      <c r="F138" s="105">
        <f>IFERROR(E138/C138,0)</f>
        <v/>
      </c>
      <c r="G138" s="103" t="n"/>
      <c r="H138" s="103" t="n"/>
      <c r="I138" s="103" t="n"/>
      <c r="J138" s="106" t="n"/>
      <c r="K138" s="103" t="n"/>
    </row>
    <row r="139" ht="14.25" customHeight="1" s="83">
      <c r="A139" s="103" t="n"/>
      <c r="B139" s="103" t="n"/>
      <c r="C139" s="104" t="n"/>
      <c r="D139" s="104" t="n"/>
      <c r="E139" s="130">
        <f>D139-C139</f>
        <v/>
      </c>
      <c r="F139" s="105">
        <f>IFERROR(E139/C139,0)</f>
        <v/>
      </c>
      <c r="G139" s="103" t="n"/>
      <c r="H139" s="103" t="n"/>
      <c r="I139" s="103" t="n"/>
      <c r="J139" s="106" t="n"/>
      <c r="K139" s="103" t="n"/>
    </row>
    <row r="140" ht="14.25" customHeight="1" s="83">
      <c r="A140" s="103" t="n"/>
      <c r="B140" s="103" t="n"/>
      <c r="C140" s="104" t="n"/>
      <c r="D140" s="104" t="n"/>
      <c r="E140" s="130">
        <f>D140-C140</f>
        <v/>
      </c>
      <c r="F140" s="105">
        <f>IFERROR(E140/C140,0)</f>
        <v/>
      </c>
      <c r="G140" s="103" t="n"/>
      <c r="H140" s="103" t="n"/>
      <c r="I140" s="103" t="n"/>
      <c r="J140" s="106" t="n"/>
      <c r="K140" s="103" t="n"/>
    </row>
    <row r="141" ht="14.25" customHeight="1" s="83">
      <c r="A141" s="103" t="n"/>
      <c r="B141" s="103" t="n"/>
      <c r="C141" s="104" t="n"/>
      <c r="D141" s="104" t="n"/>
      <c r="E141" s="130">
        <f>D141-C141</f>
        <v/>
      </c>
      <c r="F141" s="105">
        <f>IFERROR(E141/C141,0)</f>
        <v/>
      </c>
      <c r="G141" s="103" t="n"/>
      <c r="H141" s="103" t="n"/>
      <c r="I141" s="103" t="n"/>
      <c r="J141" s="106" t="n"/>
      <c r="K141" s="103" t="n"/>
    </row>
    <row r="142" ht="14.25" customHeight="1" s="83">
      <c r="A142" s="103" t="n"/>
      <c r="B142" s="103" t="n"/>
      <c r="C142" s="104" t="n"/>
      <c r="D142" s="104" t="n"/>
      <c r="E142" s="130">
        <f>D142-C142</f>
        <v/>
      </c>
      <c r="F142" s="105">
        <f>IFERROR(E142/C142,0)</f>
        <v/>
      </c>
      <c r="G142" s="103" t="n"/>
      <c r="H142" s="103" t="n"/>
      <c r="I142" s="103" t="n"/>
      <c r="J142" s="106" t="n"/>
      <c r="K142" s="103" t="n"/>
    </row>
    <row r="143" ht="14.25" customHeight="1" s="83">
      <c r="A143" s="103" t="n"/>
      <c r="B143" s="103" t="n"/>
      <c r="C143" s="104" t="n"/>
      <c r="D143" s="104" t="n"/>
      <c r="E143" s="130">
        <f>D143-C143</f>
        <v/>
      </c>
      <c r="F143" s="105">
        <f>IFERROR(E143/C143,0)</f>
        <v/>
      </c>
      <c r="G143" s="103" t="n"/>
      <c r="H143" s="103" t="n"/>
      <c r="I143" s="103" t="n"/>
      <c r="J143" s="106" t="n"/>
      <c r="K143" s="103" t="n"/>
    </row>
    <row r="144" ht="14.25" customHeight="1" s="83">
      <c r="A144" s="103" t="n"/>
      <c r="B144" s="103" t="n"/>
      <c r="C144" s="104" t="n"/>
      <c r="D144" s="104" t="n"/>
      <c r="E144" s="130">
        <f>D144-C144</f>
        <v/>
      </c>
      <c r="F144" s="105">
        <f>IFERROR(E144/C144,0)</f>
        <v/>
      </c>
      <c r="G144" s="103" t="n"/>
      <c r="H144" s="103" t="n"/>
      <c r="I144" s="103" t="n"/>
      <c r="J144" s="106" t="n"/>
      <c r="K144" s="103" t="n"/>
    </row>
    <row r="145" ht="14.25" customHeight="1" s="83">
      <c r="A145" s="103" t="n"/>
      <c r="B145" s="103" t="n"/>
      <c r="C145" s="104" t="n"/>
      <c r="D145" s="104" t="n"/>
      <c r="E145" s="130">
        <f>D145-C145</f>
        <v/>
      </c>
      <c r="F145" s="105">
        <f>IFERROR(E145/C145,0)</f>
        <v/>
      </c>
      <c r="G145" s="103" t="n"/>
      <c r="H145" s="103" t="n"/>
      <c r="I145" s="103" t="n"/>
      <c r="J145" s="106" t="n"/>
      <c r="K145" s="103" t="n"/>
    </row>
    <row r="146" ht="14.25" customHeight="1" s="83">
      <c r="A146" s="103" t="n"/>
      <c r="B146" s="103" t="n"/>
      <c r="C146" s="104" t="n"/>
      <c r="D146" s="104" t="n"/>
      <c r="E146" s="130">
        <f>D146-C146</f>
        <v/>
      </c>
      <c r="F146" s="105">
        <f>IFERROR(E146/C146,0)</f>
        <v/>
      </c>
      <c r="G146" s="103" t="n"/>
      <c r="H146" s="103" t="n"/>
      <c r="I146" s="103" t="n"/>
      <c r="J146" s="106" t="n"/>
      <c r="K146" s="103" t="n"/>
    </row>
    <row r="147" ht="14.25" customHeight="1" s="83">
      <c r="A147" s="103" t="n"/>
      <c r="B147" s="103" t="n"/>
      <c r="C147" s="104" t="n"/>
      <c r="D147" s="104" t="n"/>
      <c r="E147" s="130">
        <f>D147-C147</f>
        <v/>
      </c>
      <c r="F147" s="105">
        <f>IFERROR(E147/C147,0)</f>
        <v/>
      </c>
      <c r="G147" s="103" t="n"/>
      <c r="H147" s="103" t="n"/>
      <c r="I147" s="103" t="n"/>
      <c r="J147" s="106" t="n"/>
      <c r="K147" s="103" t="n"/>
    </row>
    <row r="148" ht="14.25" customHeight="1" s="83">
      <c r="A148" s="103" t="n"/>
      <c r="B148" s="103" t="n"/>
      <c r="C148" s="104" t="n"/>
      <c r="D148" s="104" t="n"/>
      <c r="E148" s="130">
        <f>D148-C148</f>
        <v/>
      </c>
      <c r="F148" s="105">
        <f>IFERROR(E148/C148,0)</f>
        <v/>
      </c>
      <c r="G148" s="103" t="n"/>
      <c r="H148" s="103" t="n"/>
      <c r="I148" s="103" t="n"/>
      <c r="J148" s="106" t="n"/>
      <c r="K148" s="103" t="n"/>
    </row>
    <row r="149" ht="14.25" customHeight="1" s="83">
      <c r="A149" s="103" t="n"/>
      <c r="B149" s="103" t="n"/>
      <c r="C149" s="104" t="n"/>
      <c r="D149" s="104" t="n"/>
      <c r="E149" s="130">
        <f>D149-C149</f>
        <v/>
      </c>
      <c r="F149" s="105">
        <f>IFERROR(E149/C149,0)</f>
        <v/>
      </c>
      <c r="G149" s="103" t="n"/>
      <c r="H149" s="103" t="n"/>
      <c r="I149" s="103" t="n"/>
      <c r="J149" s="106" t="n"/>
      <c r="K149" s="103" t="n"/>
    </row>
    <row r="150" ht="14.25" customHeight="1" s="83">
      <c r="A150" s="103" t="n"/>
      <c r="B150" s="103" t="n"/>
      <c r="C150" s="104" t="n"/>
      <c r="D150" s="104" t="n"/>
      <c r="E150" s="130">
        <f>D150-C150</f>
        <v/>
      </c>
      <c r="F150" s="105">
        <f>IFERROR(E150/C150,0)</f>
        <v/>
      </c>
      <c r="G150" s="103" t="n"/>
      <c r="H150" s="103" t="n"/>
      <c r="I150" s="103" t="n"/>
      <c r="J150" s="106" t="n"/>
      <c r="K150" s="103" t="n"/>
    </row>
    <row r="151" ht="14.25" customHeight="1" s="83">
      <c r="A151" s="103" t="n"/>
      <c r="B151" s="103" t="n"/>
      <c r="C151" s="104" t="n"/>
      <c r="D151" s="104" t="n"/>
      <c r="E151" s="130">
        <f>D151-C151</f>
        <v/>
      </c>
      <c r="F151" s="105">
        <f>IFERROR(E151/C151,0)</f>
        <v/>
      </c>
      <c r="G151" s="103" t="n"/>
      <c r="H151" s="103" t="n"/>
      <c r="I151" s="103" t="n"/>
      <c r="J151" s="106" t="n"/>
      <c r="K151" s="103" t="n"/>
    </row>
    <row r="152" ht="14.25" customHeight="1" s="83">
      <c r="A152" s="103" t="n"/>
      <c r="B152" s="103" t="n"/>
      <c r="C152" s="104" t="n"/>
      <c r="D152" s="104" t="n"/>
      <c r="E152" s="130">
        <f>D152-C152</f>
        <v/>
      </c>
      <c r="F152" s="105">
        <f>IFERROR(E152/C152,0)</f>
        <v/>
      </c>
      <c r="G152" s="103" t="n"/>
      <c r="H152" s="103" t="n"/>
      <c r="I152" s="103" t="n"/>
      <c r="J152" s="106" t="n"/>
      <c r="K152" s="103" t="n"/>
    </row>
    <row r="153" ht="14.25" customHeight="1" s="83">
      <c r="A153" s="103" t="n"/>
      <c r="B153" s="103" t="n"/>
      <c r="C153" s="104" t="n"/>
      <c r="D153" s="104" t="n"/>
      <c r="E153" s="130">
        <f>D153-C153</f>
        <v/>
      </c>
      <c r="F153" s="105">
        <f>IFERROR(E153/C153,0)</f>
        <v/>
      </c>
      <c r="G153" s="103" t="n"/>
      <c r="H153" s="103" t="n"/>
      <c r="I153" s="103" t="n"/>
      <c r="J153" s="106" t="n"/>
      <c r="K153" s="103" t="n"/>
    </row>
    <row r="154" ht="14.25" customHeight="1" s="83">
      <c r="A154" s="103" t="n"/>
      <c r="B154" s="103" t="n"/>
      <c r="C154" s="104" t="n"/>
      <c r="D154" s="104" t="n"/>
      <c r="E154" s="130">
        <f>D154-C154</f>
        <v/>
      </c>
      <c r="F154" s="105">
        <f>IFERROR(E154/C154,0)</f>
        <v/>
      </c>
      <c r="G154" s="103" t="n"/>
      <c r="H154" s="103" t="n"/>
      <c r="I154" s="103" t="n"/>
      <c r="J154" s="106" t="n"/>
      <c r="K154" s="103" t="n"/>
    </row>
    <row r="155" ht="14.25" customHeight="1" s="83">
      <c r="A155" s="103" t="n"/>
      <c r="B155" s="103" t="n"/>
      <c r="C155" s="104" t="n"/>
      <c r="D155" s="104" t="n"/>
      <c r="E155" s="130">
        <f>D155-C155</f>
        <v/>
      </c>
      <c r="F155" s="105">
        <f>IFERROR(E155/C155,0)</f>
        <v/>
      </c>
      <c r="G155" s="103" t="n"/>
      <c r="H155" s="103" t="n"/>
      <c r="I155" s="103" t="n"/>
      <c r="J155" s="106" t="n"/>
      <c r="K155" s="103" t="n"/>
    </row>
    <row r="156" ht="14.25" customHeight="1" s="83">
      <c r="A156" s="103" t="n"/>
      <c r="B156" s="103" t="n"/>
      <c r="C156" s="104" t="n"/>
      <c r="D156" s="104" t="n"/>
      <c r="E156" s="130">
        <f>D156-C156</f>
        <v/>
      </c>
      <c r="F156" s="105">
        <f>IFERROR(E156/C156,0)</f>
        <v/>
      </c>
      <c r="G156" s="103" t="n"/>
      <c r="H156" s="103" t="n"/>
      <c r="I156" s="103" t="n"/>
      <c r="J156" s="106" t="n"/>
      <c r="K156" s="103" t="n"/>
    </row>
    <row r="157" ht="14.25" customHeight="1" s="83">
      <c r="A157" s="103" t="n"/>
      <c r="B157" s="103" t="n"/>
      <c r="C157" s="104" t="n"/>
      <c r="D157" s="104" t="n"/>
      <c r="E157" s="130">
        <f>D157-C157</f>
        <v/>
      </c>
      <c r="F157" s="105">
        <f>IFERROR(E157/C157,0)</f>
        <v/>
      </c>
      <c r="G157" s="103" t="n"/>
      <c r="H157" s="103" t="n"/>
      <c r="I157" s="103" t="n"/>
      <c r="J157" s="106" t="n"/>
      <c r="K157" s="103" t="n"/>
    </row>
    <row r="158" ht="14.25" customHeight="1" s="83">
      <c r="A158" s="103" t="n"/>
      <c r="B158" s="103" t="n"/>
      <c r="C158" s="104" t="n"/>
      <c r="D158" s="104" t="n"/>
      <c r="E158" s="130">
        <f>D158-C158</f>
        <v/>
      </c>
      <c r="F158" s="105">
        <f>IFERROR(E158/C158,0)</f>
        <v/>
      </c>
      <c r="G158" s="103" t="n"/>
      <c r="H158" s="103" t="n"/>
      <c r="I158" s="103" t="n"/>
      <c r="J158" s="106" t="n"/>
      <c r="K158" s="103" t="n"/>
    </row>
    <row r="159" ht="14.25" customHeight="1" s="83">
      <c r="A159" s="103" t="n"/>
      <c r="B159" s="103" t="n"/>
      <c r="C159" s="104" t="n"/>
      <c r="D159" s="104" t="n"/>
      <c r="E159" s="130">
        <f>D159-C159</f>
        <v/>
      </c>
      <c r="F159" s="105">
        <f>IFERROR(E159/C159,0)</f>
        <v/>
      </c>
      <c r="G159" s="103" t="n"/>
      <c r="H159" s="103" t="n"/>
      <c r="I159" s="103" t="n"/>
      <c r="J159" s="106" t="n"/>
      <c r="K159" s="103" t="n"/>
    </row>
    <row r="160" ht="14.25" customHeight="1" s="83">
      <c r="A160" s="103" t="n"/>
      <c r="B160" s="103" t="n"/>
      <c r="C160" s="104" t="n"/>
      <c r="D160" s="104" t="n"/>
      <c r="E160" s="130">
        <f>D160-C160</f>
        <v/>
      </c>
      <c r="F160" s="105">
        <f>IFERROR(E160/C160,0)</f>
        <v/>
      </c>
      <c r="G160" s="103" t="n"/>
      <c r="H160" s="103" t="n"/>
      <c r="I160" s="103" t="n"/>
      <c r="J160" s="106" t="n"/>
      <c r="K160" s="103" t="n"/>
    </row>
    <row r="161" ht="14.25" customHeight="1" s="83">
      <c r="A161" s="103" t="n"/>
      <c r="B161" s="103" t="n"/>
      <c r="C161" s="104" t="n"/>
      <c r="D161" s="104" t="n"/>
      <c r="E161" s="130">
        <f>D161-C161</f>
        <v/>
      </c>
      <c r="F161" s="105">
        <f>IFERROR(E161/C161,0)</f>
        <v/>
      </c>
      <c r="G161" s="103" t="n"/>
      <c r="H161" s="103" t="n"/>
      <c r="I161" s="103" t="n"/>
      <c r="J161" s="106" t="n"/>
      <c r="K161" s="103" t="n"/>
    </row>
    <row r="162" ht="14.25" customHeight="1" s="83">
      <c r="A162" s="103" t="n"/>
      <c r="B162" s="103" t="n"/>
      <c r="C162" s="104" t="n"/>
      <c r="D162" s="104" t="n"/>
      <c r="E162" s="130">
        <f>D162-C162</f>
        <v/>
      </c>
      <c r="F162" s="105">
        <f>IFERROR(E162/C162,0)</f>
        <v/>
      </c>
      <c r="G162" s="103" t="n"/>
      <c r="H162" s="103" t="n"/>
      <c r="I162" s="103" t="n"/>
      <c r="J162" s="106" t="n"/>
      <c r="K162" s="103" t="n"/>
    </row>
    <row r="163" ht="14.25" customHeight="1" s="83">
      <c r="A163" s="103" t="n"/>
      <c r="B163" s="103" t="n"/>
      <c r="C163" s="104" t="n"/>
      <c r="D163" s="104" t="n"/>
      <c r="E163" s="130">
        <f>D163-C163</f>
        <v/>
      </c>
      <c r="F163" s="105">
        <f>IFERROR(E163/C163,0)</f>
        <v/>
      </c>
      <c r="G163" s="103" t="n"/>
      <c r="H163" s="103" t="n"/>
      <c r="I163" s="103" t="n"/>
      <c r="J163" s="106" t="n"/>
      <c r="K163" s="103" t="n"/>
    </row>
    <row r="164" ht="14.25" customHeight="1" s="83">
      <c r="A164" s="103" t="n"/>
      <c r="B164" s="103" t="n"/>
      <c r="C164" s="104" t="n"/>
      <c r="D164" s="104" t="n"/>
      <c r="E164" s="130">
        <f>D164-C164</f>
        <v/>
      </c>
      <c r="F164" s="105">
        <f>IFERROR(E164/C164,0)</f>
        <v/>
      </c>
      <c r="G164" s="103" t="n"/>
      <c r="H164" s="103" t="n"/>
      <c r="I164" s="103" t="n"/>
      <c r="J164" s="106" t="n"/>
      <c r="K164" s="103" t="n"/>
    </row>
    <row r="165" ht="14.25" customHeight="1" s="83">
      <c r="A165" s="103" t="n"/>
      <c r="B165" s="103" t="n"/>
      <c r="C165" s="104" t="n"/>
      <c r="D165" s="104" t="n"/>
      <c r="E165" s="130">
        <f>D165-C165</f>
        <v/>
      </c>
      <c r="F165" s="105">
        <f>IFERROR(E165/C165,0)</f>
        <v/>
      </c>
      <c r="G165" s="103" t="n"/>
      <c r="H165" s="103" t="n"/>
      <c r="I165" s="103" t="n"/>
      <c r="J165" s="106" t="n"/>
      <c r="K165" s="103" t="n"/>
    </row>
    <row r="166" ht="14.25" customHeight="1" s="83">
      <c r="A166" s="103" t="n"/>
      <c r="B166" s="103" t="n"/>
      <c r="C166" s="104" t="n"/>
      <c r="D166" s="104" t="n"/>
      <c r="E166" s="130">
        <f>D166-C166</f>
        <v/>
      </c>
      <c r="F166" s="105">
        <f>IFERROR(E166/C166,0)</f>
        <v/>
      </c>
      <c r="G166" s="103" t="n"/>
      <c r="H166" s="103" t="n"/>
      <c r="I166" s="103" t="n"/>
      <c r="J166" s="106" t="n"/>
      <c r="K166" s="103" t="n"/>
    </row>
    <row r="167" ht="14.25" customHeight="1" s="83">
      <c r="A167" s="103" t="n"/>
      <c r="B167" s="103" t="n"/>
      <c r="C167" s="104" t="n"/>
      <c r="D167" s="104" t="n"/>
      <c r="E167" s="130">
        <f>D167-C167</f>
        <v/>
      </c>
      <c r="F167" s="105">
        <f>IFERROR(E167/C167,0)</f>
        <v/>
      </c>
      <c r="G167" s="103" t="n"/>
      <c r="H167" s="103" t="n"/>
      <c r="I167" s="103" t="n"/>
      <c r="J167" s="106" t="n"/>
      <c r="K167" s="103" t="n"/>
    </row>
    <row r="168" ht="14.25" customHeight="1" s="83">
      <c r="A168" s="103" t="n"/>
      <c r="B168" s="103" t="n"/>
      <c r="C168" s="104" t="n"/>
      <c r="D168" s="104" t="n"/>
      <c r="E168" s="130">
        <f>D168-C168</f>
        <v/>
      </c>
      <c r="F168" s="105">
        <f>IFERROR(E168/C168,0)</f>
        <v/>
      </c>
      <c r="G168" s="103" t="n"/>
      <c r="H168" s="103" t="n"/>
      <c r="I168" s="103" t="n"/>
      <c r="J168" s="106" t="n"/>
      <c r="K168" s="103" t="n"/>
    </row>
    <row r="169" ht="14.25" customHeight="1" s="83">
      <c r="A169" s="103" t="n"/>
      <c r="B169" s="103" t="n"/>
      <c r="C169" s="104" t="n"/>
      <c r="D169" s="104" t="n"/>
      <c r="E169" s="130">
        <f>D169-C169</f>
        <v/>
      </c>
      <c r="F169" s="105">
        <f>IFERROR(E169/C169,0)</f>
        <v/>
      </c>
      <c r="G169" s="103" t="n"/>
      <c r="H169" s="103" t="n"/>
      <c r="I169" s="103" t="n"/>
      <c r="J169" s="106" t="n"/>
      <c r="K169" s="103" t="n"/>
    </row>
    <row r="170" ht="14.25" customHeight="1" s="83">
      <c r="A170" s="103" t="n"/>
      <c r="B170" s="103" t="n"/>
      <c r="C170" s="104" t="n"/>
      <c r="D170" s="104" t="n"/>
      <c r="E170" s="130">
        <f>D170-C170</f>
        <v/>
      </c>
      <c r="F170" s="105">
        <f>IFERROR(E170/C170,0)</f>
        <v/>
      </c>
      <c r="G170" s="103" t="n"/>
      <c r="H170" s="103" t="n"/>
      <c r="I170" s="103" t="n"/>
      <c r="J170" s="106" t="n"/>
      <c r="K170" s="103" t="n"/>
    </row>
    <row r="171" ht="14.25" customHeight="1" s="83">
      <c r="A171" s="103" t="n"/>
      <c r="B171" s="103" t="n"/>
      <c r="C171" s="104" t="n"/>
      <c r="D171" s="104" t="n"/>
      <c r="E171" s="130">
        <f>D171-C171</f>
        <v/>
      </c>
      <c r="F171" s="105">
        <f>IFERROR(E171/C171,0)</f>
        <v/>
      </c>
      <c r="G171" s="103" t="n"/>
      <c r="H171" s="103" t="n"/>
      <c r="I171" s="103" t="n"/>
      <c r="J171" s="106" t="n"/>
      <c r="K171" s="103" t="n"/>
    </row>
    <row r="172" ht="14.25" customHeight="1" s="83">
      <c r="A172" s="103" t="n"/>
      <c r="B172" s="103" t="n"/>
      <c r="C172" s="104" t="n"/>
      <c r="D172" s="104" t="n"/>
      <c r="E172" s="130">
        <f>D172-C172</f>
        <v/>
      </c>
      <c r="F172" s="105">
        <f>IFERROR(E172/C172,0)</f>
        <v/>
      </c>
      <c r="G172" s="103" t="n"/>
      <c r="H172" s="103" t="n"/>
      <c r="I172" s="103" t="n"/>
      <c r="J172" s="106" t="n"/>
      <c r="K172" s="103" t="n"/>
    </row>
    <row r="173" ht="14.25" customHeight="1" s="83">
      <c r="A173" s="103" t="n"/>
      <c r="B173" s="103" t="n"/>
      <c r="C173" s="104" t="n"/>
      <c r="D173" s="104" t="n"/>
      <c r="E173" s="130">
        <f>D173-C173</f>
        <v/>
      </c>
      <c r="F173" s="105">
        <f>IFERROR(E173/C173,0)</f>
        <v/>
      </c>
      <c r="G173" s="103" t="n"/>
      <c r="H173" s="103" t="n"/>
      <c r="I173" s="103" t="n"/>
      <c r="J173" s="106" t="n"/>
      <c r="K173" s="103" t="n"/>
    </row>
    <row r="174" ht="14.25" customHeight="1" s="83">
      <c r="A174" s="103" t="n"/>
      <c r="B174" s="103" t="n"/>
      <c r="C174" s="104" t="n"/>
      <c r="D174" s="104" t="n"/>
      <c r="E174" s="130">
        <f>D174-C174</f>
        <v/>
      </c>
      <c r="F174" s="105">
        <f>IFERROR(E174/C174,0)</f>
        <v/>
      </c>
      <c r="G174" s="103" t="n"/>
      <c r="H174" s="103" t="n"/>
      <c r="I174" s="103" t="n"/>
      <c r="J174" s="106" t="n"/>
      <c r="K174" s="103" t="n"/>
    </row>
    <row r="175" ht="14.25" customHeight="1" s="83">
      <c r="A175" s="103" t="n"/>
      <c r="B175" s="103" t="n"/>
      <c r="C175" s="104" t="n"/>
      <c r="D175" s="104" t="n"/>
      <c r="E175" s="130">
        <f>D175-C175</f>
        <v/>
      </c>
      <c r="F175" s="105">
        <f>IFERROR(E175/C175,0)</f>
        <v/>
      </c>
      <c r="G175" s="103" t="n"/>
      <c r="H175" s="103" t="n"/>
      <c r="I175" s="103" t="n"/>
      <c r="J175" s="106" t="n"/>
      <c r="K175" s="103" t="n"/>
    </row>
    <row r="176" ht="14.25" customHeight="1" s="83">
      <c r="A176" s="103" t="n"/>
      <c r="B176" s="103" t="n"/>
      <c r="C176" s="104" t="n"/>
      <c r="D176" s="104" t="n"/>
      <c r="E176" s="130">
        <f>D176-C176</f>
        <v/>
      </c>
      <c r="F176" s="105">
        <f>IFERROR(E176/C176,0)</f>
        <v/>
      </c>
      <c r="G176" s="103" t="n"/>
      <c r="H176" s="103" t="n"/>
      <c r="I176" s="103" t="n"/>
      <c r="J176" s="106" t="n"/>
      <c r="K176" s="103" t="n"/>
    </row>
    <row r="177" ht="14.25" customHeight="1" s="83">
      <c r="A177" s="103" t="n"/>
      <c r="B177" s="103" t="n"/>
      <c r="C177" s="104" t="n"/>
      <c r="D177" s="104" t="n"/>
      <c r="E177" s="130">
        <f>D177-C177</f>
        <v/>
      </c>
      <c r="F177" s="105">
        <f>IFERROR(E177/C177,0)</f>
        <v/>
      </c>
      <c r="G177" s="103" t="n"/>
      <c r="H177" s="103" t="n"/>
      <c r="I177" s="103" t="n"/>
      <c r="J177" s="106" t="n"/>
      <c r="K177" s="103" t="n"/>
    </row>
    <row r="178" ht="14.25" customHeight="1" s="83">
      <c r="A178" s="103" t="n"/>
      <c r="B178" s="103" t="n"/>
      <c r="C178" s="104" t="n"/>
      <c r="D178" s="104" t="n"/>
      <c r="E178" s="130">
        <f>D178-C178</f>
        <v/>
      </c>
      <c r="F178" s="105">
        <f>IFERROR(E178/C178,0)</f>
        <v/>
      </c>
      <c r="G178" s="103" t="n"/>
      <c r="H178" s="103" t="n"/>
      <c r="I178" s="103" t="n"/>
      <c r="J178" s="106" t="n"/>
      <c r="K178" s="103" t="n"/>
    </row>
    <row r="179" ht="14.25" customHeight="1" s="83">
      <c r="A179" s="103" t="n"/>
      <c r="B179" s="103" t="n"/>
      <c r="C179" s="104" t="n"/>
      <c r="D179" s="104" t="n"/>
      <c r="E179" s="130">
        <f>D179-C179</f>
        <v/>
      </c>
      <c r="F179" s="105">
        <f>IFERROR(E179/C179,0)</f>
        <v/>
      </c>
      <c r="G179" s="103" t="n"/>
      <c r="H179" s="103" t="n"/>
      <c r="I179" s="103" t="n"/>
      <c r="J179" s="106" t="n"/>
      <c r="K179" s="103" t="n"/>
    </row>
    <row r="180" ht="14.25" customHeight="1" s="83">
      <c r="A180" s="103" t="n"/>
      <c r="B180" s="103" t="n"/>
      <c r="C180" s="104" t="n"/>
      <c r="D180" s="104" t="n"/>
      <c r="E180" s="130">
        <f>D180-C180</f>
        <v/>
      </c>
      <c r="F180" s="105">
        <f>IFERROR(E180/C180,0)</f>
        <v/>
      </c>
      <c r="G180" s="103" t="n"/>
      <c r="H180" s="103" t="n"/>
      <c r="I180" s="103" t="n"/>
      <c r="J180" s="106" t="n"/>
      <c r="K180" s="103" t="n"/>
    </row>
    <row r="181" ht="14.25" customHeight="1" s="83">
      <c r="A181" s="103" t="n"/>
      <c r="B181" s="103" t="n"/>
      <c r="C181" s="104" t="n"/>
      <c r="D181" s="104" t="n"/>
      <c r="E181" s="130">
        <f>D181-C181</f>
        <v/>
      </c>
      <c r="F181" s="105">
        <f>IFERROR(E181/C181,0)</f>
        <v/>
      </c>
      <c r="G181" s="103" t="n"/>
      <c r="H181" s="103" t="n"/>
      <c r="I181" s="103" t="n"/>
      <c r="J181" s="106" t="n"/>
      <c r="K181" s="103" t="n"/>
    </row>
    <row r="182" ht="14.25" customHeight="1" s="83">
      <c r="A182" s="103" t="n"/>
      <c r="B182" s="103" t="n"/>
      <c r="C182" s="104" t="n"/>
      <c r="D182" s="104" t="n"/>
      <c r="E182" s="130">
        <f>D182-C182</f>
        <v/>
      </c>
      <c r="F182" s="105">
        <f>IFERROR(E182/C182,0)</f>
        <v/>
      </c>
      <c r="G182" s="103" t="n"/>
      <c r="H182" s="103" t="n"/>
      <c r="I182" s="103" t="n"/>
      <c r="J182" s="106" t="n"/>
      <c r="K182" s="103" t="n"/>
    </row>
    <row r="183" ht="14.25" customHeight="1" s="83">
      <c r="A183" s="103" t="n"/>
      <c r="B183" s="103" t="n"/>
      <c r="C183" s="104" t="n"/>
      <c r="D183" s="104" t="n"/>
      <c r="E183" s="130">
        <f>D183-C183</f>
        <v/>
      </c>
      <c r="F183" s="105">
        <f>IFERROR(E183/C183,0)</f>
        <v/>
      </c>
      <c r="G183" s="103" t="n"/>
      <c r="H183" s="103" t="n"/>
      <c r="I183" s="103" t="n"/>
      <c r="J183" s="106" t="n"/>
      <c r="K183" s="103" t="n"/>
    </row>
    <row r="184" ht="14.25" customHeight="1" s="83">
      <c r="A184" s="103" t="n"/>
      <c r="B184" s="103" t="n"/>
      <c r="C184" s="104" t="n"/>
      <c r="D184" s="104" t="n"/>
      <c r="E184" s="130">
        <f>D184-C184</f>
        <v/>
      </c>
      <c r="F184" s="105">
        <f>IFERROR(E184/C184,0)</f>
        <v/>
      </c>
      <c r="G184" s="103" t="n"/>
      <c r="H184" s="103" t="n"/>
      <c r="I184" s="103" t="n"/>
      <c r="J184" s="106" t="n"/>
      <c r="K184" s="103" t="n"/>
    </row>
    <row r="185" ht="14.25" customHeight="1" s="83">
      <c r="A185" s="103" t="n"/>
      <c r="B185" s="103" t="n"/>
      <c r="C185" s="104" t="n"/>
      <c r="D185" s="104" t="n"/>
      <c r="E185" s="130">
        <f>D185-C185</f>
        <v/>
      </c>
      <c r="F185" s="105">
        <f>IFERROR(E185/C185,0)</f>
        <v/>
      </c>
      <c r="G185" s="103" t="n"/>
      <c r="H185" s="103" t="n"/>
      <c r="I185" s="103" t="n"/>
      <c r="J185" s="106" t="n"/>
      <c r="K185" s="103" t="n"/>
    </row>
    <row r="186" ht="14.25" customHeight="1" s="83">
      <c r="A186" s="103" t="n"/>
      <c r="B186" s="103" t="n"/>
      <c r="C186" s="104" t="n"/>
      <c r="D186" s="104" t="n"/>
      <c r="E186" s="130">
        <f>D186-C186</f>
        <v/>
      </c>
      <c r="F186" s="105">
        <f>IFERROR(E186/C186,0)</f>
        <v/>
      </c>
      <c r="G186" s="103" t="n"/>
      <c r="H186" s="103" t="n"/>
      <c r="I186" s="103" t="n"/>
      <c r="J186" s="106" t="n"/>
      <c r="K186" s="103" t="n"/>
    </row>
    <row r="187" ht="14.25" customHeight="1" s="83">
      <c r="A187" s="103" t="n"/>
      <c r="B187" s="103" t="n"/>
      <c r="C187" s="104" t="n"/>
      <c r="D187" s="104" t="n"/>
      <c r="E187" s="130">
        <f>D187-C187</f>
        <v/>
      </c>
      <c r="F187" s="105">
        <f>IFERROR(E187/C187,0)</f>
        <v/>
      </c>
      <c r="G187" s="103" t="n"/>
      <c r="H187" s="103" t="n"/>
      <c r="I187" s="103" t="n"/>
      <c r="J187" s="106" t="n"/>
      <c r="K187" s="103" t="n"/>
    </row>
    <row r="188" ht="14.25" customHeight="1" s="83">
      <c r="A188" s="103" t="n"/>
      <c r="B188" s="103" t="n"/>
      <c r="C188" s="104" t="n"/>
      <c r="D188" s="104" t="n"/>
      <c r="E188" s="130">
        <f>D188-C188</f>
        <v/>
      </c>
      <c r="F188" s="105">
        <f>IFERROR(E188/C188,0)</f>
        <v/>
      </c>
      <c r="G188" s="103" t="n"/>
      <c r="H188" s="103" t="n"/>
      <c r="I188" s="103" t="n"/>
      <c r="J188" s="106" t="n"/>
      <c r="K188" s="103" t="n"/>
    </row>
    <row r="189" ht="14.25" customHeight="1" s="83">
      <c r="A189" s="103" t="n"/>
      <c r="B189" s="103" t="n"/>
      <c r="C189" s="104" t="n"/>
      <c r="D189" s="104" t="n"/>
      <c r="E189" s="130">
        <f>D189-C189</f>
        <v/>
      </c>
      <c r="F189" s="105">
        <f>IFERROR(E189/C189,0)</f>
        <v/>
      </c>
      <c r="G189" s="103" t="n"/>
      <c r="H189" s="103" t="n"/>
      <c r="I189" s="103" t="n"/>
      <c r="J189" s="106" t="n"/>
      <c r="K189" s="103" t="n"/>
    </row>
    <row r="190" ht="14.25" customHeight="1" s="83">
      <c r="A190" s="103" t="n"/>
      <c r="B190" s="103" t="n"/>
      <c r="C190" s="104" t="n"/>
      <c r="D190" s="104" t="n"/>
      <c r="E190" s="130">
        <f>D190-C190</f>
        <v/>
      </c>
      <c r="F190" s="105">
        <f>IFERROR(E190/C190,0)</f>
        <v/>
      </c>
      <c r="G190" s="103" t="n"/>
      <c r="H190" s="103" t="n"/>
      <c r="I190" s="103" t="n"/>
      <c r="J190" s="106" t="n"/>
      <c r="K190" s="103" t="n"/>
    </row>
    <row r="191" ht="14.25" customHeight="1" s="83">
      <c r="A191" s="103" t="n"/>
      <c r="B191" s="103" t="n"/>
      <c r="C191" s="104" t="n"/>
      <c r="D191" s="104" t="n"/>
      <c r="E191" s="130">
        <f>D191-C191</f>
        <v/>
      </c>
      <c r="F191" s="105">
        <f>IFERROR(E191/C191,0)</f>
        <v/>
      </c>
      <c r="G191" s="103" t="n"/>
      <c r="H191" s="103" t="n"/>
      <c r="I191" s="103" t="n"/>
      <c r="J191" s="106" t="n"/>
      <c r="K191" s="103" t="n"/>
    </row>
    <row r="192" ht="14.25" customHeight="1" s="83">
      <c r="A192" s="103" t="n"/>
      <c r="B192" s="103" t="n"/>
      <c r="C192" s="104" t="n"/>
      <c r="D192" s="104" t="n"/>
      <c r="E192" s="130">
        <f>D192-C192</f>
        <v/>
      </c>
      <c r="F192" s="105">
        <f>IFERROR(E192/C192,0)</f>
        <v/>
      </c>
      <c r="G192" s="103" t="n"/>
      <c r="H192" s="103" t="n"/>
      <c r="I192" s="103" t="n"/>
      <c r="J192" s="106" t="n"/>
      <c r="K192" s="103" t="n"/>
    </row>
    <row r="193" ht="14.25" customHeight="1" s="83">
      <c r="A193" s="103" t="n"/>
      <c r="B193" s="103" t="n"/>
      <c r="C193" s="104" t="n"/>
      <c r="D193" s="104" t="n"/>
      <c r="E193" s="130">
        <f>D193-C193</f>
        <v/>
      </c>
      <c r="F193" s="105">
        <f>IFERROR(E193/C193,0)</f>
        <v/>
      </c>
      <c r="G193" s="103" t="n"/>
      <c r="H193" s="103" t="n"/>
      <c r="I193" s="103" t="n"/>
      <c r="J193" s="106" t="n"/>
      <c r="K193" s="103" t="n"/>
    </row>
    <row r="194" ht="14.25" customHeight="1" s="83">
      <c r="A194" s="103" t="n"/>
      <c r="B194" s="103" t="n"/>
      <c r="C194" s="104" t="n"/>
      <c r="D194" s="104" t="n"/>
      <c r="E194" s="130">
        <f>D194-C194</f>
        <v/>
      </c>
      <c r="F194" s="105">
        <f>IFERROR(E194/C194,0)</f>
        <v/>
      </c>
      <c r="G194" s="103" t="n"/>
      <c r="H194" s="103" t="n"/>
      <c r="I194" s="103" t="n"/>
      <c r="J194" s="106" t="n"/>
      <c r="K194" s="103" t="n"/>
    </row>
    <row r="195" ht="14.25" customHeight="1" s="83">
      <c r="A195" s="103" t="n"/>
      <c r="B195" s="103" t="n"/>
      <c r="C195" s="104" t="n"/>
      <c r="D195" s="104" t="n"/>
      <c r="E195" s="130">
        <f>D195-C195</f>
        <v/>
      </c>
      <c r="F195" s="105">
        <f>IFERROR(E195/C195,0)</f>
        <v/>
      </c>
      <c r="G195" s="103" t="n"/>
      <c r="H195" s="103" t="n"/>
      <c r="I195" s="103" t="n"/>
      <c r="J195" s="106" t="n"/>
      <c r="K195" s="103" t="n"/>
    </row>
    <row r="196" ht="14.25" customHeight="1" s="83">
      <c r="A196" s="103" t="n"/>
      <c r="B196" s="103" t="n"/>
      <c r="C196" s="104" t="n"/>
      <c r="D196" s="104" t="n"/>
      <c r="E196" s="130">
        <f>D196-C196</f>
        <v/>
      </c>
      <c r="F196" s="105">
        <f>IFERROR(E196/C196,0)</f>
        <v/>
      </c>
      <c r="G196" s="103" t="n"/>
      <c r="H196" s="103" t="n"/>
      <c r="I196" s="103" t="n"/>
      <c r="J196" s="106" t="n"/>
      <c r="K196" s="103" t="n"/>
    </row>
    <row r="197" ht="14.25" customHeight="1" s="83">
      <c r="A197" s="103" t="n"/>
      <c r="B197" s="103" t="n"/>
      <c r="C197" s="104" t="n"/>
      <c r="D197" s="104" t="n"/>
      <c r="E197" s="130">
        <f>D197-C197</f>
        <v/>
      </c>
      <c r="F197" s="105">
        <f>IFERROR(E197/C197,0)</f>
        <v/>
      </c>
      <c r="G197" s="103" t="n"/>
      <c r="H197" s="103" t="n"/>
      <c r="I197" s="103" t="n"/>
      <c r="J197" s="106" t="n"/>
      <c r="K197" s="103" t="n"/>
    </row>
    <row r="198" ht="14.25" customHeight="1" s="83">
      <c r="A198" s="103" t="n"/>
      <c r="B198" s="103" t="n"/>
      <c r="C198" s="104" t="n"/>
      <c r="D198" s="104" t="n"/>
      <c r="E198" s="130">
        <f>D198-C198</f>
        <v/>
      </c>
      <c r="F198" s="105">
        <f>IFERROR(E198/C198,0)</f>
        <v/>
      </c>
      <c r="G198" s="103" t="n"/>
      <c r="H198" s="103" t="n"/>
      <c r="I198" s="103" t="n"/>
      <c r="J198" s="106" t="n"/>
      <c r="K198" s="103" t="n"/>
    </row>
    <row r="199" ht="14.25" customHeight="1" s="83">
      <c r="A199" s="103" t="n"/>
      <c r="B199" s="103" t="n"/>
      <c r="C199" s="104" t="n"/>
      <c r="D199" s="104" t="n"/>
      <c r="E199" s="130">
        <f>D199-C199</f>
        <v/>
      </c>
      <c r="F199" s="105">
        <f>IFERROR(E199/C199,0)</f>
        <v/>
      </c>
      <c r="G199" s="103" t="n"/>
      <c r="H199" s="103" t="n"/>
      <c r="I199" s="103" t="n"/>
      <c r="J199" s="106" t="n"/>
      <c r="K199" s="103" t="n"/>
    </row>
    <row r="200" ht="14.25" customHeight="1" s="83">
      <c r="A200" s="103" t="n"/>
      <c r="B200" s="103" t="n"/>
      <c r="C200" s="104" t="n"/>
      <c r="D200" s="104" t="n"/>
      <c r="E200" s="130">
        <f>D200-C200</f>
        <v/>
      </c>
      <c r="F200" s="105">
        <f>IFERROR(E200/C200,0)</f>
        <v/>
      </c>
      <c r="G200" s="103" t="n"/>
      <c r="H200" s="103" t="n"/>
      <c r="I200" s="103" t="n"/>
      <c r="J200" s="106" t="n"/>
      <c r="K200" s="103" t="n"/>
    </row>
  </sheetData>
  <mergeCells count="2">
    <mergeCell ref="A2:H2"/>
    <mergeCell ref="A1:H1"/>
  </mergeCells>
  <conditionalFormatting sqref="E11:E200">
    <cfRule type="cellIs" rank="0" priority="2" equalAverage="0" operator="greaterThan" aboveAverage="0" dxfId="4" text="" percent="0" bottom="0">
      <formula>0</formula>
    </cfRule>
  </conditionalFormatting>
  <conditionalFormatting sqref="G11:G200">
    <cfRule type="expression" rank="0" priority="3" equalAverage="0" aboveAverage="0" dxfId="4" text="" percent="0" bottom="0">
      <formula>G11="Overdue"</formula>
    </cfRule>
    <cfRule type="expression" rank="0" priority="4" equalAverage="0" aboveAverage="0" dxfId="8" text="" percent="0" bottom="0">
      <formula>G11="Paid"</formula>
    </cfRule>
  </conditionalFormatting>
  <dataValidations count="5">
    <dataValidation sqref="A11:A200" showDropDown="0" showInputMessage="0" showErrorMessage="0" allowBlank="1" errorTitle="Invalid selection" error="Select a value from the dropdown list." type="list" errorStyle="stop" operator="between">
      <formula1>DormList</formula1>
      <formula2>0</formula2>
    </dataValidation>
    <dataValidation sqref="B11:B200" showDropDown="0" showInputMessage="0" showErrorMessage="0" allowBlank="1" errorTitle="Invalid selection" error="Select a value from the dropdown list." type="list" errorStyle="stop" operator="between">
      <formula1>RenovationCategoryList</formula1>
      <formula2>0</formula2>
    </dataValidation>
    <dataValidation sqref="G11:G200" showDropDown="0" showInputMessage="0" showErrorMessage="0" allowBlank="1" errorTitle="Invalid selection" error="Select a value from the dropdown list." type="list" errorStyle="stop" operator="between">
      <formula1>PaymentStatusList</formula1>
      <formula2>0</formula2>
    </dataValidation>
    <dataValidation sqref="J11:J200" showDropDown="0" showInputMessage="0" showErrorMessage="0" allowBlank="1" errorTitle="Invalid date" error="Enter a valid date using dd/mm/yyyy." type="date" errorStyle="stop" operator="greaterThanOrEqual">
      <formula1>DATE(2020,1,1)</formula1>
      <formula2>0</formula2>
    </dataValidation>
    <dataValidation sqref="C11:D200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T428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pane xSplit="0" ySplit="4" topLeftCell="A5" activePane="bottomLeft" state="frozen"/>
      <selection pane="topLeft" activeCell="C1" activeCellId="0" sqref="C1"/>
      <selection pane="bottomLeft" activeCell="K5" activeCellId="0" sqref="K5"/>
    </sheetView>
  </sheetViews>
  <sheetFormatPr baseColWidth="8" defaultColWidth="9.00390625" defaultRowHeight="14.25" customHeight="0" zeroHeight="0" outlineLevelRow="0"/>
  <cols>
    <col width="18" customWidth="1" style="82" min="1" max="1"/>
    <col width="14" customWidth="1" style="82" min="2" max="3"/>
    <col width="24" customWidth="1" style="82" min="4" max="4"/>
    <col width="14" customWidth="1" style="82" min="5" max="5"/>
    <col width="18" customWidth="1" style="82" min="6" max="6"/>
    <col width="16" customWidth="1" style="82" min="7" max="8"/>
    <col width="17" customWidth="1" style="82" min="9" max="9"/>
    <col width="19.89" customWidth="1" style="82" min="10" max="10"/>
    <col width="17" customWidth="1" style="82" min="11" max="14"/>
    <col width="22" customWidth="1" style="82" min="15" max="15"/>
    <col width="16" customWidth="1" style="82" min="16" max="16"/>
    <col width="22" customWidth="1" style="82" min="17" max="17"/>
    <col width="14" customWidth="1" style="82" min="18" max="18"/>
    <col width="18" customWidth="1" style="82" min="19" max="20"/>
  </cols>
  <sheetData>
    <row r="1" ht="27.75" customHeight="1" s="83">
      <c r="A1" s="107" t="inlineStr">
        <is>
          <t>Client Database &amp; Bed Management</t>
        </is>
      </c>
      <c r="P1" s="108" t="n"/>
      <c r="Q1" s="108" t="n"/>
      <c r="R1" s="108" t="n"/>
      <c r="S1" s="108" t="n"/>
      <c r="T1" s="108" t="n"/>
    </row>
    <row r="2" ht="14.25" customHeight="1" s="83">
      <c r="A2" s="109" t="inlineStr">
        <is>
          <t>Each row represents one bed. Use Dorm / Building for the property and Client Name for the person.</t>
        </is>
      </c>
      <c r="P2" s="108" t="n"/>
      <c r="Q2" s="108" t="n"/>
      <c r="R2" s="108" t="n"/>
      <c r="S2" s="108" t="n"/>
      <c r="T2" s="108" t="n"/>
    </row>
    <row r="3" ht="30" customHeight="1" s="83">
      <c r="A3" s="110" t="inlineStr">
        <is>
          <t>IMPORTANT: Column A = Dorm / Building (Dorm 1, Dorm 2, Dorm 3). Column D = Client Name. Then use Room Number and Bed ID for the bed assignment.</t>
        </is>
      </c>
    </row>
    <row r="4" ht="42.75" customHeight="1" s="83">
      <c r="A4" s="111" t="inlineStr">
        <is>
          <t>Dorm / Building</t>
        </is>
      </c>
      <c r="B4" s="111" t="inlineStr">
        <is>
          <t>Room Number</t>
        </is>
      </c>
      <c r="C4" s="111" t="inlineStr">
        <is>
          <t>Bed ID</t>
        </is>
      </c>
      <c r="D4" s="112" t="inlineStr">
        <is>
          <t>Client Name</t>
        </is>
      </c>
      <c r="E4" s="113" t="inlineStr">
        <is>
          <t>Status</t>
        </is>
      </c>
      <c r="F4" s="113" t="inlineStr">
        <is>
          <t>Entire Room Rental</t>
        </is>
      </c>
      <c r="G4" s="111" t="inlineStr">
        <is>
          <t>Monthly Rent</t>
        </is>
      </c>
      <c r="H4" s="114" t="inlineStr">
        <is>
          <t>Room Occupied Beds</t>
        </is>
      </c>
      <c r="I4" s="115" t="inlineStr">
        <is>
          <t>rent/moth</t>
        </is>
      </c>
      <c r="J4" s="115" t="inlineStr">
        <is>
          <t>Electricity Per Person</t>
        </is>
      </c>
      <c r="K4" s="115" t="inlineStr">
        <is>
          <t>Common Area Per Person</t>
        </is>
      </c>
      <c r="L4" s="115" t="inlineStr">
        <is>
          <t>Payment Status</t>
        </is>
      </c>
      <c r="M4" s="113" t="inlineStr">
        <is>
          <t>Move-in Date</t>
        </is>
      </c>
      <c r="N4" s="113" t="inlineStr">
        <is>
          <t>Move-out Date</t>
        </is>
      </c>
      <c r="O4" s="113" t="inlineStr">
        <is>
          <t>Security Deposit</t>
        </is>
      </c>
      <c r="P4" s="113" t="inlineStr">
        <is>
          <t>ID / Passport Number</t>
        </is>
      </c>
      <c r="Q4" s="113" t="inlineStr">
        <is>
          <t>Phone Number</t>
        </is>
      </c>
      <c r="R4" s="113" t="inlineStr">
        <is>
          <t>Emergency Contact</t>
        </is>
      </c>
      <c r="S4" s="113" t="inlineStr">
        <is>
          <t>Contract End Date</t>
        </is>
      </c>
      <c r="T4" s="113" t="inlineStr">
        <is>
          <t>Invoice Unit</t>
        </is>
      </c>
    </row>
    <row r="5" ht="14.25" customHeight="1" s="83">
      <c r="A5" s="116" t="inlineStr">
        <is>
          <t>Dorm 1</t>
        </is>
      </c>
      <c r="B5" s="116" t="inlineStr">
        <is>
          <t>Room 1-1</t>
        </is>
      </c>
      <c r="C5" s="116" t="inlineStr">
        <is>
          <t>Dorm1-R1A</t>
        </is>
      </c>
      <c r="D5" s="116" t="inlineStr">
        <is>
          <t>ikr</t>
        </is>
      </c>
      <c r="E5" s="116">
        <f>IF(D5&lt;&gt;"","Occupied","Vacant")</f>
        <v/>
      </c>
      <c r="F5" s="116">
        <f>IF(COUNTIFS($B:$B,B5,$E:$E,"Occupied")=2,"Yes","No")</f>
        <v/>
      </c>
      <c r="G5" s="117">
        <f>DefaultRentPerBed</f>
        <v/>
      </c>
      <c r="H5" s="116">
        <f>IF(E5&lt;&gt;"Occupied",0,COUNTIFS($B:$B,B5,$E:$E,"Occupied"))</f>
        <v/>
      </c>
      <c r="I5" s="82">
        <f>IF(E5&lt;&gt;"Occupied",0,IF(H5=1,350,IF(H5=2,200,0)))</f>
        <v/>
      </c>
      <c r="J5" s="82">
        <f>IF(E5="Occupied",IFERROR(SUMIFS('Electricity Management'!$J:$J,'Electricity Management'!$A:$A,A5,'Electricity Management'!$C:$C,B5),0),0)</f>
        <v/>
      </c>
      <c r="K5" s="82">
        <f t="array" ref="K5:K5">IF(E5="Occupied",IFERROR(INDEX('Electricity Management'!$T:$T,MATCH(1,('Electricity Management'!$K:$K=A5)*('Electricity Management'!$L:$L=B5),0)),0),"")</f>
        <v/>
      </c>
      <c r="L5" s="82" t="inlineStr">
        <is>
          <t>Partially Paid</t>
        </is>
      </c>
      <c r="M5" s="118" t="n">
        <v>46296</v>
      </c>
      <c r="N5" s="118" t="n">
        <v>46376</v>
      </c>
      <c r="O5" s="117" t="n"/>
      <c r="P5" s="116" t="n"/>
      <c r="Q5" s="116" t="inlineStr">
        <is>
          <t>0657202020</t>
        </is>
      </c>
      <c r="R5" s="116" t="n"/>
      <c r="S5" s="119" t="n"/>
      <c r="T5" s="120">
        <f>IF(F5="Yes",A5&amp;"-"&amp;B5,C5)</f>
        <v/>
      </c>
    </row>
    <row r="6" ht="14.25" customHeight="1" s="83">
      <c r="A6" s="116" t="inlineStr">
        <is>
          <t>Dorm 1</t>
        </is>
      </c>
      <c r="B6" s="116" t="inlineStr">
        <is>
          <t>Room 1-1</t>
        </is>
      </c>
      <c r="C6" s="116" t="inlineStr">
        <is>
          <t>Dorm1-R1B</t>
        </is>
      </c>
      <c r="D6" s="116" t="inlineStr">
        <is>
          <t>vrr</t>
        </is>
      </c>
      <c r="E6" s="116">
        <f>IF(D6&lt;&gt;"","Occupied","Vacant")</f>
        <v/>
      </c>
      <c r="F6" s="116">
        <f>IF(COUNTIFS($B:$B,B6,$E:$E,"Occupied")=2,"Yes","No")</f>
        <v/>
      </c>
      <c r="G6" s="117">
        <f>DefaultRentPerBed</f>
        <v/>
      </c>
      <c r="H6" s="116">
        <f>IF(E6&lt;&gt;"Occupied",0,COUNTIFS($B:$B,B6,$E:$E,"Occupied"))</f>
        <v/>
      </c>
      <c r="I6" s="82">
        <f>IF(E6&lt;&gt;"Occupied",0,IF(H6=1,350,IF(H6=2,200,0)))</f>
        <v/>
      </c>
      <c r="J6" s="82">
        <f>IF(E6="Occupied",IFERROR(SUMIFS('Electricity Management'!$J:$J,'Electricity Management'!$A:$A,A6,'Electricity Management'!$C:$C,B6),0),0)</f>
        <v/>
      </c>
      <c r="K6" s="82">
        <f t="array" ref="K6:K6">IF(E6="Occupied",IFERROR(INDEX('Electricity Management'!$T:$T,MATCH(1,('Electricity Management'!$K:$K=A6)*('Electricity Management'!$L:$L=B6),0)),0),"")</f>
        <v/>
      </c>
      <c r="L6" s="82" t="inlineStr">
        <is>
          <t>unpaid</t>
        </is>
      </c>
      <c r="M6" s="118" t="n">
        <v>46297</v>
      </c>
      <c r="N6" s="82" t="inlineStr">
        <is>
          <t>30 juin</t>
        </is>
      </c>
      <c r="O6" s="117" t="n"/>
      <c r="P6" s="116" t="n"/>
      <c r="Q6" s="116" t="n"/>
      <c r="R6" s="116" t="n"/>
      <c r="S6" s="119" t="n"/>
      <c r="T6" s="120">
        <f>IF(F6="Yes",A6&amp;"-"&amp;B6,C6)</f>
        <v/>
      </c>
    </row>
    <row r="7" ht="14.25" customHeight="1" s="83">
      <c r="A7" s="116" t="inlineStr">
        <is>
          <t>Dorm 1</t>
        </is>
      </c>
      <c r="B7" s="116" t="inlineStr">
        <is>
          <t>Room 1-2</t>
        </is>
      </c>
      <c r="C7" s="116" t="inlineStr">
        <is>
          <t>Dorm1-R2B</t>
        </is>
      </c>
      <c r="D7" s="116" t="inlineStr">
        <is>
          <t>vv</t>
        </is>
      </c>
      <c r="E7" s="116">
        <f>IF(D7&lt;&gt;"","Occupied","Vacant")</f>
        <v/>
      </c>
      <c r="F7" s="116">
        <f>IF(COUNTIFS($B:$B,B7,$E:$E,"Occupied")=2,"Yes","No")</f>
        <v/>
      </c>
      <c r="G7" s="117">
        <f>DefaultRentPerBed</f>
        <v/>
      </c>
      <c r="H7" s="116">
        <f>IF(E7&lt;&gt;"Occupied",0,COUNTIFS($B:$B,B7,$E:$E,"Occupied"))</f>
        <v/>
      </c>
      <c r="I7" s="82">
        <f>IF(E7&lt;&gt;"Occupied",0,IF(H7=1,350,IF(H7=2,200,0)))</f>
        <v/>
      </c>
      <c r="J7" s="82">
        <f>IF(E7="Occupied",IFERROR(SUMIFS('Electricity Management'!$J:$J,'Electricity Management'!$A:$A,A7,'Electricity Management'!$C:$C,B7),0),0)</f>
        <v/>
      </c>
      <c r="K7" s="82">
        <f t="array" ref="K7:K7">IF(E7="Occupied",IFERROR(INDEX('Electricity Management'!$T:$T,MATCH(1,('Electricity Management'!$K:$K=A7)*('Electricity Management'!$L:$L=B7),0)),0),"")</f>
        <v/>
      </c>
      <c r="L7" s="82" t="inlineStr">
        <is>
          <t>Partially Paid</t>
        </is>
      </c>
      <c r="M7" s="118" t="n">
        <v>46298</v>
      </c>
      <c r="O7" s="117" t="n"/>
      <c r="P7" s="116" t="n"/>
      <c r="Q7" s="116" t="n"/>
      <c r="R7" s="116" t="n"/>
      <c r="S7" s="119" t="n"/>
      <c r="T7" s="120">
        <f>IF(F7="Yes",A7&amp;"-"&amp;B7,C7)</f>
        <v/>
      </c>
    </row>
    <row r="8" ht="14.25" customHeight="1" s="83">
      <c r="A8" s="116" t="inlineStr">
        <is>
          <t>Dorm 1</t>
        </is>
      </c>
      <c r="B8" s="116" t="inlineStr">
        <is>
          <t>Room 1-2</t>
        </is>
      </c>
      <c r="C8" s="116" t="inlineStr">
        <is>
          <t>Dorm1-R2C</t>
        </is>
      </c>
      <c r="D8" s="116" t="n"/>
      <c r="E8" s="116">
        <f>IF(D8&lt;&gt;"","Occupied","Vacant")</f>
        <v/>
      </c>
      <c r="F8" s="116">
        <f>IF(COUNTIFS($B:$B,B8,$E:$E,"Occupied")=2,"Yes","No")</f>
        <v/>
      </c>
      <c r="G8" s="117">
        <f>DefaultRentPerBed</f>
        <v/>
      </c>
      <c r="H8" s="116">
        <f>IF(E8&lt;&gt;"Occupied",0,COUNTIFS($B:$B,B8,$E:$E,"Occupied"))</f>
        <v/>
      </c>
      <c r="I8" s="82">
        <f>IF(E8&lt;&gt;"Occupied",0,IF(H8=1,350,IF(H8=2,200,0)))</f>
        <v/>
      </c>
      <c r="J8" s="82">
        <f>IF(E8="Occupied",IFERROR(SUMIFS('Electricity Management'!$J:$J,'Electricity Management'!$A:$A,A8,'Electricity Management'!$C:$C,B8),0),0)</f>
        <v/>
      </c>
      <c r="K8" s="82">
        <f t="array" ref="K8:K8">IF(E8="Occupied",IFERROR(INDEX('Electricity Management'!$T:$T,MATCH(1,('Electricity Management'!$K:$K=A8)*('Electricity Management'!$L:$L=B8),0)),0),"")</f>
        <v/>
      </c>
      <c r="O8" s="117" t="n"/>
      <c r="P8" s="116" t="n"/>
      <c r="Q8" s="116" t="n"/>
      <c r="R8" s="116" t="n"/>
      <c r="S8" s="119" t="n"/>
      <c r="T8" s="120">
        <f>IF(F8="Yes",A8&amp;"-"&amp;B8,C8)</f>
        <v/>
      </c>
    </row>
    <row r="9" ht="14.25" customHeight="1" s="83">
      <c r="A9" s="116" t="inlineStr">
        <is>
          <t>Dorm 1</t>
        </is>
      </c>
      <c r="B9" s="116" t="inlineStr">
        <is>
          <t>Room 1-3</t>
        </is>
      </c>
      <c r="C9" s="116" t="inlineStr">
        <is>
          <t>Dorm1-R3A</t>
        </is>
      </c>
      <c r="D9" s="116" t="n"/>
      <c r="E9" s="116">
        <f>IF(D9&lt;&gt;"","Occupied","Vacant")</f>
        <v/>
      </c>
      <c r="F9" s="116">
        <f>IF(COUNTIFS($B:$B,B9,$E:$E,"Occupied")=2,"Yes","No")</f>
        <v/>
      </c>
      <c r="G9" s="117">
        <f>DefaultRentPerBed</f>
        <v/>
      </c>
      <c r="H9" s="116">
        <f>IF(E9&lt;&gt;"Occupied",0,COUNTIFS($B:$B,B9,$E:$E,"Occupied"))</f>
        <v/>
      </c>
      <c r="I9" s="82">
        <f>IF(E9&lt;&gt;"Occupied",0,IF(H9=1,350,IF(H9=2,200,0)))</f>
        <v/>
      </c>
      <c r="J9" s="82">
        <f>IF(E9="Occupied",IFERROR(SUMIFS('Electricity Management'!$J:$J,'Electricity Management'!$A:$A,A9,'Electricity Management'!$C:$C,B9),0),0)</f>
        <v/>
      </c>
      <c r="K9" s="82">
        <f t="array" ref="K9:K9">IF(E9="Occupied",IFERROR(INDEX('Electricity Management'!$T:$T,MATCH(1,('Electricity Management'!$K:$K=A9)*('Electricity Management'!$L:$L=B9),0)),0),"")</f>
        <v/>
      </c>
      <c r="O9" s="117" t="n"/>
      <c r="P9" s="116" t="n"/>
      <c r="Q9" s="116" t="n"/>
      <c r="R9" s="116" t="n"/>
      <c r="S9" s="119" t="n"/>
      <c r="T9" s="120">
        <f>IF(F9="Yes",A9&amp;"-"&amp;B9,C9)</f>
        <v/>
      </c>
    </row>
    <row r="10" ht="14.25" customHeight="1" s="83">
      <c r="A10" s="116" t="inlineStr">
        <is>
          <t>Dorm 1</t>
        </is>
      </c>
      <c r="B10" s="116" t="inlineStr">
        <is>
          <t>Room 1-3</t>
        </is>
      </c>
      <c r="C10" s="116" t="inlineStr">
        <is>
          <t>Dorm1-R3B</t>
        </is>
      </c>
      <c r="D10" s="116" t="n"/>
      <c r="E10" s="116">
        <f>IF(D10&lt;&gt;"","Occupied","Vacant")</f>
        <v/>
      </c>
      <c r="F10" s="116">
        <f>IF(COUNTIFS($B:$B,B10,$E:$E,"Occupied")=2,"Yes","No")</f>
        <v/>
      </c>
      <c r="G10" s="117">
        <f>DefaultRentPerBed</f>
        <v/>
      </c>
      <c r="H10" s="116">
        <f>IF(E10&lt;&gt;"Occupied",0,COUNTIFS($B:$B,B10,$E:$E,"Occupied"))</f>
        <v/>
      </c>
      <c r="I10" s="82">
        <f>IF(E10&lt;&gt;"Occupied",0,IF(H10=1,350,IF(H10=2,200,0)))</f>
        <v/>
      </c>
      <c r="J10" s="82">
        <f>IF(E10="Occupied",IFERROR(SUMIFS('Electricity Management'!$J:$J,'Electricity Management'!$A:$A,A10,'Electricity Management'!$C:$C,B10),0),0)</f>
        <v/>
      </c>
      <c r="K10" s="82">
        <f t="array" ref="K10:K10">IF(E10="Occupied",IFERROR(INDEX('Electricity Management'!$T:$T,MATCH(1,('Electricity Management'!$K:$K=A10)*('Electricity Management'!$L:$L=B10),0)),0),"")</f>
        <v/>
      </c>
      <c r="O10" s="117" t="n"/>
      <c r="P10" s="116" t="n"/>
      <c r="Q10" s="116" t="n"/>
      <c r="R10" s="116" t="n"/>
      <c r="S10" s="119" t="n"/>
      <c r="T10" s="120">
        <f>IF(F10="Yes",A10&amp;"-"&amp;B10,C10)</f>
        <v/>
      </c>
    </row>
    <row r="11" ht="14.25" customHeight="1" s="83">
      <c r="A11" s="116" t="inlineStr">
        <is>
          <t>Dorm 1</t>
        </is>
      </c>
      <c r="B11" s="116" t="inlineStr">
        <is>
          <t>Room 1-4</t>
        </is>
      </c>
      <c r="C11" s="116" t="inlineStr">
        <is>
          <t>Dorm1-R4A</t>
        </is>
      </c>
      <c r="D11" s="116" t="n"/>
      <c r="E11" s="116">
        <f>IF(D11&lt;&gt;"","Occupied","Vacant")</f>
        <v/>
      </c>
      <c r="F11" s="116">
        <f>IF(COUNTIFS($B:$B,B11,$E:$E,"Occupied")=2,"Yes","No")</f>
        <v/>
      </c>
      <c r="G11" s="117">
        <f>DefaultRentPerBed</f>
        <v/>
      </c>
      <c r="H11" s="116">
        <f>IF(E11&lt;&gt;"Occupied",0,COUNTIFS($B:$B,B11,$E:$E,"Occupied"))</f>
        <v/>
      </c>
      <c r="I11" s="82">
        <f>IF(E11&lt;&gt;"Occupied",0,IF(H11=1,350,IF(H11=2,200,0)))</f>
        <v/>
      </c>
      <c r="J11" s="82">
        <f>IF(E11="Occupied",IFERROR(SUMIFS('Electricity Management'!$J:$J,'Electricity Management'!$A:$A,A11,'Electricity Management'!$C:$C,B11),0),0)</f>
        <v/>
      </c>
      <c r="K11" s="82">
        <f t="array" ref="K11:K11">IF(E11="Occupied",IFERROR(INDEX('Electricity Management'!$T:$T,MATCH(1,('Electricity Management'!$K:$K=A11)*('Electricity Management'!$L:$L=B11),0)),0),"")</f>
        <v/>
      </c>
      <c r="O11" s="117" t="n"/>
      <c r="P11" s="116" t="n"/>
      <c r="Q11" s="116" t="n"/>
      <c r="R11" s="116" t="n"/>
      <c r="S11" s="119" t="n"/>
      <c r="T11" s="120">
        <f>IF(F11="Yes",A11&amp;"-"&amp;B11,C11)</f>
        <v/>
      </c>
    </row>
    <row r="12" ht="14.25" customHeight="1" s="83">
      <c r="A12" s="116" t="inlineStr">
        <is>
          <t>Dorm 1</t>
        </is>
      </c>
      <c r="B12" s="116" t="inlineStr">
        <is>
          <t>Room 1-4</t>
        </is>
      </c>
      <c r="C12" s="116" t="inlineStr">
        <is>
          <t>Dorm1-R4B</t>
        </is>
      </c>
      <c r="D12" s="116" t="n"/>
      <c r="E12" s="116">
        <f>IF(D12&lt;&gt;"","Occupied","Vacant")</f>
        <v/>
      </c>
      <c r="F12" s="116">
        <f>IF(COUNTIFS($B:$B,B12,$E:$E,"Occupied")=2,"Yes","No")</f>
        <v/>
      </c>
      <c r="G12" s="117">
        <f>DefaultRentPerBed</f>
        <v/>
      </c>
      <c r="H12" s="116">
        <f>IF(E12&lt;&gt;"Occupied",0,COUNTIFS($B:$B,B12,$E:$E,"Occupied"))</f>
        <v/>
      </c>
      <c r="I12" s="82">
        <f>IF(E12&lt;&gt;"Occupied",0,IF(H12=1,350,IF(H12=2,200,0)))</f>
        <v/>
      </c>
      <c r="J12" s="82">
        <f>IF(E12="Occupied",IFERROR(SUMIFS('Electricity Management'!$J:$J,'Electricity Management'!$A:$A,A12,'Electricity Management'!$C:$C,B12),0),0)</f>
        <v/>
      </c>
      <c r="K12" s="82">
        <f t="array" ref="K12:K12">IF(E12="Occupied",IFERROR(INDEX('Electricity Management'!$T:$T,MATCH(1,('Electricity Management'!$K:$K=A12)*('Electricity Management'!$L:$L=B12),0)),0),"")</f>
        <v/>
      </c>
      <c r="O12" s="117" t="n"/>
      <c r="P12" s="116" t="n"/>
      <c r="Q12" s="116" t="n"/>
      <c r="R12" s="116" t="n"/>
      <c r="S12" s="119" t="n"/>
      <c r="T12" s="120">
        <f>IF(F12="Yes",A12&amp;"-"&amp;B12,C12)</f>
        <v/>
      </c>
    </row>
    <row r="13" ht="14.25" customHeight="1" s="83">
      <c r="A13" s="116" t="inlineStr">
        <is>
          <t>Dorm 1</t>
        </is>
      </c>
      <c r="B13" s="116" t="inlineStr">
        <is>
          <t>Room 1-5</t>
        </is>
      </c>
      <c r="C13" s="116" t="inlineStr">
        <is>
          <t>Dorm1-R5A</t>
        </is>
      </c>
      <c r="D13" s="116" t="n"/>
      <c r="E13" s="116">
        <f>IF(D13&lt;&gt;"","Occupied","Vacant")</f>
        <v/>
      </c>
      <c r="F13" s="116">
        <f>IF(COUNTIFS($B:$B,B13,$E:$E,"Occupied")=2,"Yes","No")</f>
        <v/>
      </c>
      <c r="G13" s="117">
        <f>DefaultRentPerBed</f>
        <v/>
      </c>
      <c r="H13" s="116">
        <f>IF(E13&lt;&gt;"Occupied",0,COUNTIFS($B:$B,B13,$E:$E,"Occupied"))</f>
        <v/>
      </c>
      <c r="I13" s="82">
        <f>IF(E13&lt;&gt;"Occupied",0,IF(H13=1,350,IF(H13=2,200,0)))</f>
        <v/>
      </c>
      <c r="J13" s="82">
        <f>IF(E13="Occupied",IFERROR(SUMIFS('Electricity Management'!$J:$J,'Electricity Management'!$A:$A,A13,'Electricity Management'!$C:$C,B13),0),0)</f>
        <v/>
      </c>
      <c r="K13" s="82">
        <f t="array" ref="K13:K13">IF(E13="Occupied",IFERROR(INDEX('Electricity Management'!$T:$T,MATCH(1,('Electricity Management'!$K:$K=A13)*('Electricity Management'!$L:$L=B13),0)),0),"")</f>
        <v/>
      </c>
      <c r="O13" s="117" t="n"/>
      <c r="P13" s="116" t="n"/>
      <c r="Q13" s="116" t="n"/>
      <c r="R13" s="116" t="n"/>
      <c r="S13" s="119" t="n"/>
      <c r="T13" s="120">
        <f>IF(F13="Yes",A13&amp;"-"&amp;B13,C13)</f>
        <v/>
      </c>
    </row>
    <row r="14" ht="14.25" customHeight="1" s="83">
      <c r="A14" s="116" t="inlineStr">
        <is>
          <t>Dorm 1</t>
        </is>
      </c>
      <c r="B14" s="116" t="inlineStr">
        <is>
          <t>Room 1-5</t>
        </is>
      </c>
      <c r="C14" s="116" t="inlineStr">
        <is>
          <t>Dorm1-R5B</t>
        </is>
      </c>
      <c r="D14" s="116" t="n"/>
      <c r="E14" s="116">
        <f>IF(D14&lt;&gt;"","Occupied","Vacant")</f>
        <v/>
      </c>
      <c r="F14" s="116">
        <f>IF(COUNTIFS($B:$B,B14,$E:$E,"Occupied")=2,"Yes","No")</f>
        <v/>
      </c>
      <c r="G14" s="117">
        <f>DefaultRentPerBed</f>
        <v/>
      </c>
      <c r="H14" s="116">
        <f>IF(E14&lt;&gt;"Occupied",0,COUNTIFS($B:$B,B14,$E:$E,"Occupied"))</f>
        <v/>
      </c>
      <c r="I14" s="82">
        <f>IF(E14&lt;&gt;"Occupied",0,IF(H14=1,350,IF(H14=2,200,0)))</f>
        <v/>
      </c>
      <c r="J14" s="82">
        <f>IF(E14="Occupied",IFERROR(SUMIFS('Electricity Management'!$J:$J,'Electricity Management'!$A:$A,A14,'Electricity Management'!$C:$C,B14),0),0)</f>
        <v/>
      </c>
      <c r="K14" s="82">
        <f t="array" ref="K14:K14">IF(E14="Occupied",IFERROR(INDEX('Electricity Management'!$T:$T,MATCH(1,('Electricity Management'!$K:$K=A14)*('Electricity Management'!$L:$L=B14),0)),0),"")</f>
        <v/>
      </c>
      <c r="O14" s="117" t="n"/>
      <c r="P14" s="116" t="n"/>
      <c r="Q14" s="116" t="n"/>
      <c r="R14" s="116" t="n"/>
      <c r="S14" s="119" t="n"/>
      <c r="T14" s="120">
        <f>IF(F14="Yes",A14&amp;"-"&amp;B14,C14)</f>
        <v/>
      </c>
    </row>
    <row r="15" ht="14.25" customHeight="1" s="83">
      <c r="A15" s="116" t="inlineStr">
        <is>
          <t>Dorm 1</t>
        </is>
      </c>
      <c r="B15" s="116" t="inlineStr">
        <is>
          <t>Room 1-6</t>
        </is>
      </c>
      <c r="C15" s="116" t="inlineStr">
        <is>
          <t>Dorm1-R6A</t>
        </is>
      </c>
      <c r="D15" s="116" t="n"/>
      <c r="E15" s="116">
        <f>IF(D15&lt;&gt;"","Occupied","Vacant")</f>
        <v/>
      </c>
      <c r="F15" s="116">
        <f>IF(COUNTIFS($B:$B,B15,$E:$E,"Occupied")=2,"Yes","No")</f>
        <v/>
      </c>
      <c r="G15" s="117">
        <f>DefaultRentPerBed</f>
        <v/>
      </c>
      <c r="H15" s="116">
        <f>IF(E15&lt;&gt;"Occupied",0,COUNTIFS($B:$B,B15,$E:$E,"Occupied"))</f>
        <v/>
      </c>
      <c r="I15" s="82">
        <f>IF(E15&lt;&gt;"Occupied",0,IF(H15=1,350,IF(H15=2,200,0)))</f>
        <v/>
      </c>
      <c r="J15" s="82">
        <f>IF(E15="Occupied",IFERROR(SUMIFS('Electricity Management'!$J:$J,'Electricity Management'!$A:$A,A15,'Electricity Management'!$C:$C,B15),0),0)</f>
        <v/>
      </c>
      <c r="K15" s="82">
        <f t="array" ref="K15:K15">IF(E15="Occupied",IFERROR(INDEX('Electricity Management'!$T:$T,MATCH(1,('Electricity Management'!$K:$K=A15)*('Electricity Management'!$L:$L=B15),0)),0),"")</f>
        <v/>
      </c>
      <c r="O15" s="117" t="n"/>
      <c r="P15" s="116" t="n"/>
      <c r="Q15" s="116" t="n"/>
      <c r="R15" s="116" t="n"/>
      <c r="S15" s="119" t="n"/>
      <c r="T15" s="120">
        <f>IF(F15="Yes",A15&amp;"-"&amp;B15,C15)</f>
        <v/>
      </c>
    </row>
    <row r="16" ht="14.25" customHeight="1" s="83">
      <c r="A16" s="116" t="inlineStr">
        <is>
          <t>Dorm 1</t>
        </is>
      </c>
      <c r="B16" s="116" t="inlineStr">
        <is>
          <t>Room 1-6</t>
        </is>
      </c>
      <c r="C16" s="116" t="inlineStr">
        <is>
          <t>Dorm1-R6B</t>
        </is>
      </c>
      <c r="D16" s="116" t="n"/>
      <c r="E16" s="116">
        <f>IF(D16&lt;&gt;"","Occupied","Vacant")</f>
        <v/>
      </c>
      <c r="F16" s="116">
        <f>IF(COUNTIFS($B:$B,B16,$E:$E,"Occupied")=2,"Yes","No")</f>
        <v/>
      </c>
      <c r="G16" s="117">
        <f>DefaultRentPerBed</f>
        <v/>
      </c>
      <c r="H16" s="116">
        <f>IF(E16&lt;&gt;"Occupied",0,COUNTIFS($B:$B,B16,$E:$E,"Occupied"))</f>
        <v/>
      </c>
      <c r="I16" s="82">
        <f>IF(E16&lt;&gt;"Occupied",0,IF(H16=1,350,IF(H16=2,200,0)))</f>
        <v/>
      </c>
      <c r="J16" s="82">
        <f>IF(E16="Occupied",IFERROR(SUMIFS('Electricity Management'!$J:$J,'Electricity Management'!$A:$A,A16,'Electricity Management'!$C:$C,B16),0),0)</f>
        <v/>
      </c>
      <c r="K16" s="82">
        <f t="array" ref="K16:K16">IF(E16="Occupied",IFERROR(INDEX('Electricity Management'!$T:$T,MATCH(1,('Electricity Management'!$K:$K=A16)*('Electricity Management'!$L:$L=B16),0)),0),"")</f>
        <v/>
      </c>
      <c r="O16" s="117" t="n"/>
      <c r="P16" s="116" t="n"/>
      <c r="Q16" s="116" t="n"/>
      <c r="R16" s="116" t="n"/>
      <c r="S16" s="119" t="n"/>
      <c r="T16" s="120">
        <f>IF(F16="Yes",A16&amp;"-"&amp;B16,C16)</f>
        <v/>
      </c>
    </row>
    <row r="17" ht="14.25" customHeight="1" s="83">
      <c r="A17" s="116" t="inlineStr">
        <is>
          <t>Dorm 2</t>
        </is>
      </c>
      <c r="B17" s="116" t="inlineStr">
        <is>
          <t>Room 2-1</t>
        </is>
      </c>
      <c r="C17" s="116" t="inlineStr">
        <is>
          <t>Dorm2-R1A</t>
        </is>
      </c>
      <c r="D17" s="116" t="n"/>
      <c r="E17" s="116">
        <f>IF(D17&lt;&gt;"","Occupied","Vacant")</f>
        <v/>
      </c>
      <c r="F17" s="116">
        <f>IF(COUNTIFS($B:$B,B17,$E:$E,"Occupied")=2,"Yes","No")</f>
        <v/>
      </c>
      <c r="G17" s="117">
        <f>DefaultRentPerBed</f>
        <v/>
      </c>
      <c r="H17" s="116">
        <f>IF(E17&lt;&gt;"Occupied",0,COUNTIFS($B:$B,B17,$E:$E,"Occupied"))</f>
        <v/>
      </c>
      <c r="I17" s="82">
        <f>IF(E17&lt;&gt;"Occupied",0,IF(H17=1,350,IF(H17=2,200,0)))</f>
        <v/>
      </c>
      <c r="J17" s="82">
        <f>IF(E17="Occupied",IFERROR(SUMIFS('Electricity Management'!$J:$J,'Electricity Management'!$A:$A,A17,'Electricity Management'!$C:$C,B17),0),0)</f>
        <v/>
      </c>
      <c r="K17" s="82">
        <f t="array" ref="K17:K17">IF(E17="Occupied",IFERROR(INDEX('Electricity Management'!$T:$T,MATCH(1,('Electricity Management'!$K:$K=A17)*('Electricity Management'!$L:$L=B17),0)),0),"")</f>
        <v/>
      </c>
      <c r="O17" s="117" t="n"/>
      <c r="P17" s="116" t="n"/>
      <c r="Q17" s="116" t="n"/>
      <c r="R17" s="116" t="n"/>
      <c r="S17" s="119" t="n"/>
      <c r="T17" s="120">
        <f>IF(F17="Yes",A17&amp;"-"&amp;B17,C17)</f>
        <v/>
      </c>
    </row>
    <row r="18" ht="14.25" customHeight="1" s="83">
      <c r="A18" s="116" t="inlineStr">
        <is>
          <t>Dorm 2</t>
        </is>
      </c>
      <c r="B18" s="116" t="inlineStr">
        <is>
          <t>Room 2-1</t>
        </is>
      </c>
      <c r="C18" s="116" t="inlineStr">
        <is>
          <t>Dorm2-R1B</t>
        </is>
      </c>
      <c r="D18" s="116" t="n"/>
      <c r="E18" s="116">
        <f>IF(D18&lt;&gt;"","Occupied","Vacant")</f>
        <v/>
      </c>
      <c r="F18" s="116">
        <f>IF(COUNTIFS($B:$B,B18,$E:$E,"Occupied")=2,"Yes","No")</f>
        <v/>
      </c>
      <c r="G18" s="117">
        <f>DefaultRentPerBed</f>
        <v/>
      </c>
      <c r="H18" s="116">
        <f>IF(E18&lt;&gt;"Occupied",0,COUNTIFS($B:$B,B18,$E:$E,"Occupied"))</f>
        <v/>
      </c>
      <c r="I18" s="82">
        <f>IF(E18&lt;&gt;"Occupied",0,IF(H18=1,350,IF(H18=2,200,0)))</f>
        <v/>
      </c>
      <c r="J18" s="82">
        <f>IF(E18="Occupied",IFERROR(SUMIFS('Electricity Management'!$J:$J,'Electricity Management'!$A:$A,A18,'Electricity Management'!$C:$C,B18),0),0)</f>
        <v/>
      </c>
      <c r="K18" s="82">
        <f t="array" ref="K18:K18">IF(E18="Occupied",IFERROR(INDEX('Electricity Management'!$T:$T,MATCH(1,('Electricity Management'!$K:$K=A18)*('Electricity Management'!$L:$L=B18),0)),0),"")</f>
        <v/>
      </c>
      <c r="O18" s="117" t="n"/>
      <c r="P18" s="116" t="n"/>
      <c r="Q18" s="116" t="n"/>
      <c r="R18" s="116" t="n"/>
      <c r="S18" s="119" t="n"/>
      <c r="T18" s="120">
        <f>IF(F18="Yes",A18&amp;"-"&amp;B18,C18)</f>
        <v/>
      </c>
    </row>
    <row r="19" ht="14.25" customHeight="1" s="83">
      <c r="A19" s="116" t="inlineStr">
        <is>
          <t>Dorm 2</t>
        </is>
      </c>
      <c r="B19" s="116" t="inlineStr">
        <is>
          <t>Room 2-2</t>
        </is>
      </c>
      <c r="C19" s="116" t="inlineStr">
        <is>
          <t>Dorm2-R2A</t>
        </is>
      </c>
      <c r="D19" s="116" t="n"/>
      <c r="E19" s="116">
        <f>IF(D19&lt;&gt;"","Occupied","Vacant")</f>
        <v/>
      </c>
      <c r="F19" s="116">
        <f>IF(COUNTIFS($B:$B,B19,$E:$E,"Occupied")=2,"Yes","No")</f>
        <v/>
      </c>
      <c r="G19" s="117">
        <f>DefaultRentPerBed</f>
        <v/>
      </c>
      <c r="H19" s="116">
        <f>IF(E19&lt;&gt;"Occupied",0,COUNTIFS($B:$B,B19,$E:$E,"Occupied"))</f>
        <v/>
      </c>
      <c r="I19" s="82">
        <f>IF(E19&lt;&gt;"Occupied",0,IF(H19=1,350,IF(H19=2,200,0)))</f>
        <v/>
      </c>
      <c r="J19" s="82">
        <f>IF(E19="Occupied",IFERROR(SUMIFS('Electricity Management'!$J:$J,'Electricity Management'!$A:$A,A19,'Electricity Management'!$C:$C,B19),0),0)</f>
        <v/>
      </c>
      <c r="K19" s="82">
        <f t="array" ref="K19:K19">IF(E19="Occupied",IFERROR(INDEX('Electricity Management'!$T:$T,MATCH(1,('Electricity Management'!$K:$K=A19)*('Electricity Management'!$L:$L=B19),0)),0),"")</f>
        <v/>
      </c>
      <c r="O19" s="117" t="n"/>
      <c r="P19" s="116" t="n"/>
      <c r="Q19" s="116" t="n"/>
      <c r="R19" s="116" t="n"/>
      <c r="S19" s="119" t="n"/>
      <c r="T19" s="120">
        <f>IF(F19="Yes",A19&amp;"-"&amp;B19,C19)</f>
        <v/>
      </c>
    </row>
    <row r="20" ht="14.25" customHeight="1" s="83">
      <c r="A20" s="116" t="inlineStr">
        <is>
          <t>Dorm 2</t>
        </is>
      </c>
      <c r="B20" s="116" t="inlineStr">
        <is>
          <t>Room 2-2</t>
        </is>
      </c>
      <c r="C20" s="116" t="inlineStr">
        <is>
          <t>Dorm2-R2B</t>
        </is>
      </c>
      <c r="D20" s="116" t="n"/>
      <c r="E20" s="116">
        <f>IF(D20&lt;&gt;"","Occupied","Vacant")</f>
        <v/>
      </c>
      <c r="F20" s="116">
        <f>IF(COUNTIFS($B:$B,B20,$E:$E,"Occupied")=2,"Yes","No")</f>
        <v/>
      </c>
      <c r="G20" s="117">
        <f>DefaultRentPerBed</f>
        <v/>
      </c>
      <c r="H20" s="116">
        <f>IF(E20&lt;&gt;"Occupied",0,COUNTIFS($B:$B,B20,$E:$E,"Occupied"))</f>
        <v/>
      </c>
      <c r="I20" s="82">
        <f>IF(E20&lt;&gt;"Occupied",0,IF(H20=1,350,IF(H20=2,200,0)))</f>
        <v/>
      </c>
      <c r="J20" s="82">
        <f>IF(E20="Occupied",IFERROR(SUMIFS('Electricity Management'!$J:$J,'Electricity Management'!$A:$A,A20,'Electricity Management'!$C:$C,B20),0),0)</f>
        <v/>
      </c>
      <c r="K20" s="82">
        <f t="array" ref="K20:K20">IF(E20="Occupied",IFERROR(INDEX('Electricity Management'!$T:$T,MATCH(1,('Electricity Management'!$K:$K=A20)*('Electricity Management'!$L:$L=B20),0)),0),"")</f>
        <v/>
      </c>
      <c r="O20" s="117" t="n"/>
      <c r="P20" s="116" t="n"/>
      <c r="Q20" s="116" t="n"/>
      <c r="R20" s="116" t="n"/>
      <c r="S20" s="119" t="n"/>
      <c r="T20" s="120">
        <f>IF(F20="Yes",A20&amp;"-"&amp;B20,C20)</f>
        <v/>
      </c>
    </row>
    <row r="21" ht="14.25" customHeight="1" s="83">
      <c r="A21" s="116" t="inlineStr">
        <is>
          <t>Dorm 2</t>
        </is>
      </c>
      <c r="B21" s="116" t="inlineStr">
        <is>
          <t>Room 2-3</t>
        </is>
      </c>
      <c r="C21" s="116" t="inlineStr">
        <is>
          <t>Dorm2-R3A</t>
        </is>
      </c>
      <c r="D21" s="116" t="n"/>
      <c r="E21" s="116">
        <f>IF(D21&lt;&gt;"","Occupied","Vacant")</f>
        <v/>
      </c>
      <c r="F21" s="116">
        <f>IF(COUNTIFS($B:$B,B21,$E:$E,"Occupied")=2,"Yes","No")</f>
        <v/>
      </c>
      <c r="G21" s="117">
        <f>DefaultRentPerBed</f>
        <v/>
      </c>
      <c r="H21" s="116">
        <f>IF(E21&lt;&gt;"Occupied",0,COUNTIFS($B:$B,B21,$E:$E,"Occupied"))</f>
        <v/>
      </c>
      <c r="I21" s="82">
        <f>IF(E21&lt;&gt;"Occupied",0,IF(H21=1,350,IF(H21=2,200,0)))</f>
        <v/>
      </c>
      <c r="J21" s="82">
        <f>IF(E21="Occupied",IFERROR(SUMIFS('Electricity Management'!$J:$J,'Electricity Management'!$A:$A,A21,'Electricity Management'!$C:$C,B21),0),0)</f>
        <v/>
      </c>
      <c r="K21" s="82">
        <f t="array" ref="K21:K21">IF(E21="Occupied",IFERROR(INDEX('Electricity Management'!$T:$T,MATCH(1,('Electricity Management'!$K:$K=A21)*('Electricity Management'!$L:$L=B21),0)),0),"")</f>
        <v/>
      </c>
      <c r="O21" s="117" t="n"/>
      <c r="P21" s="116" t="n"/>
      <c r="Q21" s="116" t="n"/>
      <c r="R21" s="116" t="n"/>
      <c r="S21" s="119" t="n"/>
      <c r="T21" s="120">
        <f>IF(F21="Yes",A21&amp;"-"&amp;B21,C21)</f>
        <v/>
      </c>
    </row>
    <row r="22" ht="14.25" customHeight="1" s="83">
      <c r="A22" s="116" t="inlineStr">
        <is>
          <t>Dorm 2</t>
        </is>
      </c>
      <c r="B22" s="116" t="inlineStr">
        <is>
          <t>Room 2-3</t>
        </is>
      </c>
      <c r="C22" s="116" t="inlineStr">
        <is>
          <t>Dorm2-R3B</t>
        </is>
      </c>
      <c r="D22" s="116" t="n"/>
      <c r="E22" s="116">
        <f>IF(D22&lt;&gt;"","Occupied","Vacant")</f>
        <v/>
      </c>
      <c r="F22" s="116">
        <f>IF(COUNTIFS($B:$B,B22,$E:$E,"Occupied")=2,"Yes","No")</f>
        <v/>
      </c>
      <c r="G22" s="117">
        <f>DefaultRentPerBed</f>
        <v/>
      </c>
      <c r="H22" s="116">
        <f>IF(E22&lt;&gt;"Occupied",0,COUNTIFS($B:$B,B22,$E:$E,"Occupied"))</f>
        <v/>
      </c>
      <c r="I22" s="82">
        <f>IF(E22&lt;&gt;"Occupied",0,IF(H22=1,350,IF(H22=2,200,0)))</f>
        <v/>
      </c>
      <c r="J22" s="82">
        <f>IF(E22="Occupied",IFERROR(SUMIFS('Electricity Management'!$J:$J,'Electricity Management'!$A:$A,A22,'Electricity Management'!$C:$C,B22),0),0)</f>
        <v/>
      </c>
      <c r="K22" s="82">
        <f t="array" ref="K22:K22">IF(E22="Occupied",IFERROR(INDEX('Electricity Management'!$T:$T,MATCH(1,('Electricity Management'!$K:$K=A22)*('Electricity Management'!$L:$L=B22),0)),0),"")</f>
        <v/>
      </c>
      <c r="O22" s="117" t="n"/>
      <c r="P22" s="116" t="n"/>
      <c r="Q22" s="116" t="n"/>
      <c r="R22" s="116" t="n"/>
      <c r="S22" s="119" t="n"/>
      <c r="T22" s="120">
        <f>IF(F22="Yes",A22&amp;"-"&amp;B22,C22)</f>
        <v/>
      </c>
    </row>
    <row r="23" ht="14.25" customHeight="1" s="83">
      <c r="A23" s="116" t="inlineStr">
        <is>
          <t>Dorm 2</t>
        </is>
      </c>
      <c r="B23" s="116" t="inlineStr">
        <is>
          <t>Room 2-4</t>
        </is>
      </c>
      <c r="C23" s="116" t="inlineStr">
        <is>
          <t>Dorm2-R4A</t>
        </is>
      </c>
      <c r="D23" s="116" t="n"/>
      <c r="E23" s="116">
        <f>IF(D23&lt;&gt;"","Occupied","Vacant")</f>
        <v/>
      </c>
      <c r="F23" s="116">
        <f>IF(COUNTIFS($B:$B,B23,$E:$E,"Occupied")=2,"Yes","No")</f>
        <v/>
      </c>
      <c r="G23" s="117">
        <f>DefaultRentPerBed</f>
        <v/>
      </c>
      <c r="H23" s="116">
        <f>IF(E23&lt;&gt;"Occupied",0,COUNTIFS($B:$B,B23,$E:$E,"Occupied"))</f>
        <v/>
      </c>
      <c r="I23" s="82">
        <f>IF(E23&lt;&gt;"Occupied",0,IF(H23=1,350,IF(H23=2,200,0)))</f>
        <v/>
      </c>
      <c r="J23" s="82">
        <f>IF(E23="Occupied",IFERROR(SUMIFS('Electricity Management'!$J:$J,'Electricity Management'!$A:$A,A23,'Electricity Management'!$C:$C,B23),0),0)</f>
        <v/>
      </c>
      <c r="K23" s="82">
        <f t="array" ref="K23:K23">IF(E23="Occupied",IFERROR(INDEX('Electricity Management'!$T:$T,MATCH(1,('Electricity Management'!$K:$K=A23)*('Electricity Management'!$L:$L=B23),0)),0),"")</f>
        <v/>
      </c>
      <c r="O23" s="117" t="n"/>
      <c r="P23" s="116" t="n"/>
      <c r="Q23" s="116" t="n"/>
      <c r="R23" s="116" t="n"/>
      <c r="S23" s="119" t="n"/>
      <c r="T23" s="120">
        <f>IF(F23="Yes",A23&amp;"-"&amp;B23,C23)</f>
        <v/>
      </c>
    </row>
    <row r="24" ht="14.25" customHeight="1" s="83">
      <c r="A24" s="116" t="inlineStr">
        <is>
          <t>Dorm 2</t>
        </is>
      </c>
      <c r="B24" s="116" t="inlineStr">
        <is>
          <t>Room 2-4</t>
        </is>
      </c>
      <c r="C24" s="116" t="inlineStr">
        <is>
          <t>Dorm2-R4B</t>
        </is>
      </c>
      <c r="D24" s="116" t="n"/>
      <c r="E24" s="116">
        <f>IF(D24&lt;&gt;"","Occupied","Vacant")</f>
        <v/>
      </c>
      <c r="F24" s="116">
        <f>IF(COUNTIFS($B:$B,B24,$E:$E,"Occupied")=2,"Yes","No")</f>
        <v/>
      </c>
      <c r="G24" s="117">
        <f>DefaultRentPerBed</f>
        <v/>
      </c>
      <c r="H24" s="116">
        <f>IF(E24&lt;&gt;"Occupied",0,COUNTIFS($B:$B,B24,$E:$E,"Occupied"))</f>
        <v/>
      </c>
      <c r="I24" s="82">
        <f>IF(E24&lt;&gt;"Occupied",0,IF(H24=1,350,IF(H24=2,200,0)))</f>
        <v/>
      </c>
      <c r="J24" s="82">
        <f>IF(E24="Occupied",IFERROR(SUMIFS('Electricity Management'!$J:$J,'Electricity Management'!$A:$A,A24,'Electricity Management'!$C:$C,B24),0),0)</f>
        <v/>
      </c>
      <c r="K24" s="82">
        <f t="array" ref="K24:K24">IF(E24="Occupied",IFERROR(INDEX('Electricity Management'!$T:$T,MATCH(1,('Electricity Management'!$K:$K=A24)*('Electricity Management'!$L:$L=B24),0)),0),"")</f>
        <v/>
      </c>
      <c r="O24" s="117" t="n"/>
      <c r="P24" s="116" t="n"/>
      <c r="Q24" s="116" t="n"/>
      <c r="R24" s="116" t="n"/>
      <c r="S24" s="119" t="n"/>
      <c r="T24" s="120">
        <f>IF(F24="Yes",A24&amp;"-"&amp;B24,C24)</f>
        <v/>
      </c>
    </row>
    <row r="25" ht="14.25" customHeight="1" s="83">
      <c r="A25" s="116" t="inlineStr">
        <is>
          <t>Dorm 2</t>
        </is>
      </c>
      <c r="B25" s="116" t="inlineStr">
        <is>
          <t>Room 2-5</t>
        </is>
      </c>
      <c r="C25" s="116" t="inlineStr">
        <is>
          <t>Dorm2-R5A</t>
        </is>
      </c>
      <c r="D25" s="116" t="n"/>
      <c r="E25" s="116">
        <f>IF(D25&lt;&gt;"","Occupied","Vacant")</f>
        <v/>
      </c>
      <c r="F25" s="116">
        <f>IF(COUNTIFS($B:$B,B25,$E:$E,"Occupied")=2,"Yes","No")</f>
        <v/>
      </c>
      <c r="G25" s="117">
        <f>DefaultRentPerBed</f>
        <v/>
      </c>
      <c r="H25" s="116">
        <f>IF(E25&lt;&gt;"Occupied",0,COUNTIFS($B:$B,B25,$E:$E,"Occupied"))</f>
        <v/>
      </c>
      <c r="I25" s="82">
        <f>IF(E25&lt;&gt;"Occupied",0,IF(H25=1,350,IF(H25=2,200,0)))</f>
        <v/>
      </c>
      <c r="J25" s="82">
        <f>IF(E25="Occupied",IFERROR(SUMIFS('Electricity Management'!$J:$J,'Electricity Management'!$A:$A,A25,'Electricity Management'!$C:$C,B25),0),0)</f>
        <v/>
      </c>
      <c r="K25" s="82">
        <f t="array" ref="K25:K25">IF(E25="Occupied",IFERROR(INDEX('Electricity Management'!$T:$T,MATCH(1,('Electricity Management'!$K:$K=A25)*('Electricity Management'!$L:$L=B25),0)),0),"")</f>
        <v/>
      </c>
      <c r="O25" s="117" t="n"/>
      <c r="P25" s="116" t="n"/>
      <c r="Q25" s="116" t="n"/>
      <c r="R25" s="116" t="n"/>
      <c r="S25" s="119" t="n"/>
      <c r="T25" s="120">
        <f>IF(F25="Yes",A25&amp;"-"&amp;B25,C25)</f>
        <v/>
      </c>
    </row>
    <row r="26" ht="14.25" customHeight="1" s="83">
      <c r="A26" s="116" t="inlineStr">
        <is>
          <t>Dorm 2</t>
        </is>
      </c>
      <c r="B26" s="116" t="inlineStr">
        <is>
          <t>Room 2-5</t>
        </is>
      </c>
      <c r="C26" s="116" t="inlineStr">
        <is>
          <t>Dorm2-R5B</t>
        </is>
      </c>
      <c r="D26" s="116" t="n"/>
      <c r="E26" s="116">
        <f>IF(D26&lt;&gt;"","Occupied","Vacant")</f>
        <v/>
      </c>
      <c r="F26" s="116">
        <f>IF(COUNTIFS($B:$B,B26,$E:$E,"Occupied")=2,"Yes","No")</f>
        <v/>
      </c>
      <c r="G26" s="117">
        <f>DefaultRentPerBed</f>
        <v/>
      </c>
      <c r="H26" s="116">
        <f>IF(E26&lt;&gt;"Occupied",0,COUNTIFS($B:$B,B26,$E:$E,"Occupied"))</f>
        <v/>
      </c>
      <c r="I26" s="82">
        <f>IF(E26&lt;&gt;"Occupied",0,IF(H26=1,350,IF(H26=2,200,0)))</f>
        <v/>
      </c>
      <c r="J26" s="82">
        <f>IF(E26="Occupied",IFERROR(SUMIFS('Electricity Management'!$J:$J,'Electricity Management'!$A:$A,A26,'Electricity Management'!$C:$C,B26),0),0)</f>
        <v/>
      </c>
      <c r="K26" s="82">
        <f t="array" ref="K26:K26">IF(E26="Occupied",IFERROR(INDEX('Electricity Management'!$T:$T,MATCH(1,('Electricity Management'!$K:$K=A26)*('Electricity Management'!$L:$L=B26),0)),0),"")</f>
        <v/>
      </c>
      <c r="O26" s="117" t="n"/>
      <c r="P26" s="116" t="n"/>
      <c r="Q26" s="116" t="n"/>
      <c r="R26" s="116" t="n"/>
      <c r="S26" s="119" t="n"/>
      <c r="T26" s="120">
        <f>IF(F26="Yes",A26&amp;"-"&amp;B26,C26)</f>
        <v/>
      </c>
    </row>
    <row r="27" ht="14.25" customHeight="1" s="83">
      <c r="A27" s="116" t="inlineStr">
        <is>
          <t>Dorm 2</t>
        </is>
      </c>
      <c r="B27" s="116" t="inlineStr">
        <is>
          <t>Room 2-6</t>
        </is>
      </c>
      <c r="C27" s="116" t="inlineStr">
        <is>
          <t>Dorm2-R6A</t>
        </is>
      </c>
      <c r="D27" s="116" t="n"/>
      <c r="E27" s="116">
        <f>IF(D27&lt;&gt;"","Occupied","Vacant")</f>
        <v/>
      </c>
      <c r="F27" s="116">
        <f>IF(COUNTIFS($B:$B,B27,$E:$E,"Occupied")=2,"Yes","No")</f>
        <v/>
      </c>
      <c r="G27" s="117">
        <f>DefaultRentPerBed</f>
        <v/>
      </c>
      <c r="H27" s="116">
        <f>IF(E27&lt;&gt;"Occupied",0,COUNTIFS($B:$B,B27,$E:$E,"Occupied"))</f>
        <v/>
      </c>
      <c r="I27" s="82">
        <f>IF(E27&lt;&gt;"Occupied",0,IF(H27=1,350,IF(H27=2,200,0)))</f>
        <v/>
      </c>
      <c r="J27" s="82">
        <f>IF(E27="Occupied",IFERROR(SUMIFS('Electricity Management'!$J:$J,'Electricity Management'!$A:$A,A27,'Electricity Management'!$C:$C,B27),0),0)</f>
        <v/>
      </c>
      <c r="K27" s="82">
        <f t="array" ref="K27:K27">IF(E27="Occupied",IFERROR(INDEX('Electricity Management'!$T:$T,MATCH(1,('Electricity Management'!$K:$K=A27)*('Electricity Management'!$L:$L=B27),0)),0),"")</f>
        <v/>
      </c>
      <c r="O27" s="117" t="n"/>
      <c r="P27" s="116" t="n"/>
      <c r="Q27" s="116" t="n"/>
      <c r="R27" s="116" t="n"/>
      <c r="S27" s="119" t="n"/>
      <c r="T27" s="120">
        <f>IF(F27="Yes",A27&amp;"-"&amp;B27,C27)</f>
        <v/>
      </c>
    </row>
    <row r="28" ht="14.25" customHeight="1" s="83">
      <c r="A28" s="116" t="inlineStr">
        <is>
          <t>Dorm 2</t>
        </is>
      </c>
      <c r="B28" s="116" t="inlineStr">
        <is>
          <t>Room 2-6</t>
        </is>
      </c>
      <c r="C28" s="116" t="inlineStr">
        <is>
          <t>Dorm2-R6B</t>
        </is>
      </c>
      <c r="D28" s="116" t="n"/>
      <c r="E28" s="116">
        <f>IF(D28&lt;&gt;"","Occupied","Vacant")</f>
        <v/>
      </c>
      <c r="F28" s="116">
        <f>IF(COUNTIFS($B:$B,B28,$E:$E,"Occupied")=2,"Yes","No")</f>
        <v/>
      </c>
      <c r="G28" s="117">
        <f>DefaultRentPerBed</f>
        <v/>
      </c>
      <c r="H28" s="116">
        <f>IF(E28&lt;&gt;"Occupied",0,COUNTIFS($B:$B,B28,$E:$E,"Occupied"))</f>
        <v/>
      </c>
      <c r="I28" s="82">
        <f>IF(E28&lt;&gt;"Occupied",0,IF(H28=1,350,IF(H28=2,200,0)))</f>
        <v/>
      </c>
      <c r="J28" s="82">
        <f>IF(E28="Occupied",IFERROR(SUMIFS('Electricity Management'!$J:$J,'Electricity Management'!$A:$A,A28,'Electricity Management'!$C:$C,B28),0),0)</f>
        <v/>
      </c>
      <c r="K28" s="82">
        <f t="array" ref="K28:K28">IF(E28="Occupied",IFERROR(INDEX('Electricity Management'!$T:$T,MATCH(1,('Electricity Management'!$K:$K=A28)*('Electricity Management'!$L:$L=B28),0)),0),"")</f>
        <v/>
      </c>
      <c r="O28" s="117" t="n"/>
      <c r="P28" s="116" t="n"/>
      <c r="Q28" s="116" t="n"/>
      <c r="R28" s="116" t="n"/>
      <c r="S28" s="119" t="n"/>
      <c r="T28" s="120">
        <f>IF(F28="Yes",A28&amp;"-"&amp;B28,C28)</f>
        <v/>
      </c>
    </row>
    <row r="29" ht="14.25" customHeight="1" s="83">
      <c r="A29" s="116" t="inlineStr">
        <is>
          <t>Dorm 3</t>
        </is>
      </c>
      <c r="B29" s="116" t="inlineStr">
        <is>
          <t>Room 3-1</t>
        </is>
      </c>
      <c r="C29" s="116" t="inlineStr">
        <is>
          <t>Dorm3-R1A</t>
        </is>
      </c>
      <c r="D29" s="116" t="n"/>
      <c r="E29" s="116">
        <f>IF(D29&lt;&gt;"","Occupied","Vacant")</f>
        <v/>
      </c>
      <c r="F29" s="116">
        <f>IF(COUNTIFS($B:$B,B29,$E:$E,"Occupied")=2,"Yes","No")</f>
        <v/>
      </c>
      <c r="G29" s="117">
        <f>DefaultRentPerBed</f>
        <v/>
      </c>
      <c r="H29" s="116">
        <f>IF(E29&lt;&gt;"Occupied",0,COUNTIFS($B:$B,B29,$E:$E,"Occupied"))</f>
        <v/>
      </c>
      <c r="I29" s="82">
        <f>IF(E29&lt;&gt;"Occupied",0,IF(H29=1,350,IF(H29=2,200,0)))</f>
        <v/>
      </c>
      <c r="J29" s="82">
        <f>IF(E29="Occupied",IFERROR(SUMIFS('Electricity Management'!$J:$J,'Electricity Management'!$A:$A,A29,'Electricity Management'!$C:$C,B29),0),0)</f>
        <v/>
      </c>
      <c r="K29" s="82">
        <f t="array" ref="K29:K29">IF(E29="Occupied",IFERROR(INDEX('Electricity Management'!$T:$T,MATCH(1,('Electricity Management'!$K:$K=A29)*('Electricity Management'!$L:$L=B29),0)),0),"")</f>
        <v/>
      </c>
      <c r="O29" s="117" t="n"/>
      <c r="P29" s="116" t="n"/>
      <c r="Q29" s="116" t="n"/>
      <c r="R29" s="116" t="n"/>
      <c r="S29" s="119" t="n"/>
      <c r="T29" s="120">
        <f>IF(F29="Yes",A29&amp;"-"&amp;B29,C29)</f>
        <v/>
      </c>
    </row>
    <row r="30" ht="14.25" customHeight="1" s="83">
      <c r="A30" s="116" t="inlineStr">
        <is>
          <t>Dorm 3</t>
        </is>
      </c>
      <c r="B30" s="116" t="inlineStr">
        <is>
          <t>Room 3-1</t>
        </is>
      </c>
      <c r="C30" s="116" t="inlineStr">
        <is>
          <t>Dorm3-R1B</t>
        </is>
      </c>
      <c r="D30" s="116" t="n"/>
      <c r="E30" s="116">
        <f>IF(D30&lt;&gt;"","Occupied","Vacant")</f>
        <v/>
      </c>
      <c r="F30" s="116">
        <f>IF(COUNTIFS($B:$B,B30,$E:$E,"Occupied")=2,"Yes","No")</f>
        <v/>
      </c>
      <c r="G30" s="117">
        <f>DefaultRentPerBed</f>
        <v/>
      </c>
      <c r="H30" s="116">
        <f>IF(E30&lt;&gt;"Occupied",0,COUNTIFS($B:$B,B30,$E:$E,"Occupied"))</f>
        <v/>
      </c>
      <c r="I30" s="82">
        <f>IF(E30&lt;&gt;"Occupied",0,IF(H30=1,350,IF(H30=2,200,0)))</f>
        <v/>
      </c>
      <c r="J30" s="82">
        <f>IF(E30="Occupied",IFERROR(SUMIFS('Electricity Management'!$J:$J,'Electricity Management'!$A:$A,A30,'Electricity Management'!$C:$C,B30),0),0)</f>
        <v/>
      </c>
      <c r="K30" s="82">
        <f t="array" ref="K30:K30">IF(E30="Occupied",IFERROR(INDEX('Electricity Management'!$T:$T,MATCH(1,('Electricity Management'!$K:$K=A30)*('Electricity Management'!$L:$L=B30),0)),0),"")</f>
        <v/>
      </c>
      <c r="O30" s="117" t="n"/>
      <c r="P30" s="116" t="n"/>
      <c r="Q30" s="116" t="n"/>
      <c r="R30" s="116" t="n"/>
      <c r="S30" s="119" t="n"/>
      <c r="T30" s="120">
        <f>IF(F30="Yes",A30&amp;"-"&amp;B30,C30)</f>
        <v/>
      </c>
    </row>
    <row r="31" ht="14.25" customHeight="1" s="83">
      <c r="A31" s="116" t="inlineStr">
        <is>
          <t>Dorm 3</t>
        </is>
      </c>
      <c r="B31" s="116" t="inlineStr">
        <is>
          <t>Room 3-2</t>
        </is>
      </c>
      <c r="C31" s="116" t="inlineStr">
        <is>
          <t>Dorm3-R2A</t>
        </is>
      </c>
      <c r="D31" s="116" t="n"/>
      <c r="E31" s="116">
        <f>IF(D31&lt;&gt;"","Occupied","Vacant")</f>
        <v/>
      </c>
      <c r="F31" s="116">
        <f>IF(COUNTIFS($B:$B,B31,$E:$E,"Occupied")=2,"Yes","No")</f>
        <v/>
      </c>
      <c r="G31" s="117">
        <f>DefaultRentPerBed</f>
        <v/>
      </c>
      <c r="H31" s="116">
        <f>IF(E31&lt;&gt;"Occupied",0,COUNTIFS($B:$B,B31,$E:$E,"Occupied"))</f>
        <v/>
      </c>
      <c r="I31" s="82">
        <f>IF(E31&lt;&gt;"Occupied",0,IF(H31=1,350,IF(H31=2,200,0)))</f>
        <v/>
      </c>
      <c r="J31" s="82">
        <f>IF(E31="Occupied",IFERROR(SUMIFS('Electricity Management'!$J:$J,'Electricity Management'!$A:$A,A31,'Electricity Management'!$C:$C,B31),0),0)</f>
        <v/>
      </c>
      <c r="K31" s="82">
        <f t="array" ref="K31:K31">IF(E31="Occupied",IFERROR(INDEX('Electricity Management'!$T:$T,MATCH(1,('Electricity Management'!$K:$K=A31)*('Electricity Management'!$L:$L=B31),0)),0),"")</f>
        <v/>
      </c>
      <c r="O31" s="117" t="n"/>
      <c r="P31" s="116" t="n"/>
      <c r="Q31" s="116" t="n"/>
      <c r="R31" s="116" t="n"/>
      <c r="S31" s="119" t="n"/>
      <c r="T31" s="120">
        <f>IF(F31="Yes",A31&amp;"-"&amp;B31,C31)</f>
        <v/>
      </c>
    </row>
    <row r="32" ht="14.25" customHeight="1" s="83">
      <c r="A32" s="116" t="inlineStr">
        <is>
          <t>Dorm 3</t>
        </is>
      </c>
      <c r="B32" s="116" t="inlineStr">
        <is>
          <t>Room 3-2</t>
        </is>
      </c>
      <c r="C32" s="116" t="inlineStr">
        <is>
          <t>Dorm3-R2B</t>
        </is>
      </c>
      <c r="D32" s="116" t="n"/>
      <c r="E32" s="116">
        <f>IF(D32&lt;&gt;"","Occupied","Vacant")</f>
        <v/>
      </c>
      <c r="F32" s="116">
        <f>IF(COUNTIFS($B:$B,B32,$E:$E,"Occupied")=2,"Yes","No")</f>
        <v/>
      </c>
      <c r="G32" s="117">
        <f>DefaultRentPerBed</f>
        <v/>
      </c>
      <c r="H32" s="116">
        <f>IF(E32&lt;&gt;"Occupied",0,COUNTIFS($B:$B,B32,$E:$E,"Occupied"))</f>
        <v/>
      </c>
      <c r="I32" s="82">
        <f>IF(E32&lt;&gt;"Occupied",0,IF(H32=1,350,IF(H32=2,200,0)))</f>
        <v/>
      </c>
      <c r="J32" s="82">
        <f>IF(E32="Occupied",IFERROR(SUMIFS('Electricity Management'!$J:$J,'Electricity Management'!$A:$A,A32,'Electricity Management'!$C:$C,B32),0),0)</f>
        <v/>
      </c>
      <c r="K32" s="82">
        <f t="array" ref="K32:K32">IF(E32="Occupied",IFERROR(INDEX('Electricity Management'!$T:$T,MATCH(1,('Electricity Management'!$K:$K=A32)*('Electricity Management'!$L:$L=B32),0)),0),"")</f>
        <v/>
      </c>
      <c r="O32" s="117" t="n"/>
      <c r="P32" s="116" t="n"/>
      <c r="Q32" s="116" t="n"/>
      <c r="R32" s="116" t="n"/>
      <c r="S32" s="119" t="n"/>
      <c r="T32" s="120">
        <f>IF(F32="Yes",A32&amp;"-"&amp;B32,C32)</f>
        <v/>
      </c>
    </row>
    <row r="33" ht="14.25" customHeight="1" s="83">
      <c r="A33" s="116" t="inlineStr">
        <is>
          <t>Dorm 3</t>
        </is>
      </c>
      <c r="B33" s="116" t="inlineStr">
        <is>
          <t>Room 3-3</t>
        </is>
      </c>
      <c r="C33" s="116" t="inlineStr">
        <is>
          <t>Dorm3-R3A</t>
        </is>
      </c>
      <c r="D33" s="116" t="n"/>
      <c r="E33" s="116">
        <f>IF(D33&lt;&gt;"","Occupied","Vacant")</f>
        <v/>
      </c>
      <c r="F33" s="116">
        <f>IF(COUNTIFS($B:$B,B33,$E:$E,"Occupied")=2,"Yes","No")</f>
        <v/>
      </c>
      <c r="G33" s="117">
        <f>DefaultRentPerBed</f>
        <v/>
      </c>
      <c r="H33" s="116">
        <f>IF(E33&lt;&gt;"Occupied",0,COUNTIFS($B:$B,B33,$E:$E,"Occupied"))</f>
        <v/>
      </c>
      <c r="I33" s="82">
        <f>IF(E33&lt;&gt;"Occupied",0,IF(H33=1,350,IF(H33=2,200,0)))</f>
        <v/>
      </c>
      <c r="J33" s="82">
        <f>IF(E33="Occupied",IFERROR(SUMIFS('Electricity Management'!$J:$J,'Electricity Management'!$A:$A,A33,'Electricity Management'!$C:$C,B33),0),0)</f>
        <v/>
      </c>
      <c r="K33" s="82">
        <f t="array" ref="K33:K33">IF(E33="Occupied",IFERROR(INDEX('Electricity Management'!$T:$T,MATCH(1,('Electricity Management'!$K:$K=A33)*('Electricity Management'!$L:$L=B33),0)),0),"")</f>
        <v/>
      </c>
      <c r="O33" s="117" t="n"/>
      <c r="P33" s="116" t="n"/>
      <c r="Q33" s="116" t="n"/>
      <c r="R33" s="116" t="n"/>
      <c r="S33" s="119" t="n"/>
      <c r="T33" s="120">
        <f>IF(F33="Yes",A33&amp;"-"&amp;B33,C33)</f>
        <v/>
      </c>
    </row>
    <row r="34" ht="14.25" customHeight="1" s="83">
      <c r="A34" s="116" t="inlineStr">
        <is>
          <t>Dorm 3</t>
        </is>
      </c>
      <c r="B34" s="116" t="inlineStr">
        <is>
          <t>Room 3-3</t>
        </is>
      </c>
      <c r="C34" s="116" t="inlineStr">
        <is>
          <t>Dorm3-R3B</t>
        </is>
      </c>
      <c r="D34" s="116" t="n"/>
      <c r="E34" s="116">
        <f>IF(D34&lt;&gt;"","Occupied","Vacant")</f>
        <v/>
      </c>
      <c r="F34" s="116">
        <f>IF(COUNTIFS($B:$B,B34,$E:$E,"Occupied")=2,"Yes","No")</f>
        <v/>
      </c>
      <c r="G34" s="117">
        <f>DefaultRentPerBed</f>
        <v/>
      </c>
      <c r="H34" s="116">
        <f>IF(E34&lt;&gt;"Occupied",0,COUNTIFS($B:$B,B34,$E:$E,"Occupied"))</f>
        <v/>
      </c>
      <c r="I34" s="82">
        <f>IF(E34&lt;&gt;"Occupied",0,IF(H34=1,350,IF(H34=2,200,0)))</f>
        <v/>
      </c>
      <c r="J34" s="82">
        <f>IF(E34="Occupied",IFERROR(SUMIFS('Electricity Management'!$J:$J,'Electricity Management'!$A:$A,A34,'Electricity Management'!$C:$C,B34),0),0)</f>
        <v/>
      </c>
      <c r="K34" s="82">
        <f t="array" ref="K34:K34">IF(E34="Occupied",IFERROR(INDEX('Electricity Management'!$T:$T,MATCH(1,('Electricity Management'!$K:$K=A34)*('Electricity Management'!$L:$L=B34),0)),0),"")</f>
        <v/>
      </c>
      <c r="O34" s="117" t="n"/>
      <c r="P34" s="116" t="n"/>
      <c r="Q34" s="116" t="n"/>
      <c r="R34" s="116" t="n"/>
      <c r="S34" s="119" t="n"/>
      <c r="T34" s="120">
        <f>IF(F34="Yes",A34&amp;"-"&amp;B34,C34)</f>
        <v/>
      </c>
    </row>
    <row r="35" ht="14.25" customHeight="1" s="83">
      <c r="A35" s="116" t="inlineStr">
        <is>
          <t>Dorm 3</t>
        </is>
      </c>
      <c r="B35" s="116" t="inlineStr">
        <is>
          <t>Room 3-4</t>
        </is>
      </c>
      <c r="C35" s="116" t="inlineStr">
        <is>
          <t>Dorm3-R4A</t>
        </is>
      </c>
      <c r="D35" s="116" t="n"/>
      <c r="E35" s="116">
        <f>IF(D35&lt;&gt;"","Occupied","Vacant")</f>
        <v/>
      </c>
      <c r="F35" s="116">
        <f>IF(COUNTIFS($B:$B,B35,$E:$E,"Occupied")=2,"Yes","No")</f>
        <v/>
      </c>
      <c r="G35" s="117">
        <f>DefaultRentPerBed</f>
        <v/>
      </c>
      <c r="H35" s="116">
        <f>IF(E35&lt;&gt;"Occupied",0,COUNTIFS($B:$B,B35,$E:$E,"Occupied"))</f>
        <v/>
      </c>
      <c r="I35" s="82">
        <f>IF(E35&lt;&gt;"Occupied",0,IF(H35=1,350,IF(H35=2,200,0)))</f>
        <v/>
      </c>
      <c r="J35" s="82">
        <f>IF(E35="Occupied",IFERROR(SUMIFS('Electricity Management'!$J:$J,'Electricity Management'!$A:$A,A35,'Electricity Management'!$C:$C,B35),0),0)</f>
        <v/>
      </c>
      <c r="K35" s="82">
        <f t="array" ref="K35:K35">IF(E35="Occupied",IFERROR(INDEX('Electricity Management'!$T:$T,MATCH(1,('Electricity Management'!$K:$K=A35)*('Electricity Management'!$L:$L=B35),0)),0),"")</f>
        <v/>
      </c>
      <c r="O35" s="117" t="n"/>
      <c r="P35" s="116" t="n"/>
      <c r="Q35" s="116" t="n"/>
      <c r="R35" s="116" t="n"/>
      <c r="S35" s="119" t="n"/>
      <c r="T35" s="120">
        <f>IF(F35="Yes",A35&amp;"-"&amp;B35,C35)</f>
        <v/>
      </c>
    </row>
    <row r="36" ht="14.25" customHeight="1" s="83">
      <c r="A36" s="116" t="inlineStr">
        <is>
          <t>Dorm 3</t>
        </is>
      </c>
      <c r="B36" s="116" t="inlineStr">
        <is>
          <t>Room 3-4</t>
        </is>
      </c>
      <c r="C36" s="116" t="inlineStr">
        <is>
          <t>Dorm3-R4B</t>
        </is>
      </c>
      <c r="D36" s="116" t="n"/>
      <c r="E36" s="116">
        <f>IF(D36&lt;&gt;"","Occupied","Vacant")</f>
        <v/>
      </c>
      <c r="F36" s="116">
        <f>IF(COUNTIFS($B:$B,B36,$E:$E,"Occupied")=2,"Yes","No")</f>
        <v/>
      </c>
      <c r="G36" s="117">
        <f>DefaultRentPerBed</f>
        <v/>
      </c>
      <c r="H36" s="116">
        <f>COUNTIFS($B:$B,B36,$E:$E,"Occupied")</f>
        <v/>
      </c>
      <c r="I36" s="82">
        <f>IF(E36&lt;&gt;"Occupied",0,IF(H36=1,350,IF(H36=2,200,0)))</f>
        <v/>
      </c>
      <c r="J36" s="82">
        <f>IF(E36="Occupied",IFERROR(SUMIFS('Electricity Management'!$J:$J,'Electricity Management'!$A:$A,A36,'Electricity Management'!$C:$C,B36),0),0)</f>
        <v/>
      </c>
      <c r="K36" s="82">
        <f t="array" ref="K36:K36">IF(E36="Occupied",IFERROR(INDEX('Electricity Management'!$T:$T,MATCH(1,('Electricity Management'!$K:$K=A36)*('Electricity Management'!$L:$L=B36),0)),0),"")</f>
        <v/>
      </c>
      <c r="O36" s="117" t="n"/>
      <c r="P36" s="116" t="n"/>
      <c r="Q36" s="116" t="n"/>
      <c r="R36" s="116" t="n"/>
      <c r="S36" s="119" t="n"/>
      <c r="T36" s="120">
        <f>IF(F36="Yes",A36&amp;"-"&amp;B36,C36)</f>
        <v/>
      </c>
    </row>
    <row r="37" ht="14.25" customHeight="1" s="83">
      <c r="A37" s="116" t="inlineStr">
        <is>
          <t>Dorm 3</t>
        </is>
      </c>
      <c r="B37" s="116" t="inlineStr">
        <is>
          <t>Room 3-5</t>
        </is>
      </c>
      <c r="C37" s="116" t="inlineStr">
        <is>
          <t>Dorm3-R5A</t>
        </is>
      </c>
      <c r="D37" s="116" t="n"/>
      <c r="E37" s="116">
        <f>IF(D37&lt;&gt;"","Occupied","Vacant")</f>
        <v/>
      </c>
      <c r="F37" s="116">
        <f>IF(COUNTIFS($B:$B,B37,$E:$E,"Occupied")=2,"Yes","No")</f>
        <v/>
      </c>
      <c r="G37" s="117">
        <f>DefaultRentPerBed</f>
        <v/>
      </c>
      <c r="H37" s="116">
        <f>COUNTIFS($B:$B,B37,$E:$E,"Occupied")</f>
        <v/>
      </c>
      <c r="I37" s="82">
        <f>IF(E37&lt;&gt;"Occupied",0,IF(H37=1,350,IF(H37=2,200,0)))</f>
        <v/>
      </c>
      <c r="J37" s="82">
        <f>IF(E37="Occupied",IFERROR(SUMIFS('Electricity Management'!$J:$J,'Electricity Management'!$A:$A,A37,'Electricity Management'!$C:$C,B37),0),0)</f>
        <v/>
      </c>
      <c r="K37" s="82">
        <f t="array" ref="K37:K37">IF(E37="Occupied",IFERROR(INDEX('Electricity Management'!$T:$T,MATCH(1,('Electricity Management'!$K:$K=A37)*('Electricity Management'!$L:$L=B37),0)),0),"")</f>
        <v/>
      </c>
      <c r="O37" s="117" t="n"/>
      <c r="P37" s="116" t="n"/>
      <c r="Q37" s="116" t="n"/>
      <c r="R37" s="116" t="n"/>
      <c r="S37" s="119" t="n"/>
      <c r="T37" s="120">
        <f>IF(F37="Yes",A37&amp;"-"&amp;B37,C37)</f>
        <v/>
      </c>
    </row>
    <row r="38" ht="14.25" customHeight="1" s="83">
      <c r="A38" s="116" t="inlineStr">
        <is>
          <t>Dorm 3</t>
        </is>
      </c>
      <c r="B38" s="116" t="inlineStr">
        <is>
          <t>Room 3-5</t>
        </is>
      </c>
      <c r="C38" s="116" t="inlineStr">
        <is>
          <t>Dorm3-R5B</t>
        </is>
      </c>
      <c r="D38" s="116" t="n"/>
      <c r="E38" s="116">
        <f>IF(D38&lt;&gt;"","Occupied","Vacant")</f>
        <v/>
      </c>
      <c r="F38" s="116">
        <f>IF(COUNTIFS($B:$B,B38,$E:$E,"Occupied")=2,"Yes","No")</f>
        <v/>
      </c>
      <c r="G38" s="117">
        <f>DefaultRentPerBed</f>
        <v/>
      </c>
      <c r="H38" s="116">
        <f>COUNTIFS($B:$B,B38,$E:$E,"Occupied")</f>
        <v/>
      </c>
      <c r="I38" s="82">
        <f>IF(E38&lt;&gt;"Occupied",0,IF(H38=1,350,IF(H38=2,200,0)))</f>
        <v/>
      </c>
      <c r="J38" s="82">
        <f>IF(E38="Occupied",IFERROR(SUMIFS('Electricity Management'!$J:$J,'Electricity Management'!$A:$A,A38,'Electricity Management'!$C:$C,B38),0),0)</f>
        <v/>
      </c>
      <c r="K38" s="82">
        <f t="array" ref="K38:K38">IF(E38="Occupied",IFERROR(INDEX('Electricity Management'!$T:$T,MATCH(1,('Electricity Management'!$K:$K=A38)*('Electricity Management'!$L:$L=B38),0)),0),"")</f>
        <v/>
      </c>
      <c r="O38" s="117" t="n"/>
      <c r="P38" s="116" t="n"/>
      <c r="Q38" s="116" t="n"/>
      <c r="R38" s="116" t="n"/>
      <c r="S38" s="119" t="n"/>
      <c r="T38" s="120">
        <f>IF(F38="Yes",A38&amp;"-"&amp;B38,C38)</f>
        <v/>
      </c>
    </row>
    <row r="39" ht="14.25" customHeight="1" s="83">
      <c r="A39" s="116" t="inlineStr">
        <is>
          <t>Dorm 3</t>
        </is>
      </c>
      <c r="B39" s="116" t="inlineStr">
        <is>
          <t>Room 3-6</t>
        </is>
      </c>
      <c r="C39" s="116" t="inlineStr">
        <is>
          <t>Dorm3-R6A</t>
        </is>
      </c>
      <c r="D39" s="116" t="n"/>
      <c r="E39" s="116">
        <f>IF(D39&lt;&gt;"","Occupied","Vacant")</f>
        <v/>
      </c>
      <c r="F39" s="116">
        <f>IF(COUNTIFS($B:$B,B39,$E:$E,"Occupied")=2,"Yes","No")</f>
        <v/>
      </c>
      <c r="G39" s="117">
        <f>DefaultRentPerBed</f>
        <v/>
      </c>
      <c r="H39" s="116">
        <f>COUNTIFS($B:$B,B39,$E:$E,"Occupied")</f>
        <v/>
      </c>
      <c r="I39" s="82">
        <f>IF(E39&lt;&gt;"Occupied",0,IF(H39=1,350,IF(H39=2,200,0)))</f>
        <v/>
      </c>
      <c r="J39" s="82">
        <f>IF(E39="Occupied",IFERROR(SUMIFS('Electricity Management'!$J:$J,'Electricity Management'!$A:$A,A39,'Electricity Management'!$C:$C,B39),0),0)</f>
        <v/>
      </c>
      <c r="K39" s="82">
        <f t="array" ref="K39:K39">IF(E39="Occupied",IFERROR(INDEX('Electricity Management'!$T:$T,MATCH(1,('Electricity Management'!$K:$K=A39)*('Electricity Management'!$L:$L=B39),0)),0),"")</f>
        <v/>
      </c>
      <c r="O39" s="117" t="n"/>
      <c r="P39" s="116" t="n"/>
      <c r="Q39" s="116" t="n"/>
      <c r="R39" s="116" t="n"/>
      <c r="S39" s="119" t="n"/>
      <c r="T39" s="120">
        <f>IF(F39="Yes",A39&amp;"-"&amp;B39,C39)</f>
        <v/>
      </c>
    </row>
    <row r="40" ht="14.25" customHeight="1" s="83">
      <c r="A40" s="116" t="inlineStr">
        <is>
          <t>Dorm 3</t>
        </is>
      </c>
      <c r="B40" s="116" t="inlineStr">
        <is>
          <t>Room 3-6</t>
        </is>
      </c>
      <c r="C40" s="116" t="inlineStr">
        <is>
          <t>Dorm3-R6B</t>
        </is>
      </c>
      <c r="D40" s="116" t="n"/>
      <c r="E40" s="116">
        <f>IF(D40&lt;&gt;"","Occupied","Vacant")</f>
        <v/>
      </c>
      <c r="F40" s="116">
        <f>IF(COUNTIFS($B:$B,B40,$E:$E,"Occupied")=2,"Yes","No")</f>
        <v/>
      </c>
      <c r="G40" s="117">
        <f>DefaultRentPerBed</f>
        <v/>
      </c>
      <c r="H40" s="116">
        <f>COUNTIFS($B:$B,B40,$E:$E,"Occupied")</f>
        <v/>
      </c>
      <c r="I40" s="82">
        <f>IF(E40&lt;&gt;"Occupied",0,IF(H40=1,350,IF(H40=2,200,0)))</f>
        <v/>
      </c>
      <c r="J40" s="82">
        <f>IF(E40="Occupied",IFERROR(SUMIFS('Electricity Management'!$J:$J,'Electricity Management'!$A:$A,A40,'Electricity Management'!$C:$C,B40),0),0)</f>
        <v/>
      </c>
      <c r="K40" s="82">
        <f t="array" ref="K40:K40">IF(E40="Occupied",IFERROR(INDEX('Electricity Management'!$T:$T,MATCH(1,('Electricity Management'!$K:$K=A40)*('Electricity Management'!$L:$L=B40),0)),0),"")</f>
        <v/>
      </c>
      <c r="O40" s="117" t="n"/>
      <c r="P40" s="116" t="n"/>
      <c r="Q40" s="116" t="n"/>
      <c r="R40" s="116" t="n"/>
      <c r="S40" s="119" t="n"/>
      <c r="T40" s="120">
        <f>IF(F40="Yes",A40&amp;"-"&amp;B40,C40)</f>
        <v/>
      </c>
    </row>
    <row r="41" ht="14.25" customHeight="1" s="83">
      <c r="A41" s="116" t="n"/>
      <c r="B41" s="116" t="n"/>
      <c r="C41" s="116" t="n"/>
      <c r="D41" s="116" t="n"/>
      <c r="E41" s="116">
        <f>IF(D41&lt;&gt;"","Occupied","Vacant")</f>
        <v/>
      </c>
      <c r="F41" s="116" t="n"/>
      <c r="G41" s="117" t="n"/>
      <c r="H41" s="116">
        <f>COUNTIFS($B:$B,B41,$E:$E,"Occupied")</f>
        <v/>
      </c>
      <c r="I41" s="82">
        <f>IF(E41&lt;&gt;"Occupied",0,IF(H41=1,350,IF(H41=2,200,0)))</f>
        <v/>
      </c>
      <c r="J41" s="82">
        <f>IF(E41="Occupied",IFERROR(SUMIFS('Electricity Management'!$J:$J,'Electricity Management'!$A:$A,A41,'Electricity Management'!$C:$C,B41),0),0)</f>
        <v/>
      </c>
      <c r="K41" s="82">
        <f t="array" ref="K41:K41">IF(E41="Occupied",IFERROR(INDEX('Electricity Management'!$T:$T,MATCH(1,('Electricity Management'!$K:$K=A41)*('Electricity Management'!$L:$L=B41),0)),0),"")</f>
        <v/>
      </c>
      <c r="O41" s="117" t="n"/>
      <c r="P41" s="116" t="n"/>
      <c r="Q41" s="116" t="n"/>
      <c r="R41" s="116" t="n"/>
      <c r="S41" s="119" t="n"/>
      <c r="T41" s="120">
        <f>IF(F41="Yes",A41&amp;"-"&amp;B41,C41)</f>
        <v/>
      </c>
    </row>
    <row r="42" ht="14.25" customHeight="1" s="83">
      <c r="A42" s="116" t="n"/>
      <c r="B42" s="116" t="n"/>
      <c r="C42" s="116" t="n"/>
      <c r="D42" s="116" t="n"/>
      <c r="E42" s="116">
        <f>IF(D42&lt;&gt;"","Occupied","Vacant")</f>
        <v/>
      </c>
      <c r="F42" s="116" t="n"/>
      <c r="G42" s="117" t="n"/>
      <c r="H42" s="116">
        <f>COUNTIFS($B:$B,B42,$E:$E,"Occupied")</f>
        <v/>
      </c>
      <c r="I42" s="82">
        <f>IF(E42&lt;&gt;"Occupied",0,IF(H42=1,350,IF(H42=2,200,0)))</f>
        <v/>
      </c>
      <c r="J42" s="82">
        <f>IF(E42="Occupied",IFERROR(SUMIFS('Electricity Management'!$J:$J,'Electricity Management'!$A:$A,A42,'Electricity Management'!$C:$C,B42),0),0)</f>
        <v/>
      </c>
      <c r="K42" s="82">
        <f t="array" ref="K42:K42">IF(E42="Occupied",IFERROR(INDEX('Electricity Management'!$T:$T,MATCH(1,('Electricity Management'!$K:$K=A42)*('Electricity Management'!$L:$L=B42),0)),0),"")</f>
        <v/>
      </c>
      <c r="O42" s="117" t="n"/>
      <c r="P42" s="116" t="n"/>
      <c r="Q42" s="116" t="n"/>
      <c r="R42" s="116" t="n"/>
      <c r="S42" s="119" t="n"/>
      <c r="T42" s="120">
        <f>IF(F42="Yes",A42&amp;"-"&amp;B42,C42)</f>
        <v/>
      </c>
    </row>
    <row r="43" ht="14.25" customHeight="1" s="83">
      <c r="A43" s="116" t="n"/>
      <c r="B43" s="116" t="n"/>
      <c r="C43" s="116" t="n"/>
      <c r="D43" s="116" t="n"/>
      <c r="E43" s="116">
        <f>IF(D43&lt;&gt;"","Occupied","Vacant")</f>
        <v/>
      </c>
      <c r="F43" s="116" t="n"/>
      <c r="G43" s="117" t="n"/>
      <c r="H43" s="116">
        <f>COUNTIFS($B:$B,B43,$E:$E,"Occupied")</f>
        <v/>
      </c>
      <c r="I43" s="82">
        <f>IF(E43&lt;&gt;"Occupied",0,IF(H43=1,350,IF(H43=2,200,0)))</f>
        <v/>
      </c>
      <c r="J43" s="82">
        <f>IF(E43="Occupied",IFERROR(SUMIFS('Electricity Management'!$J:$J,'Electricity Management'!$A:$A,A43,'Electricity Management'!$C:$C,B43),0),0)</f>
        <v/>
      </c>
      <c r="K43" s="82">
        <f t="array" ref="K43:K43">IF(E43="Occupied",IFERROR(INDEX('Electricity Management'!$T:$T,MATCH(1,('Electricity Management'!$K:$K=A43)*('Electricity Management'!$L:$L=B43),0)),0),"")</f>
        <v/>
      </c>
      <c r="O43" s="117" t="n"/>
      <c r="P43" s="116" t="n"/>
      <c r="Q43" s="116" t="n"/>
      <c r="R43" s="116" t="n"/>
      <c r="S43" s="119" t="n"/>
      <c r="T43" s="120">
        <f>IF(F43="Yes",A43&amp;"-"&amp;B43,C43)</f>
        <v/>
      </c>
    </row>
    <row r="44" ht="14.25" customHeight="1" s="83">
      <c r="A44" s="116" t="n"/>
      <c r="B44" s="116" t="n"/>
      <c r="C44" s="116" t="n"/>
      <c r="D44" s="116" t="n"/>
      <c r="E44" s="116">
        <f>IF(D44&lt;&gt;"","Occupied","Vacant")</f>
        <v/>
      </c>
      <c r="F44" s="116" t="n"/>
      <c r="G44" s="117" t="n"/>
      <c r="H44" s="116">
        <f>COUNTIFS($B:$B,B44,$E:$E,"Occupied")</f>
        <v/>
      </c>
      <c r="I44" s="82">
        <f>IF(E44&lt;&gt;"Occupied",0,IF(H44=1,350,IF(H44=2,200,0)))</f>
        <v/>
      </c>
      <c r="J44" s="82">
        <f>IF(E44="Occupied",IFERROR(SUMIFS('Electricity Management'!$J:$J,'Electricity Management'!$A:$A,A44,'Electricity Management'!$C:$C,B44),0),0)</f>
        <v/>
      </c>
      <c r="K44" s="82">
        <f t="array" ref="K44:K44">IF(E44="Occupied",IFERROR(INDEX('Electricity Management'!$T:$T,MATCH(1,('Electricity Management'!$K:$K=A44)*('Electricity Management'!$L:$L=B44),0)),0),"")</f>
        <v/>
      </c>
      <c r="O44" s="117" t="n"/>
      <c r="P44" s="116" t="n"/>
      <c r="Q44" s="116" t="n"/>
      <c r="R44" s="116" t="n"/>
      <c r="S44" s="119" t="n"/>
      <c r="T44" s="120">
        <f>IF(F44="Yes",A44&amp;"-"&amp;B44,C44)</f>
        <v/>
      </c>
    </row>
    <row r="45" ht="14.25" customHeight="1" s="83">
      <c r="A45" s="116" t="n"/>
      <c r="B45" s="116" t="n"/>
      <c r="C45" s="116" t="n"/>
      <c r="D45" s="116" t="n"/>
      <c r="E45" s="116">
        <f>IF(D45&lt;&gt;"","Occupied","Vacant")</f>
        <v/>
      </c>
      <c r="F45" s="116" t="n"/>
      <c r="G45" s="117" t="n"/>
      <c r="H45" s="116">
        <f>COUNTIFS($B:$B,B45,$E:$E,"Occupied")</f>
        <v/>
      </c>
      <c r="I45" s="82">
        <f>IF(E45&lt;&gt;"Occupied",0,IF(H45=1,350,IF(H45=2,200,0)))</f>
        <v/>
      </c>
      <c r="J45" s="82">
        <f>IF(E45="Occupied",IFERROR(SUMIFS('Electricity Management'!$J:$J,'Electricity Management'!$A:$A,A45,'Electricity Management'!$C:$C,B45),0),0)</f>
        <v/>
      </c>
      <c r="K45" s="82">
        <f t="array" ref="K45:K45">IF(E45="Occupied",IFERROR(INDEX('Electricity Management'!$T:$T,MATCH(1,('Electricity Management'!$K:$K=A45)*('Electricity Management'!$L:$L=B45),0)),0),"")</f>
        <v/>
      </c>
      <c r="O45" s="117" t="n"/>
      <c r="P45" s="116" t="n"/>
      <c r="Q45" s="116" t="n"/>
      <c r="R45" s="116" t="n"/>
      <c r="S45" s="119" t="n"/>
      <c r="T45" s="120">
        <f>IF(F45="Yes",A45&amp;"-"&amp;B45,C45)</f>
        <v/>
      </c>
    </row>
    <row r="46" ht="14.25" customHeight="1" s="83">
      <c r="A46" s="116" t="n"/>
      <c r="B46" s="116" t="n"/>
      <c r="C46" s="116" t="n"/>
      <c r="D46" s="116" t="n"/>
      <c r="E46" s="116">
        <f>IF(D46&lt;&gt;"","Occupied","Vacant")</f>
        <v/>
      </c>
      <c r="F46" s="116" t="n"/>
      <c r="G46" s="117" t="n"/>
      <c r="H46" s="116">
        <f>COUNTIFS($B:$B,B46,$E:$E,"Occupied")</f>
        <v/>
      </c>
      <c r="I46" s="82">
        <f>IF(E46&lt;&gt;"Occupied",0,IF(H46=1,350,IF(H46=2,200,0)))</f>
        <v/>
      </c>
      <c r="J46" s="82">
        <f>IF(E46="Occupied",IFERROR(SUMIFS('Electricity Management'!$J:$J,'Electricity Management'!$A:$A,A46,'Electricity Management'!$C:$C,B46),0),0)</f>
        <v/>
      </c>
      <c r="K46" s="82">
        <f t="array" ref="K46:K46">IF(E46="Occupied",IFERROR(INDEX('Electricity Management'!$T:$T,MATCH(1,('Electricity Management'!$K:$K=A46)*('Electricity Management'!$L:$L=B46),0)),0),"")</f>
        <v/>
      </c>
      <c r="O46" s="117" t="n"/>
      <c r="P46" s="116" t="n"/>
      <c r="Q46" s="116" t="n"/>
      <c r="R46" s="116" t="n"/>
      <c r="S46" s="119" t="n"/>
      <c r="T46" s="120">
        <f>IF(F46="Yes",A46&amp;"-"&amp;B46,C46)</f>
        <v/>
      </c>
    </row>
    <row r="47" ht="14.25" customHeight="1" s="83">
      <c r="A47" s="116" t="n"/>
      <c r="B47" s="116" t="n"/>
      <c r="C47" s="116" t="n"/>
      <c r="D47" s="116" t="n"/>
      <c r="E47" s="116">
        <f>IF(D47&lt;&gt;"","Occupied","Vacant")</f>
        <v/>
      </c>
      <c r="F47" s="116" t="n"/>
      <c r="G47" s="117" t="n"/>
      <c r="H47" s="116">
        <f>COUNTIFS($B:$B,B47,$E:$E,"Occupied")</f>
        <v/>
      </c>
      <c r="I47" s="82">
        <f>IF(E47&lt;&gt;"Occupied",0,IF(H47=1,350,IF(H47=2,200,0)))</f>
        <v/>
      </c>
      <c r="J47" s="82">
        <f>IF(E47="Occupied",IFERROR(SUMIFS('Electricity Management'!$J:$J,'Electricity Management'!$A:$A,A47,'Electricity Management'!$C:$C,B47),0),0)</f>
        <v/>
      </c>
      <c r="K47" s="82">
        <f t="array" ref="K47:K47">IF(E47="Occupied",IFERROR(INDEX('Electricity Management'!$T:$T,MATCH(1,('Electricity Management'!$K:$K=A47)*('Electricity Management'!$L:$L=B47),0)),0),"")</f>
        <v/>
      </c>
      <c r="O47" s="117" t="n"/>
      <c r="P47" s="116" t="n"/>
      <c r="Q47" s="116" t="n"/>
      <c r="R47" s="116" t="n"/>
      <c r="S47" s="119" t="n"/>
      <c r="T47" s="120">
        <f>IF(F47="Yes",A47&amp;"-"&amp;B47,C47)</f>
        <v/>
      </c>
    </row>
    <row r="48" ht="14.25" customHeight="1" s="83">
      <c r="A48" s="116" t="n"/>
      <c r="B48" s="116" t="n"/>
      <c r="C48" s="116" t="n"/>
      <c r="D48" s="116" t="n"/>
      <c r="E48" s="116">
        <f>IF(D48&lt;&gt;"","Occupied","Vacant")</f>
        <v/>
      </c>
      <c r="F48" s="116" t="n"/>
      <c r="G48" s="117" t="n"/>
      <c r="H48" s="116">
        <f>COUNTIFS($B:$B,B48,$E:$E,"Occupied")</f>
        <v/>
      </c>
      <c r="I48" s="82">
        <f>IF(E48&lt;&gt;"Occupied",0,IF(H48=1,350,IF(H48=2,200,0)))</f>
        <v/>
      </c>
      <c r="J48" s="82">
        <f>IF(E48="Occupied",IFERROR(SUMIFS('Electricity Management'!$J:$J,'Electricity Management'!$A:$A,A48,'Electricity Management'!$C:$C,B48),0),0)</f>
        <v/>
      </c>
      <c r="K48" s="82">
        <f t="array" ref="K48:K48">IF(E48="Occupied",IFERROR(INDEX('Electricity Management'!$T:$T,MATCH(1,('Electricity Management'!$K:$K=A48)*('Electricity Management'!$L:$L=B48),0)),0),"")</f>
        <v/>
      </c>
      <c r="O48" s="117" t="n"/>
      <c r="P48" s="116" t="n"/>
      <c r="Q48" s="116" t="n"/>
      <c r="R48" s="116" t="n"/>
      <c r="S48" s="119" t="n"/>
      <c r="T48" s="120">
        <f>IF(F48="Yes",A48&amp;"-"&amp;B48,C48)</f>
        <v/>
      </c>
    </row>
    <row r="49" ht="14.25" customHeight="1" s="83">
      <c r="A49" s="116" t="n"/>
      <c r="B49" s="116" t="n"/>
      <c r="C49" s="116" t="n"/>
      <c r="D49" s="116" t="n"/>
      <c r="E49" s="116">
        <f>IF(D49&lt;&gt;"","Occupied","Vacant")</f>
        <v/>
      </c>
      <c r="F49" s="116" t="n"/>
      <c r="G49" s="117" t="n"/>
      <c r="H49" s="116">
        <f>COUNTIFS($B:$B,B49,$E:$E,"Occupied")</f>
        <v/>
      </c>
      <c r="I49" s="82">
        <f>IF(E49&lt;&gt;"Occupied",0,IF(H49=1,350,IF(H49=2,200,0)))</f>
        <v/>
      </c>
      <c r="J49" s="82">
        <f>IF(E49="Occupied",IFERROR(SUMIFS('Electricity Management'!$J:$J,'Electricity Management'!$A:$A,A49,'Electricity Management'!$C:$C,B49),0),0)</f>
        <v/>
      </c>
      <c r="K49" s="82">
        <f t="array" ref="K49:K49">IF(E49="Occupied",IFERROR(INDEX('Electricity Management'!$T:$T,MATCH(1,('Electricity Management'!$K:$K=A49)*('Electricity Management'!$L:$L=B49),0)),0),"")</f>
        <v/>
      </c>
      <c r="O49" s="117" t="n"/>
      <c r="P49" s="116" t="n"/>
      <c r="Q49" s="116" t="n"/>
      <c r="R49" s="116" t="n"/>
      <c r="S49" s="119" t="n"/>
      <c r="T49" s="120">
        <f>IF(F49="Yes",A49&amp;"-"&amp;B49,C49)</f>
        <v/>
      </c>
    </row>
    <row r="50" ht="14.25" customHeight="1" s="83">
      <c r="A50" s="116" t="n"/>
      <c r="B50" s="116" t="n"/>
      <c r="C50" s="116" t="n"/>
      <c r="D50" s="116" t="n"/>
      <c r="E50" s="116">
        <f>IF(D50&lt;&gt;"","Occupied","Vacant")</f>
        <v/>
      </c>
      <c r="F50" s="116" t="n"/>
      <c r="G50" s="117" t="n"/>
      <c r="H50" s="116">
        <f>COUNTIFS($B:$B,B50,$E:$E,"Occupied")</f>
        <v/>
      </c>
      <c r="I50" s="82">
        <f>IF(E50&lt;&gt;"Occupied",0,IF(H50=1,350,IF(H50=2,200,0)))</f>
        <v/>
      </c>
      <c r="J50" s="82">
        <f>IF(E50="Occupied",IFERROR(SUMIFS('Electricity Management'!$J:$J,'Electricity Management'!$A:$A,A50,'Electricity Management'!$C:$C,B50),0),0)</f>
        <v/>
      </c>
      <c r="K50" s="82">
        <f t="array" ref="K50:K50">IF(E50="Occupied",IFERROR(INDEX('Electricity Management'!$T:$T,MATCH(1,('Electricity Management'!$K:$K=A50)*('Electricity Management'!$L:$L=B50),0)),0),"")</f>
        <v/>
      </c>
      <c r="O50" s="117" t="n"/>
      <c r="P50" s="116" t="n"/>
      <c r="Q50" s="116" t="n"/>
      <c r="R50" s="116" t="n"/>
      <c r="S50" s="119" t="n"/>
      <c r="T50" s="120">
        <f>IF(F50="Yes",A50&amp;"-"&amp;B50,C50)</f>
        <v/>
      </c>
    </row>
    <row r="51" ht="14.25" customHeight="1" s="83">
      <c r="A51" s="116" t="n"/>
      <c r="B51" s="116" t="n"/>
      <c r="C51" s="116" t="n"/>
      <c r="D51" s="116" t="n"/>
      <c r="E51" s="116">
        <f>IF(D51&lt;&gt;"","Occupied","Vacant")</f>
        <v/>
      </c>
      <c r="F51" s="116" t="n"/>
      <c r="G51" s="117" t="n"/>
      <c r="H51" s="116">
        <f>COUNTIFS($B:$B,B51,$E:$E,"Occupied")</f>
        <v/>
      </c>
      <c r="I51" s="82">
        <f>IF(E51&lt;&gt;"Occupied",0,IF(H51=1,350,IF(H51=2,200,0)))</f>
        <v/>
      </c>
      <c r="J51" s="82">
        <f>IF(E51="Occupied",IFERROR(SUMIFS('Electricity Management'!$J:$J,'Electricity Management'!$A:$A,A51,'Electricity Management'!$C:$C,B51),0),0)</f>
        <v/>
      </c>
      <c r="K51" s="82">
        <f t="array" ref="K51:K51">IF(E51="Occupied",IFERROR(INDEX('Electricity Management'!$T:$T,MATCH(1,('Electricity Management'!$K:$K=A51)*('Electricity Management'!$L:$L=B51),0)),0),"")</f>
        <v/>
      </c>
      <c r="O51" s="117" t="n"/>
      <c r="P51" s="116" t="n"/>
      <c r="Q51" s="116" t="n"/>
      <c r="R51" s="116" t="n"/>
      <c r="S51" s="119" t="n"/>
      <c r="T51" s="120">
        <f>IF(F51="Yes",A51&amp;"-"&amp;B51,C51)</f>
        <v/>
      </c>
    </row>
    <row r="52" ht="14.25" customHeight="1" s="83">
      <c r="A52" s="116" t="n"/>
      <c r="B52" s="116" t="n"/>
      <c r="C52" s="116" t="n"/>
      <c r="D52" s="116" t="n"/>
      <c r="E52" s="116">
        <f>IF(D52&lt;&gt;"","Occupied","Vacant")</f>
        <v/>
      </c>
      <c r="F52" s="116" t="n"/>
      <c r="G52" s="117" t="n"/>
      <c r="H52" s="116">
        <f>COUNTIFS($B:$B,B52,$E:$E,"Occupied")</f>
        <v/>
      </c>
      <c r="I52" s="82">
        <f>IF(E52&lt;&gt;"Occupied",0,IF(H52=1,350,IF(H52=2,200,0)))</f>
        <v/>
      </c>
      <c r="J52" s="82">
        <f>IF(E52="Occupied",IFERROR(SUMIFS('Electricity Management'!$J:$J,'Electricity Management'!$A:$A,A52,'Electricity Management'!$C:$C,B52),0),0)</f>
        <v/>
      </c>
      <c r="K52" s="82">
        <f t="array" ref="K52:K52">IF(E52="Occupied",IFERROR(INDEX('Electricity Management'!$T:$T,MATCH(1,('Electricity Management'!$K:$K=A52)*('Electricity Management'!$L:$L=B52),0)),0),"")</f>
        <v/>
      </c>
      <c r="O52" s="117" t="n"/>
      <c r="P52" s="116" t="n"/>
      <c r="Q52" s="116" t="n"/>
      <c r="R52" s="116" t="n"/>
      <c r="S52" s="119" t="n"/>
      <c r="T52" s="120">
        <f>IF(F52="Yes",A52&amp;"-"&amp;B52,C52)</f>
        <v/>
      </c>
    </row>
    <row r="53" ht="14.25" customHeight="1" s="83">
      <c r="A53" s="116" t="n"/>
      <c r="B53" s="116" t="n"/>
      <c r="C53" s="116" t="n"/>
      <c r="D53" s="116" t="n"/>
      <c r="E53" s="116">
        <f>IF(D53&lt;&gt;"","Occupied","Vacant")</f>
        <v/>
      </c>
      <c r="F53" s="116" t="n"/>
      <c r="G53" s="117" t="n"/>
      <c r="H53" s="116">
        <f>COUNTIFS($B:$B,B53,$E:$E,"Occupied")</f>
        <v/>
      </c>
      <c r="I53" s="82">
        <f>IF(E53&lt;&gt;"Occupied",0,IF(H53=1,350,IF(H53=2,200,0)))</f>
        <v/>
      </c>
      <c r="J53" s="82">
        <f>IF(E53="Occupied",IFERROR(SUMIFS('Electricity Management'!$J:$J,'Electricity Management'!$A:$A,A53,'Electricity Management'!$C:$C,B53),0),0)</f>
        <v/>
      </c>
      <c r="K53" s="82">
        <f t="array" ref="K53:K53">IF(E53="Occupied",IFERROR(INDEX('Electricity Management'!$T:$T,MATCH(1,('Electricity Management'!$K:$K=A53)*('Electricity Management'!$L:$L=B53),0)),0),"")</f>
        <v/>
      </c>
      <c r="O53" s="117" t="n"/>
      <c r="P53" s="116" t="n"/>
      <c r="Q53" s="116" t="n"/>
      <c r="R53" s="116" t="n"/>
      <c r="S53" s="119" t="n"/>
      <c r="T53" s="120">
        <f>IF(F53="Yes",A53&amp;"-"&amp;B53,C53)</f>
        <v/>
      </c>
    </row>
    <row r="54" ht="14.25" customHeight="1" s="83">
      <c r="A54" s="116" t="n"/>
      <c r="B54" s="116" t="n"/>
      <c r="C54" s="116" t="n"/>
      <c r="D54" s="116" t="n"/>
      <c r="E54" s="116">
        <f>IF(D54&lt;&gt;"","Occupied","Vacant")</f>
        <v/>
      </c>
      <c r="F54" s="116" t="n"/>
      <c r="G54" s="117" t="n"/>
      <c r="H54" s="116">
        <f>COUNTIFS($B:$B,B54,$E:$E,"Occupied")</f>
        <v/>
      </c>
      <c r="I54" s="82">
        <f>IF(E54&lt;&gt;"Occupied",0,IF(H54=1,350,IF(H54=2,200,0)))</f>
        <v/>
      </c>
      <c r="J54" s="82">
        <f>IF(E54="Occupied",IFERROR(SUMIFS('Electricity Management'!$J:$J,'Electricity Management'!$A:$A,A54,'Electricity Management'!$C:$C,B54),0),0)</f>
        <v/>
      </c>
      <c r="K54" s="82">
        <f t="array" ref="K54:K54">IF(E54="Occupied",IFERROR(INDEX('Electricity Management'!$T:$T,MATCH(1,('Electricity Management'!$K:$K=A54)*('Electricity Management'!$L:$L=B54),0)),0),"")</f>
        <v/>
      </c>
      <c r="O54" s="117" t="n"/>
      <c r="P54" s="116" t="n"/>
      <c r="Q54" s="116" t="n"/>
      <c r="R54" s="116" t="n"/>
      <c r="S54" s="119" t="n"/>
      <c r="T54" s="120">
        <f>IF(F54="Yes",A54&amp;"-"&amp;B54,C54)</f>
        <v/>
      </c>
    </row>
    <row r="55" ht="14.25" customHeight="1" s="83">
      <c r="A55" s="116" t="n"/>
      <c r="B55" s="116" t="n"/>
      <c r="C55" s="116" t="n"/>
      <c r="D55" s="116" t="n"/>
      <c r="E55" s="116">
        <f>IF(D55&lt;&gt;"","Occupied","Vacant")</f>
        <v/>
      </c>
      <c r="F55" s="116" t="n"/>
      <c r="G55" s="117" t="n"/>
      <c r="H55" s="116">
        <f>COUNTIFS($B:$B,B55,$E:$E,"Occupied")</f>
        <v/>
      </c>
      <c r="I55" s="82">
        <f>IF(E55&lt;&gt;"Occupied",0,IF(H55=1,350,IF(H55=2,200,0)))</f>
        <v/>
      </c>
      <c r="J55" s="82">
        <f>IF(E55="Occupied",IFERROR(SUMIFS('Electricity Management'!$J:$J,'Electricity Management'!$A:$A,A55,'Electricity Management'!$C:$C,B55),0),0)</f>
        <v/>
      </c>
      <c r="K55" s="82">
        <f t="array" ref="K55:K55">IF(E55="Occupied",IFERROR(INDEX('Electricity Management'!$T:$T,MATCH(1,('Electricity Management'!$K:$K=A55)*('Electricity Management'!$L:$L=B55),0)),0),"")</f>
        <v/>
      </c>
      <c r="O55" s="117" t="n"/>
      <c r="P55" s="116" t="n"/>
      <c r="Q55" s="116" t="n"/>
      <c r="R55" s="116" t="n"/>
      <c r="S55" s="119" t="n"/>
      <c r="T55" s="120">
        <f>IF(F55="Yes",A55&amp;"-"&amp;B55,C55)</f>
        <v/>
      </c>
    </row>
    <row r="56" ht="14.25" customHeight="1" s="83">
      <c r="A56" s="116" t="n"/>
      <c r="B56" s="116" t="n"/>
      <c r="C56" s="116" t="n"/>
      <c r="D56" s="116" t="n"/>
      <c r="E56" s="116">
        <f>IF(D56&lt;&gt;"","Occupied","Vacant")</f>
        <v/>
      </c>
      <c r="F56" s="116" t="n"/>
      <c r="G56" s="117" t="n"/>
      <c r="H56" s="116">
        <f>COUNTIFS($B:$B,B56,$E:$E,"Occupied")</f>
        <v/>
      </c>
      <c r="I56" s="82">
        <f>IF(E56&lt;&gt;"Occupied",0,IF(H56=1,350,IF(H56=2,200,0)))</f>
        <v/>
      </c>
      <c r="J56" s="82">
        <f>IF(E56="Occupied",IFERROR(SUMIFS('Electricity Management'!$J:$J,'Electricity Management'!$A:$A,A56,'Electricity Management'!$C:$C,B56),0),0)</f>
        <v/>
      </c>
      <c r="K56" s="82">
        <f t="array" ref="K56:K56">IF(E56="Occupied",IFERROR(INDEX('Electricity Management'!$T:$T,MATCH(1,('Electricity Management'!$K:$K=A56)*('Electricity Management'!$L:$L=B56),0)),0),"")</f>
        <v/>
      </c>
      <c r="O56" s="117" t="n"/>
      <c r="P56" s="116" t="n"/>
      <c r="Q56" s="116" t="n"/>
      <c r="R56" s="116" t="n"/>
      <c r="S56" s="119" t="n"/>
      <c r="T56" s="120">
        <f>IF(F56="Yes",A56&amp;"-"&amp;B56,C56)</f>
        <v/>
      </c>
    </row>
    <row r="57" ht="14.25" customHeight="1" s="83">
      <c r="A57" s="116" t="n"/>
      <c r="B57" s="116" t="n"/>
      <c r="C57" s="116" t="n"/>
      <c r="D57" s="116" t="n"/>
      <c r="E57" s="116">
        <f>IF(D57&lt;&gt;"","Occupied","Vacant")</f>
        <v/>
      </c>
      <c r="F57" s="116" t="n"/>
      <c r="G57" s="117" t="n"/>
      <c r="H57" s="116">
        <f>COUNTIFS($B:$B,B57,$E:$E,"Occupied")</f>
        <v/>
      </c>
      <c r="I57" s="82">
        <f>IF(E57&lt;&gt;"Occupied",0,IF(H57=1,350,IF(H57=2,200,0)))</f>
        <v/>
      </c>
      <c r="J57" s="82">
        <f>IF(E57="Occupied",IFERROR(SUMIFS('Electricity Management'!$J:$J,'Electricity Management'!$A:$A,A57,'Electricity Management'!$C:$C,B57),0),0)</f>
        <v/>
      </c>
      <c r="K57" s="82">
        <f t="array" ref="K57:K57">IF(E57="Occupied",IFERROR(INDEX('Electricity Management'!$T:$T,MATCH(1,('Electricity Management'!$K:$K=A57)*('Electricity Management'!$L:$L=B57),0)),0),"")</f>
        <v/>
      </c>
      <c r="O57" s="117" t="n"/>
      <c r="P57" s="116" t="n"/>
      <c r="Q57" s="116" t="n"/>
      <c r="R57" s="116" t="n"/>
      <c r="S57" s="119" t="n"/>
      <c r="T57" s="120">
        <f>IF(F57="Yes",A57&amp;"-"&amp;B57,C57)</f>
        <v/>
      </c>
    </row>
    <row r="58" ht="14.25" customHeight="1" s="83">
      <c r="A58" s="116" t="n"/>
      <c r="B58" s="116" t="n"/>
      <c r="C58" s="116" t="n"/>
      <c r="D58" s="116" t="n"/>
      <c r="E58" s="116">
        <f>IF(D58&lt;&gt;"","Occupied","Vacant")</f>
        <v/>
      </c>
      <c r="F58" s="116" t="n"/>
      <c r="G58" s="117" t="n"/>
      <c r="H58" s="116">
        <f>COUNTIFS($B:$B,B58,$E:$E,"Occupied")</f>
        <v/>
      </c>
      <c r="I58" s="82">
        <f>IF(E58&lt;&gt;"Occupied",0,IF(H58=1,350,IF(H58=2,200,0)))</f>
        <v/>
      </c>
      <c r="J58" s="82">
        <f>IF(E58="Occupied",IFERROR(SUMIFS('Electricity Management'!$J:$J,'Electricity Management'!$A:$A,A58,'Electricity Management'!$C:$C,B58),0),0)</f>
        <v/>
      </c>
      <c r="K58" s="82">
        <f t="array" ref="K58:K58">IF(E58="Occupied",IFERROR(INDEX('Electricity Management'!$T:$T,MATCH(1,('Electricity Management'!$K:$K=A58)*('Electricity Management'!$L:$L=B58),0)),0),"")</f>
        <v/>
      </c>
      <c r="O58" s="117" t="n"/>
      <c r="P58" s="116" t="n"/>
      <c r="Q58" s="116" t="n"/>
      <c r="R58" s="116" t="n"/>
      <c r="S58" s="119" t="n"/>
      <c r="T58" s="120">
        <f>IF(F58="Yes",A58&amp;"-"&amp;B58,C58)</f>
        <v/>
      </c>
    </row>
    <row r="59" ht="14.25" customHeight="1" s="83">
      <c r="A59" s="116" t="n"/>
      <c r="B59" s="116" t="n"/>
      <c r="C59" s="116" t="n"/>
      <c r="D59" s="116" t="n"/>
      <c r="E59" s="116">
        <f>IF(D59&lt;&gt;"","Occupied","Vacant")</f>
        <v/>
      </c>
      <c r="F59" s="116" t="n"/>
      <c r="G59" s="117" t="n"/>
      <c r="H59" s="116">
        <f>COUNTIFS($B:$B,B59,$E:$E,"Occupied")</f>
        <v/>
      </c>
      <c r="I59" s="82">
        <f>IF(E59&lt;&gt;"Occupied",0,IF(H59=1,350,IF(H59=2,200,0)))</f>
        <v/>
      </c>
      <c r="J59" s="82">
        <f>IF(E59="Occupied",IFERROR(SUMIFS('Electricity Management'!$J:$J,'Electricity Management'!$A:$A,A59,'Electricity Management'!$C:$C,B59),0),0)</f>
        <v/>
      </c>
      <c r="K59" s="82">
        <f t="array" ref="K59:K59">IF(E59="Occupied",IFERROR(INDEX('Electricity Management'!$T:$T,MATCH(1,('Electricity Management'!$K:$K=A59)*('Electricity Management'!$L:$L=B59),0)),0),"")</f>
        <v/>
      </c>
      <c r="O59" s="117" t="n"/>
      <c r="P59" s="116" t="n"/>
      <c r="Q59" s="116" t="n"/>
      <c r="R59" s="116" t="n"/>
      <c r="S59" s="119" t="n"/>
      <c r="T59" s="120">
        <f>IF(F59="Yes",A59&amp;"-"&amp;B59,C59)</f>
        <v/>
      </c>
    </row>
    <row r="60" ht="14.25" customHeight="1" s="83">
      <c r="A60" s="116" t="n"/>
      <c r="B60" s="116" t="n"/>
      <c r="C60" s="116" t="n"/>
      <c r="D60" s="116" t="n"/>
      <c r="E60" s="116">
        <f>IF(D60&lt;&gt;"","Occupied","Vacant")</f>
        <v/>
      </c>
      <c r="F60" s="116" t="n"/>
      <c r="G60" s="117" t="n"/>
      <c r="H60" s="116">
        <f>COUNTIFS($B:$B,B60,$E:$E,"Occupied")</f>
        <v/>
      </c>
      <c r="I60" s="82">
        <f>IF(E60&lt;&gt;"Occupied",0,IF(H60=1,350,IF(H60=2,200,0)))</f>
        <v/>
      </c>
      <c r="J60" s="82">
        <f>IF(E60="Occupied",IFERROR(SUMIFS('Electricity Management'!$J:$J,'Electricity Management'!$A:$A,A60,'Electricity Management'!$C:$C,B60),0),0)</f>
        <v/>
      </c>
      <c r="K60" s="82">
        <f t="array" ref="K60:K60">IF(E60="Occupied",IFERROR(INDEX('Electricity Management'!$T:$T,MATCH(1,('Electricity Management'!$K:$K=A60)*('Electricity Management'!$L:$L=B60),0)),0),"")</f>
        <v/>
      </c>
      <c r="O60" s="117" t="n"/>
      <c r="P60" s="116" t="n"/>
      <c r="Q60" s="116" t="n"/>
      <c r="R60" s="116" t="n"/>
      <c r="S60" s="119" t="n"/>
      <c r="T60" s="120">
        <f>IF(F60="Yes",A60&amp;"-"&amp;B60,C60)</f>
        <v/>
      </c>
    </row>
    <row r="61" ht="14.25" customHeight="1" s="83">
      <c r="A61" s="116" t="n"/>
      <c r="B61" s="116" t="n"/>
      <c r="C61" s="116" t="n"/>
      <c r="D61" s="116" t="n"/>
      <c r="E61" s="116">
        <f>IF(D61&lt;&gt;"","Occupied","Vacant")</f>
        <v/>
      </c>
      <c r="F61" s="116" t="n"/>
      <c r="G61" s="117" t="n"/>
      <c r="H61" s="116">
        <f>COUNTIFS($B:$B,B61,$E:$E,"Occupied")</f>
        <v/>
      </c>
      <c r="I61" s="82">
        <f>IF(E61&lt;&gt;"Occupied",0,IF(H61=1,350,IF(H61=2,200,0)))</f>
        <v/>
      </c>
      <c r="J61" s="82">
        <f>IF(E61="Occupied",IFERROR(SUMIFS('Electricity Management'!$J:$J,'Electricity Management'!$A:$A,A61,'Electricity Management'!$C:$C,B61),0),0)</f>
        <v/>
      </c>
      <c r="K61" s="82">
        <f t="array" ref="K61:K61">IF(E61="Occupied",IFERROR(INDEX('Electricity Management'!$T:$T,MATCH(1,('Electricity Management'!$K:$K=A61)*('Electricity Management'!$L:$L=B61),0)),0),"")</f>
        <v/>
      </c>
      <c r="O61" s="117" t="n"/>
      <c r="P61" s="116" t="n"/>
      <c r="Q61" s="116" t="n"/>
      <c r="R61" s="116" t="n"/>
      <c r="S61" s="119" t="n"/>
      <c r="T61" s="120">
        <f>IF(F61="Yes",A61&amp;"-"&amp;B61,C61)</f>
        <v/>
      </c>
    </row>
    <row r="62" ht="14.25" customHeight="1" s="83">
      <c r="A62" s="116" t="n"/>
      <c r="B62" s="116" t="n"/>
      <c r="C62" s="116" t="n"/>
      <c r="D62" s="116" t="n"/>
      <c r="E62" s="116">
        <f>IF(D62&lt;&gt;"","Occupied","Vacant")</f>
        <v/>
      </c>
      <c r="F62" s="116" t="n"/>
      <c r="G62" s="117" t="n"/>
      <c r="H62" s="116">
        <f>COUNTIFS($B:$B,B62,$E:$E,"Occupied")</f>
        <v/>
      </c>
      <c r="I62" s="82">
        <f>IF(E62&lt;&gt;"Occupied",0,IF(H62=1,350,IF(H62=2,200,0)))</f>
        <v/>
      </c>
      <c r="J62" s="82">
        <f>IF(E62="Occupied",IFERROR(SUMIFS('Electricity Management'!$J:$J,'Electricity Management'!$A:$A,A62,'Electricity Management'!$C:$C,B62),0),0)</f>
        <v/>
      </c>
      <c r="K62" s="82">
        <f t="array" ref="K62:K62">IF(E62="Occupied",IFERROR(INDEX('Electricity Management'!$T:$T,MATCH(1,('Electricity Management'!$K:$K=A62)*('Electricity Management'!$L:$L=B62),0)),0),"")</f>
        <v/>
      </c>
      <c r="O62" s="117" t="n"/>
      <c r="P62" s="116" t="n"/>
      <c r="Q62" s="116" t="n"/>
      <c r="R62" s="116" t="n"/>
      <c r="S62" s="119" t="n"/>
      <c r="T62" s="120">
        <f>IF(F62="Yes",A62&amp;"-"&amp;B62,C62)</f>
        <v/>
      </c>
    </row>
    <row r="63" ht="14.25" customHeight="1" s="83">
      <c r="A63" s="116" t="n"/>
      <c r="B63" s="116" t="n"/>
      <c r="C63" s="116" t="n"/>
      <c r="D63" s="116" t="n"/>
      <c r="E63" s="116">
        <f>IF(D63&lt;&gt;"","Occupied","Vacant")</f>
        <v/>
      </c>
      <c r="F63" s="116" t="n"/>
      <c r="G63" s="117" t="n"/>
      <c r="H63" s="116">
        <f>COUNTIFS($B:$B,B63,$E:$E,"Occupied")</f>
        <v/>
      </c>
      <c r="I63" s="82">
        <f>IF(E63&lt;&gt;"Occupied",0,IF(H63=1,350,IF(H63=2,200,0)))</f>
        <v/>
      </c>
      <c r="J63" s="82">
        <f>IF(E63="Occupied",IFERROR(SUMIFS('Electricity Management'!$J:$J,'Electricity Management'!$A:$A,A63,'Electricity Management'!$C:$C,B63),0),0)</f>
        <v/>
      </c>
      <c r="K63" s="82">
        <f t="array" ref="K63:K63">IF(E63="Occupied",IFERROR(INDEX('Electricity Management'!$T:$T,MATCH(1,('Electricity Management'!$K:$K=A63)*('Electricity Management'!$L:$L=B63),0)),0),"")</f>
        <v/>
      </c>
      <c r="O63" s="117" t="n"/>
      <c r="P63" s="116" t="n"/>
      <c r="Q63" s="116" t="n"/>
      <c r="R63" s="116" t="n"/>
      <c r="S63" s="119" t="n"/>
      <c r="T63" s="120">
        <f>IF(F63="Yes",A63&amp;"-"&amp;B63,C63)</f>
        <v/>
      </c>
    </row>
    <row r="64" ht="14.25" customHeight="1" s="83">
      <c r="A64" s="116" t="n"/>
      <c r="B64" s="116" t="n"/>
      <c r="C64" s="116" t="n"/>
      <c r="D64" s="116" t="n"/>
      <c r="E64" s="116">
        <f>IF(D64&lt;&gt;"","Occupied","Vacant")</f>
        <v/>
      </c>
      <c r="F64" s="116" t="n"/>
      <c r="G64" s="117" t="n"/>
      <c r="H64" s="116">
        <f>COUNTIFS($B:$B,B64,$E:$E,"Occupied")</f>
        <v/>
      </c>
      <c r="I64" s="82">
        <f>IF(E64&lt;&gt;"Occupied",0,IF(H64=1,350,IF(H64=2,200,0)))</f>
        <v/>
      </c>
      <c r="J64" s="82">
        <f>IF(E64="Occupied",IFERROR(SUMIFS('Electricity Management'!$J:$J,'Electricity Management'!$A:$A,A64,'Electricity Management'!$C:$C,B64),0),0)</f>
        <v/>
      </c>
      <c r="K64" s="82">
        <f t="array" ref="K64:K64">IF(E64="Occupied",IFERROR(INDEX('Electricity Management'!$T:$T,MATCH(1,('Electricity Management'!$K:$K=A64)*('Electricity Management'!$L:$L=B64),0)),0),"")</f>
        <v/>
      </c>
      <c r="O64" s="117" t="n"/>
      <c r="P64" s="116" t="n"/>
      <c r="Q64" s="116" t="n"/>
      <c r="R64" s="116" t="n"/>
      <c r="S64" s="119" t="n"/>
      <c r="T64" s="120">
        <f>IF(F64="Yes",A64&amp;"-"&amp;B64,C64)</f>
        <v/>
      </c>
    </row>
    <row r="65" ht="14.25" customHeight="1" s="83">
      <c r="A65" s="116" t="n"/>
      <c r="B65" s="116" t="n"/>
      <c r="C65" s="116" t="n"/>
      <c r="D65" s="116" t="n"/>
      <c r="E65" s="116">
        <f>IF(D65&lt;&gt;"","Occupied","Vacant")</f>
        <v/>
      </c>
      <c r="F65" s="116" t="n"/>
      <c r="G65" s="117" t="n"/>
      <c r="H65" s="116">
        <f>COUNTIFS($B:$B,B65,$E:$E,"Occupied")</f>
        <v/>
      </c>
      <c r="I65" s="82">
        <f>IF(E65&lt;&gt;"Occupied",0,IF(H65=1,350,IF(H65=2,200,0)))</f>
        <v/>
      </c>
      <c r="J65" s="82">
        <f>IF(E65="Occupied",IFERROR(SUMIFS('Electricity Management'!$J:$J,'Electricity Management'!$A:$A,A65,'Electricity Management'!$C:$C,B65),0),0)</f>
        <v/>
      </c>
      <c r="K65" s="82">
        <f t="array" ref="K65:K65">IF(E65="Occupied",IFERROR(INDEX('Electricity Management'!$T:$T,MATCH(1,('Electricity Management'!$K:$K=A65)*('Electricity Management'!$L:$L=B65),0)),0),"")</f>
        <v/>
      </c>
      <c r="O65" s="117" t="n"/>
      <c r="P65" s="116" t="n"/>
      <c r="Q65" s="116" t="n"/>
      <c r="R65" s="116" t="n"/>
      <c r="S65" s="119" t="n"/>
      <c r="T65" s="120">
        <f>IF(F65="Yes",A65&amp;"-"&amp;B65,C65)</f>
        <v/>
      </c>
    </row>
    <row r="66" ht="14.25" customHeight="1" s="83">
      <c r="A66" s="116" t="n"/>
      <c r="B66" s="116" t="n"/>
      <c r="C66" s="116" t="n"/>
      <c r="D66" s="116" t="n"/>
      <c r="E66" s="116">
        <f>IF(D66&lt;&gt;"","Occupied","Vacant")</f>
        <v/>
      </c>
      <c r="F66" s="116" t="n"/>
      <c r="G66" s="117" t="n"/>
      <c r="H66" s="116">
        <f>COUNTIFS($B:$B,B66,$E:$E,"Occupied")</f>
        <v/>
      </c>
      <c r="I66" s="82">
        <f>IF(E66&lt;&gt;"Occupied",0,IF(H66=1,350,IF(H66=2,200,0)))</f>
        <v/>
      </c>
      <c r="J66" s="82">
        <f>IF(E66="Occupied",IFERROR(SUMIFS('Electricity Management'!$J:$J,'Electricity Management'!$A:$A,A66,'Electricity Management'!$C:$C,B66),0),0)</f>
        <v/>
      </c>
      <c r="K66" s="82">
        <f t="array" ref="K66:K66">IF(E66="Occupied",IFERROR(INDEX('Electricity Management'!$T:$T,MATCH(1,('Electricity Management'!$K:$K=A66)*('Electricity Management'!$L:$L=B66),0)),0),"")</f>
        <v/>
      </c>
      <c r="O66" s="117" t="n"/>
      <c r="P66" s="116" t="n"/>
      <c r="Q66" s="116" t="n"/>
      <c r="R66" s="116" t="n"/>
      <c r="S66" s="119" t="n"/>
      <c r="T66" s="120">
        <f>IF(F66="Yes",A66&amp;"-"&amp;B66,C66)</f>
        <v/>
      </c>
    </row>
    <row r="67" ht="14.25" customHeight="1" s="83">
      <c r="A67" s="116" t="n"/>
      <c r="B67" s="116" t="n"/>
      <c r="C67" s="116" t="n"/>
      <c r="D67" s="116" t="n"/>
      <c r="E67" s="116">
        <f>IF(D67&lt;&gt;"","Occupied","Vacant")</f>
        <v/>
      </c>
      <c r="F67" s="116" t="n"/>
      <c r="G67" s="117" t="n"/>
      <c r="H67" s="116">
        <f>COUNTIFS($B:$B,B67,$E:$E,"Occupied")</f>
        <v/>
      </c>
      <c r="I67" s="82">
        <f>IF(E67&lt;&gt;"Occupied",0,IF(H67=1,350,IF(H67=2,200,0)))</f>
        <v/>
      </c>
      <c r="J67" s="82">
        <f>IF(E67="Occupied",IFERROR(SUMIFS('Electricity Management'!$J:$J,'Electricity Management'!$A:$A,A67,'Electricity Management'!$C:$C,B67),0),0)</f>
        <v/>
      </c>
      <c r="K67" s="82">
        <f t="array" ref="K67:K67">IF(E67="Occupied",IFERROR(INDEX('Electricity Management'!$T:$T,MATCH(1,('Electricity Management'!$K:$K=A67)*('Electricity Management'!$L:$L=B67),0)),0),"")</f>
        <v/>
      </c>
      <c r="O67" s="117" t="n"/>
      <c r="P67" s="116" t="n"/>
      <c r="Q67" s="116" t="n"/>
      <c r="R67" s="116" t="n"/>
      <c r="S67" s="119" t="n"/>
      <c r="T67" s="120">
        <f>IF(F67="Yes",A67&amp;"-"&amp;B67,C67)</f>
        <v/>
      </c>
    </row>
    <row r="68" ht="14.25" customHeight="1" s="83">
      <c r="A68" s="116" t="n"/>
      <c r="B68" s="116" t="n"/>
      <c r="C68" s="116" t="n"/>
      <c r="D68" s="116" t="n"/>
      <c r="E68" s="116">
        <f>IF(D68&lt;&gt;"","Occupied","Vacant")</f>
        <v/>
      </c>
      <c r="F68" s="116" t="n"/>
      <c r="G68" s="117" t="n"/>
      <c r="H68" s="116">
        <f>COUNTIFS($B:$B,B68,$E:$E,"Occupied")</f>
        <v/>
      </c>
      <c r="I68" s="82">
        <f>IF(E68&lt;&gt;"Occupied",0,IF(H68=1,350,IF(H68=2,200,0)))</f>
        <v/>
      </c>
      <c r="J68" s="82">
        <f>IF(E68="Occupied",IFERROR(SUMIFS('Electricity Management'!$J:$J,'Electricity Management'!$A:$A,A68,'Electricity Management'!$C:$C,B68),0),0)</f>
        <v/>
      </c>
      <c r="K68" s="82">
        <f t="array" ref="K68:K68">IF(E68="Occupied",IFERROR(INDEX('Electricity Management'!$T:$T,MATCH(1,('Electricity Management'!$K:$K=A68)*('Electricity Management'!$L:$L=B68),0)),0),"")</f>
        <v/>
      </c>
      <c r="O68" s="117" t="n"/>
      <c r="P68" s="116" t="n"/>
      <c r="Q68" s="116" t="n"/>
      <c r="R68" s="116" t="n"/>
      <c r="S68" s="119" t="n"/>
      <c r="T68" s="120">
        <f>IF(F68="Yes",A68&amp;"-"&amp;B68,C68)</f>
        <v/>
      </c>
    </row>
    <row r="69" ht="14.25" customHeight="1" s="83">
      <c r="A69" s="116" t="n"/>
      <c r="B69" s="116" t="n"/>
      <c r="C69" s="116" t="n"/>
      <c r="D69" s="116" t="n"/>
      <c r="E69" s="116">
        <f>IF(D69&lt;&gt;"","Occupied","Vacant")</f>
        <v/>
      </c>
      <c r="F69" s="116" t="n"/>
      <c r="G69" s="117" t="n"/>
      <c r="H69" s="116">
        <f>COUNTIFS($B:$B,B69,$E:$E,"Occupied")</f>
        <v/>
      </c>
      <c r="I69" s="82">
        <f>IF(E69&lt;&gt;"Occupied",0,IF(H69=1,350,IF(H69=2,200,0)))</f>
        <v/>
      </c>
      <c r="J69" s="82">
        <f>IF(E69="Occupied",IFERROR(SUMIFS('Electricity Management'!$J:$J,'Electricity Management'!$A:$A,A69,'Electricity Management'!$C:$C,B69),0),0)</f>
        <v/>
      </c>
      <c r="K69" s="82">
        <f t="array" ref="K69:K69">IF(E69="Occupied",IFERROR(INDEX('Electricity Management'!$T:$T,MATCH(1,('Electricity Management'!$K:$K=A69)*('Electricity Management'!$L:$L=B69),0)),0),"")</f>
        <v/>
      </c>
      <c r="O69" s="117" t="n"/>
      <c r="P69" s="116" t="n"/>
      <c r="Q69" s="116" t="n"/>
      <c r="R69" s="116" t="n"/>
      <c r="S69" s="119" t="n"/>
      <c r="T69" s="120">
        <f>IF(F69="Yes",A69&amp;"-"&amp;B69,C69)</f>
        <v/>
      </c>
    </row>
    <row r="70" ht="14.25" customHeight="1" s="83">
      <c r="A70" s="116" t="n"/>
      <c r="B70" s="116" t="n"/>
      <c r="C70" s="116" t="n"/>
      <c r="D70" s="116" t="n"/>
      <c r="E70" s="116">
        <f>IF(D70&lt;&gt;"","Occupied","Vacant")</f>
        <v/>
      </c>
      <c r="F70" s="116" t="n"/>
      <c r="G70" s="117" t="n"/>
      <c r="H70" s="116">
        <f>COUNTIFS($B:$B,B70,$E:$E,"Occupied")</f>
        <v/>
      </c>
      <c r="I70" s="82">
        <f>IF(E70&lt;&gt;"Occupied",0,IF(H70=1,350,IF(H70=2,200,0)))</f>
        <v/>
      </c>
      <c r="J70" s="82">
        <f>IF(E70="Occupied",IFERROR(SUMIFS('Electricity Management'!$J:$J,'Electricity Management'!$A:$A,A70,'Electricity Management'!$C:$C,B70),0),0)</f>
        <v/>
      </c>
      <c r="K70" s="82">
        <f t="array" ref="K70:K70">IF(E70="Occupied",IFERROR(INDEX('Electricity Management'!$T:$T,MATCH(1,('Electricity Management'!$K:$K=A70)*('Electricity Management'!$L:$L=B70),0)),0),"")</f>
        <v/>
      </c>
      <c r="O70" s="117" t="n"/>
      <c r="P70" s="116" t="n"/>
      <c r="Q70" s="116" t="n"/>
      <c r="R70" s="116" t="n"/>
      <c r="S70" s="119" t="n"/>
      <c r="T70" s="120">
        <f>IF(F70="Yes",A70&amp;"-"&amp;B70,C70)</f>
        <v/>
      </c>
    </row>
    <row r="71" ht="14.25" customHeight="1" s="83">
      <c r="A71" s="116" t="n"/>
      <c r="B71" s="116" t="n"/>
      <c r="C71" s="116" t="n"/>
      <c r="D71" s="116" t="n"/>
      <c r="E71" s="116">
        <f>IF(D71&lt;&gt;"","Occupied","Vacant")</f>
        <v/>
      </c>
      <c r="F71" s="116" t="n"/>
      <c r="G71" s="117" t="n"/>
      <c r="H71" s="116">
        <f>COUNTIFS($B:$B,B71,$E:$E,"Occupied")</f>
        <v/>
      </c>
      <c r="I71" s="82">
        <f>IF(E71&lt;&gt;"Occupied",0,IF(H71=1,350,IF(H71=2,200,0)))</f>
        <v/>
      </c>
      <c r="J71" s="82">
        <f>IF(E71="Occupied",IFERROR(SUMIFS('Electricity Management'!$J:$J,'Electricity Management'!$A:$A,A71,'Electricity Management'!$C:$C,B71),0),0)</f>
        <v/>
      </c>
      <c r="K71" s="82">
        <f t="array" ref="K71:K71">IF(E71="Occupied",IFERROR(INDEX('Electricity Management'!$T:$T,MATCH(1,('Electricity Management'!$K:$K=A71)*('Electricity Management'!$L:$L=B71),0)),0),"")</f>
        <v/>
      </c>
      <c r="O71" s="117" t="n"/>
      <c r="P71" s="116" t="n"/>
      <c r="Q71" s="116" t="n"/>
      <c r="R71" s="116" t="n"/>
      <c r="S71" s="119" t="n"/>
      <c r="T71" s="120">
        <f>IF(F71="Yes",A71&amp;"-"&amp;B71,C71)</f>
        <v/>
      </c>
    </row>
    <row r="72" ht="14.25" customHeight="1" s="83">
      <c r="A72" s="116" t="n"/>
      <c r="B72" s="116" t="n"/>
      <c r="C72" s="116" t="n"/>
      <c r="D72" s="116" t="n"/>
      <c r="E72" s="116">
        <f>IF(D72&lt;&gt;"","Occupied","Vacant")</f>
        <v/>
      </c>
      <c r="F72" s="116" t="n"/>
      <c r="G72" s="117" t="n"/>
      <c r="H72" s="116">
        <f>COUNTIFS($B:$B,B72,$E:$E,"Occupied")</f>
        <v/>
      </c>
      <c r="I72" s="82">
        <f>IF(E72&lt;&gt;"Occupied",0,IF(H72=1,350,IF(H72=2,200,0)))</f>
        <v/>
      </c>
      <c r="J72" s="82">
        <f>IF(E72="Occupied",IFERROR(SUMIFS('Electricity Management'!$J:$J,'Electricity Management'!$A:$A,A72,'Electricity Management'!$C:$C,B72),0),0)</f>
        <v/>
      </c>
      <c r="K72" s="82">
        <f t="array" ref="K72:K72">IF(E72="Occupied",IFERROR(INDEX('Electricity Management'!$T:$T,MATCH(1,('Electricity Management'!$K:$K=A72)*('Electricity Management'!$L:$L=B72),0)),0),"")</f>
        <v/>
      </c>
      <c r="O72" s="117" t="n"/>
      <c r="P72" s="116" t="n"/>
      <c r="Q72" s="116" t="n"/>
      <c r="R72" s="116" t="n"/>
      <c r="S72" s="119" t="n"/>
      <c r="T72" s="120">
        <f>IF(F72="Yes",A72&amp;"-"&amp;B72,C72)</f>
        <v/>
      </c>
    </row>
    <row r="73" ht="14.25" customHeight="1" s="83">
      <c r="A73" s="116" t="n"/>
      <c r="B73" s="116" t="n"/>
      <c r="C73" s="116" t="n"/>
      <c r="D73" s="116" t="n"/>
      <c r="E73" s="116">
        <f>IF(D73&lt;&gt;"","Occupied","Vacant")</f>
        <v/>
      </c>
      <c r="F73" s="116" t="n"/>
      <c r="G73" s="117" t="n"/>
      <c r="H73" s="116">
        <f>COUNTIFS($B:$B,B73,$E:$E,"Occupied")</f>
        <v/>
      </c>
      <c r="I73" s="82">
        <f>IF(E73&lt;&gt;"Occupied",0,IF(H73=1,350,IF(H73=2,200,0)))</f>
        <v/>
      </c>
      <c r="J73" s="82">
        <f>IF(E73="Occupied",IFERROR(SUMIFS('Electricity Management'!$J:$J,'Electricity Management'!$A:$A,A73,'Electricity Management'!$C:$C,B73),0),0)</f>
        <v/>
      </c>
      <c r="K73" s="82">
        <f t="array" ref="K73:K73">IF(E73="Occupied",IFERROR(INDEX('Electricity Management'!$T:$T,MATCH(1,('Electricity Management'!$K:$K=A73)*('Electricity Management'!$L:$L=B73),0)),0),"")</f>
        <v/>
      </c>
      <c r="O73" s="117" t="n"/>
      <c r="P73" s="116" t="n"/>
      <c r="Q73" s="116" t="n"/>
      <c r="R73" s="116" t="n"/>
      <c r="S73" s="119" t="n"/>
      <c r="T73" s="120">
        <f>IF(F73="Yes",A73&amp;"-"&amp;B73,C73)</f>
        <v/>
      </c>
    </row>
    <row r="74" ht="14.25" customHeight="1" s="83">
      <c r="A74" s="116" t="n"/>
      <c r="B74" s="116" t="n"/>
      <c r="C74" s="116" t="n"/>
      <c r="D74" s="116" t="n"/>
      <c r="E74" s="116">
        <f>IF(D74&lt;&gt;"","Occupied","Vacant")</f>
        <v/>
      </c>
      <c r="F74" s="116" t="n"/>
      <c r="G74" s="117" t="n"/>
      <c r="H74" s="116">
        <f>COUNTIFS($B:$B,B74,$E:$E,"Occupied")</f>
        <v/>
      </c>
      <c r="I74" s="82">
        <f>IF(E74&lt;&gt;"Occupied",0,IF(H74=1,350,IF(H74=2,200,0)))</f>
        <v/>
      </c>
      <c r="J74" s="82">
        <f>IF(E74="Occupied",IFERROR(SUMIFS('Electricity Management'!$J:$J,'Electricity Management'!$A:$A,A74,'Electricity Management'!$C:$C,B74),0),0)</f>
        <v/>
      </c>
      <c r="K74" s="82">
        <f t="array" ref="K74:K74">IF(E74="Occupied",IFERROR(INDEX('Electricity Management'!$T:$T,MATCH(1,('Electricity Management'!$K:$K=A74)*('Electricity Management'!$L:$L=B74),0)),0),"")</f>
        <v/>
      </c>
      <c r="O74" s="117" t="n"/>
      <c r="P74" s="116" t="n"/>
      <c r="Q74" s="116" t="n"/>
      <c r="R74" s="116" t="n"/>
      <c r="S74" s="119" t="n"/>
      <c r="T74" s="120">
        <f>IF(F74="Yes",A74&amp;"-"&amp;B74,C74)</f>
        <v/>
      </c>
    </row>
    <row r="75" ht="14.25" customHeight="1" s="83">
      <c r="A75" s="116" t="n"/>
      <c r="B75" s="116" t="n"/>
      <c r="C75" s="116" t="n"/>
      <c r="D75" s="116" t="n"/>
      <c r="E75" s="116">
        <f>IF(D75&lt;&gt;"","Occupied","Vacant")</f>
        <v/>
      </c>
      <c r="F75" s="116" t="n"/>
      <c r="G75" s="117" t="n"/>
      <c r="H75" s="116">
        <f>COUNTIFS($B:$B,B75,$E:$E,"Occupied")</f>
        <v/>
      </c>
      <c r="I75" s="82">
        <f>IF(E75&lt;&gt;"Occupied",0,IF(H75=1,350,IF(H75=2,200,0)))</f>
        <v/>
      </c>
      <c r="J75" s="82">
        <f>IF(E75="Occupied",IFERROR(SUMIFS('Electricity Management'!$J:$J,'Electricity Management'!$A:$A,A75,'Electricity Management'!$C:$C,B75),0),0)</f>
        <v/>
      </c>
      <c r="K75" s="82">
        <f t="array" ref="K75:K75">IF(E75="Occupied",IFERROR(INDEX('Electricity Management'!$T:$T,MATCH(1,('Electricity Management'!$K:$K=A75)*('Electricity Management'!$L:$L=B75),0)),0),"")</f>
        <v/>
      </c>
      <c r="O75" s="117" t="n"/>
      <c r="P75" s="116" t="n"/>
      <c r="Q75" s="116" t="n"/>
      <c r="R75" s="116" t="n"/>
      <c r="S75" s="119" t="n"/>
      <c r="T75" s="120">
        <f>IF(F75="Yes",A75&amp;"-"&amp;B75,C75)</f>
        <v/>
      </c>
    </row>
    <row r="76" ht="14.25" customHeight="1" s="83">
      <c r="A76" s="116" t="n"/>
      <c r="B76" s="116" t="n"/>
      <c r="C76" s="116" t="n"/>
      <c r="D76" s="116" t="n"/>
      <c r="E76" s="116">
        <f>IF(D76&lt;&gt;"","Occupied","Vacant")</f>
        <v/>
      </c>
      <c r="F76" s="116" t="n"/>
      <c r="G76" s="117" t="n"/>
      <c r="H76" s="116">
        <f>COUNTIFS($B:$B,B76,$E:$E,"Occupied")</f>
        <v/>
      </c>
      <c r="I76" s="82">
        <f>IF(E76&lt;&gt;"Occupied",0,IF(H76=1,350,IF(H76=2,200,0)))</f>
        <v/>
      </c>
      <c r="J76" s="82">
        <f>IF(E76="Occupied",IFERROR(SUMIFS('Electricity Management'!$J:$J,'Electricity Management'!$A:$A,A76,'Electricity Management'!$C:$C,B76),0),0)</f>
        <v/>
      </c>
      <c r="K76" s="82">
        <f t="array" ref="K76:K76">IF(E76="Occupied",IFERROR(INDEX('Electricity Management'!$T:$T,MATCH(1,('Electricity Management'!$K:$K=A76)*('Electricity Management'!$L:$L=B76),0)),0),"")</f>
        <v/>
      </c>
      <c r="O76" s="117" t="n"/>
      <c r="P76" s="116" t="n"/>
      <c r="Q76" s="116" t="n"/>
      <c r="R76" s="116" t="n"/>
      <c r="S76" s="119" t="n"/>
      <c r="T76" s="120">
        <f>IF(F76="Yes",A76&amp;"-"&amp;B76,C76)</f>
        <v/>
      </c>
    </row>
    <row r="77" ht="14.25" customHeight="1" s="83">
      <c r="A77" s="116" t="n"/>
      <c r="B77" s="116" t="n"/>
      <c r="C77" s="116" t="n"/>
      <c r="D77" s="116" t="n"/>
      <c r="E77" s="116">
        <f>IF(D77&lt;&gt;"","Occupied","Vacant")</f>
        <v/>
      </c>
      <c r="F77" s="116" t="n"/>
      <c r="G77" s="117" t="n"/>
      <c r="H77" s="116">
        <f>COUNTIFS($B:$B,B77,$E:$E,"Occupied")</f>
        <v/>
      </c>
      <c r="I77" s="82">
        <f>IF(E77&lt;&gt;"Occupied",0,IF(H77=1,350,IF(H77=2,200,0)))</f>
        <v/>
      </c>
      <c r="J77" s="82">
        <f>IF(E77="Occupied",IFERROR(SUMIFS('Electricity Management'!$J:$J,'Electricity Management'!$A:$A,A77,'Electricity Management'!$C:$C,B77),0),0)</f>
        <v/>
      </c>
      <c r="K77" s="82">
        <f t="array" ref="K77:K77">IF(E77="Occupied",IFERROR(INDEX('Electricity Management'!$T:$T,MATCH(1,('Electricity Management'!$K:$K=A77)*('Electricity Management'!$L:$L=B77),0)),0),"")</f>
        <v/>
      </c>
      <c r="O77" s="117" t="n"/>
      <c r="P77" s="116" t="n"/>
      <c r="Q77" s="116" t="n"/>
      <c r="R77" s="116" t="n"/>
      <c r="S77" s="119" t="n"/>
      <c r="T77" s="120">
        <f>IF(F77="Yes",A77&amp;"-"&amp;B77,C77)</f>
        <v/>
      </c>
    </row>
    <row r="78" ht="14.25" customHeight="1" s="83">
      <c r="A78" s="116" t="n"/>
      <c r="B78" s="116" t="n"/>
      <c r="C78" s="116" t="n"/>
      <c r="D78" s="116" t="n"/>
      <c r="E78" s="116">
        <f>IF(D78&lt;&gt;"","Occupied","Vacant")</f>
        <v/>
      </c>
      <c r="F78" s="116" t="n"/>
      <c r="G78" s="117" t="n"/>
      <c r="H78" s="116">
        <f>COUNTIFS($B:$B,B78,$E:$E,"Occupied")</f>
        <v/>
      </c>
      <c r="I78" s="82">
        <f>IF(E78&lt;&gt;"Occupied",0,IF(H78=1,350,IF(H78=2,200,0)))</f>
        <v/>
      </c>
      <c r="J78" s="82">
        <f>IF(E78="Occupied",IFERROR(SUMIFS('Electricity Management'!$J:$J,'Electricity Management'!$A:$A,A78,'Electricity Management'!$C:$C,B78),0),0)</f>
        <v/>
      </c>
      <c r="K78" s="82">
        <f t="array" ref="K78:K78">IF(E78="Occupied",IFERROR(INDEX('Electricity Management'!$T:$T,MATCH(1,('Electricity Management'!$K:$K=A78)*('Electricity Management'!$L:$L=B78),0)),0),"")</f>
        <v/>
      </c>
      <c r="O78" s="117" t="n"/>
      <c r="P78" s="116" t="n"/>
      <c r="Q78" s="116" t="n"/>
      <c r="R78" s="116" t="n"/>
      <c r="S78" s="119" t="n"/>
      <c r="T78" s="120">
        <f>IF(F78="Yes",A78&amp;"-"&amp;B78,C78)</f>
        <v/>
      </c>
    </row>
    <row r="79" ht="14.25" customHeight="1" s="83">
      <c r="A79" s="116" t="n"/>
      <c r="B79" s="116" t="n"/>
      <c r="C79" s="116" t="n"/>
      <c r="D79" s="116" t="n"/>
      <c r="E79" s="116">
        <f>IF(D79&lt;&gt;"","Occupied","Vacant")</f>
        <v/>
      </c>
      <c r="F79" s="116" t="n"/>
      <c r="G79" s="117" t="n"/>
      <c r="H79" s="116">
        <f>COUNTIFS($B:$B,B79,$E:$E,"Occupied")</f>
        <v/>
      </c>
      <c r="I79" s="82">
        <f>IF(E79&lt;&gt;"Occupied",0,IF(H79=1,350,IF(H79=2,200,0)))</f>
        <v/>
      </c>
      <c r="J79" s="82">
        <f>IF(E79="Occupied",IFERROR(SUMIFS('Electricity Management'!$J:$J,'Electricity Management'!$A:$A,A79,'Electricity Management'!$C:$C,B79),0),0)</f>
        <v/>
      </c>
      <c r="K79" s="82">
        <f t="array" ref="K79:K79">IF(E79="Occupied",IFERROR(INDEX('Electricity Management'!$T:$T,MATCH(1,('Electricity Management'!$K:$K=A79)*('Electricity Management'!$L:$L=B79),0)),0),"")</f>
        <v/>
      </c>
      <c r="O79" s="117" t="n"/>
      <c r="P79" s="116" t="n"/>
      <c r="Q79" s="116" t="n"/>
      <c r="R79" s="116" t="n"/>
      <c r="S79" s="119" t="n"/>
      <c r="T79" s="120">
        <f>IF(F79="Yes",A79&amp;"-"&amp;B79,C79)</f>
        <v/>
      </c>
    </row>
    <row r="80" ht="14.25" customHeight="1" s="83">
      <c r="A80" s="116" t="n"/>
      <c r="B80" s="116" t="n"/>
      <c r="C80" s="116" t="n"/>
      <c r="D80" s="116" t="n"/>
      <c r="E80" s="116">
        <f>IF(D80&lt;&gt;"","Occupied","Vacant")</f>
        <v/>
      </c>
      <c r="F80" s="116" t="n"/>
      <c r="G80" s="117" t="n"/>
      <c r="H80" s="116">
        <f>COUNTIFS($B:$B,B80,$E:$E,"Occupied")</f>
        <v/>
      </c>
      <c r="I80" s="82">
        <f>IF(E80&lt;&gt;"Occupied",0,IF(H80=1,350,IF(H80=2,200,0)))</f>
        <v/>
      </c>
      <c r="J80" s="82">
        <f>IF(E80="Occupied",IFERROR(SUMIFS('Electricity Management'!$J:$J,'Electricity Management'!$A:$A,A80,'Electricity Management'!$C:$C,B80),0),0)</f>
        <v/>
      </c>
      <c r="K80" s="82">
        <f t="array" ref="K80:K80">IF(E80="Occupied",IFERROR(INDEX('Electricity Management'!$T:$T,MATCH(1,('Electricity Management'!$K:$K=A80)*('Electricity Management'!$L:$L=B80),0)),0),"")</f>
        <v/>
      </c>
      <c r="O80" s="117" t="n"/>
      <c r="P80" s="116" t="n"/>
      <c r="Q80" s="116" t="n"/>
      <c r="R80" s="116" t="n"/>
      <c r="S80" s="119" t="n"/>
      <c r="T80" s="120">
        <f>IF(F80="Yes",A80&amp;"-"&amp;B80,C80)</f>
        <v/>
      </c>
    </row>
    <row r="81" ht="14.25" customHeight="1" s="83">
      <c r="A81" s="116" t="n"/>
      <c r="B81" s="116" t="n"/>
      <c r="C81" s="116" t="n"/>
      <c r="D81" s="116" t="n"/>
      <c r="E81" s="116">
        <f>IF(D81&lt;&gt;"","Occupied","Vacant")</f>
        <v/>
      </c>
      <c r="F81" s="116" t="n"/>
      <c r="G81" s="117" t="n"/>
      <c r="H81" s="116">
        <f>COUNTIFS($B:$B,B81,$E:$E,"Occupied")</f>
        <v/>
      </c>
      <c r="I81" s="82">
        <f>IF(E81&lt;&gt;"Occupied",0,IF(H81=1,350,IF(H81=2,200,0)))</f>
        <v/>
      </c>
      <c r="J81" s="82">
        <f>IF(E81="Occupied",IFERROR(SUMIFS('Electricity Management'!$J:$J,'Electricity Management'!$A:$A,A81,'Electricity Management'!$C:$C,B81),0),0)</f>
        <v/>
      </c>
      <c r="K81" s="82">
        <f t="array" ref="K81:K81">IF(E81="Occupied",IFERROR(INDEX('Electricity Management'!$T:$T,MATCH(1,('Electricity Management'!$K:$K=A81)*('Electricity Management'!$L:$L=B81),0)),0),"")</f>
        <v/>
      </c>
      <c r="O81" s="117" t="n"/>
      <c r="P81" s="116" t="n"/>
      <c r="Q81" s="116" t="n"/>
      <c r="R81" s="116" t="n"/>
      <c r="S81" s="119" t="n"/>
      <c r="T81" s="120">
        <f>IF(F81="Yes",A81&amp;"-"&amp;B81,C81)</f>
        <v/>
      </c>
    </row>
    <row r="82" ht="14.25" customHeight="1" s="83">
      <c r="A82" s="116" t="n"/>
      <c r="B82" s="116" t="n"/>
      <c r="C82" s="116" t="n"/>
      <c r="D82" s="116" t="n"/>
      <c r="E82" s="116">
        <f>IF(D82&lt;&gt;"","Occupied","Vacant")</f>
        <v/>
      </c>
      <c r="F82" s="116" t="n"/>
      <c r="G82" s="117" t="n"/>
      <c r="H82" s="116">
        <f>COUNTIFS($B:$B,B82,$E:$E,"Occupied")</f>
        <v/>
      </c>
      <c r="I82" s="82">
        <f>IF(E82&lt;&gt;"Occupied",0,IF(H82=1,350,IF(H82=2,200,0)))</f>
        <v/>
      </c>
      <c r="J82" s="82">
        <f>IF(E82="Occupied",IFERROR(SUMIFS('Electricity Management'!$J:$J,'Electricity Management'!$A:$A,A82,'Electricity Management'!$C:$C,B82),0),0)</f>
        <v/>
      </c>
      <c r="K82" s="82">
        <f t="array" ref="K82:K82">IF(E82="Occupied",IFERROR(INDEX('Electricity Management'!$T:$T,MATCH(1,('Electricity Management'!$K:$K=A82)*('Electricity Management'!$L:$L=B82),0)),0),"")</f>
        <v/>
      </c>
      <c r="O82" s="117" t="n"/>
      <c r="P82" s="116" t="n"/>
      <c r="Q82" s="116" t="n"/>
      <c r="R82" s="116" t="n"/>
      <c r="S82" s="119" t="n"/>
      <c r="T82" s="120">
        <f>IF(F82="Yes",A82&amp;"-"&amp;B82,C82)</f>
        <v/>
      </c>
    </row>
    <row r="83" ht="14.25" customHeight="1" s="83">
      <c r="A83" s="116" t="n"/>
      <c r="B83" s="116" t="n"/>
      <c r="C83" s="116" t="n"/>
      <c r="D83" s="116" t="n"/>
      <c r="E83" s="116">
        <f>IF(D83&lt;&gt;"","Occupied","Vacant")</f>
        <v/>
      </c>
      <c r="F83" s="116" t="n"/>
      <c r="G83" s="117" t="n"/>
      <c r="H83" s="116">
        <f>COUNTIFS($B:$B,B83,$E:$E,"Occupied")</f>
        <v/>
      </c>
      <c r="I83" s="82">
        <f>IF(E83&lt;&gt;"Occupied",0,IF(H83=1,350,IF(H83=2,200,0)))</f>
        <v/>
      </c>
      <c r="J83" s="82">
        <f>IF(E83="Occupied",IFERROR(SUMIFS('Electricity Management'!$J:$J,'Electricity Management'!$A:$A,A83,'Electricity Management'!$C:$C,B83),0),0)</f>
        <v/>
      </c>
      <c r="K83" s="82">
        <f t="array" ref="K83:K83">IF(E83="Occupied",IFERROR(INDEX('Electricity Management'!$T:$T,MATCH(1,('Electricity Management'!$K:$K=A83)*('Electricity Management'!$L:$L=B83),0)),0),"")</f>
        <v/>
      </c>
      <c r="O83" s="117" t="n"/>
      <c r="P83" s="116" t="n"/>
      <c r="Q83" s="116" t="n"/>
      <c r="R83" s="116" t="n"/>
      <c r="S83" s="119" t="n"/>
      <c r="T83" s="120">
        <f>IF(F83="Yes",A83&amp;"-"&amp;B83,C83)</f>
        <v/>
      </c>
    </row>
    <row r="84" ht="14.25" customHeight="1" s="83">
      <c r="A84" s="116" t="n"/>
      <c r="B84" s="116" t="n"/>
      <c r="C84" s="116" t="n"/>
      <c r="D84" s="116" t="n"/>
      <c r="E84" s="116">
        <f>IF(D84&lt;&gt;"","Occupied","Vacant")</f>
        <v/>
      </c>
      <c r="F84" s="116" t="n"/>
      <c r="G84" s="117" t="n"/>
      <c r="H84" s="116">
        <f>COUNTIFS($B:$B,B84,$E:$E,"Occupied")</f>
        <v/>
      </c>
      <c r="I84" s="82">
        <f>IF(E84&lt;&gt;"Occupied",0,IF(H84=1,350,IF(H84=2,200,0)))</f>
        <v/>
      </c>
      <c r="J84" s="82">
        <f>IF(E84="Occupied",IFERROR(SUMIFS('Electricity Management'!$J:$J,'Electricity Management'!$A:$A,A84,'Electricity Management'!$C:$C,B84),0),0)</f>
        <v/>
      </c>
      <c r="K84" s="82">
        <f t="array" ref="K84:K84">IF(E84="Occupied",IFERROR(INDEX('Electricity Management'!$T:$T,MATCH(1,('Electricity Management'!$K:$K=A84)*('Electricity Management'!$L:$L=B84),0)),0),"")</f>
        <v/>
      </c>
      <c r="O84" s="117" t="n"/>
      <c r="P84" s="116" t="n"/>
      <c r="Q84" s="116" t="n"/>
      <c r="R84" s="116" t="n"/>
      <c r="S84" s="119" t="n"/>
      <c r="T84" s="120">
        <f>IF(F84="Yes",A84&amp;"-"&amp;B84,C84)</f>
        <v/>
      </c>
    </row>
    <row r="85" ht="14.25" customHeight="1" s="83">
      <c r="A85" s="116" t="n"/>
      <c r="B85" s="116" t="n"/>
      <c r="C85" s="116" t="n"/>
      <c r="D85" s="116" t="n"/>
      <c r="E85" s="116">
        <f>IF(D85&lt;&gt;"","Occupied","Vacant")</f>
        <v/>
      </c>
      <c r="F85" s="116" t="n"/>
      <c r="G85" s="117" t="n"/>
      <c r="H85" s="116">
        <f>COUNTIFS($B:$B,B85,$E:$E,"Occupied")</f>
        <v/>
      </c>
      <c r="I85" s="82">
        <f>IF(E85&lt;&gt;"Occupied",0,IF(H85=1,350,IF(H85=2,200,0)))</f>
        <v/>
      </c>
      <c r="J85" s="82">
        <f>IF(E85="Occupied",IFERROR(SUMIFS('Electricity Management'!$J:$J,'Electricity Management'!$A:$A,A85,'Electricity Management'!$C:$C,B85),0),0)</f>
        <v/>
      </c>
      <c r="K85" s="82">
        <f t="array" ref="K85:K85">IF(E85="Occupied",IFERROR(INDEX('Electricity Management'!$T:$T,MATCH(1,('Electricity Management'!$K:$K=A85)*('Electricity Management'!$L:$L=B85),0)),0),"")</f>
        <v/>
      </c>
      <c r="O85" s="117" t="n"/>
      <c r="P85" s="116" t="n"/>
      <c r="Q85" s="116" t="n"/>
      <c r="R85" s="116" t="n"/>
      <c r="S85" s="119" t="n"/>
      <c r="T85" s="120">
        <f>IF(F85="Yes",A85&amp;"-"&amp;B85,C85)</f>
        <v/>
      </c>
    </row>
    <row r="86" ht="14.25" customHeight="1" s="83">
      <c r="A86" s="116" t="n"/>
      <c r="B86" s="116" t="n"/>
      <c r="C86" s="116" t="n"/>
      <c r="D86" s="116" t="n"/>
      <c r="E86" s="116">
        <f>IF(D86&lt;&gt;"","Occupied","Vacant")</f>
        <v/>
      </c>
      <c r="F86" s="116" t="n"/>
      <c r="G86" s="117" t="n"/>
      <c r="H86" s="116">
        <f>COUNTIFS($B:$B,B86,$E:$E,"Occupied")</f>
        <v/>
      </c>
      <c r="I86" s="82">
        <f>IF(E86&lt;&gt;"Occupied",0,IF(H86=1,350,IF(H86=2,200,0)))</f>
        <v/>
      </c>
      <c r="J86" s="82">
        <f>IF(E86="Occupied",IFERROR(SUMIFS('Electricity Management'!$J:$J,'Electricity Management'!$A:$A,A86,'Electricity Management'!$C:$C,B86),0),0)</f>
        <v/>
      </c>
      <c r="K86" s="82">
        <f t="array" ref="K86:K86">IF(E86="Occupied",IFERROR(INDEX('Electricity Management'!$T:$T,MATCH(1,('Electricity Management'!$K:$K=A86)*('Electricity Management'!$L:$L=B86),0)),0),"")</f>
        <v/>
      </c>
      <c r="O86" s="117" t="n"/>
      <c r="P86" s="116" t="n"/>
      <c r="Q86" s="116" t="n"/>
      <c r="R86" s="116" t="n"/>
      <c r="S86" s="119" t="n"/>
      <c r="T86" s="120">
        <f>IF(F86="Yes",A86&amp;"-"&amp;B86,C86)</f>
        <v/>
      </c>
    </row>
    <row r="87" ht="14.25" customHeight="1" s="83">
      <c r="A87" s="116" t="n"/>
      <c r="B87" s="116" t="n"/>
      <c r="C87" s="116" t="n"/>
      <c r="D87" s="116" t="n"/>
      <c r="E87" s="116">
        <f>IF(D87&lt;&gt;"","Occupied","Vacant")</f>
        <v/>
      </c>
      <c r="F87" s="116" t="n"/>
      <c r="G87" s="117" t="n"/>
      <c r="H87" s="116">
        <f>COUNTIFS($B:$B,B87,$E:$E,"Occupied")</f>
        <v/>
      </c>
      <c r="I87" s="82">
        <f>IF(E87&lt;&gt;"Occupied",0,IF(H87=1,350,IF(H87=2,200,0)))</f>
        <v/>
      </c>
      <c r="J87" s="82">
        <f>IF(E87="Occupied",IFERROR(SUMIFS('Electricity Management'!$J:$J,'Electricity Management'!$A:$A,A87,'Electricity Management'!$C:$C,B87),0),0)</f>
        <v/>
      </c>
      <c r="K87" s="82">
        <f t="array" ref="K87:K87">IF(E87="Occupied",IFERROR(INDEX('Electricity Management'!$T:$T,MATCH(1,('Electricity Management'!$K:$K=A87)*('Electricity Management'!$L:$L=B87),0)),0),"")</f>
        <v/>
      </c>
      <c r="O87" s="117" t="n"/>
      <c r="P87" s="116" t="n"/>
      <c r="Q87" s="116" t="n"/>
      <c r="R87" s="116" t="n"/>
      <c r="S87" s="119" t="n"/>
      <c r="T87" s="120">
        <f>IF(F87="Yes",A87&amp;"-"&amp;B87,C87)</f>
        <v/>
      </c>
    </row>
    <row r="88" ht="14.25" customHeight="1" s="83">
      <c r="A88" s="116" t="n"/>
      <c r="B88" s="116" t="n"/>
      <c r="C88" s="116" t="n"/>
      <c r="D88" s="116" t="n"/>
      <c r="E88" s="116">
        <f>IF(D88&lt;&gt;"","Occupied","Vacant")</f>
        <v/>
      </c>
      <c r="F88" s="116" t="n"/>
      <c r="G88" s="117" t="n"/>
      <c r="H88" s="116">
        <f>COUNTIFS($B:$B,B88,$E:$E,"Occupied")</f>
        <v/>
      </c>
      <c r="I88" s="82">
        <f>IF(E88&lt;&gt;"Occupied",0,IF(H88=1,350,IF(H88=2,200,0)))</f>
        <v/>
      </c>
      <c r="J88" s="82">
        <f>IF(E88="Occupied",IFERROR(SUMIFS('Electricity Management'!$J:$J,'Electricity Management'!$A:$A,A88,'Electricity Management'!$C:$C,B88),0),0)</f>
        <v/>
      </c>
      <c r="K88" s="82">
        <f t="array" ref="K88:K88">IF(E88="Occupied",IFERROR(INDEX('Electricity Management'!$T:$T,MATCH(1,('Electricity Management'!$K:$K=A88)*('Electricity Management'!$L:$L=B88),0)),0),"")</f>
        <v/>
      </c>
      <c r="O88" s="117" t="n"/>
      <c r="P88" s="116" t="n"/>
      <c r="Q88" s="116" t="n"/>
      <c r="R88" s="116" t="n"/>
      <c r="S88" s="119" t="n"/>
      <c r="T88" s="120">
        <f>IF(F88="Yes",A88&amp;"-"&amp;B88,C88)</f>
        <v/>
      </c>
    </row>
    <row r="89" ht="14.25" customHeight="1" s="83">
      <c r="A89" s="116" t="n"/>
      <c r="B89" s="116" t="n"/>
      <c r="C89" s="116" t="n"/>
      <c r="D89" s="116" t="n"/>
      <c r="E89" s="116">
        <f>IF(D89&lt;&gt;"","Occupied","Vacant")</f>
        <v/>
      </c>
      <c r="F89" s="116" t="n"/>
      <c r="G89" s="117" t="n"/>
      <c r="H89" s="116">
        <f>COUNTIFS($B:$B,B89,$E:$E,"Occupied")</f>
        <v/>
      </c>
      <c r="I89" s="82">
        <f>IF(E89&lt;&gt;"Occupied",0,IF(H89=1,350,IF(H89=2,200,0)))</f>
        <v/>
      </c>
      <c r="J89" s="82">
        <f>IF(E89="Occupied",IFERROR(SUMIFS('Electricity Management'!$J:$J,'Electricity Management'!$A:$A,A89,'Electricity Management'!$C:$C,B89),0),0)</f>
        <v/>
      </c>
      <c r="K89" s="82">
        <f t="array" ref="K89:K89">IF(E89="Occupied",IFERROR(INDEX('Electricity Management'!$T:$T,MATCH(1,('Electricity Management'!$K:$K=A89)*('Electricity Management'!$L:$L=B89),0)),0),"")</f>
        <v/>
      </c>
      <c r="O89" s="117" t="n"/>
      <c r="P89" s="116" t="n"/>
      <c r="Q89" s="116" t="n"/>
      <c r="R89" s="116" t="n"/>
      <c r="S89" s="119" t="n"/>
      <c r="T89" s="120">
        <f>IF(F89="Yes",A89&amp;"-"&amp;B89,C89)</f>
        <v/>
      </c>
    </row>
    <row r="90" ht="14.25" customHeight="1" s="83">
      <c r="A90" s="116" t="n"/>
      <c r="B90" s="116" t="n"/>
      <c r="C90" s="116" t="n"/>
      <c r="D90" s="116" t="n"/>
      <c r="E90" s="116">
        <f>IF(D90&lt;&gt;"","Occupied","Vacant")</f>
        <v/>
      </c>
      <c r="F90" s="116" t="n"/>
      <c r="G90" s="117" t="n"/>
      <c r="H90" s="116">
        <f>COUNTIFS($B:$B,B90,$E:$E,"Occupied")</f>
        <v/>
      </c>
      <c r="I90" s="82">
        <f>IF(E90&lt;&gt;"Occupied",0,IF(H90=1,350,IF(H90=2,200,0)))</f>
        <v/>
      </c>
      <c r="J90" s="82">
        <f>IF(E90="Occupied",IFERROR(SUMIFS('Electricity Management'!$J:$J,'Electricity Management'!$A:$A,A90,'Electricity Management'!$C:$C,B90),0),0)</f>
        <v/>
      </c>
      <c r="K90" s="82">
        <f t="array" ref="K90:K90">IF(E90="Occupied",IFERROR(INDEX('Electricity Management'!$T:$T,MATCH(1,('Electricity Management'!$K:$K=A90)*('Electricity Management'!$L:$L=B90),0)),0),"")</f>
        <v/>
      </c>
      <c r="O90" s="117" t="n"/>
      <c r="P90" s="116" t="n"/>
      <c r="Q90" s="116" t="n"/>
      <c r="R90" s="116" t="n"/>
      <c r="S90" s="119" t="n"/>
      <c r="T90" s="120">
        <f>IF(F90="Yes",A90&amp;"-"&amp;B90,C90)</f>
        <v/>
      </c>
    </row>
    <row r="91" ht="14.25" customHeight="1" s="83">
      <c r="A91" s="116" t="n"/>
      <c r="B91" s="116" t="n"/>
      <c r="C91" s="116" t="n"/>
      <c r="D91" s="116" t="n"/>
      <c r="E91" s="116">
        <f>IF(D91&lt;&gt;"","Occupied","Vacant")</f>
        <v/>
      </c>
      <c r="F91" s="116" t="n"/>
      <c r="G91" s="117" t="n"/>
      <c r="H91" s="116">
        <f>COUNTIFS($B:$B,B91,$E:$E,"Occupied")</f>
        <v/>
      </c>
      <c r="I91" s="82">
        <f>IF(E91&lt;&gt;"Occupied",0,IF(H91=1,350,IF(H91=2,200,0)))</f>
        <v/>
      </c>
      <c r="J91" s="82">
        <f>IF(E91="Occupied",IFERROR(SUMIFS('Electricity Management'!$J:$J,'Electricity Management'!$A:$A,A91,'Electricity Management'!$C:$C,B91),0),0)</f>
        <v/>
      </c>
      <c r="K91" s="82">
        <f t="array" ref="K91:K91">IF(E91="Occupied",IFERROR(INDEX('Electricity Management'!$T:$T,MATCH(1,('Electricity Management'!$K:$K=A91)*('Electricity Management'!$L:$L=B91),0)),0),"")</f>
        <v/>
      </c>
      <c r="O91" s="117" t="n"/>
      <c r="P91" s="116" t="n"/>
      <c r="Q91" s="116" t="n"/>
      <c r="R91" s="116" t="n"/>
      <c r="S91" s="119" t="n"/>
      <c r="T91" s="120">
        <f>IF(F91="Yes",A91&amp;"-"&amp;B91,C91)</f>
        <v/>
      </c>
    </row>
    <row r="92" ht="14.25" customHeight="1" s="83">
      <c r="A92" s="116" t="n"/>
      <c r="B92" s="116" t="n"/>
      <c r="C92" s="116" t="n"/>
      <c r="D92" s="116" t="n"/>
      <c r="E92" s="116">
        <f>IF(D92&lt;&gt;"","Occupied","Vacant")</f>
        <v/>
      </c>
      <c r="F92" s="116" t="n"/>
      <c r="G92" s="117" t="n"/>
      <c r="H92" s="116">
        <f>COUNTIFS($B:$B,B92,$E:$E,"Occupied")</f>
        <v/>
      </c>
      <c r="I92" s="82">
        <f>IF(E92&lt;&gt;"Occupied",0,IF(H92=1,350,IF(H92=2,200,0)))</f>
        <v/>
      </c>
      <c r="J92" s="82">
        <f>IF(E92="Occupied",IFERROR(SUMIFS('Electricity Management'!$J:$J,'Electricity Management'!$A:$A,A92,'Electricity Management'!$C:$C,B92),0),0)</f>
        <v/>
      </c>
      <c r="K92" s="82">
        <f t="array" ref="K92:K92">IF(E92="Occupied",IFERROR(INDEX('Electricity Management'!$T:$T,MATCH(1,('Electricity Management'!$K:$K=A92)*('Electricity Management'!$L:$L=B92),0)),0),"")</f>
        <v/>
      </c>
      <c r="O92" s="117" t="n"/>
      <c r="P92" s="116" t="n"/>
      <c r="Q92" s="116" t="n"/>
      <c r="R92" s="116" t="n"/>
      <c r="S92" s="119" t="n"/>
      <c r="T92" s="120">
        <f>IF(F92="Yes",A92&amp;"-"&amp;B92,C92)</f>
        <v/>
      </c>
    </row>
    <row r="93" ht="14.25" customHeight="1" s="83">
      <c r="A93" s="116" t="n"/>
      <c r="B93" s="116" t="n"/>
      <c r="C93" s="116" t="n"/>
      <c r="D93" s="116" t="n"/>
      <c r="E93" s="116">
        <f>IF(D93&lt;&gt;"","Occupied","Vacant")</f>
        <v/>
      </c>
      <c r="F93" s="116" t="n"/>
      <c r="G93" s="117" t="n"/>
      <c r="H93" s="116">
        <f>COUNTIFS($B:$B,B93,$E:$E,"Occupied")</f>
        <v/>
      </c>
      <c r="I93" s="82">
        <f>IF(E93&lt;&gt;"Occupied",0,IF(H93=1,350,IF(H93=2,200,0)))</f>
        <v/>
      </c>
      <c r="J93" s="82">
        <f>IF(E93="Occupied",IFERROR(SUMIFS('Electricity Management'!$J:$J,'Electricity Management'!$A:$A,A93,'Electricity Management'!$C:$C,B93),0),0)</f>
        <v/>
      </c>
      <c r="K93" s="82">
        <f t="array" ref="K93:K93">IF(E93="Occupied",IFERROR(INDEX('Electricity Management'!$T:$T,MATCH(1,('Electricity Management'!$K:$K=A93)*('Electricity Management'!$L:$L=B93),0)),0),"")</f>
        <v/>
      </c>
      <c r="O93" s="117" t="n"/>
      <c r="P93" s="116" t="n"/>
      <c r="Q93" s="116" t="n"/>
      <c r="R93" s="116" t="n"/>
      <c r="S93" s="119" t="n"/>
      <c r="T93" s="120">
        <f>IF(F93="Yes",A93&amp;"-"&amp;B93,C93)</f>
        <v/>
      </c>
    </row>
    <row r="94" ht="14.25" customHeight="1" s="83">
      <c r="A94" s="116" t="n"/>
      <c r="B94" s="116" t="n"/>
      <c r="C94" s="116" t="n"/>
      <c r="D94" s="116" t="n"/>
      <c r="E94" s="116">
        <f>IF(D94&lt;&gt;"","Occupied","Vacant")</f>
        <v/>
      </c>
      <c r="F94" s="116" t="n"/>
      <c r="G94" s="117" t="n"/>
      <c r="H94" s="116">
        <f>COUNTIFS($B:$B,B94,$E:$E,"Occupied")</f>
        <v/>
      </c>
      <c r="I94" s="82">
        <f>IF(E94&lt;&gt;"Occupied",0,IF(H94=1,350,IF(H94=2,200,0)))</f>
        <v/>
      </c>
      <c r="J94" s="82">
        <f>IF(E94="Occupied",IFERROR(SUMIFS('Electricity Management'!$J:$J,'Electricity Management'!$A:$A,A94,'Electricity Management'!$C:$C,B94),0),0)</f>
        <v/>
      </c>
      <c r="K94" s="82">
        <f t="array" ref="K94:K94">IF(E94="Occupied",IFERROR(INDEX('Electricity Management'!$T:$T,MATCH(1,('Electricity Management'!$K:$K=A94)*('Electricity Management'!$L:$L=B94),0)),0),"")</f>
        <v/>
      </c>
      <c r="O94" s="117" t="n"/>
      <c r="P94" s="116" t="n"/>
      <c r="Q94" s="116" t="n"/>
      <c r="R94" s="116" t="n"/>
      <c r="S94" s="119" t="n"/>
      <c r="T94" s="120">
        <f>IF(F94="Yes",A94&amp;"-"&amp;B94,C94)</f>
        <v/>
      </c>
    </row>
    <row r="95" ht="14.25" customHeight="1" s="83">
      <c r="A95" s="116" t="n"/>
      <c r="B95" s="116" t="n"/>
      <c r="C95" s="116" t="n"/>
      <c r="D95" s="116" t="n"/>
      <c r="E95" s="116">
        <f>IF(D95&lt;&gt;"","Occupied","Vacant")</f>
        <v/>
      </c>
      <c r="F95" s="116" t="n"/>
      <c r="G95" s="117" t="n"/>
      <c r="H95" s="116">
        <f>COUNTIFS($B:$B,B95,$E:$E,"Occupied")</f>
        <v/>
      </c>
      <c r="I95" s="82">
        <f>IF(E95&lt;&gt;"Occupied",0,IF(H95=1,350,IF(H95=2,200,0)))</f>
        <v/>
      </c>
      <c r="J95" s="82">
        <f>IF(E95="Occupied",IFERROR(SUMIFS('Electricity Management'!$J:$J,'Electricity Management'!$A:$A,A95,'Electricity Management'!$C:$C,B95),0),0)</f>
        <v/>
      </c>
      <c r="K95" s="82">
        <f t="array" ref="K95:K95">IF(E95="Occupied",IFERROR(INDEX('Electricity Management'!$T:$T,MATCH(1,('Electricity Management'!$K:$K=A95)*('Electricity Management'!$L:$L=B95),0)),0),"")</f>
        <v/>
      </c>
      <c r="O95" s="117" t="n"/>
      <c r="P95" s="116" t="n"/>
      <c r="Q95" s="116" t="n"/>
      <c r="R95" s="116" t="n"/>
      <c r="S95" s="119" t="n"/>
      <c r="T95" s="120">
        <f>IF(F95="Yes",A95&amp;"-"&amp;B95,C95)</f>
        <v/>
      </c>
    </row>
    <row r="96" ht="14.25" customHeight="1" s="83">
      <c r="A96" s="116" t="n"/>
      <c r="B96" s="116" t="n"/>
      <c r="C96" s="116" t="n"/>
      <c r="D96" s="116" t="n"/>
      <c r="E96" s="116">
        <f>IF(D96&lt;&gt;"","Occupied","Vacant")</f>
        <v/>
      </c>
      <c r="F96" s="116" t="n"/>
      <c r="G96" s="117" t="n"/>
      <c r="H96" s="116">
        <f>COUNTIFS($B:$B,B96,$E:$E,"Occupied")</f>
        <v/>
      </c>
      <c r="I96" s="82">
        <f>IF(E96&lt;&gt;"Occupied",0,IF(H96=1,350,IF(H96=2,200,0)))</f>
        <v/>
      </c>
      <c r="J96" s="82">
        <f>IF(E96="Occupied",IFERROR(SUMIFS('Electricity Management'!$J:$J,'Electricity Management'!$A:$A,A96,'Electricity Management'!$C:$C,B96),0),0)</f>
        <v/>
      </c>
      <c r="K96" s="82">
        <f t="array" ref="K96:K96">IF(E96="Occupied",IFERROR(INDEX('Electricity Management'!$T:$T,MATCH(1,('Electricity Management'!$K:$K=A96)*('Electricity Management'!$L:$L=B96),0)),0),"")</f>
        <v/>
      </c>
      <c r="O96" s="117" t="n"/>
      <c r="P96" s="116" t="n"/>
      <c r="Q96" s="116" t="n"/>
      <c r="R96" s="116" t="n"/>
      <c r="S96" s="119" t="n"/>
      <c r="T96" s="120">
        <f>IF(F96="Yes",A96&amp;"-"&amp;B96,C96)</f>
        <v/>
      </c>
    </row>
    <row r="97" ht="14.25" customHeight="1" s="83">
      <c r="A97" s="116" t="n"/>
      <c r="B97" s="116" t="n"/>
      <c r="C97" s="116" t="n"/>
      <c r="D97" s="116" t="n"/>
      <c r="E97" s="116">
        <f>IF(D97&lt;&gt;"","Occupied","Vacant")</f>
        <v/>
      </c>
      <c r="F97" s="116" t="n"/>
      <c r="G97" s="117" t="n"/>
      <c r="H97" s="116">
        <f>COUNTIFS($B:$B,B97,$E:$E,"Occupied")</f>
        <v/>
      </c>
      <c r="I97" s="82">
        <f>IF(E97&lt;&gt;"Occupied",0,IF(H97=1,350,IF(H97=2,200,0)))</f>
        <v/>
      </c>
      <c r="J97" s="82">
        <f>IF(E97="Occupied",IFERROR(SUMIFS('Electricity Management'!$J:$J,'Electricity Management'!$A:$A,A97,'Electricity Management'!$C:$C,B97),0),0)</f>
        <v/>
      </c>
      <c r="K97" s="82">
        <f t="array" ref="K97:K97">IF(E97="Occupied",IFERROR(INDEX('Electricity Management'!$T:$T,MATCH(1,('Electricity Management'!$K:$K=A97)*('Electricity Management'!$L:$L=B97),0)),0),"")</f>
        <v/>
      </c>
      <c r="O97" s="117" t="n"/>
      <c r="P97" s="116" t="n"/>
      <c r="Q97" s="116" t="n"/>
      <c r="R97" s="116" t="n"/>
      <c r="S97" s="119" t="n"/>
      <c r="T97" s="120">
        <f>IF(F97="Yes",A97&amp;"-"&amp;B97,C97)</f>
        <v/>
      </c>
    </row>
    <row r="98" ht="14.25" customHeight="1" s="83">
      <c r="A98" s="116" t="n"/>
      <c r="B98" s="116" t="n"/>
      <c r="C98" s="116" t="n"/>
      <c r="D98" s="116" t="n"/>
      <c r="E98" s="116">
        <f>IF(D98&lt;&gt;"","Occupied","Vacant")</f>
        <v/>
      </c>
      <c r="F98" s="116" t="n"/>
      <c r="G98" s="117" t="n"/>
      <c r="H98" s="116">
        <f>COUNTIFS($B:$B,B98,$E:$E,"Occupied")</f>
        <v/>
      </c>
      <c r="I98" s="82">
        <f>IF(E98&lt;&gt;"Occupied",0,IF(H98=1,350,IF(H98=2,200,0)))</f>
        <v/>
      </c>
      <c r="J98" s="82">
        <f>IF(E98="Occupied",IFERROR(SUMIFS('Electricity Management'!$J:$J,'Electricity Management'!$A:$A,A98,'Electricity Management'!$C:$C,B98),0),0)</f>
        <v/>
      </c>
      <c r="K98" s="82">
        <f t="array" ref="K98:K98">IF(E98="Occupied",IFERROR(INDEX('Electricity Management'!$T:$T,MATCH(1,('Electricity Management'!$K:$K=A98)*('Electricity Management'!$L:$L=B98),0)),0),"")</f>
        <v/>
      </c>
      <c r="O98" s="117" t="n"/>
      <c r="P98" s="116" t="n"/>
      <c r="Q98" s="116" t="n"/>
      <c r="R98" s="116" t="n"/>
      <c r="S98" s="119" t="n"/>
      <c r="T98" s="120">
        <f>IF(F98="Yes",A98&amp;"-"&amp;B98,C98)</f>
        <v/>
      </c>
    </row>
    <row r="99" ht="14.25" customHeight="1" s="83">
      <c r="A99" s="116" t="n"/>
      <c r="B99" s="116" t="n"/>
      <c r="C99" s="116" t="n"/>
      <c r="D99" s="116" t="n"/>
      <c r="E99" s="116">
        <f>IF(D99&lt;&gt;"","Occupied","Vacant")</f>
        <v/>
      </c>
      <c r="F99" s="116" t="n"/>
      <c r="G99" s="117" t="n"/>
      <c r="H99" s="116">
        <f>COUNTIFS($B:$B,B99,$E:$E,"Occupied")</f>
        <v/>
      </c>
      <c r="I99" s="82">
        <f>IF(E99&lt;&gt;"Occupied",0,IF(H99=1,350,IF(H99=2,200,0)))</f>
        <v/>
      </c>
      <c r="J99" s="82">
        <f>IF(E99="Occupied",IFERROR(SUMIFS('Electricity Management'!$J:$J,'Electricity Management'!$A:$A,A99,'Electricity Management'!$C:$C,B99),0),0)</f>
        <v/>
      </c>
      <c r="K99" s="82">
        <f t="array" ref="K99:K99">IF(E99="Occupied",IFERROR(INDEX('Electricity Management'!$T:$T,MATCH(1,('Electricity Management'!$K:$K=A99)*('Electricity Management'!$L:$L=B99),0)),0),"")</f>
        <v/>
      </c>
      <c r="O99" s="117" t="n"/>
      <c r="P99" s="116" t="n"/>
      <c r="Q99" s="116" t="n"/>
      <c r="R99" s="116" t="n"/>
      <c r="S99" s="119" t="n"/>
      <c r="T99" s="120">
        <f>IF(F99="Yes",A99&amp;"-"&amp;B99,C99)</f>
        <v/>
      </c>
    </row>
    <row r="100" ht="14.25" customHeight="1" s="83">
      <c r="A100" s="116" t="n"/>
      <c r="B100" s="116" t="n"/>
      <c r="C100" s="116" t="n"/>
      <c r="D100" s="116" t="n"/>
      <c r="E100" s="116">
        <f>IF(D100&lt;&gt;"","Occupied","Vacant")</f>
        <v/>
      </c>
      <c r="F100" s="116" t="n"/>
      <c r="G100" s="117" t="n"/>
      <c r="H100" s="116">
        <f>COUNTIFS($B:$B,B100,$E:$E,"Occupied")</f>
        <v/>
      </c>
      <c r="I100" s="82">
        <f>IF(E100&lt;&gt;"Occupied",0,IF(H100=1,350,IF(H100=2,200,0)))</f>
        <v/>
      </c>
      <c r="J100" s="82">
        <f>IF(E100="Occupied",IFERROR(SUMIFS('Electricity Management'!$J:$J,'Electricity Management'!$A:$A,A100,'Electricity Management'!$C:$C,B100),0),0)</f>
        <v/>
      </c>
      <c r="K100" s="82">
        <f t="array" ref="K100:K100">IF(E100="Occupied",IFERROR(INDEX('Electricity Management'!$T:$T,MATCH(1,('Electricity Management'!$K:$K=A100)*('Electricity Management'!$L:$L=B100),0)),0),"")</f>
        <v/>
      </c>
      <c r="O100" s="117" t="n"/>
      <c r="P100" s="116" t="n"/>
      <c r="Q100" s="116" t="n"/>
      <c r="R100" s="116" t="n"/>
      <c r="S100" s="119" t="n"/>
      <c r="T100" s="120">
        <f>IF(F100="Yes",A100&amp;"-"&amp;B100,C100)</f>
        <v/>
      </c>
    </row>
    <row r="101" ht="14.25" customHeight="1" s="83">
      <c r="A101" s="116" t="n"/>
      <c r="B101" s="116" t="n"/>
      <c r="C101" s="116" t="n"/>
      <c r="D101" s="116" t="n"/>
      <c r="E101" s="116">
        <f>IF(D101&lt;&gt;"","Occupied","Vacant")</f>
        <v/>
      </c>
      <c r="F101" s="116" t="n"/>
      <c r="G101" s="117" t="n"/>
      <c r="H101" s="116">
        <f>COUNTIFS($B:$B,B101,$E:$E,"Occupied")</f>
        <v/>
      </c>
      <c r="I101" s="82">
        <f>IF(E101&lt;&gt;"Occupied",0,IF(H101=1,350,IF(H101=2,200,0)))</f>
        <v/>
      </c>
      <c r="J101" s="82">
        <f>IF(E101="Occupied",IFERROR(SUMIFS('Electricity Management'!$J:$J,'Electricity Management'!$A:$A,A101,'Electricity Management'!$C:$C,B101),0),0)</f>
        <v/>
      </c>
      <c r="K101" s="82">
        <f t="array" ref="K101:K101">IF(E101="Occupied",IFERROR(INDEX('Electricity Management'!$T:$T,MATCH(1,('Electricity Management'!$K:$K=A101)*('Electricity Management'!$L:$L=B101),0)),0),"")</f>
        <v/>
      </c>
      <c r="O101" s="117" t="n"/>
      <c r="P101" s="116" t="n"/>
      <c r="Q101" s="116" t="n"/>
      <c r="R101" s="116" t="n"/>
      <c r="S101" s="119" t="n"/>
      <c r="T101" s="120">
        <f>IF(F101="Yes",A101&amp;"-"&amp;B101,C101)</f>
        <v/>
      </c>
    </row>
    <row r="102" ht="14.25" customHeight="1" s="83">
      <c r="A102" s="116" t="n"/>
      <c r="B102" s="116" t="n"/>
      <c r="C102" s="116" t="n"/>
      <c r="D102" s="116" t="n"/>
      <c r="E102" s="116">
        <f>IF(D102&lt;&gt;"","Occupied","Vacant")</f>
        <v/>
      </c>
      <c r="F102" s="116" t="n"/>
      <c r="G102" s="117" t="n"/>
      <c r="H102" s="116">
        <f>COUNTIFS($B:$B,B102,$E:$E,"Occupied")</f>
        <v/>
      </c>
      <c r="I102" s="82">
        <f>IF(E102&lt;&gt;"Occupied",0,IF(H102=1,350,IF(H102=2,200,0)))</f>
        <v/>
      </c>
      <c r="J102" s="82">
        <f>IF(E102="Occupied",IFERROR(SUMIFS('Electricity Management'!$J:$J,'Electricity Management'!$A:$A,A102,'Electricity Management'!$C:$C,B102),0),0)</f>
        <v/>
      </c>
      <c r="K102" s="82">
        <f t="array" ref="K102:K102">IF(E102="Occupied",IFERROR(INDEX('Electricity Management'!$T:$T,MATCH(1,('Electricity Management'!$K:$K=A102)*('Electricity Management'!$L:$L=B102),0)),0),"")</f>
        <v/>
      </c>
      <c r="O102" s="117" t="n"/>
      <c r="P102" s="116" t="n"/>
      <c r="Q102" s="116" t="n"/>
      <c r="R102" s="116" t="n"/>
      <c r="S102" s="119" t="n"/>
      <c r="T102" s="120">
        <f>IF(F102="Yes",A102&amp;"-"&amp;B102,C102)</f>
        <v/>
      </c>
    </row>
    <row r="103" ht="14.25" customHeight="1" s="83">
      <c r="A103" s="116" t="n"/>
      <c r="B103" s="116" t="n"/>
      <c r="C103" s="116" t="n"/>
      <c r="D103" s="116" t="n"/>
      <c r="E103" s="116">
        <f>IF(D103&lt;&gt;"","Occupied","Vacant")</f>
        <v/>
      </c>
      <c r="F103" s="116" t="n"/>
      <c r="G103" s="117" t="n"/>
      <c r="H103" s="116">
        <f>COUNTIFS($B:$B,B103,$E:$E,"Occupied")</f>
        <v/>
      </c>
      <c r="I103" s="82">
        <f>IF(E103&lt;&gt;"Occupied",0,IF(H103=1,350,IF(H103=2,200,0)))</f>
        <v/>
      </c>
      <c r="J103" s="82">
        <f>IF(E103="Occupied",IFERROR(SUMIFS('Electricity Management'!$J:$J,'Electricity Management'!$A:$A,A103,'Electricity Management'!$C:$C,B103),0),0)</f>
        <v/>
      </c>
      <c r="K103" s="82">
        <f t="array" ref="K103:K103">IF(E103="Occupied",IFERROR(INDEX('Electricity Management'!$T:$T,MATCH(1,('Electricity Management'!$K:$K=A103)*('Electricity Management'!$L:$L=B103),0)),0),"")</f>
        <v/>
      </c>
      <c r="O103" s="117" t="n"/>
      <c r="P103" s="116" t="n"/>
      <c r="Q103" s="116" t="n"/>
      <c r="R103" s="116" t="n"/>
      <c r="S103" s="119" t="n"/>
      <c r="T103" s="120">
        <f>IF(F103="Yes",A103&amp;"-"&amp;B103,C103)</f>
        <v/>
      </c>
    </row>
    <row r="104" ht="14.25" customHeight="1" s="83">
      <c r="A104" s="116" t="n"/>
      <c r="B104" s="116" t="n"/>
      <c r="C104" s="116" t="n"/>
      <c r="D104" s="116" t="n"/>
      <c r="E104" s="116">
        <f>IF(D104&lt;&gt;"","Occupied","Vacant")</f>
        <v/>
      </c>
      <c r="F104" s="116" t="n"/>
      <c r="G104" s="117" t="n"/>
      <c r="H104" s="116">
        <f>COUNTIFS($B:$B,B104,$E:$E,"Occupied")</f>
        <v/>
      </c>
      <c r="I104" s="82">
        <f>IF(E104&lt;&gt;"Occupied",0,IF(H104=1,350,IF(H104=2,200,0)))</f>
        <v/>
      </c>
      <c r="J104" s="82">
        <f>IF(E104="Occupied",IFERROR(SUMIFS('Electricity Management'!$J:$J,'Electricity Management'!$A:$A,A104,'Electricity Management'!$C:$C,B104),0),0)</f>
        <v/>
      </c>
      <c r="K104" s="82">
        <f t="array" ref="K104:K104">IF(E104="Occupied",IFERROR(INDEX('Electricity Management'!$T:$T,MATCH(1,('Electricity Management'!$K:$K=A104)*('Electricity Management'!$L:$L=B104),0)),0),"")</f>
        <v/>
      </c>
      <c r="O104" s="117" t="n"/>
      <c r="P104" s="116" t="n"/>
      <c r="Q104" s="116" t="n"/>
      <c r="R104" s="116" t="n"/>
      <c r="S104" s="119" t="n"/>
      <c r="T104" s="120">
        <f>IF(F104="Yes",A104&amp;"-"&amp;B104,C104)</f>
        <v/>
      </c>
    </row>
    <row r="105" ht="14.25" customHeight="1" s="83">
      <c r="A105" s="116" t="n"/>
      <c r="B105" s="116" t="n"/>
      <c r="C105" s="116" t="n"/>
      <c r="D105" s="116" t="n"/>
      <c r="E105" s="116">
        <f>IF(D105&lt;&gt;"","Occupied","Vacant")</f>
        <v/>
      </c>
      <c r="F105" s="116" t="n"/>
      <c r="G105" s="117" t="n"/>
      <c r="H105" s="116">
        <f>COUNTIFS($B:$B,B105,$E:$E,"Occupied")</f>
        <v/>
      </c>
      <c r="I105" s="82">
        <f>IF(E105&lt;&gt;"Occupied",0,IF(H105=1,350,IF(H105=2,200,0)))</f>
        <v/>
      </c>
      <c r="J105" s="82">
        <f>IF(E105="Occupied",IFERROR(SUMIFS('Electricity Management'!$J:$J,'Electricity Management'!$A:$A,A105,'Electricity Management'!$C:$C,B105),0),0)</f>
        <v/>
      </c>
      <c r="K105" s="82">
        <f t="array" ref="K105:K105">IF(E105="Occupied",IFERROR(INDEX('Electricity Management'!$T:$T,MATCH(1,('Electricity Management'!$K:$K=A105)*('Electricity Management'!$L:$L=B105),0)),0),"")</f>
        <v/>
      </c>
      <c r="O105" s="117" t="n"/>
      <c r="P105" s="116" t="n"/>
      <c r="Q105" s="116" t="n"/>
      <c r="R105" s="116" t="n"/>
      <c r="S105" s="119" t="n"/>
      <c r="T105" s="120">
        <f>IF(F105="Yes",A105&amp;"-"&amp;B105,C105)</f>
        <v/>
      </c>
    </row>
    <row r="106" ht="14.25" customHeight="1" s="83">
      <c r="A106" s="116" t="n"/>
      <c r="B106" s="116" t="n"/>
      <c r="C106" s="116" t="n"/>
      <c r="D106" s="116" t="n"/>
      <c r="E106" s="116">
        <f>IF(D106&lt;&gt;"","Occupied","Vacant")</f>
        <v/>
      </c>
      <c r="F106" s="116" t="n"/>
      <c r="G106" s="117" t="n"/>
      <c r="H106" s="116">
        <f>COUNTIFS($B:$B,B106,$E:$E,"Occupied")</f>
        <v/>
      </c>
      <c r="I106" s="82">
        <f>IF(E106&lt;&gt;"Occupied",0,IF(H106=1,350,IF(H106=2,200,0)))</f>
        <v/>
      </c>
      <c r="J106" s="82">
        <f>IF(E106="Occupied",IFERROR(SUMIFS('Electricity Management'!$J:$J,'Electricity Management'!$A:$A,A106,'Electricity Management'!$C:$C,B106),0),0)</f>
        <v/>
      </c>
      <c r="K106" s="82">
        <f t="array" ref="K106:K106">IF(E106="Occupied",IFERROR(INDEX('Electricity Management'!$T:$T,MATCH(1,('Electricity Management'!$K:$K=A106)*('Electricity Management'!$L:$L=B106),0)),0),"")</f>
        <v/>
      </c>
      <c r="O106" s="117" t="n"/>
      <c r="P106" s="116" t="n"/>
      <c r="Q106" s="116" t="n"/>
      <c r="R106" s="116" t="n"/>
      <c r="S106" s="119" t="n"/>
      <c r="T106" s="120">
        <f>IF(F106="Yes",A106&amp;"-"&amp;B106,C106)</f>
        <v/>
      </c>
    </row>
    <row r="107" ht="14.25" customHeight="1" s="83">
      <c r="A107" s="116" t="n"/>
      <c r="B107" s="116" t="n"/>
      <c r="C107" s="116" t="n"/>
      <c r="D107" s="116" t="n"/>
      <c r="E107" s="116">
        <f>IF(D107&lt;&gt;"","Occupied","Vacant")</f>
        <v/>
      </c>
      <c r="F107" s="116" t="n"/>
      <c r="G107" s="117" t="n"/>
      <c r="H107" s="116">
        <f>COUNTIFS($B:$B,B107,$E:$E,"Occupied")</f>
        <v/>
      </c>
      <c r="I107" s="82">
        <f>IF(E107&lt;&gt;"Occupied",0,IF(H107=1,350,IF(H107=2,200,0)))</f>
        <v/>
      </c>
      <c r="J107" s="82">
        <f>IF(E107="Occupied",IFERROR(SUMIFS('Electricity Management'!$J:$J,'Electricity Management'!$A:$A,A107,'Electricity Management'!$C:$C,B107),0),0)</f>
        <v/>
      </c>
      <c r="K107" s="82">
        <f t="array" ref="K107:K107">IF(E107="Occupied",IFERROR(INDEX('Electricity Management'!$T:$T,MATCH(1,('Electricity Management'!$K:$K=A107)*('Electricity Management'!$L:$L=B107),0)),0),"")</f>
        <v/>
      </c>
      <c r="O107" s="117" t="n"/>
      <c r="P107" s="116" t="n"/>
      <c r="Q107" s="116" t="n"/>
      <c r="R107" s="116" t="n"/>
      <c r="S107" s="119" t="n"/>
      <c r="T107" s="120">
        <f>IF(F107="Yes",A107&amp;"-"&amp;B107,C107)</f>
        <v/>
      </c>
    </row>
    <row r="108" ht="14.25" customHeight="1" s="83">
      <c r="A108" s="116" t="n"/>
      <c r="B108" s="116" t="n"/>
      <c r="C108" s="116" t="n"/>
      <c r="D108" s="116" t="n"/>
      <c r="E108" s="116">
        <f>IF(D108&lt;&gt;"","Occupied","Vacant")</f>
        <v/>
      </c>
      <c r="F108" s="116" t="n"/>
      <c r="G108" s="117" t="n"/>
      <c r="H108" s="116">
        <f>COUNTIFS($B:$B,B108,$E:$E,"Occupied")</f>
        <v/>
      </c>
      <c r="I108" s="82">
        <f>IF(E108&lt;&gt;"Occupied",0,IF(H108=1,350,IF(H108=2,200,0)))</f>
        <v/>
      </c>
      <c r="J108" s="82">
        <f>IF(E108="Occupied",IFERROR(SUMIFS('Electricity Management'!$J:$J,'Electricity Management'!$A:$A,A108,'Electricity Management'!$C:$C,B108),0),0)</f>
        <v/>
      </c>
      <c r="K108" s="82">
        <f t="array" ref="K108:K108">IF(E108="Occupied",IFERROR(INDEX('Electricity Management'!$T:$T,MATCH(1,('Electricity Management'!$K:$K=A108)*('Electricity Management'!$L:$L=B108),0)),0),"")</f>
        <v/>
      </c>
      <c r="O108" s="117" t="n"/>
      <c r="P108" s="116" t="n"/>
      <c r="Q108" s="116" t="n"/>
      <c r="R108" s="116" t="n"/>
      <c r="S108" s="119" t="n"/>
      <c r="T108" s="120">
        <f>IF(F108="Yes",A108&amp;"-"&amp;B108,C108)</f>
        <v/>
      </c>
    </row>
    <row r="109" ht="14.25" customHeight="1" s="83">
      <c r="A109" s="116" t="n"/>
      <c r="B109" s="116" t="n"/>
      <c r="C109" s="116" t="n"/>
      <c r="D109" s="116" t="n"/>
      <c r="E109" s="116">
        <f>IF(D109&lt;&gt;"","Occupied","Vacant")</f>
        <v/>
      </c>
      <c r="F109" s="116" t="n"/>
      <c r="G109" s="117" t="n"/>
      <c r="H109" s="116">
        <f>COUNTIFS($B:$B,B109,$E:$E,"Occupied")</f>
        <v/>
      </c>
      <c r="I109" s="82">
        <f>IF(E109&lt;&gt;"Occupied",0,IF(H109=1,350,IF(H109=2,200,0)))</f>
        <v/>
      </c>
      <c r="J109" s="82">
        <f>IF(E109="Occupied",IFERROR(SUMIFS('Electricity Management'!$J:$J,'Electricity Management'!$A:$A,A109,'Electricity Management'!$C:$C,B109),0),0)</f>
        <v/>
      </c>
      <c r="K109" s="82">
        <f t="array" ref="K109:K109">IF(E109="Occupied",IFERROR(INDEX('Electricity Management'!$T:$T,MATCH(1,('Electricity Management'!$K:$K=A109)*('Electricity Management'!$L:$L=B109),0)),0),"")</f>
        <v/>
      </c>
      <c r="O109" s="117" t="n"/>
      <c r="P109" s="116" t="n"/>
      <c r="Q109" s="116" t="n"/>
      <c r="R109" s="116" t="n"/>
      <c r="S109" s="119" t="n"/>
      <c r="T109" s="120">
        <f>IF(F109="Yes",A109&amp;"-"&amp;B109,C109)</f>
        <v/>
      </c>
    </row>
    <row r="110" ht="14.25" customHeight="1" s="83">
      <c r="A110" s="116" t="n"/>
      <c r="B110" s="116" t="n"/>
      <c r="C110" s="116" t="n"/>
      <c r="D110" s="116" t="n"/>
      <c r="E110" s="116">
        <f>IF(D110&lt;&gt;"","Occupied","Vacant")</f>
        <v/>
      </c>
      <c r="F110" s="116" t="n"/>
      <c r="G110" s="117" t="n"/>
      <c r="H110" s="116">
        <f>COUNTIFS($B:$B,B110,$E:$E,"Occupied")</f>
        <v/>
      </c>
      <c r="I110" s="82">
        <f>IF(E110&lt;&gt;"Occupied",0,IF(H110=1,350,IF(H110=2,200,0)))</f>
        <v/>
      </c>
      <c r="J110" s="82">
        <f>IF(E110="Occupied",IFERROR(SUMIFS('Electricity Management'!$J:$J,'Electricity Management'!$A:$A,A110,'Electricity Management'!$C:$C,B110),0),0)</f>
        <v/>
      </c>
      <c r="K110" s="82">
        <f t="array" ref="K110:K110">IF(E110="Occupied",IFERROR(INDEX('Electricity Management'!$T:$T,MATCH(1,('Electricity Management'!$K:$K=A110)*('Electricity Management'!$L:$L=B110),0)),0),"")</f>
        <v/>
      </c>
      <c r="O110" s="117" t="n"/>
      <c r="P110" s="116" t="n"/>
      <c r="Q110" s="116" t="n"/>
      <c r="R110" s="116" t="n"/>
      <c r="S110" s="119" t="n"/>
      <c r="T110" s="120">
        <f>IF(F110="Yes",A110&amp;"-"&amp;B110,C110)</f>
        <v/>
      </c>
    </row>
    <row r="111" ht="14.25" customHeight="1" s="83">
      <c r="A111" s="116" t="n"/>
      <c r="B111" s="116" t="n"/>
      <c r="C111" s="116" t="n"/>
      <c r="D111" s="116" t="n"/>
      <c r="E111" s="116">
        <f>IF(D111&lt;&gt;"","Occupied","Vacant")</f>
        <v/>
      </c>
      <c r="F111" s="116" t="n"/>
      <c r="G111" s="117" t="n"/>
      <c r="H111" s="116">
        <f>COUNTIFS($B:$B,B111,$E:$E,"Occupied")</f>
        <v/>
      </c>
      <c r="I111" s="82">
        <f>IF(E111&lt;&gt;"Occupied",0,IF(H111=1,350,IF(H111=2,200,0)))</f>
        <v/>
      </c>
      <c r="J111" s="82">
        <f>IF(E111="Occupied",IFERROR(SUMIFS('Electricity Management'!$J:$J,'Electricity Management'!$A:$A,A111,'Electricity Management'!$C:$C,B111),0),0)</f>
        <v/>
      </c>
      <c r="K111" s="82">
        <f>IF(E111="Occupied",IFERROR(SUMIFS('Electricity Management'!$T:$T,'Electricity Management'!$K:$K,A111,'Electricity Management'!$L:$L,B111),0),0)</f>
        <v/>
      </c>
      <c r="O111" s="117" t="n"/>
      <c r="P111" s="116" t="n"/>
      <c r="Q111" s="116" t="n"/>
      <c r="R111" s="116" t="n"/>
      <c r="S111" s="119" t="n"/>
      <c r="T111" s="120">
        <f>IF(F111="Yes",A111&amp;"-"&amp;B111,C111)</f>
        <v/>
      </c>
    </row>
    <row r="112" ht="14.25" customHeight="1" s="83">
      <c r="A112" s="116" t="n"/>
      <c r="B112" s="116" t="n"/>
      <c r="C112" s="116" t="n"/>
      <c r="D112" s="116" t="n"/>
      <c r="E112" s="116">
        <f>IF(D112&lt;&gt;"","Occupied","Vacant")</f>
        <v/>
      </c>
      <c r="F112" s="116" t="n"/>
      <c r="G112" s="117" t="n"/>
      <c r="H112" s="116">
        <f>COUNTIFS($B:$B,B112,$E:$E,"Occupied")</f>
        <v/>
      </c>
      <c r="I112" s="82">
        <f>IF(E112&lt;&gt;"Occupied",0,IF(H112=1,350,IF(H112=2,200,0)))</f>
        <v/>
      </c>
      <c r="J112" s="82">
        <f>IF(E112="Occupied",IFERROR(SUMIFS('Electricity Management'!$J:$J,'Electricity Management'!$A:$A,A112,'Electricity Management'!$C:$C,B112),0),0)</f>
        <v/>
      </c>
      <c r="K112" s="82">
        <f>IF(E112="Occupied",IFERROR(SUMIFS('Electricity Management'!$T:$T,'Electricity Management'!$K:$K,A112,'Electricity Management'!$L:$L,B112),0),0)</f>
        <v/>
      </c>
      <c r="O112" s="117" t="n"/>
      <c r="P112" s="116" t="n"/>
      <c r="Q112" s="116" t="n"/>
      <c r="R112" s="116" t="n"/>
      <c r="S112" s="119" t="n"/>
      <c r="T112" s="120">
        <f>IF(F112="Yes",A112&amp;"-"&amp;B112,C112)</f>
        <v/>
      </c>
    </row>
    <row r="113" ht="14.25" customHeight="1" s="83">
      <c r="A113" s="116" t="n"/>
      <c r="B113" s="116" t="n"/>
      <c r="C113" s="116" t="n"/>
      <c r="D113" s="116" t="n"/>
      <c r="E113" s="116">
        <f>IF(D113&lt;&gt;"","Occupied","Vacant")</f>
        <v/>
      </c>
      <c r="F113" s="116" t="n"/>
      <c r="G113" s="117" t="n"/>
      <c r="H113" s="116">
        <f>COUNTIFS($B:$B,B113,$E:$E,"Occupied")</f>
        <v/>
      </c>
      <c r="I113" s="82">
        <f>IF(E113&lt;&gt;"Occupied",0,IF(H113=1,350,IF(H113=2,200,0)))</f>
        <v/>
      </c>
      <c r="J113" s="82">
        <f>IF(E113="Occupied",IFERROR(SUMIFS('Electricity Management'!$J:$J,'Electricity Management'!$A:$A,A113,'Electricity Management'!$C:$C,B113),0),0)</f>
        <v/>
      </c>
      <c r="K113" s="82">
        <f>IF(E113="Occupied",IFERROR(SUMIFS('Electricity Management'!$T:$T,'Electricity Management'!$K:$K,A113,'Electricity Management'!$L:$L,B113),0),0)</f>
        <v/>
      </c>
      <c r="O113" s="117" t="n"/>
      <c r="P113" s="116" t="n"/>
      <c r="Q113" s="116" t="n"/>
      <c r="R113" s="116" t="n"/>
      <c r="S113" s="119" t="n"/>
      <c r="T113" s="120">
        <f>IF(F113="Yes",A113&amp;"-"&amp;B113,C113)</f>
        <v/>
      </c>
    </row>
    <row r="114" ht="14.25" customHeight="1" s="83">
      <c r="A114" s="116" t="n"/>
      <c r="B114" s="116" t="n"/>
      <c r="C114" s="116" t="n"/>
      <c r="D114" s="116" t="n"/>
      <c r="E114" s="116">
        <f>IF(D114&lt;&gt;"","Occupied","Vacant")</f>
        <v/>
      </c>
      <c r="F114" s="116" t="n"/>
      <c r="G114" s="117" t="n"/>
      <c r="H114" s="116">
        <f>COUNTIFS($B:$B,B114,$E:$E,"Occupied")</f>
        <v/>
      </c>
      <c r="I114" s="82">
        <f>IF(E114&lt;&gt;"Occupied",0,IF(H114=1,350,IF(H114=2,200,0)))</f>
        <v/>
      </c>
      <c r="J114" s="82">
        <f>IF(E114="Occupied",IFERROR(SUMIFS('Electricity Management'!$J:$J,'Electricity Management'!$A:$A,A114,'Electricity Management'!$C:$C,B114),0),0)</f>
        <v/>
      </c>
      <c r="K114" s="82">
        <f>IF(E114="Occupied",IFERROR(SUMIFS('Electricity Management'!$T:$T,'Electricity Management'!$K:$K,A114,'Electricity Management'!$L:$L,B114),0),0)</f>
        <v/>
      </c>
      <c r="O114" s="117" t="n"/>
      <c r="P114" s="116" t="n"/>
      <c r="Q114" s="116" t="n"/>
      <c r="R114" s="116" t="n"/>
      <c r="S114" s="119" t="n"/>
      <c r="T114" s="120">
        <f>IF(F114="Yes",A114&amp;"-"&amp;B114,C114)</f>
        <v/>
      </c>
    </row>
    <row r="115" ht="14.25" customHeight="1" s="83">
      <c r="A115" s="116" t="n"/>
      <c r="B115" s="116" t="n"/>
      <c r="C115" s="116" t="n"/>
      <c r="D115" s="116" t="n"/>
      <c r="E115" s="116">
        <f>IF(D115&lt;&gt;"","Occupied","Vacant")</f>
        <v/>
      </c>
      <c r="F115" s="116" t="n"/>
      <c r="G115" s="117" t="n"/>
      <c r="H115" s="116">
        <f>COUNTIFS($B:$B,B115,$E:$E,"Occupied")</f>
        <v/>
      </c>
      <c r="I115" s="82">
        <f>IF(E115&lt;&gt;"Occupied",0,IF(H115=1,350,IF(H115=2,200,0)))</f>
        <v/>
      </c>
      <c r="J115" s="82">
        <f>IF(E115="Occupied",IFERROR(SUMIFS('Electricity Management'!$J:$J,'Electricity Management'!$A:$A,A115,'Electricity Management'!$C:$C,B115),0),0)</f>
        <v/>
      </c>
      <c r="K115" s="82">
        <f>IF(E115="Occupied",IFERROR(SUMIFS('Electricity Management'!$T:$T,'Electricity Management'!$K:$K,A115,'Electricity Management'!$L:$L,B115),0),0)</f>
        <v/>
      </c>
      <c r="O115" s="117" t="n"/>
      <c r="P115" s="116" t="n"/>
      <c r="Q115" s="116" t="n"/>
      <c r="R115" s="116" t="n"/>
      <c r="S115" s="119" t="n"/>
      <c r="T115" s="120">
        <f>IF(F115="Yes",A115&amp;"-"&amp;B115,C115)</f>
        <v/>
      </c>
    </row>
    <row r="116" ht="14.25" customHeight="1" s="83">
      <c r="A116" s="116" t="n"/>
      <c r="B116" s="116" t="n"/>
      <c r="C116" s="116" t="n"/>
      <c r="D116" s="116" t="n"/>
      <c r="E116" s="116">
        <f>IF(D116&lt;&gt;"","Occupied","Vacant")</f>
        <v/>
      </c>
      <c r="F116" s="116" t="n"/>
      <c r="G116" s="117" t="n"/>
      <c r="H116" s="116">
        <f>COUNTIFS($B:$B,B116,$E:$E,"Occupied")</f>
        <v/>
      </c>
      <c r="I116" s="82">
        <f>IF(E116&lt;&gt;"Occupied",0,IF(H116=1,350,IF(H116=2,200,0)))</f>
        <v/>
      </c>
      <c r="J116" s="82">
        <f>IF(E116="Occupied",IFERROR(SUMIFS('Electricity Management'!$J:$J,'Electricity Management'!$A:$A,A116,'Electricity Management'!$C:$C,B116),0),0)</f>
        <v/>
      </c>
      <c r="K116" s="82">
        <f>IF(E116="Occupied",IFERROR(SUMIFS('Electricity Management'!$T:$T,'Electricity Management'!$K:$K,A116,'Electricity Management'!$L:$L,B116),0),0)</f>
        <v/>
      </c>
      <c r="O116" s="117" t="n"/>
      <c r="P116" s="116" t="n"/>
      <c r="Q116" s="116" t="n"/>
      <c r="R116" s="116" t="n"/>
      <c r="S116" s="119" t="n"/>
      <c r="T116" s="120">
        <f>IF(F116="Yes",A116&amp;"-"&amp;B116,C116)</f>
        <v/>
      </c>
    </row>
    <row r="117" ht="14.25" customHeight="1" s="83">
      <c r="A117" s="116" t="n"/>
      <c r="B117" s="116" t="n"/>
      <c r="C117" s="116" t="n"/>
      <c r="D117" s="116" t="n"/>
      <c r="E117" s="116">
        <f>IF(D117&lt;&gt;"","Occupied","Vacant")</f>
        <v/>
      </c>
      <c r="F117" s="116" t="n"/>
      <c r="G117" s="117" t="n"/>
      <c r="H117" s="116">
        <f>COUNTIFS($B:$B,B117,$E:$E,"Occupied")</f>
        <v/>
      </c>
      <c r="I117" s="82">
        <f>IF(E117&lt;&gt;"Occupied",0,IF(H117=1,350,IF(H117=2,200,0)))</f>
        <v/>
      </c>
      <c r="J117" s="82">
        <f>IF(E117="Occupied",IFERROR(SUMIFS('Electricity Management'!$J:$J,'Electricity Management'!$A:$A,A117,'Electricity Management'!$C:$C,B117),0),0)</f>
        <v/>
      </c>
      <c r="K117" s="82">
        <f>IF(E117="Occupied",IFERROR(SUMIFS('Electricity Management'!$T:$T,'Electricity Management'!$K:$K,A117,'Electricity Management'!$L:$L,B117),0),0)</f>
        <v/>
      </c>
      <c r="O117" s="117" t="n"/>
      <c r="P117" s="116" t="n"/>
      <c r="Q117" s="116" t="n"/>
      <c r="R117" s="116" t="n"/>
      <c r="S117" s="119" t="n"/>
      <c r="T117" s="120">
        <f>IF(F117="Yes",A117&amp;"-"&amp;B117,C117)</f>
        <v/>
      </c>
    </row>
    <row r="118" ht="14.25" customHeight="1" s="83">
      <c r="A118" s="116" t="n"/>
      <c r="B118" s="116" t="n"/>
      <c r="C118" s="116" t="n"/>
      <c r="D118" s="116" t="n"/>
      <c r="E118" s="116">
        <f>IF(D118&lt;&gt;"","Occupied","Vacant")</f>
        <v/>
      </c>
      <c r="F118" s="116" t="n"/>
      <c r="G118" s="117" t="n"/>
      <c r="H118" s="116">
        <f>COUNTIFS($B:$B,B118,$E:$E,"Occupied")</f>
        <v/>
      </c>
      <c r="I118" s="82">
        <f>IF(E118&lt;&gt;"Occupied",0,IF(H118=1,350,IF(H118=2,200,0)))</f>
        <v/>
      </c>
      <c r="J118" s="82">
        <f>IF(E118="Occupied",IFERROR(SUMIFS('Electricity Management'!$J:$J,'Electricity Management'!$A:$A,A118,'Electricity Management'!$C:$C,B118),0),0)</f>
        <v/>
      </c>
      <c r="K118" s="82">
        <f>IF(E118="Occupied",IFERROR(SUMIFS('Electricity Management'!$T:$T,'Electricity Management'!$K:$K,A118,'Electricity Management'!$L:$L,B118),0),0)</f>
        <v/>
      </c>
      <c r="O118" s="117" t="n"/>
      <c r="P118" s="116" t="n"/>
      <c r="Q118" s="116" t="n"/>
      <c r="R118" s="116" t="n"/>
      <c r="S118" s="119" t="n"/>
      <c r="T118" s="120">
        <f>IF(F118="Yes",A118&amp;"-"&amp;B118,C118)</f>
        <v/>
      </c>
    </row>
    <row r="119" ht="14.25" customHeight="1" s="83">
      <c r="A119" s="116" t="n"/>
      <c r="B119" s="116" t="n"/>
      <c r="C119" s="116" t="n"/>
      <c r="D119" s="116" t="n"/>
      <c r="E119" s="116">
        <f>IF(D119&lt;&gt;"","Occupied","Vacant")</f>
        <v/>
      </c>
      <c r="F119" s="116" t="n"/>
      <c r="G119" s="117" t="n"/>
      <c r="H119" s="116">
        <f>COUNTIFS($B:$B,B119,$E:$E,"Occupied")</f>
        <v/>
      </c>
      <c r="I119" s="82">
        <f>IF(E119&lt;&gt;"Occupied",0,IF(H119=1,350,IF(H119=2,200,0)))</f>
        <v/>
      </c>
      <c r="J119" s="82">
        <f>IF(E119="Occupied",IFERROR(SUMIFS('Electricity Management'!$J:$J,'Electricity Management'!$A:$A,A119,'Electricity Management'!$C:$C,B119),0),0)</f>
        <v/>
      </c>
      <c r="K119" s="82">
        <f>IF(E119="Occupied",IFERROR(SUMIFS('Electricity Management'!$T:$T,'Electricity Management'!$K:$K,A119,'Electricity Management'!$L:$L,B119),0),0)</f>
        <v/>
      </c>
      <c r="O119" s="117" t="n"/>
      <c r="P119" s="116" t="n"/>
      <c r="Q119" s="116" t="n"/>
      <c r="R119" s="116" t="n"/>
      <c r="S119" s="119" t="n"/>
      <c r="T119" s="120">
        <f>IF(F119="Yes",A119&amp;"-"&amp;B119,C119)</f>
        <v/>
      </c>
    </row>
    <row r="120" ht="14.25" customHeight="1" s="83">
      <c r="A120" s="116" t="n"/>
      <c r="B120" s="116" t="n"/>
      <c r="C120" s="116" t="n"/>
      <c r="D120" s="116" t="n"/>
      <c r="E120" s="116">
        <f>IF(D120&lt;&gt;"","Occupied","Vacant")</f>
        <v/>
      </c>
      <c r="F120" s="116" t="n"/>
      <c r="G120" s="117" t="n"/>
      <c r="H120" s="116">
        <f>COUNTIFS($B:$B,B120,$E:$E,"Occupied")</f>
        <v/>
      </c>
      <c r="I120" s="82">
        <f>IF(E120&lt;&gt;"Occupied",0,IF(H120=1,350,IF(H120=2,200,0)))</f>
        <v/>
      </c>
      <c r="J120" s="82">
        <f>IF(E120="Occupied",IFERROR(SUMIFS('Electricity Management'!$J:$J,'Electricity Management'!$A:$A,A120,'Electricity Management'!$C:$C,B120),0),0)</f>
        <v/>
      </c>
      <c r="K120" s="82">
        <f>IF(E120="Occupied",IFERROR(SUMIFS('Electricity Management'!$T:$T,'Electricity Management'!$K:$K,A120,'Electricity Management'!$L:$L,B120),0),0)</f>
        <v/>
      </c>
      <c r="O120" s="117" t="n"/>
      <c r="P120" s="116" t="n"/>
      <c r="Q120" s="116" t="n"/>
      <c r="R120" s="116" t="n"/>
      <c r="S120" s="119" t="n"/>
      <c r="T120" s="120">
        <f>IF(F120="Yes",A120&amp;"-"&amp;B120,C120)</f>
        <v/>
      </c>
    </row>
    <row r="121" ht="14.25" customHeight="1" s="83">
      <c r="A121" s="116" t="n"/>
      <c r="B121" s="116" t="n"/>
      <c r="C121" s="116" t="n"/>
      <c r="D121" s="116" t="n"/>
      <c r="E121" s="116">
        <f>IF(D121&lt;&gt;"","Occupied","Vacant")</f>
        <v/>
      </c>
      <c r="F121" s="116" t="n"/>
      <c r="G121" s="117" t="n"/>
      <c r="H121" s="116">
        <f>COUNTIFS($B:$B,B121,$E:$E,"Occupied")</f>
        <v/>
      </c>
      <c r="I121" s="82">
        <f>IF(E121&lt;&gt;"Occupied",0,IF(H121=1,350,IF(H121=2,200,0)))</f>
        <v/>
      </c>
      <c r="J121" s="82">
        <f>IF(E121="Occupied",IFERROR(SUMIFS('Electricity Management'!$J:$J,'Electricity Management'!$A:$A,A121,'Electricity Management'!$C:$C,B121),0),0)</f>
        <v/>
      </c>
      <c r="K121" s="82">
        <f>IF(E121="Occupied",IFERROR(SUMIFS('Electricity Management'!$T:$T,'Electricity Management'!$K:$K,A121,'Electricity Management'!$L:$L,B121),0),0)</f>
        <v/>
      </c>
      <c r="O121" s="117" t="n"/>
      <c r="P121" s="116" t="n"/>
      <c r="Q121" s="116" t="n"/>
      <c r="R121" s="116" t="n"/>
      <c r="S121" s="119" t="n"/>
      <c r="T121" s="120">
        <f>IF(F121="Yes",A121&amp;"-"&amp;B121,C121)</f>
        <v/>
      </c>
    </row>
    <row r="122" ht="14.25" customHeight="1" s="83">
      <c r="A122" s="116" t="n"/>
      <c r="B122" s="116" t="n"/>
      <c r="C122" s="116" t="n"/>
      <c r="D122" s="116" t="n"/>
      <c r="E122" s="116">
        <f>IF(D122&lt;&gt;"","Occupied","Vacant")</f>
        <v/>
      </c>
      <c r="F122" s="116" t="n"/>
      <c r="G122" s="117" t="n"/>
      <c r="H122" s="116">
        <f>COUNTIFS($B:$B,B122,$E:$E,"Occupied")</f>
        <v/>
      </c>
      <c r="I122" s="82">
        <f>IF(E122&lt;&gt;"Occupied",0,IF(H122=1,350,IF(H122=2,200,0)))</f>
        <v/>
      </c>
      <c r="J122" s="82">
        <f>IF(E122="Occupied",IFERROR(SUMIFS('Electricity Management'!$J:$J,'Electricity Management'!$A:$A,A122,'Electricity Management'!$C:$C,B122),0),0)</f>
        <v/>
      </c>
      <c r="K122" s="82">
        <f>IF(E122="Occupied",IFERROR(SUMIFS('Electricity Management'!$T:$T,'Electricity Management'!$K:$K,A122,'Electricity Management'!$L:$L,B122),0),0)</f>
        <v/>
      </c>
      <c r="O122" s="117" t="n"/>
      <c r="P122" s="116" t="n"/>
      <c r="Q122" s="116" t="n"/>
      <c r="R122" s="116" t="n"/>
      <c r="S122" s="119" t="n"/>
      <c r="T122" s="120">
        <f>IF(F122="Yes",A122&amp;"-"&amp;B122,C122)</f>
        <v/>
      </c>
    </row>
    <row r="123" ht="14.25" customHeight="1" s="83">
      <c r="A123" s="116" t="n"/>
      <c r="B123" s="116" t="n"/>
      <c r="C123" s="116" t="n"/>
      <c r="D123" s="116" t="n"/>
      <c r="E123" s="116">
        <f>IF(D123&lt;&gt;"","Occupied","Vacant")</f>
        <v/>
      </c>
      <c r="F123" s="116" t="n"/>
      <c r="G123" s="117" t="n"/>
      <c r="H123" s="116">
        <f>COUNTIFS($B:$B,B123,$E:$E,"Occupied")</f>
        <v/>
      </c>
      <c r="I123" s="82">
        <f>IF(E123&lt;&gt;"Occupied",0,IF(H123=1,350,IF(H123=2,200,0)))</f>
        <v/>
      </c>
      <c r="J123" s="82">
        <f>IF(E123="Occupied",IFERROR(SUMIFS('Electricity Management'!$J:$J,'Electricity Management'!$A:$A,A123,'Electricity Management'!$C:$C,B123),0),0)</f>
        <v/>
      </c>
      <c r="K123" s="82">
        <f>IF(E123="Occupied",IFERROR(SUMIFS('Electricity Management'!$T:$T,'Electricity Management'!$K:$K,A123,'Electricity Management'!$L:$L,B123),0),0)</f>
        <v/>
      </c>
      <c r="O123" s="117" t="n"/>
      <c r="P123" s="116" t="n"/>
      <c r="Q123" s="116" t="n"/>
      <c r="R123" s="116" t="n"/>
      <c r="S123" s="119" t="n"/>
      <c r="T123" s="120">
        <f>IF(F123="Yes",A123&amp;"-"&amp;B123,C123)</f>
        <v/>
      </c>
    </row>
    <row r="124" ht="14.25" customHeight="1" s="83">
      <c r="A124" s="116" t="n"/>
      <c r="B124" s="116" t="n"/>
      <c r="C124" s="116" t="n"/>
      <c r="D124" s="116" t="n"/>
      <c r="E124" s="116">
        <f>IF(D124&lt;&gt;"","Occupied","Vacant")</f>
        <v/>
      </c>
      <c r="F124" s="116" t="n"/>
      <c r="G124" s="117" t="n"/>
      <c r="H124" s="116">
        <f>COUNTIFS($B:$B,B124,$E:$E,"Occupied")</f>
        <v/>
      </c>
      <c r="I124" s="82">
        <f>IF(E124&lt;&gt;"Occupied",0,IF(H124=1,350,IF(H124=2,200,0)))</f>
        <v/>
      </c>
      <c r="J124" s="82">
        <f>IF(E124="Occupied",IFERROR(SUMIFS('Electricity Management'!$J:$J,'Electricity Management'!$A:$A,A124,'Electricity Management'!$C:$C,B124),0),0)</f>
        <v/>
      </c>
      <c r="K124" s="82">
        <f>IF(E124="Occupied",IFERROR(SUMIFS('Electricity Management'!$T:$T,'Electricity Management'!$K:$K,A124,'Electricity Management'!$L:$L,B124),0),0)</f>
        <v/>
      </c>
      <c r="O124" s="117" t="n"/>
      <c r="P124" s="116" t="n"/>
      <c r="Q124" s="116" t="n"/>
      <c r="R124" s="116" t="n"/>
      <c r="S124" s="119" t="n"/>
      <c r="T124" s="120">
        <f>IF(F124="Yes",A124&amp;"-"&amp;B124,C124)</f>
        <v/>
      </c>
    </row>
    <row r="125" ht="14.25" customHeight="1" s="83">
      <c r="A125" s="116" t="n"/>
      <c r="B125" s="116" t="n"/>
      <c r="C125" s="116" t="n"/>
      <c r="D125" s="116" t="n"/>
      <c r="E125" s="116">
        <f>IF(D125&lt;&gt;"","Occupied","Vacant")</f>
        <v/>
      </c>
      <c r="F125" s="116" t="n"/>
      <c r="G125" s="117" t="n"/>
      <c r="H125" s="116">
        <f>COUNTIFS($B:$B,B125,$E:$E,"Occupied")</f>
        <v/>
      </c>
      <c r="I125" s="82">
        <f>IF(E125&lt;&gt;"Occupied",0,IF(H125=1,350,IF(H125=2,200,0)))</f>
        <v/>
      </c>
      <c r="J125" s="82">
        <f>IF(E125="Occupied",IFERROR(SUMIFS('Electricity Management'!$J:$J,'Electricity Management'!$A:$A,A125,'Electricity Management'!$C:$C,B125),0),0)</f>
        <v/>
      </c>
      <c r="K125" s="82">
        <f>IF(E125="Occupied",IFERROR(SUMIFS('Electricity Management'!$T:$T,'Electricity Management'!$K:$K,A125,'Electricity Management'!$L:$L,B125),0),0)</f>
        <v/>
      </c>
      <c r="O125" s="117" t="n"/>
      <c r="P125" s="116" t="n"/>
      <c r="Q125" s="116" t="n"/>
      <c r="R125" s="116" t="n"/>
      <c r="S125" s="119" t="n"/>
      <c r="T125" s="120">
        <f>IF(F125="Yes",A125&amp;"-"&amp;B125,C125)</f>
        <v/>
      </c>
    </row>
    <row r="126" ht="14.25" customHeight="1" s="83">
      <c r="A126" s="116" t="n"/>
      <c r="B126" s="116" t="n"/>
      <c r="C126" s="116" t="n"/>
      <c r="D126" s="116" t="n"/>
      <c r="E126" s="116">
        <f>IF(D126&lt;&gt;"","Occupied","Vacant")</f>
        <v/>
      </c>
      <c r="F126" s="116" t="n"/>
      <c r="G126" s="117" t="n"/>
      <c r="H126" s="116">
        <f>COUNTIFS($B:$B,B126,$E:$E,"Occupied")</f>
        <v/>
      </c>
      <c r="I126" s="82">
        <f>IF(E126&lt;&gt;"Occupied",0,IF(H126=1,350,IF(H126=2,200,0)))</f>
        <v/>
      </c>
      <c r="J126" s="82">
        <f>IF(E126="Occupied",IFERROR(SUMIFS('Electricity Management'!$J:$J,'Electricity Management'!$A:$A,A126,'Electricity Management'!$C:$C,B126),0),0)</f>
        <v/>
      </c>
      <c r="K126" s="82">
        <f>IF(E126="Occupied",IFERROR(SUMIFS('Electricity Management'!$T:$T,'Electricity Management'!$K:$K,A126,'Electricity Management'!$L:$L,B126),0),0)</f>
        <v/>
      </c>
      <c r="O126" s="117" t="n"/>
      <c r="P126" s="116" t="n"/>
      <c r="Q126" s="116" t="n"/>
      <c r="R126" s="116" t="n"/>
      <c r="S126" s="119" t="n"/>
      <c r="T126" s="120">
        <f>IF(F126="Yes",A126&amp;"-"&amp;B126,C126)</f>
        <v/>
      </c>
    </row>
    <row r="127" ht="14.25" customHeight="1" s="83">
      <c r="A127" s="116" t="n"/>
      <c r="B127" s="116" t="n"/>
      <c r="C127" s="116" t="n"/>
      <c r="D127" s="116" t="n"/>
      <c r="E127" s="116">
        <f>IF(D127&lt;&gt;"","Occupied","Vacant")</f>
        <v/>
      </c>
      <c r="F127" s="116" t="n"/>
      <c r="G127" s="117" t="n"/>
      <c r="H127" s="116">
        <f>COUNTIFS($B:$B,B127,$E:$E,"Occupied")</f>
        <v/>
      </c>
      <c r="I127" s="82">
        <f>IF(E127&lt;&gt;"Occupied",0,IF(H127=1,350,IF(H127=2,200,0)))</f>
        <v/>
      </c>
      <c r="J127" s="82">
        <f>IF(E127="Occupied",IFERROR(SUMIFS('Electricity Management'!$J:$J,'Electricity Management'!$A:$A,A127,'Electricity Management'!$C:$C,B127),0),0)</f>
        <v/>
      </c>
      <c r="K127" s="82">
        <f>IF(E127="Occupied",IFERROR(SUMIFS('Electricity Management'!$T:$T,'Electricity Management'!$K:$K,A127,'Electricity Management'!$L:$L,B127),0),0)</f>
        <v/>
      </c>
      <c r="O127" s="117" t="n"/>
      <c r="P127" s="116" t="n"/>
      <c r="Q127" s="116" t="n"/>
      <c r="R127" s="116" t="n"/>
      <c r="S127" s="119" t="n"/>
      <c r="T127" s="120">
        <f>IF(F127="Yes",A127&amp;"-"&amp;B127,C127)</f>
        <v/>
      </c>
    </row>
    <row r="128" ht="14.25" customHeight="1" s="83">
      <c r="A128" s="116" t="n"/>
      <c r="B128" s="116" t="n"/>
      <c r="C128" s="116" t="n"/>
      <c r="D128" s="116" t="n"/>
      <c r="E128" s="116">
        <f>IF(D128&lt;&gt;"","Occupied","Vacant")</f>
        <v/>
      </c>
      <c r="F128" s="116" t="n"/>
      <c r="G128" s="117" t="n"/>
      <c r="H128" s="116">
        <f>COUNTIFS($B:$B,B128,$E:$E,"Occupied")</f>
        <v/>
      </c>
      <c r="I128" s="82">
        <f>IF(E128&lt;&gt;"Occupied",0,IF(H128=1,350,IF(H128=2,200,0)))</f>
        <v/>
      </c>
      <c r="J128" s="82">
        <f>IF(E128="Occupied",IFERROR(SUMIFS('Electricity Management'!$J:$J,'Electricity Management'!$A:$A,A128,'Electricity Management'!$C:$C,B128),0),0)</f>
        <v/>
      </c>
      <c r="K128" s="82">
        <f>IF(E128="Occupied",IFERROR(SUMIFS('Electricity Management'!$T:$T,'Electricity Management'!$K:$K,A128,'Electricity Management'!$L:$L,B128),0),0)</f>
        <v/>
      </c>
      <c r="O128" s="117" t="n"/>
      <c r="P128" s="116" t="n"/>
      <c r="Q128" s="116" t="n"/>
      <c r="R128" s="116" t="n"/>
      <c r="S128" s="119" t="n"/>
      <c r="T128" s="120">
        <f>IF(F128="Yes",A128&amp;"-"&amp;B128,C128)</f>
        <v/>
      </c>
    </row>
    <row r="129" ht="14.25" customHeight="1" s="83">
      <c r="A129" s="116" t="n"/>
      <c r="B129" s="116" t="n"/>
      <c r="C129" s="116" t="n"/>
      <c r="D129" s="116" t="n"/>
      <c r="E129" s="116">
        <f>IF(D129&lt;&gt;"","Occupied","Vacant")</f>
        <v/>
      </c>
      <c r="F129" s="116" t="n"/>
      <c r="G129" s="117" t="n"/>
      <c r="H129" s="116">
        <f>COUNTIFS($B:$B,B129,$E:$E,"Occupied")</f>
        <v/>
      </c>
      <c r="I129" s="82">
        <f>IF(E129&lt;&gt;"Occupied",0,IF(H129=1,350,IF(H129=2,200,0)))</f>
        <v/>
      </c>
      <c r="J129" s="82">
        <f>IF(E129="Occupied",IFERROR(SUMIFS('Electricity Management'!$J:$J,'Electricity Management'!$A:$A,A129,'Electricity Management'!$C:$C,B129),0),0)</f>
        <v/>
      </c>
      <c r="K129" s="82">
        <f>IF(E129="Occupied",IFERROR(SUMIFS('Electricity Management'!$T:$T,'Electricity Management'!$K:$K,A129,'Electricity Management'!$L:$L,B129),0),0)</f>
        <v/>
      </c>
      <c r="O129" s="117" t="n"/>
      <c r="P129" s="116" t="n"/>
      <c r="Q129" s="116" t="n"/>
      <c r="R129" s="116" t="n"/>
      <c r="S129" s="119" t="n"/>
      <c r="T129" s="120">
        <f>IF(F129="Yes",A129&amp;"-"&amp;B129,C129)</f>
        <v/>
      </c>
    </row>
    <row r="130" ht="14.25" customHeight="1" s="83">
      <c r="A130" s="116" t="n"/>
      <c r="B130" s="116" t="n"/>
      <c r="C130" s="116" t="n"/>
      <c r="D130" s="116" t="n"/>
      <c r="E130" s="116">
        <f>IF(D130&lt;&gt;"","Occupied","Vacant")</f>
        <v/>
      </c>
      <c r="F130" s="116" t="n"/>
      <c r="G130" s="117" t="n"/>
      <c r="H130" s="116">
        <f>COUNTIFS($B:$B,B130,$E:$E,"Occupied")</f>
        <v/>
      </c>
      <c r="I130" s="82">
        <f>IF(E130&lt;&gt;"Occupied",0,IF(H130=1,350,IF(H130=2,200,0)))</f>
        <v/>
      </c>
      <c r="J130" s="82">
        <f>IF(E130="Occupied",IFERROR(SUMIFS('Electricity Management'!$J:$J,'Electricity Management'!$A:$A,A130,'Electricity Management'!$C:$C,B130),0),0)</f>
        <v/>
      </c>
      <c r="K130" s="82">
        <f>IF(E130="Occupied",IFERROR(SUMIFS('Electricity Management'!$T:$T,'Electricity Management'!$K:$K,A130,'Electricity Management'!$L:$L,B130),0),0)</f>
        <v/>
      </c>
      <c r="O130" s="117" t="n"/>
      <c r="P130" s="116" t="n"/>
      <c r="Q130" s="116" t="n"/>
      <c r="R130" s="116" t="n"/>
      <c r="S130" s="119" t="n"/>
      <c r="T130" s="120">
        <f>IF(F130="Yes",A130&amp;"-"&amp;B130,C130)</f>
        <v/>
      </c>
    </row>
    <row r="131" ht="14.25" customHeight="1" s="83">
      <c r="A131" s="116" t="n"/>
      <c r="B131" s="116" t="n"/>
      <c r="C131" s="116" t="n"/>
      <c r="D131" s="116" t="n"/>
      <c r="E131" s="116">
        <f>IF(D131&lt;&gt;"","Occupied","Vacant")</f>
        <v/>
      </c>
      <c r="F131" s="116" t="n"/>
      <c r="G131" s="117" t="n"/>
      <c r="H131" s="116">
        <f>COUNTIFS($B:$B,B131,$E:$E,"Occupied")</f>
        <v/>
      </c>
      <c r="I131" s="82">
        <f>IF(E131&lt;&gt;"Occupied",0,IF(H131=1,350,IF(H131=2,200,0)))</f>
        <v/>
      </c>
      <c r="J131" s="82">
        <f>IF(E131="Occupied",IFERROR(SUMIFS('Electricity Management'!$J:$J,'Electricity Management'!$A:$A,A131,'Electricity Management'!$C:$C,B131),0),0)</f>
        <v/>
      </c>
      <c r="K131" s="82">
        <f>IF(E131="Occupied",IFERROR(SUMIFS('Electricity Management'!$T:$T,'Electricity Management'!$K:$K,A131,'Electricity Management'!$L:$L,B131),0),0)</f>
        <v/>
      </c>
      <c r="O131" s="117" t="n"/>
      <c r="P131" s="116" t="n"/>
      <c r="Q131" s="116" t="n"/>
      <c r="R131" s="116" t="n"/>
      <c r="S131" s="119" t="n"/>
      <c r="T131" s="120">
        <f>IF(F131="Yes",A131&amp;"-"&amp;B131,C131)</f>
        <v/>
      </c>
    </row>
    <row r="132" ht="14.25" customHeight="1" s="83">
      <c r="A132" s="116" t="n"/>
      <c r="B132" s="116" t="n"/>
      <c r="C132" s="116" t="n"/>
      <c r="D132" s="116" t="n"/>
      <c r="E132" s="116">
        <f>IF(D132&lt;&gt;"","Occupied","Vacant")</f>
        <v/>
      </c>
      <c r="F132" s="116" t="n"/>
      <c r="G132" s="117" t="n"/>
      <c r="H132" s="116">
        <f>COUNTIFS($B:$B,B132,$E:$E,"Occupied")</f>
        <v/>
      </c>
      <c r="I132" s="82">
        <f>IF(E132&lt;&gt;"Occupied",0,IF(H132=1,350,IF(H132=2,200,0)))</f>
        <v/>
      </c>
      <c r="J132" s="82">
        <f>IF(E132="Occupied",IFERROR(SUMIFS('Electricity Management'!$J:$J,'Electricity Management'!$A:$A,A132,'Electricity Management'!$C:$C,B132),0),0)</f>
        <v/>
      </c>
      <c r="K132" s="82">
        <f>IF(E132="Occupied",IFERROR(SUMIFS('Electricity Management'!$T:$T,'Electricity Management'!$K:$K,A132,'Electricity Management'!$L:$L,B132),0),0)</f>
        <v/>
      </c>
      <c r="O132" s="117" t="n"/>
      <c r="P132" s="116" t="n"/>
      <c r="Q132" s="116" t="n"/>
      <c r="R132" s="116" t="n"/>
      <c r="S132" s="119" t="n"/>
      <c r="T132" s="120">
        <f>IF(F132="Yes",A132&amp;"-"&amp;B132,C132)</f>
        <v/>
      </c>
    </row>
    <row r="133" ht="14.25" customHeight="1" s="83">
      <c r="A133" s="116" t="n"/>
      <c r="B133" s="116" t="n"/>
      <c r="C133" s="116" t="n"/>
      <c r="D133" s="116" t="n"/>
      <c r="E133" s="116">
        <f>IF(D133&lt;&gt;"","Occupied","Vacant")</f>
        <v/>
      </c>
      <c r="F133" s="116" t="n"/>
      <c r="G133" s="117" t="n"/>
      <c r="H133" s="116">
        <f>COUNTIFS($B:$B,B133,$E:$E,"Occupied")</f>
        <v/>
      </c>
      <c r="I133" s="82">
        <f>IF(E133&lt;&gt;"Occupied",0,IF(H133=1,350,IF(H133=2,200,0)))</f>
        <v/>
      </c>
      <c r="J133" s="82">
        <f>IF(E133="Occupied",IFERROR(SUMIFS('Electricity Management'!$J:$J,'Electricity Management'!$A:$A,A133,'Electricity Management'!$C:$C,B133),0),0)</f>
        <v/>
      </c>
      <c r="K133" s="82">
        <f>IF(E133="Occupied",IFERROR(SUMIFS('Electricity Management'!$T:$T,'Electricity Management'!$K:$K,A133,'Electricity Management'!$L:$L,B133),0),0)</f>
        <v/>
      </c>
      <c r="O133" s="117" t="n"/>
      <c r="P133" s="116" t="n"/>
      <c r="Q133" s="116" t="n"/>
      <c r="R133" s="116" t="n"/>
      <c r="S133" s="119" t="n"/>
      <c r="T133" s="120">
        <f>IF(F133="Yes",A133&amp;"-"&amp;B133,C133)</f>
        <v/>
      </c>
    </row>
    <row r="134" ht="14.25" customHeight="1" s="83">
      <c r="A134" s="116" t="n"/>
      <c r="B134" s="116" t="n"/>
      <c r="C134" s="116" t="n"/>
      <c r="D134" s="116" t="n"/>
      <c r="E134" s="116">
        <f>IF(D134&lt;&gt;"","Occupied","Vacant")</f>
        <v/>
      </c>
      <c r="F134" s="116" t="n"/>
      <c r="G134" s="117" t="n"/>
      <c r="H134" s="116">
        <f>COUNTIFS($B:$B,B134,$E:$E,"Occupied")</f>
        <v/>
      </c>
      <c r="I134" s="82">
        <f>IF(E134&lt;&gt;"Occupied",0,IF(H134=1,350,IF(H134=2,200,0)))</f>
        <v/>
      </c>
      <c r="J134" s="82">
        <f>IF(E134="Occupied",IFERROR(SUMIFS('Electricity Management'!$J:$J,'Electricity Management'!$A:$A,A134,'Electricity Management'!$C:$C,B134),0),0)</f>
        <v/>
      </c>
      <c r="K134" s="82">
        <f>IF(E134="Occupied",IFERROR(SUMIFS('Electricity Management'!$T:$T,'Electricity Management'!$K:$K,A134,'Electricity Management'!$L:$L,B134),0),0)</f>
        <v/>
      </c>
      <c r="O134" s="117" t="n"/>
      <c r="P134" s="116" t="n"/>
      <c r="Q134" s="116" t="n"/>
      <c r="R134" s="116" t="n"/>
      <c r="S134" s="119" t="n"/>
      <c r="T134" s="120">
        <f>IF(F134="Yes",A134&amp;"-"&amp;B134,C134)</f>
        <v/>
      </c>
    </row>
    <row r="135" ht="14.25" customHeight="1" s="83">
      <c r="A135" s="116" t="n"/>
      <c r="B135" s="116" t="n"/>
      <c r="C135" s="116" t="n"/>
      <c r="D135" s="116" t="n"/>
      <c r="E135" s="116">
        <f>IF(D135&lt;&gt;"","Occupied","Vacant")</f>
        <v/>
      </c>
      <c r="F135" s="116" t="n"/>
      <c r="G135" s="117" t="n"/>
      <c r="H135" s="116">
        <f>COUNTIFS($B:$B,B135,$E:$E,"Occupied")</f>
        <v/>
      </c>
      <c r="I135" s="82">
        <f>IF(E135&lt;&gt;"Occupied",0,IF(H135=1,350,IF(H135=2,200,0)))</f>
        <v/>
      </c>
      <c r="J135" s="82">
        <f>IF(E135="Occupied",IFERROR(SUMIFS('Electricity Management'!$J:$J,'Electricity Management'!$A:$A,A135,'Electricity Management'!$C:$C,B135),0),0)</f>
        <v/>
      </c>
      <c r="K135" s="82">
        <f>IF(E135="Occupied",IFERROR(SUMIFS('Electricity Management'!$T:$T,'Electricity Management'!$K:$K,A135,'Electricity Management'!$L:$L,B135),0),0)</f>
        <v/>
      </c>
      <c r="O135" s="117" t="n"/>
      <c r="P135" s="116" t="n"/>
      <c r="Q135" s="116" t="n"/>
      <c r="R135" s="116" t="n"/>
      <c r="S135" s="119" t="n"/>
      <c r="T135" s="120">
        <f>IF(F135="Yes",A135&amp;"-"&amp;B135,C135)</f>
        <v/>
      </c>
    </row>
    <row r="136" ht="14.25" customHeight="1" s="83">
      <c r="A136" s="116" t="n"/>
      <c r="B136" s="116" t="n"/>
      <c r="C136" s="116" t="n"/>
      <c r="D136" s="116" t="n"/>
      <c r="E136" s="116">
        <f>IF(D136&lt;&gt;"","Occupied","Vacant")</f>
        <v/>
      </c>
      <c r="F136" s="116" t="n"/>
      <c r="G136" s="117" t="n"/>
      <c r="H136" s="116">
        <f>COUNTIFS($B:$B,B136,$E:$E,"Occupied")</f>
        <v/>
      </c>
      <c r="I136" s="82">
        <f>IF(E136&lt;&gt;"Occupied",0,IF(H136=1,350,IF(H136=2,200,0)))</f>
        <v/>
      </c>
      <c r="J136" s="82">
        <f>IF(E136="Occupied",IFERROR(SUMIFS('Electricity Management'!$J:$J,'Electricity Management'!$A:$A,A136,'Electricity Management'!$C:$C,B136),0),0)</f>
        <v/>
      </c>
      <c r="K136" s="82">
        <f>IF(E136="Occupied",IFERROR(SUMIFS('Electricity Management'!$T:$T,'Electricity Management'!$K:$K,A136,'Electricity Management'!$L:$L,B136),0),0)</f>
        <v/>
      </c>
      <c r="O136" s="117" t="n"/>
      <c r="P136" s="116" t="n"/>
      <c r="Q136" s="116" t="n"/>
      <c r="R136" s="116" t="n"/>
      <c r="S136" s="119" t="n"/>
      <c r="T136" s="120">
        <f>IF(F136="Yes",A136&amp;"-"&amp;B136,C136)</f>
        <v/>
      </c>
    </row>
    <row r="137" ht="14.25" customHeight="1" s="83">
      <c r="A137" s="116" t="n"/>
      <c r="B137" s="116" t="n"/>
      <c r="C137" s="116" t="n"/>
      <c r="D137" s="116" t="n"/>
      <c r="E137" s="116">
        <f>IF(D137&lt;&gt;"","Occupied","Vacant")</f>
        <v/>
      </c>
      <c r="F137" s="116" t="n"/>
      <c r="G137" s="117" t="n"/>
      <c r="H137" s="116">
        <f>COUNTIFS($B:$B,B137,$E:$E,"Occupied")</f>
        <v/>
      </c>
      <c r="I137" s="82">
        <f>IF(E137&lt;&gt;"Occupied",0,IF(H137=1,350,IF(H137=2,200,0)))</f>
        <v/>
      </c>
      <c r="J137" s="82">
        <f>IF(E137="Occupied",IFERROR(SUMIFS('Electricity Management'!$J:$J,'Electricity Management'!$A:$A,A137,'Electricity Management'!$C:$C,B137),0),0)</f>
        <v/>
      </c>
      <c r="K137" s="82">
        <f>IF(E137="Occupied",IFERROR(SUMIFS('Electricity Management'!$T:$T,'Electricity Management'!$K:$K,A137,'Electricity Management'!$L:$L,B137),0),0)</f>
        <v/>
      </c>
      <c r="O137" s="117" t="n"/>
      <c r="P137" s="116" t="n"/>
      <c r="Q137" s="116" t="n"/>
      <c r="R137" s="116" t="n"/>
      <c r="S137" s="119" t="n"/>
      <c r="T137" s="120">
        <f>IF(F137="Yes",A137&amp;"-"&amp;B137,C137)</f>
        <v/>
      </c>
    </row>
    <row r="138" ht="14.25" customHeight="1" s="83">
      <c r="A138" s="116" t="n"/>
      <c r="B138" s="116" t="n"/>
      <c r="C138" s="116" t="n"/>
      <c r="D138" s="116" t="n"/>
      <c r="E138" s="116">
        <f>IF(D138&lt;&gt;"","Occupied","Vacant")</f>
        <v/>
      </c>
      <c r="F138" s="116" t="n"/>
      <c r="G138" s="117" t="n"/>
      <c r="H138" s="116">
        <f>COUNTIFS($B:$B,B138,$E:$E,"Occupied")</f>
        <v/>
      </c>
      <c r="I138" s="82">
        <f>IF(E138&lt;&gt;"Occupied",0,IF(H138=1,350,IF(H138=2,200,0)))</f>
        <v/>
      </c>
      <c r="J138" s="82">
        <f>IF(E138="Occupied",IFERROR(SUMIFS('Electricity Management'!$J:$J,'Electricity Management'!$A:$A,A138,'Electricity Management'!$C:$C,B138),0),0)</f>
        <v/>
      </c>
      <c r="K138" s="82">
        <f>IF(E138="Occupied",IFERROR(SUMIFS('Electricity Management'!$T:$T,'Electricity Management'!$K:$K,A138,'Electricity Management'!$L:$L,B138),0),0)</f>
        <v/>
      </c>
      <c r="O138" s="117" t="n"/>
      <c r="P138" s="116" t="n"/>
      <c r="Q138" s="116" t="n"/>
      <c r="R138" s="116" t="n"/>
      <c r="S138" s="119" t="n"/>
      <c r="T138" s="120">
        <f>IF(F138="Yes",A138&amp;"-"&amp;B138,C138)</f>
        <v/>
      </c>
    </row>
    <row r="139" ht="14.25" customHeight="1" s="83">
      <c r="A139" s="116" t="n"/>
      <c r="B139" s="116" t="n"/>
      <c r="C139" s="116" t="n"/>
      <c r="D139" s="116" t="n"/>
      <c r="E139" s="116">
        <f>IF(D139&lt;&gt;"","Occupied","Vacant")</f>
        <v/>
      </c>
      <c r="F139" s="116" t="n"/>
      <c r="G139" s="117" t="n"/>
      <c r="H139" s="116">
        <f>COUNTIFS($B:$B,B139,$E:$E,"Occupied")</f>
        <v/>
      </c>
      <c r="I139" s="82">
        <f>IF(E139&lt;&gt;"Occupied",0,IF(H139=1,350,IF(H139=2,200,0)))</f>
        <v/>
      </c>
      <c r="J139" s="82">
        <f>IF(E139="Occupied",IFERROR(SUMIFS('Electricity Management'!$J:$J,'Electricity Management'!$A:$A,A139,'Electricity Management'!$C:$C,B139),0),0)</f>
        <v/>
      </c>
      <c r="K139" s="82">
        <f>IF(E139="Occupied",IFERROR(SUMIFS('Electricity Management'!$T:$T,'Electricity Management'!$K:$K,A139,'Electricity Management'!$L:$L,B139),0),0)</f>
        <v/>
      </c>
      <c r="O139" s="117" t="n"/>
      <c r="P139" s="116" t="n"/>
      <c r="Q139" s="116" t="n"/>
      <c r="R139" s="116" t="n"/>
      <c r="S139" s="119" t="n"/>
      <c r="T139" s="120">
        <f>IF(F139="Yes",A139&amp;"-"&amp;B139,C139)</f>
        <v/>
      </c>
    </row>
    <row r="140" ht="14.25" customHeight="1" s="83">
      <c r="A140" s="116" t="n"/>
      <c r="B140" s="116" t="n"/>
      <c r="C140" s="116" t="n"/>
      <c r="D140" s="116" t="n"/>
      <c r="E140" s="116">
        <f>IF(D140&lt;&gt;"","Occupied","Vacant")</f>
        <v/>
      </c>
      <c r="F140" s="116" t="n"/>
      <c r="G140" s="117" t="n"/>
      <c r="H140" s="116">
        <f>COUNTIFS($B:$B,B140,$E:$E,"Occupied")</f>
        <v/>
      </c>
      <c r="I140" s="82">
        <f>IF(E140&lt;&gt;"Occupied",0,IF(H140=1,350,IF(H140=2,200,0)))</f>
        <v/>
      </c>
      <c r="J140" s="82">
        <f>IF(E140="Occupied",IFERROR(SUMIFS('Electricity Management'!$J:$J,'Electricity Management'!$A:$A,A140,'Electricity Management'!$C:$C,B140),0),0)</f>
        <v/>
      </c>
      <c r="K140" s="82">
        <f>IF(E140="Occupied",IFERROR(SUMIFS('Electricity Management'!$T:$T,'Electricity Management'!$K:$K,A140,'Electricity Management'!$L:$L,B140),0),0)</f>
        <v/>
      </c>
      <c r="O140" s="117" t="n"/>
      <c r="P140" s="116" t="n"/>
      <c r="Q140" s="116" t="n"/>
      <c r="R140" s="116" t="n"/>
      <c r="S140" s="119" t="n"/>
      <c r="T140" s="120">
        <f>IF(F140="Yes",A140&amp;"-"&amp;B140,C140)</f>
        <v/>
      </c>
    </row>
    <row r="141" ht="14.25" customHeight="1" s="83">
      <c r="A141" s="116" t="n"/>
      <c r="B141" s="116" t="n"/>
      <c r="C141" s="116" t="n"/>
      <c r="D141" s="116" t="n"/>
      <c r="E141" s="116">
        <f>IF(D141&lt;&gt;"","Occupied","Vacant")</f>
        <v/>
      </c>
      <c r="F141" s="116" t="n"/>
      <c r="G141" s="117" t="n"/>
      <c r="H141" s="116">
        <f>COUNTIFS($B:$B,B141,$E:$E,"Occupied")</f>
        <v/>
      </c>
      <c r="I141" s="82">
        <f>IF(E141&lt;&gt;"Occupied",0,IF(H141=1,350,IF(H141=2,200,0)))</f>
        <v/>
      </c>
      <c r="J141" s="82">
        <f>IF(E141="Occupied",IFERROR(SUMIFS('Electricity Management'!$J:$J,'Electricity Management'!$A:$A,A141,'Electricity Management'!$C:$C,B141),0),0)</f>
        <v/>
      </c>
      <c r="K141" s="82">
        <f>IF(E141="Occupied",IFERROR(SUMIFS('Electricity Management'!$T:$T,'Electricity Management'!$K:$K,A141,'Electricity Management'!$L:$L,B141),0),0)</f>
        <v/>
      </c>
      <c r="O141" s="117" t="n"/>
      <c r="P141" s="116" t="n"/>
      <c r="Q141" s="116" t="n"/>
      <c r="R141" s="116" t="n"/>
      <c r="S141" s="119" t="n"/>
      <c r="T141" s="120">
        <f>IF(F141="Yes",A141&amp;"-"&amp;B141,C141)</f>
        <v/>
      </c>
    </row>
    <row r="142" ht="14.25" customHeight="1" s="83">
      <c r="A142" s="116" t="n"/>
      <c r="B142" s="116" t="n"/>
      <c r="C142" s="116" t="n"/>
      <c r="D142" s="116" t="n"/>
      <c r="E142" s="116">
        <f>IF(D142&lt;&gt;"","Occupied","Vacant")</f>
        <v/>
      </c>
      <c r="F142" s="116" t="n"/>
      <c r="G142" s="117" t="n"/>
      <c r="H142" s="116">
        <f>COUNTIFS($B:$B,B142,$E:$E,"Occupied")</f>
        <v/>
      </c>
      <c r="I142" s="82">
        <f>IF(E142&lt;&gt;"Occupied",0,IF(H142=1,350,IF(H142=2,200,0)))</f>
        <v/>
      </c>
      <c r="J142" s="82">
        <f>IF(E142="Occupied",IFERROR(SUMIFS('Electricity Management'!$J:$J,'Electricity Management'!$A:$A,A142,'Electricity Management'!$C:$C,B142),0),0)</f>
        <v/>
      </c>
      <c r="K142" s="82">
        <f>IF(E142="Occupied",IFERROR(SUMIFS('Electricity Management'!$T:$T,'Electricity Management'!$K:$K,A142,'Electricity Management'!$L:$L,B142),0),0)</f>
        <v/>
      </c>
      <c r="O142" s="117" t="n"/>
      <c r="P142" s="116" t="n"/>
      <c r="Q142" s="116" t="n"/>
      <c r="R142" s="116" t="n"/>
      <c r="S142" s="119" t="n"/>
      <c r="T142" s="120">
        <f>IF(F142="Yes",A142&amp;"-"&amp;B142,C142)</f>
        <v/>
      </c>
    </row>
    <row r="143" ht="14.25" customHeight="1" s="83">
      <c r="A143" s="116" t="n"/>
      <c r="B143" s="116" t="n"/>
      <c r="C143" s="116" t="n"/>
      <c r="D143" s="116" t="n"/>
      <c r="E143" s="116">
        <f>IF(D143&lt;&gt;"","Occupied","Vacant")</f>
        <v/>
      </c>
      <c r="F143" s="116" t="n"/>
      <c r="G143" s="117" t="n"/>
      <c r="H143" s="116">
        <f>COUNTIFS($B:$B,B143,$E:$E,"Occupied")</f>
        <v/>
      </c>
      <c r="I143" s="82">
        <f>IF(E143&lt;&gt;"Occupied",0,IF(H143=1,350,IF(H143=2,200,0)))</f>
        <v/>
      </c>
      <c r="J143" s="82">
        <f>IF(E143="Occupied",IFERROR(SUMIFS('Electricity Management'!$J:$J,'Electricity Management'!$A:$A,A143,'Electricity Management'!$C:$C,B143),0),0)</f>
        <v/>
      </c>
      <c r="K143" s="82">
        <f>IF(E143="Occupied",IFERROR(SUMIFS('Electricity Management'!$T:$T,'Electricity Management'!$K:$K,A143,'Electricity Management'!$L:$L,B143),0),0)</f>
        <v/>
      </c>
      <c r="O143" s="117" t="n"/>
      <c r="P143" s="116" t="n"/>
      <c r="Q143" s="116" t="n"/>
      <c r="R143" s="116" t="n"/>
      <c r="S143" s="119" t="n"/>
      <c r="T143" s="120">
        <f>IF(F143="Yes",A143&amp;"-"&amp;B143,C143)</f>
        <v/>
      </c>
    </row>
    <row r="144" ht="14.25" customHeight="1" s="83">
      <c r="A144" s="116" t="n"/>
      <c r="B144" s="116" t="n"/>
      <c r="C144" s="116" t="n"/>
      <c r="D144" s="116" t="n"/>
      <c r="E144" s="116">
        <f>IF(D144&lt;&gt;"","Occupied","Vacant")</f>
        <v/>
      </c>
      <c r="F144" s="116" t="n"/>
      <c r="G144" s="117" t="n"/>
      <c r="H144" s="116">
        <f>COUNTIFS($B:$B,B144,$E:$E,"Occupied")</f>
        <v/>
      </c>
      <c r="I144" s="82">
        <f>IF(E144&lt;&gt;"Occupied",0,IF(H144=1,350,IF(H144=2,200,0)))</f>
        <v/>
      </c>
      <c r="J144" s="82">
        <f>IF(E144="Occupied",IFERROR(SUMIFS('Electricity Management'!$J:$J,'Electricity Management'!$A:$A,A144,'Electricity Management'!$C:$C,B144),0),0)</f>
        <v/>
      </c>
      <c r="K144" s="82">
        <f>IF(E144="Occupied",IFERROR(SUMIFS('Electricity Management'!$T:$T,'Electricity Management'!$K:$K,A144,'Electricity Management'!$L:$L,B144),0),0)</f>
        <v/>
      </c>
      <c r="O144" s="117" t="n"/>
      <c r="P144" s="116" t="n"/>
      <c r="Q144" s="116" t="n"/>
      <c r="R144" s="116" t="n"/>
      <c r="S144" s="119" t="n"/>
      <c r="T144" s="120">
        <f>IF(F144="Yes",A144&amp;"-"&amp;B144,C144)</f>
        <v/>
      </c>
    </row>
    <row r="145" ht="14.25" customHeight="1" s="83">
      <c r="A145" s="116" t="n"/>
      <c r="B145" s="116" t="n"/>
      <c r="C145" s="116" t="n"/>
      <c r="D145" s="116" t="n"/>
      <c r="E145" s="116">
        <f>IF(D145&lt;&gt;"","Occupied","Vacant")</f>
        <v/>
      </c>
      <c r="F145" s="116" t="n"/>
      <c r="G145" s="117" t="n"/>
      <c r="H145" s="116">
        <f>COUNTIFS($B:$B,B145,$E:$E,"Occupied")</f>
        <v/>
      </c>
      <c r="I145" s="82">
        <f>IF(E145&lt;&gt;"Occupied",0,IF(H145=1,350,IF(H145=2,200,0)))</f>
        <v/>
      </c>
      <c r="J145" s="82">
        <f>IF(E145="Occupied",IFERROR(SUMIFS('Electricity Management'!$J:$J,'Electricity Management'!$A:$A,A145,'Electricity Management'!$C:$C,B145),0),0)</f>
        <v/>
      </c>
      <c r="K145" s="82">
        <f>IF(E145="Occupied",IFERROR(SUMIFS('Electricity Management'!$T:$T,'Electricity Management'!$K:$K,A145,'Electricity Management'!$L:$L,B145),0),0)</f>
        <v/>
      </c>
      <c r="O145" s="117" t="n"/>
      <c r="P145" s="116" t="n"/>
      <c r="Q145" s="116" t="n"/>
      <c r="R145" s="116" t="n"/>
      <c r="S145" s="119" t="n"/>
      <c r="T145" s="120">
        <f>IF(F145="Yes",A145&amp;"-"&amp;B145,C145)</f>
        <v/>
      </c>
    </row>
    <row r="146" ht="14.25" customHeight="1" s="83">
      <c r="A146" s="116" t="n"/>
      <c r="B146" s="116" t="n"/>
      <c r="C146" s="116" t="n"/>
      <c r="D146" s="116" t="n"/>
      <c r="E146" s="116">
        <f>IF(D146&lt;&gt;"","Occupied","Vacant")</f>
        <v/>
      </c>
      <c r="F146" s="116" t="n"/>
      <c r="G146" s="117" t="n"/>
      <c r="H146" s="116">
        <f>COUNTIFS($B:$B,B146,$E:$E,"Occupied")</f>
        <v/>
      </c>
      <c r="I146" s="82">
        <f>IF(E146&lt;&gt;"Occupied",0,IF(H146=1,350,IF(H146=2,200,0)))</f>
        <v/>
      </c>
      <c r="J146" s="82">
        <f>IF(E146="Occupied",IFERROR(SUMIFS('Electricity Management'!$J:$J,'Electricity Management'!$A:$A,A146,'Electricity Management'!$C:$C,B146),0),0)</f>
        <v/>
      </c>
      <c r="K146" s="82">
        <f>IF(E146="Occupied",IFERROR(SUMIFS('Electricity Management'!$T:$T,'Electricity Management'!$K:$K,A146,'Electricity Management'!$L:$L,B146),0),0)</f>
        <v/>
      </c>
      <c r="O146" s="117" t="n"/>
      <c r="P146" s="116" t="n"/>
      <c r="Q146" s="116" t="n"/>
      <c r="R146" s="116" t="n"/>
      <c r="S146" s="119" t="n"/>
      <c r="T146" s="120">
        <f>IF(F146="Yes",A146&amp;"-"&amp;B146,C146)</f>
        <v/>
      </c>
    </row>
    <row r="147" ht="14.25" customHeight="1" s="83">
      <c r="A147" s="116" t="n"/>
      <c r="B147" s="116" t="n"/>
      <c r="C147" s="116" t="n"/>
      <c r="D147" s="116" t="n"/>
      <c r="E147" s="116">
        <f>IF(D147&lt;&gt;"","Occupied","Vacant")</f>
        <v/>
      </c>
      <c r="F147" s="116" t="n"/>
      <c r="G147" s="117" t="n"/>
      <c r="H147" s="116">
        <f>COUNTIFS($B:$B,B147,$E:$E,"Occupied")</f>
        <v/>
      </c>
      <c r="I147" s="82">
        <f>IF(E147&lt;&gt;"Occupied",0,IF(H147=1,350,IF(H147=2,200,0)))</f>
        <v/>
      </c>
      <c r="J147" s="82">
        <f>IF(E147="Occupied",IFERROR(SUMIFS('Electricity Management'!$J:$J,'Electricity Management'!$A:$A,A147,'Electricity Management'!$C:$C,B147),0),0)</f>
        <v/>
      </c>
      <c r="K147" s="82">
        <f>IF(E147="Occupied",IFERROR(SUMIFS('Electricity Management'!$T:$T,'Electricity Management'!$K:$K,A147,'Electricity Management'!$L:$L,B147),0),0)</f>
        <v/>
      </c>
      <c r="O147" s="117" t="n"/>
      <c r="P147" s="116" t="n"/>
      <c r="Q147" s="116" t="n"/>
      <c r="R147" s="116" t="n"/>
      <c r="S147" s="119" t="n"/>
      <c r="T147" s="120">
        <f>IF(F147="Yes",A147&amp;"-"&amp;B147,C147)</f>
        <v/>
      </c>
    </row>
    <row r="148" ht="14.25" customHeight="1" s="83">
      <c r="A148" s="116" t="n"/>
      <c r="B148" s="116" t="n"/>
      <c r="C148" s="116" t="n"/>
      <c r="D148" s="116" t="n"/>
      <c r="E148" s="116">
        <f>IF(D148&lt;&gt;"","Occupied","Vacant")</f>
        <v/>
      </c>
      <c r="F148" s="116" t="n"/>
      <c r="G148" s="117" t="n"/>
      <c r="H148" s="116">
        <f>COUNTIFS($B:$B,B148,$E:$E,"Occupied")</f>
        <v/>
      </c>
      <c r="I148" s="82">
        <f>IF(E148&lt;&gt;"Occupied",0,IF(H148=1,350,IF(H148=2,200,0)))</f>
        <v/>
      </c>
      <c r="J148" s="82">
        <f>IF(E148="Occupied",IFERROR(SUMIFS('Electricity Management'!$J:$J,'Electricity Management'!$A:$A,A148,'Electricity Management'!$C:$C,B148),0),0)</f>
        <v/>
      </c>
      <c r="K148" s="82">
        <f>IF(E148="Occupied",IFERROR(SUMIFS('Electricity Management'!$T:$T,'Electricity Management'!$K:$K,A148,'Electricity Management'!$L:$L,B148),0),0)</f>
        <v/>
      </c>
      <c r="O148" s="117" t="n"/>
      <c r="P148" s="116" t="n"/>
      <c r="Q148" s="116" t="n"/>
      <c r="R148" s="116" t="n"/>
      <c r="S148" s="119" t="n"/>
      <c r="T148" s="120">
        <f>IF(F148="Yes",A148&amp;"-"&amp;B148,C148)</f>
        <v/>
      </c>
    </row>
    <row r="149" ht="14.25" customHeight="1" s="83">
      <c r="A149" s="116" t="n"/>
      <c r="B149" s="116" t="n"/>
      <c r="C149" s="116" t="n"/>
      <c r="D149" s="116" t="n"/>
      <c r="E149" s="116">
        <f>IF(D149&lt;&gt;"","Occupied","Vacant")</f>
        <v/>
      </c>
      <c r="F149" s="116" t="n"/>
      <c r="G149" s="117" t="n"/>
      <c r="H149" s="116">
        <f>COUNTIFS($B:$B,B149,$E:$E,"Occupied")</f>
        <v/>
      </c>
      <c r="I149" s="82">
        <f>IF(E149&lt;&gt;"Occupied",0,IF(H149=1,350,IF(H149=2,200,0)))</f>
        <v/>
      </c>
      <c r="J149" s="82">
        <f>IF(E149="Occupied",IFERROR(SUMIFS('Electricity Management'!$J:$J,'Electricity Management'!$A:$A,A149,'Electricity Management'!$C:$C,B149),0),0)</f>
        <v/>
      </c>
      <c r="K149" s="82">
        <f>IF(E149="Occupied",IFERROR(SUMIFS('Electricity Management'!$T:$T,'Electricity Management'!$K:$K,A149,'Electricity Management'!$L:$L,B149),0),0)</f>
        <v/>
      </c>
      <c r="O149" s="117" t="n"/>
      <c r="P149" s="116" t="n"/>
      <c r="Q149" s="116" t="n"/>
      <c r="R149" s="116" t="n"/>
      <c r="S149" s="119" t="n"/>
      <c r="T149" s="120">
        <f>IF(F149="Yes",A149&amp;"-"&amp;B149,C149)</f>
        <v/>
      </c>
    </row>
    <row r="150" ht="14.25" customHeight="1" s="83">
      <c r="A150" s="116" t="n"/>
      <c r="B150" s="116" t="n"/>
      <c r="C150" s="116" t="n"/>
      <c r="D150" s="116" t="n"/>
      <c r="E150" s="116">
        <f>IF(D150&lt;&gt;"","Occupied","Vacant")</f>
        <v/>
      </c>
      <c r="F150" s="116" t="n"/>
      <c r="G150" s="117" t="n"/>
      <c r="H150" s="116">
        <f>COUNTIFS($B:$B,B150,$E:$E,"Occupied")</f>
        <v/>
      </c>
      <c r="I150" s="82">
        <f>IF(E150&lt;&gt;"Occupied",0,IF(H150=1,350,IF(H150=2,200,0)))</f>
        <v/>
      </c>
      <c r="J150" s="82">
        <f>IF(E150="Occupied",IFERROR(SUMIFS('Electricity Management'!$J:$J,'Electricity Management'!$A:$A,A150,'Electricity Management'!$C:$C,B150),0),0)</f>
        <v/>
      </c>
      <c r="K150" s="82">
        <f>IF(E150="Occupied",IFERROR(SUMIFS('Electricity Management'!$T:$T,'Electricity Management'!$K:$K,A150,'Electricity Management'!$L:$L,B150),0),0)</f>
        <v/>
      </c>
      <c r="O150" s="117" t="n"/>
      <c r="P150" s="116" t="n"/>
      <c r="Q150" s="116" t="n"/>
      <c r="R150" s="116" t="n"/>
      <c r="S150" s="119" t="n"/>
      <c r="T150" s="120">
        <f>IF(F150="Yes",A150&amp;"-"&amp;B150,C150)</f>
        <v/>
      </c>
    </row>
    <row r="151" ht="14.25" customHeight="1" s="83">
      <c r="A151" s="116" t="n"/>
      <c r="B151" s="116" t="n"/>
      <c r="C151" s="116" t="n"/>
      <c r="D151" s="116" t="n"/>
      <c r="E151" s="116">
        <f>IF(D151&lt;&gt;"","Occupied","Vacant")</f>
        <v/>
      </c>
      <c r="F151" s="116" t="n"/>
      <c r="G151" s="117" t="n"/>
      <c r="H151" s="116">
        <f>COUNTIFS($B:$B,B151,$E:$E,"Occupied")</f>
        <v/>
      </c>
      <c r="I151" s="82">
        <f>IF(E151&lt;&gt;"Occupied",0,IF(H151=1,350,IF(H151=2,200,0)))</f>
        <v/>
      </c>
      <c r="J151" s="82">
        <f>IF(E151="Occupied",IFERROR(SUMIFS('Electricity Management'!$J:$J,'Electricity Management'!$A:$A,A151,'Electricity Management'!$C:$C,B151),0),0)</f>
        <v/>
      </c>
      <c r="K151" s="82">
        <f>IF(E151="Occupied",IFERROR(SUMIFS('Electricity Management'!$T:$T,'Electricity Management'!$K:$K,A151,'Electricity Management'!$L:$L,B151),0),0)</f>
        <v/>
      </c>
      <c r="O151" s="117" t="n"/>
      <c r="P151" s="116" t="n"/>
      <c r="Q151" s="116" t="n"/>
      <c r="R151" s="116" t="n"/>
      <c r="S151" s="119" t="n"/>
      <c r="T151" s="120">
        <f>IF(F151="Yes",A151&amp;"-"&amp;B151,C151)</f>
        <v/>
      </c>
    </row>
    <row r="152" ht="14.25" customHeight="1" s="83">
      <c r="A152" s="116" t="n"/>
      <c r="B152" s="116" t="n"/>
      <c r="C152" s="116" t="n"/>
      <c r="D152" s="116" t="n"/>
      <c r="E152" s="116">
        <f>IF(D152&lt;&gt;"","Occupied","Vacant")</f>
        <v/>
      </c>
      <c r="F152" s="116" t="n"/>
      <c r="G152" s="117" t="n"/>
      <c r="H152" s="116">
        <f>COUNTIFS($B:$B,B152,$E:$E,"Occupied")</f>
        <v/>
      </c>
      <c r="I152" s="82">
        <f>IF(E152&lt;&gt;"Occupied",0,IF(H152=1,350,IF(H152=2,200,0)))</f>
        <v/>
      </c>
      <c r="J152" s="82">
        <f>IF(E152="Occupied",IFERROR(SUMIFS('Electricity Management'!$J:$J,'Electricity Management'!$A:$A,A152,'Electricity Management'!$C:$C,B152),0),0)</f>
        <v/>
      </c>
      <c r="K152" s="82">
        <f>IF(E152="Occupied",IFERROR(SUMIFS('Electricity Management'!$T:$T,'Electricity Management'!$K:$K,A152,'Electricity Management'!$L:$L,B152),0),0)</f>
        <v/>
      </c>
      <c r="O152" s="117" t="n"/>
      <c r="P152" s="116" t="n"/>
      <c r="Q152" s="116" t="n"/>
      <c r="R152" s="116" t="n"/>
      <c r="S152" s="119" t="n"/>
      <c r="T152" s="120">
        <f>IF(F152="Yes",A152&amp;"-"&amp;B152,C152)</f>
        <v/>
      </c>
    </row>
    <row r="153" ht="14.25" customHeight="1" s="83">
      <c r="A153" s="116" t="n"/>
      <c r="B153" s="116" t="n"/>
      <c r="C153" s="116" t="n"/>
      <c r="D153" s="116" t="n"/>
      <c r="E153" s="116">
        <f>IF(D153&lt;&gt;"","Occupied","Vacant")</f>
        <v/>
      </c>
      <c r="F153" s="116" t="n"/>
      <c r="G153" s="117" t="n"/>
      <c r="H153" s="116">
        <f>COUNTIFS($B:$B,B153,$E:$E,"Occupied")</f>
        <v/>
      </c>
      <c r="I153" s="82">
        <f>IF(E153&lt;&gt;"Occupied",0,IF(H153=1,350,IF(H153=2,200,0)))</f>
        <v/>
      </c>
      <c r="J153" s="82">
        <f>IF(E153="Occupied",IFERROR(SUMIFS('Electricity Management'!$J:$J,'Electricity Management'!$A:$A,A153,'Electricity Management'!$C:$C,B153),0),0)</f>
        <v/>
      </c>
      <c r="K153" s="82">
        <f>IF(E153="Occupied",IFERROR(SUMIFS('Electricity Management'!$T:$T,'Electricity Management'!$K:$K,A153,'Electricity Management'!$L:$L,B153),0),0)</f>
        <v/>
      </c>
      <c r="O153" s="117" t="n"/>
      <c r="P153" s="116" t="n"/>
      <c r="Q153" s="116" t="n"/>
      <c r="R153" s="116" t="n"/>
      <c r="S153" s="119" t="n"/>
      <c r="T153" s="120">
        <f>IF(F153="Yes",A153&amp;"-"&amp;B153,C153)</f>
        <v/>
      </c>
    </row>
    <row r="154" ht="14.25" customHeight="1" s="83">
      <c r="A154" s="116" t="n"/>
      <c r="B154" s="116" t="n"/>
      <c r="C154" s="116" t="n"/>
      <c r="D154" s="116" t="n"/>
      <c r="E154" s="116">
        <f>IF(D154&lt;&gt;"","Occupied","Vacant")</f>
        <v/>
      </c>
      <c r="F154" s="116" t="n"/>
      <c r="G154" s="117" t="n"/>
      <c r="H154" s="116">
        <f>COUNTIFS($B:$B,B154,$E:$E,"Occupied")</f>
        <v/>
      </c>
      <c r="I154" s="82">
        <f>IF(E154&lt;&gt;"Occupied",0,IF(H154=1,350,IF(H154=2,200,0)))</f>
        <v/>
      </c>
      <c r="J154" s="82">
        <f>IF(E154="Occupied",IFERROR(SUMIFS('Electricity Management'!$J:$J,'Electricity Management'!$A:$A,A154,'Electricity Management'!$C:$C,B154),0),0)</f>
        <v/>
      </c>
      <c r="K154" s="82">
        <f>IF(E154="Occupied",IFERROR(SUMIFS('Electricity Management'!$T:$T,'Electricity Management'!$K:$K,A154,'Electricity Management'!$L:$L,B154),0),0)</f>
        <v/>
      </c>
      <c r="O154" s="117" t="n"/>
      <c r="P154" s="116" t="n"/>
      <c r="Q154" s="116" t="n"/>
      <c r="R154" s="116" t="n"/>
      <c r="S154" s="119" t="n"/>
      <c r="T154" s="120">
        <f>IF(F154="Yes",A154&amp;"-"&amp;B154,C154)</f>
        <v/>
      </c>
    </row>
    <row r="155" ht="14.25" customHeight="1" s="83">
      <c r="A155" s="116" t="n"/>
      <c r="B155" s="116" t="n"/>
      <c r="C155" s="116" t="n"/>
      <c r="D155" s="116" t="n"/>
      <c r="E155" s="116">
        <f>IF(D155&lt;&gt;"","Occupied","Vacant")</f>
        <v/>
      </c>
      <c r="F155" s="116" t="n"/>
      <c r="G155" s="117" t="n"/>
      <c r="H155" s="116">
        <f>COUNTIFS($B:$B,B155,$E:$E,"Occupied")</f>
        <v/>
      </c>
      <c r="I155" s="82">
        <f>IF(E155&lt;&gt;"Occupied",0,IF(H155=1,350,IF(H155=2,200,0)))</f>
        <v/>
      </c>
      <c r="J155" s="82">
        <f>IF(E155="Occupied",IFERROR(SUMIFS('Electricity Management'!$J:$J,'Electricity Management'!$A:$A,A155,'Electricity Management'!$C:$C,B155),0),0)</f>
        <v/>
      </c>
      <c r="K155" s="82">
        <f>IF(E155="Occupied",IFERROR(SUMIFS('Electricity Management'!$T:$T,'Electricity Management'!$K:$K,A155,'Electricity Management'!$L:$L,B155),0),0)</f>
        <v/>
      </c>
      <c r="O155" s="117" t="n"/>
      <c r="P155" s="116" t="n"/>
      <c r="Q155" s="116" t="n"/>
      <c r="R155" s="116" t="n"/>
      <c r="S155" s="119" t="n"/>
      <c r="T155" s="120">
        <f>IF(F155="Yes",A155&amp;"-"&amp;B155,C155)</f>
        <v/>
      </c>
    </row>
    <row r="156" ht="14.25" customHeight="1" s="83">
      <c r="A156" s="116" t="n"/>
      <c r="B156" s="116" t="n"/>
      <c r="C156" s="116" t="n"/>
      <c r="D156" s="116" t="n"/>
      <c r="E156" s="116">
        <f>IF(D156&lt;&gt;"","Occupied","Vacant")</f>
        <v/>
      </c>
      <c r="F156" s="116" t="n"/>
      <c r="G156" s="117" t="n"/>
      <c r="H156" s="116">
        <f>COUNTIFS($B:$B,B156,$E:$E,"Occupied")</f>
        <v/>
      </c>
      <c r="I156" s="82">
        <f>IF(E156&lt;&gt;"Occupied",0,IF(H156=1,350,IF(H156=2,200,0)))</f>
        <v/>
      </c>
      <c r="J156" s="82">
        <f>IF(E156="Occupied",IFERROR(SUMIFS('Electricity Management'!$J:$J,'Electricity Management'!$A:$A,A156,'Electricity Management'!$C:$C,B156),0),0)</f>
        <v/>
      </c>
      <c r="K156" s="82">
        <f>IF(E156="Occupied",IFERROR(SUMIFS('Electricity Management'!$T:$T,'Electricity Management'!$K:$K,A156,'Electricity Management'!$L:$L,B156),0),0)</f>
        <v/>
      </c>
      <c r="O156" s="117" t="n"/>
      <c r="P156" s="116" t="n"/>
      <c r="Q156" s="116" t="n"/>
      <c r="R156" s="116" t="n"/>
      <c r="S156" s="119" t="n"/>
      <c r="T156" s="120">
        <f>IF(F156="Yes",A156&amp;"-"&amp;B156,C156)</f>
        <v/>
      </c>
    </row>
    <row r="157" ht="14.25" customHeight="1" s="83">
      <c r="A157" s="116" t="n"/>
      <c r="B157" s="116" t="n"/>
      <c r="C157" s="116" t="n"/>
      <c r="D157" s="116" t="n"/>
      <c r="E157" s="116">
        <f>IF(D157&lt;&gt;"","Occupied","Vacant")</f>
        <v/>
      </c>
      <c r="F157" s="116" t="n"/>
      <c r="G157" s="117" t="n"/>
      <c r="H157" s="116">
        <f>COUNTIFS($B:$B,B157,$E:$E,"Occupied")</f>
        <v/>
      </c>
      <c r="I157" s="82">
        <f>IF(E157&lt;&gt;"Occupied",0,IF(H157=1,350,IF(H157=2,200,0)))</f>
        <v/>
      </c>
      <c r="J157" s="82">
        <f>IF(E157="Occupied",IFERROR(SUMIFS('Electricity Management'!$J:$J,'Electricity Management'!$A:$A,A157,'Electricity Management'!$C:$C,B157),0),0)</f>
        <v/>
      </c>
      <c r="K157" s="82">
        <f>IF(E157="Occupied",IFERROR(SUMIFS('Electricity Management'!$T:$T,'Electricity Management'!$K:$K,A157,'Electricity Management'!$L:$L,B157),0),0)</f>
        <v/>
      </c>
      <c r="O157" s="117" t="n"/>
      <c r="P157" s="116" t="n"/>
      <c r="Q157" s="116" t="n"/>
      <c r="R157" s="116" t="n"/>
      <c r="S157" s="119" t="n"/>
      <c r="T157" s="120">
        <f>IF(F157="Yes",A157&amp;"-"&amp;B157,C157)</f>
        <v/>
      </c>
    </row>
    <row r="158" ht="14.25" customHeight="1" s="83">
      <c r="A158" s="116" t="n"/>
      <c r="B158" s="116" t="n"/>
      <c r="C158" s="116" t="n"/>
      <c r="D158" s="116" t="n"/>
      <c r="E158" s="116">
        <f>IF(D158&lt;&gt;"","Occupied","Vacant")</f>
        <v/>
      </c>
      <c r="F158" s="116" t="n"/>
      <c r="G158" s="117" t="n"/>
      <c r="H158" s="116">
        <f>COUNTIFS($B:$B,B158,$E:$E,"Occupied")</f>
        <v/>
      </c>
      <c r="I158" s="82">
        <f>IF(E158&lt;&gt;"Occupied",0,IF(H158=1,350,IF(H158=2,200,0)))</f>
        <v/>
      </c>
      <c r="J158" s="82">
        <f>IF(E158="Occupied",IFERROR(SUMIFS('Electricity Management'!$J:$J,'Electricity Management'!$A:$A,A158,'Electricity Management'!$C:$C,B158),0),0)</f>
        <v/>
      </c>
      <c r="K158" s="82">
        <f>IF(E158="Occupied",IFERROR(SUMIFS('Electricity Management'!$T:$T,'Electricity Management'!$K:$K,A158,'Electricity Management'!$L:$L,B158),0),0)</f>
        <v/>
      </c>
      <c r="O158" s="117" t="n"/>
      <c r="P158" s="116" t="n"/>
      <c r="Q158" s="116" t="n"/>
      <c r="R158" s="116" t="n"/>
      <c r="S158" s="119" t="n"/>
      <c r="T158" s="120">
        <f>IF(F158="Yes",A158&amp;"-"&amp;B158,C158)</f>
        <v/>
      </c>
    </row>
    <row r="159" ht="14.25" customHeight="1" s="83">
      <c r="A159" s="116" t="n"/>
      <c r="B159" s="116" t="n"/>
      <c r="C159" s="116" t="n"/>
      <c r="D159" s="116" t="n"/>
      <c r="E159" s="116">
        <f>IF(D159&lt;&gt;"","Occupied","Vacant")</f>
        <v/>
      </c>
      <c r="F159" s="116" t="n"/>
      <c r="G159" s="117" t="n"/>
      <c r="H159" s="116">
        <f>COUNTIFS($B:$B,B159,$E:$E,"Occupied")</f>
        <v/>
      </c>
      <c r="I159" s="82">
        <f>IF(E159&lt;&gt;"Occupied",0,IF(H159=1,350,IF(H159=2,200,0)))</f>
        <v/>
      </c>
      <c r="J159" s="82">
        <f>IF(E159="Occupied",IFERROR(SUMIFS('Electricity Management'!$J:$J,'Electricity Management'!$A:$A,A159,'Electricity Management'!$C:$C,B159),0),0)</f>
        <v/>
      </c>
      <c r="K159" s="82">
        <f>IF(E159="Occupied",IFERROR(SUMIFS('Electricity Management'!$T:$T,'Electricity Management'!$K:$K,A159,'Electricity Management'!$L:$L,B159),0),0)</f>
        <v/>
      </c>
      <c r="O159" s="117" t="n"/>
      <c r="P159" s="116" t="n"/>
      <c r="Q159" s="116" t="n"/>
      <c r="R159" s="116" t="n"/>
      <c r="S159" s="119" t="n"/>
      <c r="T159" s="120">
        <f>IF(F159="Yes",A159&amp;"-"&amp;B159,C159)</f>
        <v/>
      </c>
    </row>
    <row r="160" ht="14.25" customHeight="1" s="83">
      <c r="A160" s="116" t="n"/>
      <c r="B160" s="116" t="n"/>
      <c r="C160" s="116" t="n"/>
      <c r="D160" s="116" t="n"/>
      <c r="E160" s="116">
        <f>IF(D160&lt;&gt;"","Occupied","Vacant")</f>
        <v/>
      </c>
      <c r="F160" s="116" t="n"/>
      <c r="G160" s="117" t="n"/>
      <c r="H160" s="116">
        <f>COUNTIFS($B:$B,B160,$E:$E,"Occupied")</f>
        <v/>
      </c>
      <c r="I160" s="82">
        <f>IF(E160&lt;&gt;"Occupied",0,IF(H160=1,350,IF(H160=2,200,0)))</f>
        <v/>
      </c>
      <c r="J160" s="82">
        <f>IF(E160="Occupied",IFERROR(SUMIFS('Electricity Management'!$J:$J,'Electricity Management'!$A:$A,A160,'Electricity Management'!$C:$C,B160),0),0)</f>
        <v/>
      </c>
      <c r="K160" s="82">
        <f>IF(E160="Occupied",IFERROR(SUMIFS('Electricity Management'!$T:$T,'Electricity Management'!$K:$K,A160,'Electricity Management'!$L:$L,B160),0),0)</f>
        <v/>
      </c>
      <c r="O160" s="117" t="n"/>
      <c r="P160" s="116" t="n"/>
      <c r="Q160" s="116" t="n"/>
      <c r="R160" s="116" t="n"/>
      <c r="S160" s="119" t="n"/>
      <c r="T160" s="120">
        <f>IF(F160="Yes",A160&amp;"-"&amp;B160,C160)</f>
        <v/>
      </c>
    </row>
    <row r="161" ht="14.25" customHeight="1" s="83">
      <c r="A161" s="116" t="n"/>
      <c r="B161" s="116" t="n"/>
      <c r="C161" s="116" t="n"/>
      <c r="D161" s="116" t="n"/>
      <c r="E161" s="116">
        <f>IF(D161&lt;&gt;"","Occupied","Vacant")</f>
        <v/>
      </c>
      <c r="F161" s="116" t="n"/>
      <c r="G161" s="117" t="n"/>
      <c r="H161" s="116">
        <f>COUNTIFS($B:$B,B161,$E:$E,"Occupied")</f>
        <v/>
      </c>
      <c r="I161" s="82">
        <f>IF(E161&lt;&gt;"Occupied",0,IF(H161=1,350,IF(H161=2,200,0)))</f>
        <v/>
      </c>
      <c r="J161" s="82">
        <f>IF(E161="Occupied",IFERROR(SUMIFS('Electricity Management'!$J:$J,'Electricity Management'!$A:$A,A161,'Electricity Management'!$C:$C,B161),0),0)</f>
        <v/>
      </c>
      <c r="K161" s="82">
        <f>IF(E161="Occupied",IFERROR(SUMIFS('Electricity Management'!$T:$T,'Electricity Management'!$K:$K,A161,'Electricity Management'!$L:$L,B161),0),0)</f>
        <v/>
      </c>
      <c r="O161" s="117" t="n"/>
      <c r="P161" s="116" t="n"/>
      <c r="Q161" s="116" t="n"/>
      <c r="R161" s="116" t="n"/>
      <c r="S161" s="119" t="n"/>
      <c r="T161" s="120">
        <f>IF(F161="Yes",A161&amp;"-"&amp;B161,C161)</f>
        <v/>
      </c>
    </row>
    <row r="162" ht="14.25" customHeight="1" s="83">
      <c r="A162" s="116" t="n"/>
      <c r="B162" s="116" t="n"/>
      <c r="C162" s="116" t="n"/>
      <c r="D162" s="116" t="n"/>
      <c r="E162" s="116">
        <f>IF(D162&lt;&gt;"","Occupied","Vacant")</f>
        <v/>
      </c>
      <c r="F162" s="116" t="n"/>
      <c r="G162" s="117" t="n"/>
      <c r="H162" s="116">
        <f>COUNTIFS($B:$B,B162,$E:$E,"Occupied")</f>
        <v/>
      </c>
      <c r="I162" s="82">
        <f>IF(E162&lt;&gt;"Occupied",0,IF(H162=1,350,IF(H162=2,200,0)))</f>
        <v/>
      </c>
      <c r="J162" s="82">
        <f>IF(E162="Occupied",IFERROR(SUMIFS('Electricity Management'!$J:$J,'Electricity Management'!$A:$A,A162,'Electricity Management'!$C:$C,B162),0),0)</f>
        <v/>
      </c>
      <c r="K162" s="82">
        <f>IF(E162="Occupied",IFERROR(SUMIFS('Electricity Management'!$T:$T,'Electricity Management'!$K:$K,A162,'Electricity Management'!$L:$L,B162),0),0)</f>
        <v/>
      </c>
      <c r="O162" s="117" t="n"/>
      <c r="P162" s="116" t="n"/>
      <c r="Q162" s="116" t="n"/>
      <c r="R162" s="116" t="n"/>
      <c r="S162" s="119" t="n"/>
      <c r="T162" s="120">
        <f>IF(F162="Yes",A162&amp;"-"&amp;B162,C162)</f>
        <v/>
      </c>
    </row>
    <row r="163" ht="14.25" customHeight="1" s="83">
      <c r="A163" s="116" t="n"/>
      <c r="B163" s="116" t="n"/>
      <c r="C163" s="116" t="n"/>
      <c r="D163" s="116" t="n"/>
      <c r="E163" s="116">
        <f>IF(D163&lt;&gt;"","Occupied","Vacant")</f>
        <v/>
      </c>
      <c r="F163" s="116" t="n"/>
      <c r="G163" s="117" t="n"/>
      <c r="H163" s="116">
        <f>COUNTIFS($B:$B,B163,$E:$E,"Occupied")</f>
        <v/>
      </c>
      <c r="I163" s="82">
        <f>IF(E163&lt;&gt;"Occupied",0,IF(H163=1,350,IF(H163=2,200,0)))</f>
        <v/>
      </c>
      <c r="J163" s="82">
        <f>IF(E163="Occupied",IFERROR(SUMIFS('Electricity Management'!$J:$J,'Electricity Management'!$A:$A,A163,'Electricity Management'!$C:$C,B163),0),0)</f>
        <v/>
      </c>
      <c r="K163" s="82">
        <f>IF(E163="Occupied",IFERROR(SUMIFS('Electricity Management'!$T:$T,'Electricity Management'!$K:$K,A163,'Electricity Management'!$L:$L,B163),0),0)</f>
        <v/>
      </c>
      <c r="O163" s="117" t="n"/>
      <c r="P163" s="116" t="n"/>
      <c r="Q163" s="116" t="n"/>
      <c r="R163" s="116" t="n"/>
      <c r="S163" s="119" t="n"/>
      <c r="T163" s="120">
        <f>IF(F163="Yes",A163&amp;"-"&amp;B163,C163)</f>
        <v/>
      </c>
    </row>
    <row r="164" ht="14.25" customHeight="1" s="83">
      <c r="A164" s="116" t="n"/>
      <c r="B164" s="116" t="n"/>
      <c r="C164" s="116" t="n"/>
      <c r="D164" s="116" t="n"/>
      <c r="E164" s="116">
        <f>IF(D164&lt;&gt;"","Occupied","Vacant")</f>
        <v/>
      </c>
      <c r="F164" s="116" t="n"/>
      <c r="G164" s="117" t="n"/>
      <c r="H164" s="116">
        <f>COUNTIFS($B:$B,B164,$E:$E,"Occupied")</f>
        <v/>
      </c>
      <c r="I164" s="82">
        <f>IF(E164&lt;&gt;"Occupied",0,IF(H164=1,350,IF(H164=2,200,0)))</f>
        <v/>
      </c>
      <c r="J164" s="82">
        <f>IF(E164="Occupied",IFERROR(SUMIFS('Electricity Management'!$J:$J,'Electricity Management'!$A:$A,A164,'Electricity Management'!$C:$C,B164),0),0)</f>
        <v/>
      </c>
      <c r="K164" s="82">
        <f>IF(E164="Occupied",IFERROR(SUMIFS('Electricity Management'!$T:$T,'Electricity Management'!$K:$K,A164,'Electricity Management'!$L:$L,B164),0),0)</f>
        <v/>
      </c>
      <c r="O164" s="117" t="n"/>
      <c r="P164" s="116" t="n"/>
      <c r="Q164" s="116" t="n"/>
      <c r="R164" s="116" t="n"/>
      <c r="S164" s="119" t="n"/>
      <c r="T164" s="120">
        <f>IF(F164="Yes",A164&amp;"-"&amp;B164,C164)</f>
        <v/>
      </c>
    </row>
    <row r="165" ht="14.25" customHeight="1" s="83">
      <c r="A165" s="116" t="n"/>
      <c r="B165" s="116" t="n"/>
      <c r="C165" s="116" t="n"/>
      <c r="D165" s="116" t="n"/>
      <c r="E165" s="116">
        <f>IF(D165&lt;&gt;"","Occupied","Vacant")</f>
        <v/>
      </c>
      <c r="F165" s="116" t="n"/>
      <c r="G165" s="117" t="n"/>
      <c r="H165" s="116">
        <f>COUNTIFS($B:$B,B165,$E:$E,"Occupied")</f>
        <v/>
      </c>
      <c r="I165" s="82">
        <f>IF(E165&lt;&gt;"Occupied",0,IF(H165=1,350,IF(H165=2,200,0)))</f>
        <v/>
      </c>
      <c r="J165" s="82">
        <f>IF(E165="Occupied",IFERROR(SUMIFS('Electricity Management'!$J:$J,'Electricity Management'!$A:$A,A165,'Electricity Management'!$C:$C,B165),0),0)</f>
        <v/>
      </c>
      <c r="K165" s="82">
        <f>IF(E165="Occupied",IFERROR(SUMIFS('Electricity Management'!$T:$T,'Electricity Management'!$K:$K,A165,'Electricity Management'!$L:$L,B165),0),0)</f>
        <v/>
      </c>
      <c r="O165" s="117" t="n"/>
      <c r="P165" s="116" t="n"/>
      <c r="Q165" s="116" t="n"/>
      <c r="R165" s="116" t="n"/>
      <c r="S165" s="119" t="n"/>
      <c r="T165" s="120">
        <f>IF(F165="Yes",A165&amp;"-"&amp;B165,C165)</f>
        <v/>
      </c>
    </row>
    <row r="166" ht="14.25" customHeight="1" s="83">
      <c r="A166" s="116" t="n"/>
      <c r="B166" s="116" t="n"/>
      <c r="C166" s="116" t="n"/>
      <c r="D166" s="116" t="n"/>
      <c r="E166" s="116">
        <f>IF(D166&lt;&gt;"","Occupied","Vacant")</f>
        <v/>
      </c>
      <c r="F166" s="116" t="n"/>
      <c r="G166" s="117" t="n"/>
      <c r="H166" s="116">
        <f>COUNTIFS($B:$B,B166,$E:$E,"Occupied")</f>
        <v/>
      </c>
      <c r="I166" s="82">
        <f>IF(E166&lt;&gt;"Occupied",0,IF(H166=1,350,IF(H166=2,200,0)))</f>
        <v/>
      </c>
      <c r="J166" s="82">
        <f>IF(E166="Occupied",IFERROR(SUMIFS('Electricity Management'!$J:$J,'Electricity Management'!$A:$A,A166,'Electricity Management'!$C:$C,B166),0),0)</f>
        <v/>
      </c>
      <c r="K166" s="82">
        <f>IF(E166="Occupied",IFERROR(SUMIFS('Electricity Management'!$T:$T,'Electricity Management'!$K:$K,A166,'Electricity Management'!$L:$L,B166),0),0)</f>
        <v/>
      </c>
      <c r="O166" s="117" t="n"/>
      <c r="P166" s="116" t="n"/>
      <c r="Q166" s="116" t="n"/>
      <c r="R166" s="116" t="n"/>
      <c r="S166" s="119" t="n"/>
      <c r="T166" s="120">
        <f>IF(F166="Yes",A166&amp;"-"&amp;B166,C166)</f>
        <v/>
      </c>
    </row>
    <row r="167" ht="14.25" customHeight="1" s="83">
      <c r="A167" s="116" t="n"/>
      <c r="B167" s="116" t="n"/>
      <c r="C167" s="116" t="n"/>
      <c r="D167" s="116" t="n"/>
      <c r="E167" s="116">
        <f>IF(D167&lt;&gt;"","Occupied","Vacant")</f>
        <v/>
      </c>
      <c r="F167" s="116" t="n"/>
      <c r="G167" s="117" t="n"/>
      <c r="H167" s="116">
        <f>COUNTIFS($B:$B,B167,$E:$E,"Occupied")</f>
        <v/>
      </c>
      <c r="I167" s="82">
        <f>IF(E167&lt;&gt;"Occupied",0,IF(H167=1,350,IF(H167=2,200,0)))</f>
        <v/>
      </c>
      <c r="J167" s="82">
        <f>IF(E167="Occupied",IFERROR(SUMIFS('Electricity Management'!$J:$J,'Electricity Management'!$A:$A,A167,'Electricity Management'!$C:$C,B167),0),0)</f>
        <v/>
      </c>
      <c r="K167" s="82">
        <f>IF(E167="Occupied",IFERROR(SUMIFS('Electricity Management'!$T:$T,'Electricity Management'!$K:$K,A167,'Electricity Management'!$L:$L,B167),0),0)</f>
        <v/>
      </c>
      <c r="O167" s="117" t="n"/>
      <c r="P167" s="116" t="n"/>
      <c r="Q167" s="116" t="n"/>
      <c r="R167" s="116" t="n"/>
      <c r="S167" s="119" t="n"/>
      <c r="T167" s="120">
        <f>IF(F167="Yes",A167&amp;"-"&amp;B167,C167)</f>
        <v/>
      </c>
    </row>
    <row r="168" ht="14.25" customHeight="1" s="83">
      <c r="A168" s="116" t="n"/>
      <c r="B168" s="116" t="n"/>
      <c r="C168" s="116" t="n"/>
      <c r="D168" s="116" t="n"/>
      <c r="E168" s="116">
        <f>IF(D168&lt;&gt;"","Occupied","Vacant")</f>
        <v/>
      </c>
      <c r="F168" s="116" t="n"/>
      <c r="G168" s="117" t="n"/>
      <c r="H168" s="116">
        <f>COUNTIFS($B:$B,B168,$E:$E,"Occupied")</f>
        <v/>
      </c>
      <c r="I168" s="82">
        <f>IF(E168&lt;&gt;"Occupied",0,IF(H168=1,350,IF(H168=2,200,0)))</f>
        <v/>
      </c>
      <c r="J168" s="82">
        <f>IF(E168="Occupied",IFERROR(SUMIFS('Electricity Management'!$J:$J,'Electricity Management'!$A:$A,A168,'Electricity Management'!$C:$C,B168),0),0)</f>
        <v/>
      </c>
      <c r="K168" s="82">
        <f>IF(E168="Occupied",IFERROR(SUMIFS('Electricity Management'!$T:$T,'Electricity Management'!$K:$K,A168,'Electricity Management'!$L:$L,B168),0),0)</f>
        <v/>
      </c>
      <c r="O168" s="117" t="n"/>
      <c r="P168" s="116" t="n"/>
      <c r="Q168" s="116" t="n"/>
      <c r="R168" s="116" t="n"/>
      <c r="S168" s="119" t="n"/>
      <c r="T168" s="120">
        <f>IF(F168="Yes",A168&amp;"-"&amp;B168,C168)</f>
        <v/>
      </c>
    </row>
    <row r="169" ht="14.25" customHeight="1" s="83">
      <c r="A169" s="116" t="n"/>
      <c r="B169" s="116" t="n"/>
      <c r="C169" s="116" t="n"/>
      <c r="D169" s="116" t="n"/>
      <c r="E169" s="116">
        <f>IF(D169&lt;&gt;"","Occupied","Vacant")</f>
        <v/>
      </c>
      <c r="F169" s="116" t="n"/>
      <c r="G169" s="117" t="n"/>
      <c r="H169" s="116">
        <f>COUNTIFS($B:$B,B169,$E:$E,"Occupied")</f>
        <v/>
      </c>
      <c r="I169" s="82">
        <f>IF(E169&lt;&gt;"Occupied",0,IF(H169=1,350,IF(H169=2,200,0)))</f>
        <v/>
      </c>
      <c r="J169" s="82">
        <f>IF(E169="Occupied",IFERROR(SUMIFS('Electricity Management'!$J:$J,'Electricity Management'!$A:$A,A169,'Electricity Management'!$C:$C,B169),0),0)</f>
        <v/>
      </c>
      <c r="K169" s="82">
        <f>IF(E169="Occupied",IFERROR(SUMIFS('Electricity Management'!$T:$T,'Electricity Management'!$K:$K,A169,'Electricity Management'!$L:$L,B169),0),0)</f>
        <v/>
      </c>
      <c r="O169" s="117" t="n"/>
      <c r="P169" s="116" t="n"/>
      <c r="Q169" s="116" t="n"/>
      <c r="R169" s="116" t="n"/>
      <c r="S169" s="119" t="n"/>
      <c r="T169" s="120">
        <f>IF(F169="Yes",A169&amp;"-"&amp;B169,C169)</f>
        <v/>
      </c>
    </row>
    <row r="170" ht="14.25" customHeight="1" s="83">
      <c r="A170" s="116" t="n"/>
      <c r="B170" s="116" t="n"/>
      <c r="C170" s="116" t="n"/>
      <c r="D170" s="116" t="n"/>
      <c r="E170" s="116">
        <f>IF(D170&lt;&gt;"","Occupied","Vacant")</f>
        <v/>
      </c>
      <c r="F170" s="116" t="n"/>
      <c r="G170" s="117" t="n"/>
      <c r="H170" s="116">
        <f>COUNTIFS($B:$B,B170,$E:$E,"Occupied")</f>
        <v/>
      </c>
      <c r="I170" s="82">
        <f>IF(E170&lt;&gt;"Occupied",0,IF(H170=1,350,IF(H170=2,200,0)))</f>
        <v/>
      </c>
      <c r="J170" s="82">
        <f>IF(E170="Occupied",IFERROR(SUMIFS('Electricity Management'!$J:$J,'Electricity Management'!$A:$A,A170,'Electricity Management'!$C:$C,B170),0),0)</f>
        <v/>
      </c>
      <c r="K170" s="82">
        <f>IF(E170="Occupied",IFERROR(SUMIFS('Electricity Management'!$T:$T,'Electricity Management'!$K:$K,A170,'Electricity Management'!$L:$L,B170),0),0)</f>
        <v/>
      </c>
      <c r="O170" s="117" t="n"/>
      <c r="P170" s="116" t="n"/>
      <c r="Q170" s="116" t="n"/>
      <c r="R170" s="116" t="n"/>
      <c r="S170" s="119" t="n"/>
      <c r="T170" s="120">
        <f>IF(F170="Yes",A170&amp;"-"&amp;B170,C170)</f>
        <v/>
      </c>
    </row>
    <row r="171" ht="14.25" customHeight="1" s="83">
      <c r="A171" s="116" t="n"/>
      <c r="B171" s="116" t="n"/>
      <c r="C171" s="116" t="n"/>
      <c r="D171" s="116" t="n"/>
      <c r="E171" s="116">
        <f>IF(D171&lt;&gt;"","Occupied","Vacant")</f>
        <v/>
      </c>
      <c r="F171" s="116" t="n"/>
      <c r="G171" s="117" t="n"/>
      <c r="H171" s="116">
        <f>COUNTIFS($B:$B,B171,$E:$E,"Occupied")</f>
        <v/>
      </c>
      <c r="I171" s="82">
        <f>IF(E171&lt;&gt;"Occupied",0,IF(H171=1,350,IF(H171=2,200,0)))</f>
        <v/>
      </c>
      <c r="J171" s="82">
        <f>IF(E171="Occupied",IFERROR(SUMIFS('Electricity Management'!$J:$J,'Electricity Management'!$A:$A,A171,'Electricity Management'!$C:$C,B171),0),0)</f>
        <v/>
      </c>
      <c r="K171" s="82">
        <f>IF(E171="Occupied",IFERROR(SUMIFS('Electricity Management'!$T:$T,'Electricity Management'!$K:$K,A171,'Electricity Management'!$L:$L,B171),0),0)</f>
        <v/>
      </c>
      <c r="O171" s="117" t="n"/>
      <c r="P171" s="116" t="n"/>
      <c r="Q171" s="116" t="n"/>
      <c r="R171" s="116" t="n"/>
      <c r="S171" s="119" t="n"/>
      <c r="T171" s="120">
        <f>IF(F171="Yes",A171&amp;"-"&amp;B171,C171)</f>
        <v/>
      </c>
    </row>
    <row r="172" ht="14.25" customHeight="1" s="83">
      <c r="A172" s="116" t="n"/>
      <c r="B172" s="116" t="n"/>
      <c r="C172" s="116" t="n"/>
      <c r="D172" s="116" t="n"/>
      <c r="E172" s="116">
        <f>IF(D172&lt;&gt;"","Occupied","Vacant")</f>
        <v/>
      </c>
      <c r="F172" s="116" t="n"/>
      <c r="G172" s="117" t="n"/>
      <c r="H172" s="116">
        <f>COUNTIFS($B:$B,B172,$E:$E,"Occupied")</f>
        <v/>
      </c>
      <c r="I172" s="82">
        <f>IF(E172&lt;&gt;"Occupied",0,IF(H172=1,350,IF(H172=2,200,0)))</f>
        <v/>
      </c>
      <c r="J172" s="82">
        <f>IF(E172="Occupied",IFERROR(SUMIFS('Electricity Management'!$J:$J,'Electricity Management'!$A:$A,A172,'Electricity Management'!$C:$C,B172),0),0)</f>
        <v/>
      </c>
      <c r="K172" s="82">
        <f>IF(E172="Occupied",IFERROR(SUMIFS('Electricity Management'!$T:$T,'Electricity Management'!$K:$K,A172,'Electricity Management'!$L:$L,B172),0),0)</f>
        <v/>
      </c>
      <c r="O172" s="117" t="n"/>
      <c r="P172" s="116" t="n"/>
      <c r="Q172" s="116" t="n"/>
      <c r="R172" s="116" t="n"/>
      <c r="S172" s="119" t="n"/>
      <c r="T172" s="120">
        <f>IF(F172="Yes",A172&amp;"-"&amp;B172,C172)</f>
        <v/>
      </c>
    </row>
    <row r="173" ht="14.25" customHeight="1" s="83">
      <c r="A173" s="116" t="n"/>
      <c r="B173" s="116" t="n"/>
      <c r="C173" s="116" t="n"/>
      <c r="D173" s="116" t="n"/>
      <c r="E173" s="116">
        <f>IF(D173&lt;&gt;"","Occupied","Vacant")</f>
        <v/>
      </c>
      <c r="F173" s="116" t="n"/>
      <c r="G173" s="117" t="n"/>
      <c r="H173" s="116">
        <f>COUNTIFS($B:$B,B173,$E:$E,"Occupied")</f>
        <v/>
      </c>
      <c r="I173" s="82">
        <f>IF(E173&lt;&gt;"Occupied",0,IF(H173=1,350,IF(H173=2,200,0)))</f>
        <v/>
      </c>
      <c r="J173" s="82">
        <f>IF(E173="Occupied",IFERROR(SUMIFS('Electricity Management'!$J:$J,'Electricity Management'!$A:$A,A173,'Electricity Management'!$C:$C,B173),0),0)</f>
        <v/>
      </c>
      <c r="K173" s="82">
        <f>IF(E173="Occupied",IFERROR(SUMIFS('Electricity Management'!$T:$T,'Electricity Management'!$K:$K,A173,'Electricity Management'!$L:$L,B173),0),0)</f>
        <v/>
      </c>
      <c r="O173" s="117" t="n"/>
      <c r="P173" s="116" t="n"/>
      <c r="Q173" s="116" t="n"/>
      <c r="R173" s="116" t="n"/>
      <c r="S173" s="119" t="n"/>
      <c r="T173" s="120">
        <f>IF(F173="Yes",A173&amp;"-"&amp;B173,C173)</f>
        <v/>
      </c>
    </row>
    <row r="174" ht="14.25" customHeight="1" s="83">
      <c r="A174" s="116" t="n"/>
      <c r="B174" s="116" t="n"/>
      <c r="C174" s="116" t="n"/>
      <c r="D174" s="116" t="n"/>
      <c r="E174" s="116">
        <f>IF(D174&lt;&gt;"","Occupied","Vacant")</f>
        <v/>
      </c>
      <c r="F174" s="116" t="n"/>
      <c r="G174" s="117" t="n"/>
      <c r="H174" s="116">
        <f>COUNTIFS($B:$B,B174,$E:$E,"Occupied")</f>
        <v/>
      </c>
      <c r="I174" s="82">
        <f>IF(E174&lt;&gt;"Occupied",0,IF(H174=1,350,IF(H174=2,200,0)))</f>
        <v/>
      </c>
      <c r="J174" s="82">
        <f>IF(E174="Occupied",IFERROR(SUMIFS('Electricity Management'!$J:$J,'Electricity Management'!$A:$A,A174,'Electricity Management'!$C:$C,B174),0),0)</f>
        <v/>
      </c>
      <c r="K174" s="82">
        <f>IF(E174="Occupied",IFERROR(SUMIFS('Electricity Management'!$T:$T,'Electricity Management'!$K:$K,A174,'Electricity Management'!$L:$L,B174),0),0)</f>
        <v/>
      </c>
      <c r="O174" s="117" t="n"/>
      <c r="P174" s="116" t="n"/>
      <c r="Q174" s="116" t="n"/>
      <c r="R174" s="116" t="n"/>
      <c r="S174" s="119" t="n"/>
      <c r="T174" s="120">
        <f>IF(F174="Yes",A174&amp;"-"&amp;B174,C174)</f>
        <v/>
      </c>
    </row>
    <row r="175" ht="14.25" customHeight="1" s="83">
      <c r="A175" s="116" t="n"/>
      <c r="B175" s="116" t="n"/>
      <c r="C175" s="116" t="n"/>
      <c r="D175" s="116" t="n"/>
      <c r="E175" s="116">
        <f>IF(D175&lt;&gt;"","Occupied","Vacant")</f>
        <v/>
      </c>
      <c r="F175" s="116" t="n"/>
      <c r="G175" s="117" t="n"/>
      <c r="H175" s="116">
        <f>COUNTIFS($B:$B,B175,$E:$E,"Occupied")</f>
        <v/>
      </c>
      <c r="I175" s="82">
        <f>IF(E175&lt;&gt;"Occupied",0,IF(H175=1,350,IF(H175=2,200,0)))</f>
        <v/>
      </c>
      <c r="J175" s="82">
        <f>IF(E175="Occupied",IFERROR(SUMIFS('Electricity Management'!$J:$J,'Electricity Management'!$A:$A,A175,'Electricity Management'!$C:$C,B175),0),0)</f>
        <v/>
      </c>
      <c r="K175" s="82">
        <f>IF(E175="Occupied",IFERROR(SUMIFS('Electricity Management'!$T:$T,'Electricity Management'!$K:$K,A175,'Electricity Management'!$L:$L,B175),0),0)</f>
        <v/>
      </c>
      <c r="O175" s="117" t="n"/>
      <c r="P175" s="116" t="n"/>
      <c r="Q175" s="116" t="n"/>
      <c r="R175" s="116" t="n"/>
      <c r="S175" s="119" t="n"/>
      <c r="T175" s="120">
        <f>IF(F175="Yes",A175&amp;"-"&amp;B175,C175)</f>
        <v/>
      </c>
    </row>
    <row r="176" ht="14.25" customHeight="1" s="83">
      <c r="A176" s="116" t="n"/>
      <c r="B176" s="116" t="n"/>
      <c r="C176" s="116" t="n"/>
      <c r="D176" s="116" t="n"/>
      <c r="E176" s="116">
        <f>IF(D176&lt;&gt;"","Occupied","Vacant")</f>
        <v/>
      </c>
      <c r="F176" s="116" t="n"/>
      <c r="G176" s="117" t="n"/>
      <c r="H176" s="116">
        <f>COUNTIFS($B:$B,B176,$E:$E,"Occupied")</f>
        <v/>
      </c>
      <c r="I176" s="82">
        <f>IF(E176&lt;&gt;"Occupied",0,IF(H176=1,350,IF(H176=2,200,0)))</f>
        <v/>
      </c>
      <c r="J176" s="82">
        <f>IF(E176="Occupied",IFERROR(SUMIFS('Electricity Management'!$J:$J,'Electricity Management'!$A:$A,A176,'Electricity Management'!$C:$C,B176),0),0)</f>
        <v/>
      </c>
      <c r="K176" s="82">
        <f>IF(E176="Occupied",IFERROR(SUMIFS('Electricity Management'!$T:$T,'Electricity Management'!$K:$K,A176,'Electricity Management'!$L:$L,B176),0),0)</f>
        <v/>
      </c>
      <c r="O176" s="117" t="n"/>
      <c r="P176" s="116" t="n"/>
      <c r="Q176" s="116" t="n"/>
      <c r="R176" s="116" t="n"/>
      <c r="S176" s="119" t="n"/>
      <c r="T176" s="120">
        <f>IF(F176="Yes",A176&amp;"-"&amp;B176,C176)</f>
        <v/>
      </c>
    </row>
    <row r="177" ht="14.25" customHeight="1" s="83">
      <c r="A177" s="116" t="n"/>
      <c r="B177" s="116" t="n"/>
      <c r="C177" s="116" t="n"/>
      <c r="D177" s="116" t="n"/>
      <c r="E177" s="116">
        <f>IF(D177&lt;&gt;"","Occupied","Vacant")</f>
        <v/>
      </c>
      <c r="F177" s="116" t="n"/>
      <c r="G177" s="117" t="n"/>
      <c r="H177" s="116">
        <f>COUNTIFS($B:$B,B177,$E:$E,"Occupied")</f>
        <v/>
      </c>
      <c r="I177" s="82">
        <f>IF(E177&lt;&gt;"Occupied",0,IF(H177=1,350,IF(H177=2,200,0)))</f>
        <v/>
      </c>
      <c r="J177" s="82">
        <f>IF(E177="Occupied",IFERROR(SUMIFS('Electricity Management'!$J:$J,'Electricity Management'!$A:$A,A177,'Electricity Management'!$C:$C,B177),0),0)</f>
        <v/>
      </c>
      <c r="K177" s="82">
        <f>IF(E177="Occupied",IFERROR(SUMIFS('Electricity Management'!$T:$T,'Electricity Management'!$K:$K,A177,'Electricity Management'!$L:$L,B177),0),0)</f>
        <v/>
      </c>
      <c r="O177" s="117" t="n"/>
      <c r="P177" s="116" t="n"/>
      <c r="Q177" s="116" t="n"/>
      <c r="R177" s="116" t="n"/>
      <c r="S177" s="119" t="n"/>
      <c r="T177" s="120">
        <f>IF(F177="Yes",A177&amp;"-"&amp;B177,C177)</f>
        <v/>
      </c>
    </row>
    <row r="178" ht="14.25" customHeight="1" s="83">
      <c r="A178" s="116" t="n"/>
      <c r="B178" s="116" t="n"/>
      <c r="C178" s="116" t="n"/>
      <c r="D178" s="116" t="n"/>
      <c r="E178" s="116">
        <f>IF(D178&lt;&gt;"","Occupied","Vacant")</f>
        <v/>
      </c>
      <c r="F178" s="116" t="n"/>
      <c r="G178" s="117" t="n"/>
      <c r="H178" s="116">
        <f>COUNTIFS($B:$B,B178,$E:$E,"Occupied")</f>
        <v/>
      </c>
      <c r="I178" s="82">
        <f>IF(E178&lt;&gt;"Occupied",0,IF(H178=1,350,IF(H178=2,200,0)))</f>
        <v/>
      </c>
      <c r="J178" s="82">
        <f>IF(E178="Occupied",IFERROR(SUMIFS('Electricity Management'!$J:$J,'Electricity Management'!$A:$A,A178,'Electricity Management'!$C:$C,B178),0),0)</f>
        <v/>
      </c>
      <c r="K178" s="82">
        <f>IF(E178="Occupied",IFERROR(SUMIFS('Electricity Management'!$T:$T,'Electricity Management'!$K:$K,A178,'Electricity Management'!$L:$L,B178),0),0)</f>
        <v/>
      </c>
      <c r="O178" s="117" t="n"/>
      <c r="P178" s="116" t="n"/>
      <c r="Q178" s="116" t="n"/>
      <c r="R178" s="116" t="n"/>
      <c r="S178" s="119" t="n"/>
      <c r="T178" s="120">
        <f>IF(F178="Yes",A178&amp;"-"&amp;B178,C178)</f>
        <v/>
      </c>
    </row>
    <row r="179" ht="14.25" customHeight="1" s="83">
      <c r="A179" s="116" t="n"/>
      <c r="B179" s="116" t="n"/>
      <c r="C179" s="116" t="n"/>
      <c r="D179" s="116" t="n"/>
      <c r="E179" s="116">
        <f>IF(D179&lt;&gt;"","Occupied","Vacant")</f>
        <v/>
      </c>
      <c r="F179" s="116" t="n"/>
      <c r="G179" s="117" t="n"/>
      <c r="H179" s="116">
        <f>COUNTIFS($B:$B,B179,$E:$E,"Occupied")</f>
        <v/>
      </c>
      <c r="I179" s="82">
        <f>IF(E179&lt;&gt;"Occupied",0,IF(H179=1,350,IF(H179=2,200,0)))</f>
        <v/>
      </c>
      <c r="J179" s="82">
        <f>IF(E179="Occupied",IFERROR(SUMIFS('Electricity Management'!$J:$J,'Electricity Management'!$A:$A,A179,'Electricity Management'!$C:$C,B179),0),0)</f>
        <v/>
      </c>
      <c r="K179" s="82">
        <f>IF(E179="Occupied",IFERROR(SUMIFS('Electricity Management'!$T:$T,'Electricity Management'!$K:$K,A179,'Electricity Management'!$L:$L,B179),0),0)</f>
        <v/>
      </c>
      <c r="O179" s="117" t="n"/>
      <c r="P179" s="116" t="n"/>
      <c r="Q179" s="116" t="n"/>
      <c r="R179" s="116" t="n"/>
      <c r="S179" s="119" t="n"/>
      <c r="T179" s="120">
        <f>IF(F179="Yes",A179&amp;"-"&amp;B179,C179)</f>
        <v/>
      </c>
    </row>
    <row r="180" ht="14.25" customHeight="1" s="83">
      <c r="A180" s="116" t="n"/>
      <c r="B180" s="116" t="n"/>
      <c r="C180" s="116" t="n"/>
      <c r="D180" s="116" t="n"/>
      <c r="E180" s="116">
        <f>IF(D180&lt;&gt;"","Occupied","Vacant")</f>
        <v/>
      </c>
      <c r="F180" s="116" t="n"/>
      <c r="G180" s="117" t="n"/>
      <c r="H180" s="116">
        <f>COUNTIFS($B:$B,B180,$E:$E,"Occupied")</f>
        <v/>
      </c>
      <c r="I180" s="82">
        <f>IF(E180&lt;&gt;"Occupied",0,IF(H180=1,350,IF(H180=2,200,0)))</f>
        <v/>
      </c>
      <c r="J180" s="82">
        <f>IF(E180="Occupied",IFERROR(SUMIFS('Electricity Management'!$J:$J,'Electricity Management'!$A:$A,A180,'Electricity Management'!$C:$C,B180),0),0)</f>
        <v/>
      </c>
      <c r="K180" s="82">
        <f>IF(E180="Occupied",IFERROR(SUMIFS('Electricity Management'!$T:$T,'Electricity Management'!$K:$K,A180,'Electricity Management'!$L:$L,B180),0),0)</f>
        <v/>
      </c>
      <c r="O180" s="117" t="n"/>
      <c r="P180" s="116" t="n"/>
      <c r="Q180" s="116" t="n"/>
      <c r="R180" s="116" t="n"/>
      <c r="S180" s="119" t="n"/>
      <c r="T180" s="120">
        <f>IF(F180="Yes",A180&amp;"-"&amp;B180,C180)</f>
        <v/>
      </c>
    </row>
    <row r="181" ht="14.25" customHeight="1" s="83">
      <c r="A181" s="116" t="n"/>
      <c r="B181" s="116" t="n"/>
      <c r="C181" s="116" t="n"/>
      <c r="D181" s="116" t="n"/>
      <c r="E181" s="116">
        <f>IF(D181&lt;&gt;"","Occupied","Vacant")</f>
        <v/>
      </c>
      <c r="F181" s="116" t="n"/>
      <c r="G181" s="117" t="n"/>
      <c r="H181" s="116">
        <f>COUNTIFS($B:$B,B181,$E:$E,"Occupied")</f>
        <v/>
      </c>
      <c r="I181" s="82">
        <f>IF(E181&lt;&gt;"Occupied",0,IF(H181=1,350,IF(H181=2,200,0)))</f>
        <v/>
      </c>
      <c r="J181" s="82">
        <f>IF(E181="Occupied",IFERROR(SUMIFS('Electricity Management'!$J:$J,'Electricity Management'!$A:$A,A181,'Electricity Management'!$C:$C,B181),0),0)</f>
        <v/>
      </c>
      <c r="K181" s="82">
        <f>IF(E181="Occupied",IFERROR(SUMIFS('Electricity Management'!$T:$T,'Electricity Management'!$K:$K,A181,'Electricity Management'!$L:$L,B181),0),0)</f>
        <v/>
      </c>
      <c r="O181" s="117" t="n"/>
      <c r="P181" s="116" t="n"/>
      <c r="Q181" s="116" t="n"/>
      <c r="R181" s="116" t="n"/>
      <c r="S181" s="119" t="n"/>
      <c r="T181" s="120">
        <f>IF(F181="Yes",A181&amp;"-"&amp;B181,C181)</f>
        <v/>
      </c>
    </row>
    <row r="182" ht="14.25" customHeight="1" s="83">
      <c r="A182" s="116" t="n"/>
      <c r="B182" s="116" t="n"/>
      <c r="C182" s="116" t="n"/>
      <c r="D182" s="116" t="n"/>
      <c r="E182" s="116">
        <f>IF(D182&lt;&gt;"","Occupied","Vacant")</f>
        <v/>
      </c>
      <c r="F182" s="116" t="n"/>
      <c r="G182" s="117" t="n"/>
      <c r="H182" s="116">
        <f>COUNTIFS($B:$B,B182,$E:$E,"Occupied")</f>
        <v/>
      </c>
      <c r="I182" s="82">
        <f>IF(E182&lt;&gt;"Occupied",0,IF(H182=1,350,IF(H182=2,200,0)))</f>
        <v/>
      </c>
      <c r="J182" s="82">
        <f>IF(E182="Occupied",IFERROR(SUMIFS('Electricity Management'!$J:$J,'Electricity Management'!$A:$A,A182,'Electricity Management'!$C:$C,B182),0),0)</f>
        <v/>
      </c>
      <c r="K182" s="82">
        <f>IF(E182="Occupied",IFERROR(SUMIFS('Electricity Management'!$T:$T,'Electricity Management'!$K:$K,A182,'Electricity Management'!$L:$L,B182),0),0)</f>
        <v/>
      </c>
      <c r="O182" s="117" t="n"/>
      <c r="P182" s="116" t="n"/>
      <c r="Q182" s="116" t="n"/>
      <c r="R182" s="116" t="n"/>
      <c r="S182" s="119" t="n"/>
      <c r="T182" s="120">
        <f>IF(F182="Yes",A182&amp;"-"&amp;B182,C182)</f>
        <v/>
      </c>
    </row>
    <row r="183" ht="14.25" customHeight="1" s="83">
      <c r="A183" s="116" t="n"/>
      <c r="B183" s="116" t="n"/>
      <c r="C183" s="116" t="n"/>
      <c r="D183" s="116" t="n"/>
      <c r="E183" s="116">
        <f>IF(D183&lt;&gt;"","Occupied","Vacant")</f>
        <v/>
      </c>
      <c r="F183" s="116" t="n"/>
      <c r="G183" s="117" t="n"/>
      <c r="H183" s="116">
        <f>COUNTIFS($B:$B,B183,$E:$E,"Occupied")</f>
        <v/>
      </c>
      <c r="I183" s="82">
        <f>IF(E183&lt;&gt;"Occupied",0,IF(H183=1,350,IF(H183=2,200,0)))</f>
        <v/>
      </c>
      <c r="J183" s="82">
        <f>IF(E183="Occupied",IFERROR(SUMIFS('Electricity Management'!$J:$J,'Electricity Management'!$A:$A,A183,'Electricity Management'!$C:$C,B183),0),0)</f>
        <v/>
      </c>
      <c r="K183" s="82">
        <f>IF(E183="Occupied",IFERROR(SUMIFS('Electricity Management'!$T:$T,'Electricity Management'!$K:$K,A183,'Electricity Management'!$L:$L,B183),0),0)</f>
        <v/>
      </c>
      <c r="O183" s="117" t="n"/>
      <c r="P183" s="116" t="n"/>
      <c r="Q183" s="116" t="n"/>
      <c r="R183" s="116" t="n"/>
      <c r="S183" s="119" t="n"/>
      <c r="T183" s="120">
        <f>IF(F183="Yes",A183&amp;"-"&amp;B183,C183)</f>
        <v/>
      </c>
    </row>
    <row r="184" ht="14.25" customHeight="1" s="83">
      <c r="A184" s="116" t="n"/>
      <c r="B184" s="116" t="n"/>
      <c r="C184" s="116" t="n"/>
      <c r="D184" s="116" t="n"/>
      <c r="E184" s="116">
        <f>IF(D184&lt;&gt;"","Occupied","Vacant")</f>
        <v/>
      </c>
      <c r="F184" s="116" t="n"/>
      <c r="G184" s="117" t="n"/>
      <c r="H184" s="116">
        <f>COUNTIFS($B:$B,B184,$E:$E,"Occupied")</f>
        <v/>
      </c>
      <c r="I184" s="82">
        <f>IF(E184&lt;&gt;"Occupied",0,IF(H184=1,350,IF(H184=2,200,0)))</f>
        <v/>
      </c>
      <c r="J184" s="82">
        <f>IF(E184="Occupied",IFERROR(SUMIFS('Electricity Management'!$J:$J,'Electricity Management'!$A:$A,A184,'Electricity Management'!$C:$C,B184),0),0)</f>
        <v/>
      </c>
      <c r="K184" s="82">
        <f>IF(E184="Occupied",IFERROR(SUMIFS('Electricity Management'!$T:$T,'Electricity Management'!$K:$K,A184,'Electricity Management'!$L:$L,B184),0),0)</f>
        <v/>
      </c>
      <c r="O184" s="117" t="n"/>
      <c r="P184" s="116" t="n"/>
      <c r="Q184" s="116" t="n"/>
      <c r="R184" s="116" t="n"/>
      <c r="S184" s="119" t="n"/>
      <c r="T184" s="120">
        <f>IF(F184="Yes",A184&amp;"-"&amp;B184,C184)</f>
        <v/>
      </c>
    </row>
    <row r="185" ht="14.25" customHeight="1" s="83">
      <c r="A185" s="116" t="n"/>
      <c r="B185" s="116" t="n"/>
      <c r="C185" s="116" t="n"/>
      <c r="D185" s="116" t="n"/>
      <c r="E185" s="116">
        <f>IF(D185&lt;&gt;"","Occupied","Vacant")</f>
        <v/>
      </c>
      <c r="F185" s="116" t="n"/>
      <c r="G185" s="117" t="n"/>
      <c r="H185" s="116">
        <f>COUNTIFS($B:$B,B185,$E:$E,"Occupied")</f>
        <v/>
      </c>
      <c r="I185" s="82">
        <f>IF(E185&lt;&gt;"Occupied",0,IF(H185=1,350,IF(H185=2,200,0)))</f>
        <v/>
      </c>
      <c r="J185" s="82">
        <f>IF(E185="Occupied",IFERROR(SUMIFS('Electricity Management'!$J:$J,'Electricity Management'!$A:$A,A185,'Electricity Management'!$C:$C,B185),0),0)</f>
        <v/>
      </c>
      <c r="K185" s="82">
        <f>IF(E185="Occupied",IFERROR(SUMIFS('Electricity Management'!$T:$T,'Electricity Management'!$K:$K,A185,'Electricity Management'!$L:$L,B185),0),0)</f>
        <v/>
      </c>
      <c r="O185" s="117" t="n"/>
      <c r="P185" s="116" t="n"/>
      <c r="Q185" s="116" t="n"/>
      <c r="R185" s="116" t="n"/>
      <c r="S185" s="119" t="n"/>
      <c r="T185" s="120">
        <f>IF(F185="Yes",A185&amp;"-"&amp;B185,C185)</f>
        <v/>
      </c>
    </row>
    <row r="186" ht="14.25" customHeight="1" s="83">
      <c r="A186" s="116" t="n"/>
      <c r="B186" s="116" t="n"/>
      <c r="C186" s="116" t="n"/>
      <c r="D186" s="116" t="n"/>
      <c r="E186" s="116">
        <f>IF(D186&lt;&gt;"","Occupied","Vacant")</f>
        <v/>
      </c>
      <c r="F186" s="116" t="n"/>
      <c r="G186" s="117" t="n"/>
      <c r="H186" s="116">
        <f>COUNTIFS($B:$B,B186,$E:$E,"Occupied")</f>
        <v/>
      </c>
      <c r="I186" s="82">
        <f>IF(E186&lt;&gt;"Occupied",0,IF(H186=1,350,IF(H186=2,200,0)))</f>
        <v/>
      </c>
      <c r="J186" s="82">
        <f>IF(E186="Occupied",IFERROR(SUMIFS('Electricity Management'!$J:$J,'Electricity Management'!$A:$A,A186,'Electricity Management'!$C:$C,B186),0),0)</f>
        <v/>
      </c>
      <c r="K186" s="82">
        <f>IF(E186="Occupied",IFERROR(SUMIFS('Electricity Management'!$T:$T,'Electricity Management'!$K:$K,A186,'Electricity Management'!$L:$L,B186),0),0)</f>
        <v/>
      </c>
      <c r="O186" s="117" t="n"/>
      <c r="P186" s="116" t="n"/>
      <c r="Q186" s="116" t="n"/>
      <c r="R186" s="116" t="n"/>
      <c r="S186" s="119" t="n"/>
      <c r="T186" s="120">
        <f>IF(F186="Yes",A186&amp;"-"&amp;B186,C186)</f>
        <v/>
      </c>
    </row>
    <row r="187" ht="14.25" customHeight="1" s="83">
      <c r="A187" s="116" t="n"/>
      <c r="B187" s="116" t="n"/>
      <c r="C187" s="116" t="n"/>
      <c r="D187" s="116" t="n"/>
      <c r="E187" s="116">
        <f>IF(D187&lt;&gt;"","Occupied","Vacant")</f>
        <v/>
      </c>
      <c r="F187" s="116" t="n"/>
      <c r="G187" s="117" t="n"/>
      <c r="H187" s="116">
        <f>COUNTIFS($B:$B,B187,$E:$E,"Occupied")</f>
        <v/>
      </c>
      <c r="I187" s="82">
        <f>IF(E187&lt;&gt;"Occupied",0,IF(H187=1,350,IF(H187=2,200,0)))</f>
        <v/>
      </c>
      <c r="J187" s="82">
        <f>IF(E187="Occupied",IFERROR(SUMIFS('Electricity Management'!$J:$J,'Electricity Management'!$A:$A,A187,'Electricity Management'!$C:$C,B187),0),0)</f>
        <v/>
      </c>
      <c r="K187" s="82">
        <f>IF(E187="Occupied",IFERROR(SUMIFS('Electricity Management'!$T:$T,'Electricity Management'!$K:$K,A187,'Electricity Management'!$L:$L,B187),0),0)</f>
        <v/>
      </c>
      <c r="O187" s="117" t="n"/>
      <c r="P187" s="116" t="n"/>
      <c r="Q187" s="116" t="n"/>
      <c r="R187" s="116" t="n"/>
      <c r="S187" s="119" t="n"/>
      <c r="T187" s="120">
        <f>IF(F187="Yes",A187&amp;"-"&amp;B187,C187)</f>
        <v/>
      </c>
    </row>
    <row r="188" ht="14.25" customHeight="1" s="83">
      <c r="A188" s="116" t="n"/>
      <c r="B188" s="116" t="n"/>
      <c r="C188" s="116" t="n"/>
      <c r="D188" s="116" t="n"/>
      <c r="E188" s="116">
        <f>IF(D188&lt;&gt;"","Occupied","Vacant")</f>
        <v/>
      </c>
      <c r="F188" s="116" t="n"/>
      <c r="G188" s="117" t="n"/>
      <c r="H188" s="116">
        <f>COUNTIFS($B:$B,B188,$E:$E,"Occupied")</f>
        <v/>
      </c>
      <c r="I188" s="82">
        <f>IF(E188&lt;&gt;"Occupied",0,IF(H188=1,350,IF(H188=2,200,0)))</f>
        <v/>
      </c>
      <c r="J188" s="82">
        <f>IF(E188="Occupied",IFERROR(SUMIFS('Electricity Management'!$J:$J,'Electricity Management'!$A:$A,A188,'Electricity Management'!$C:$C,B188),0),0)</f>
        <v/>
      </c>
      <c r="K188" s="82">
        <f>IF(E188="Occupied",IFERROR(SUMIFS('Electricity Management'!$T:$T,'Electricity Management'!$K:$K,A188,'Electricity Management'!$L:$L,B188),0),0)</f>
        <v/>
      </c>
      <c r="O188" s="117" t="n"/>
      <c r="P188" s="116" t="n"/>
      <c r="Q188" s="116" t="n"/>
      <c r="R188" s="116" t="n"/>
      <c r="S188" s="119" t="n"/>
      <c r="T188" s="120">
        <f>IF(F188="Yes",A188&amp;"-"&amp;B188,C188)</f>
        <v/>
      </c>
    </row>
    <row r="189" ht="14.25" customHeight="1" s="83">
      <c r="A189" s="116" t="n"/>
      <c r="B189" s="116" t="n"/>
      <c r="C189" s="116" t="n"/>
      <c r="D189" s="116" t="n"/>
      <c r="E189" s="116">
        <f>IF(D189&lt;&gt;"","Occupied","Vacant")</f>
        <v/>
      </c>
      <c r="F189" s="116" t="n"/>
      <c r="G189" s="117" t="n"/>
      <c r="H189" s="116">
        <f>COUNTIFS($B:$B,B189,$E:$E,"Occupied")</f>
        <v/>
      </c>
      <c r="I189" s="82">
        <f>IF(E189&lt;&gt;"Occupied",0,IF(H189=1,350,IF(H189=2,200,0)))</f>
        <v/>
      </c>
      <c r="J189" s="82">
        <f>IF(E189="Occupied",IFERROR(SUMIFS('Electricity Management'!$J:$J,'Electricity Management'!$A:$A,A189,'Electricity Management'!$C:$C,B189),0),0)</f>
        <v/>
      </c>
      <c r="K189" s="82">
        <f>IF(E189="Occupied",IFERROR(SUMIFS('Electricity Management'!$T:$T,'Electricity Management'!$K:$K,A189,'Electricity Management'!$L:$L,B189),0),0)</f>
        <v/>
      </c>
      <c r="O189" s="117" t="n"/>
      <c r="P189" s="116" t="n"/>
      <c r="Q189" s="116" t="n"/>
      <c r="R189" s="116" t="n"/>
      <c r="S189" s="119" t="n"/>
      <c r="T189" s="120">
        <f>IF(F189="Yes",A189&amp;"-"&amp;B189,C189)</f>
        <v/>
      </c>
    </row>
    <row r="190" ht="14.25" customHeight="1" s="83">
      <c r="A190" s="116" t="n"/>
      <c r="B190" s="116" t="n"/>
      <c r="C190" s="116" t="n"/>
      <c r="D190" s="116" t="n"/>
      <c r="E190" s="116">
        <f>IF(D190&lt;&gt;"","Occupied","Vacant")</f>
        <v/>
      </c>
      <c r="F190" s="116" t="n"/>
      <c r="G190" s="117" t="n"/>
      <c r="H190" s="116">
        <f>COUNTIFS($B:$B,B190,$E:$E,"Occupied")</f>
        <v/>
      </c>
      <c r="I190" s="82">
        <f>IF(E190&lt;&gt;"Occupied",0,IF(H190=1,350,IF(H190=2,200,0)))</f>
        <v/>
      </c>
      <c r="J190" s="82">
        <f>IF(E190="Occupied",IFERROR(SUMIFS('Electricity Management'!$J:$J,'Electricity Management'!$A:$A,A190,'Electricity Management'!$C:$C,B190),0),0)</f>
        <v/>
      </c>
      <c r="K190" s="82">
        <f>IF(E190="Occupied",IFERROR(SUMIFS('Electricity Management'!$T:$T,'Electricity Management'!$K:$K,A190,'Electricity Management'!$L:$L,B190),0),0)</f>
        <v/>
      </c>
      <c r="O190" s="117" t="n"/>
      <c r="P190" s="116" t="n"/>
      <c r="Q190" s="116" t="n"/>
      <c r="R190" s="116" t="n"/>
      <c r="S190" s="119" t="n"/>
      <c r="T190" s="120">
        <f>IF(F190="Yes",A190&amp;"-"&amp;B190,C190)</f>
        <v/>
      </c>
    </row>
    <row r="191" ht="14.25" customHeight="1" s="83">
      <c r="A191" s="116" t="n"/>
      <c r="B191" s="116" t="n"/>
      <c r="C191" s="116" t="n"/>
      <c r="D191" s="116" t="n"/>
      <c r="E191" s="116">
        <f>IF(D191&lt;&gt;"","Occupied","Vacant")</f>
        <v/>
      </c>
      <c r="F191" s="116" t="n"/>
      <c r="G191" s="117" t="n"/>
      <c r="H191" s="116">
        <f>COUNTIFS($B:$B,B191,$E:$E,"Occupied")</f>
        <v/>
      </c>
      <c r="I191" s="82">
        <f>IF(E191&lt;&gt;"Occupied",0,IF(H191=1,350,IF(H191=2,200,0)))</f>
        <v/>
      </c>
      <c r="J191" s="82">
        <f>IF(E191="Occupied",IFERROR(SUMIFS('Electricity Management'!$J:$J,'Electricity Management'!$A:$A,A191,'Electricity Management'!$C:$C,B191),0),0)</f>
        <v/>
      </c>
      <c r="K191" s="82">
        <f>IF(E191="Occupied",IFERROR(SUMIFS('Electricity Management'!$T:$T,'Electricity Management'!$K:$K,A191,'Electricity Management'!$L:$L,B191),0),0)</f>
        <v/>
      </c>
      <c r="O191" s="117" t="n"/>
      <c r="P191" s="116" t="n"/>
      <c r="Q191" s="116" t="n"/>
      <c r="R191" s="116" t="n"/>
      <c r="S191" s="119" t="n"/>
      <c r="T191" s="120">
        <f>IF(F191="Yes",A191&amp;"-"&amp;B191,C191)</f>
        <v/>
      </c>
    </row>
    <row r="192" ht="14.25" customHeight="1" s="83">
      <c r="A192" s="116" t="n"/>
      <c r="B192" s="116" t="n"/>
      <c r="C192" s="116" t="n"/>
      <c r="D192" s="116" t="n"/>
      <c r="E192" s="116">
        <f>IF(D192&lt;&gt;"","Occupied","Vacant")</f>
        <v/>
      </c>
      <c r="F192" s="116" t="n"/>
      <c r="G192" s="117" t="n"/>
      <c r="H192" s="116">
        <f>COUNTIFS($B:$B,B192,$E:$E,"Occupied")</f>
        <v/>
      </c>
      <c r="I192" s="82">
        <f>IF(E192&lt;&gt;"Occupied",0,IF(H192=1,350,IF(H192=2,200,0)))</f>
        <v/>
      </c>
      <c r="J192" s="82">
        <f>IF(E192="Occupied",IFERROR(SUMIFS('Electricity Management'!$J:$J,'Electricity Management'!$A:$A,A192,'Electricity Management'!$C:$C,B192),0),0)</f>
        <v/>
      </c>
      <c r="K192" s="82">
        <f>IF(E192="Occupied",IFERROR(SUMIFS('Electricity Management'!$T:$T,'Electricity Management'!$K:$K,A192,'Electricity Management'!$L:$L,B192),0),0)</f>
        <v/>
      </c>
      <c r="O192" s="117" t="n"/>
      <c r="P192" s="116" t="n"/>
      <c r="Q192" s="116" t="n"/>
      <c r="R192" s="116" t="n"/>
      <c r="S192" s="119" t="n"/>
      <c r="T192" s="120">
        <f>IF(F192="Yes",A192&amp;"-"&amp;B192,C192)</f>
        <v/>
      </c>
    </row>
    <row r="193" ht="14.25" customHeight="1" s="83">
      <c r="A193" s="116" t="n"/>
      <c r="B193" s="116" t="n"/>
      <c r="C193" s="116" t="n"/>
      <c r="D193" s="116" t="n"/>
      <c r="E193" s="116">
        <f>IF(D193&lt;&gt;"","Occupied","Vacant")</f>
        <v/>
      </c>
      <c r="F193" s="116" t="n"/>
      <c r="G193" s="117" t="n"/>
      <c r="H193" s="116">
        <f>COUNTIFS($B:$B,B193,$E:$E,"Occupied")</f>
        <v/>
      </c>
      <c r="I193" s="82">
        <f>IF(E193&lt;&gt;"Occupied",0,IF(H193=1,350,IF(H193=2,200,0)))</f>
        <v/>
      </c>
      <c r="J193" s="82">
        <f>IF(E193="Occupied",IFERROR(SUMIFS('Electricity Management'!$J:$J,'Electricity Management'!$A:$A,A193,'Electricity Management'!$C:$C,B193),0),0)</f>
        <v/>
      </c>
      <c r="K193" s="82">
        <f>IF(E193="Occupied",IFERROR(SUMIFS('Electricity Management'!$T:$T,'Electricity Management'!$K:$K,A193,'Electricity Management'!$L:$L,B193),0),0)</f>
        <v/>
      </c>
      <c r="O193" s="117" t="n"/>
      <c r="P193" s="116" t="n"/>
      <c r="Q193" s="116" t="n"/>
      <c r="R193" s="116" t="n"/>
      <c r="S193" s="119" t="n"/>
      <c r="T193" s="120">
        <f>IF(F193="Yes",A193&amp;"-"&amp;B193,C193)</f>
        <v/>
      </c>
    </row>
    <row r="194" ht="14.25" customHeight="1" s="83">
      <c r="A194" s="116" t="n"/>
      <c r="B194" s="116" t="n"/>
      <c r="C194" s="116" t="n"/>
      <c r="D194" s="116" t="n"/>
      <c r="E194" s="116">
        <f>IF(D194&lt;&gt;"","Occupied","Vacant")</f>
        <v/>
      </c>
      <c r="F194" s="116" t="n"/>
      <c r="G194" s="117" t="n"/>
      <c r="H194" s="116">
        <f>COUNTIFS($B:$B,B194,$E:$E,"Occupied")</f>
        <v/>
      </c>
      <c r="I194" s="82">
        <f>IF(E194&lt;&gt;"Occupied",0,IF(H194=1,350,IF(H194=2,200,0)))</f>
        <v/>
      </c>
      <c r="J194" s="82">
        <f>IF(E194="Occupied",IFERROR(SUMIFS('Electricity Management'!$J:$J,'Electricity Management'!$A:$A,A194,'Electricity Management'!$C:$C,B194),0),0)</f>
        <v/>
      </c>
      <c r="K194" s="82">
        <f>IF(E194="Occupied",IFERROR(SUMIFS('Electricity Management'!$T:$T,'Electricity Management'!$K:$K,A194,'Electricity Management'!$L:$L,B194),0),0)</f>
        <v/>
      </c>
      <c r="O194" s="117" t="n"/>
      <c r="P194" s="116" t="n"/>
      <c r="Q194" s="116" t="n"/>
      <c r="R194" s="116" t="n"/>
      <c r="S194" s="119" t="n"/>
      <c r="T194" s="120">
        <f>IF(F194="Yes",A194&amp;"-"&amp;B194,C194)</f>
        <v/>
      </c>
    </row>
    <row r="195" ht="14.25" customHeight="1" s="83">
      <c r="A195" s="116" t="n"/>
      <c r="B195" s="116" t="n"/>
      <c r="C195" s="116" t="n"/>
      <c r="D195" s="116" t="n"/>
      <c r="E195" s="116">
        <f>IF(D195&lt;&gt;"","Occupied","Vacant")</f>
        <v/>
      </c>
      <c r="F195" s="116" t="n"/>
      <c r="G195" s="117" t="n"/>
      <c r="H195" s="116">
        <f>COUNTIFS($B:$B,B195,$E:$E,"Occupied")</f>
        <v/>
      </c>
      <c r="I195" s="82">
        <f>IF(E195&lt;&gt;"Occupied",0,IF(H195=1,350,IF(H195=2,200,0)))</f>
        <v/>
      </c>
      <c r="J195" s="82">
        <f>IF(E195="Occupied",IFERROR(SUMIFS('Electricity Management'!$J:$J,'Electricity Management'!$A:$A,A195,'Electricity Management'!$C:$C,B195),0),0)</f>
        <v/>
      </c>
      <c r="K195" s="82">
        <f>IF(E195="Occupied",IFERROR(SUMIFS('Electricity Management'!$T:$T,'Electricity Management'!$K:$K,A195,'Electricity Management'!$L:$L,B195),0),0)</f>
        <v/>
      </c>
      <c r="O195" s="117" t="n"/>
      <c r="P195" s="116" t="n"/>
      <c r="Q195" s="116" t="n"/>
      <c r="R195" s="116" t="n"/>
      <c r="S195" s="119" t="n"/>
      <c r="T195" s="120">
        <f>IF(F195="Yes",A195&amp;"-"&amp;B195,C195)</f>
        <v/>
      </c>
    </row>
    <row r="196" ht="14.25" customHeight="1" s="83">
      <c r="A196" s="116" t="n"/>
      <c r="B196" s="116" t="n"/>
      <c r="C196" s="116" t="n"/>
      <c r="D196" s="116" t="n"/>
      <c r="E196" s="116">
        <f>IF(D196&lt;&gt;"","Occupied","Vacant")</f>
        <v/>
      </c>
      <c r="F196" s="116" t="n"/>
      <c r="G196" s="117" t="n"/>
      <c r="H196" s="116">
        <f>COUNTIFS($B:$B,B196,$E:$E,"Occupied")</f>
        <v/>
      </c>
      <c r="I196" s="82">
        <f>IF(E196&lt;&gt;"Occupied",0,IF(H196=1,350,IF(H196=2,200,0)))</f>
        <v/>
      </c>
      <c r="J196" s="82">
        <f>IF(E196="Occupied",IFERROR(SUMIFS('Electricity Management'!$J:$J,'Electricity Management'!$A:$A,A196,'Electricity Management'!$C:$C,B196),0),0)</f>
        <v/>
      </c>
      <c r="K196" s="82">
        <f>IF(E196="Occupied",IFERROR(SUMIFS('Electricity Management'!$T:$T,'Electricity Management'!$K:$K,A196,'Electricity Management'!$L:$L,B196),0),0)</f>
        <v/>
      </c>
      <c r="O196" s="117" t="n"/>
      <c r="P196" s="116" t="n"/>
      <c r="Q196" s="116" t="n"/>
      <c r="R196" s="116" t="n"/>
      <c r="S196" s="119" t="n"/>
      <c r="T196" s="120">
        <f>IF(F196="Yes",A196&amp;"-"&amp;B196,C196)</f>
        <v/>
      </c>
    </row>
    <row r="197" ht="14.25" customHeight="1" s="83">
      <c r="A197" s="116" t="n"/>
      <c r="B197" s="116" t="n"/>
      <c r="C197" s="116" t="n"/>
      <c r="D197" s="116" t="n"/>
      <c r="E197" s="116">
        <f>IF(D197&lt;&gt;"","Occupied","Vacant")</f>
        <v/>
      </c>
      <c r="F197" s="116" t="n"/>
      <c r="G197" s="117" t="n"/>
      <c r="H197" s="116">
        <f>COUNTIFS($B:$B,B197,$E:$E,"Occupied")</f>
        <v/>
      </c>
      <c r="I197" s="82">
        <f>IF(E197&lt;&gt;"Occupied",0,IF(H197=1,350,IF(H197=2,200,0)))</f>
        <v/>
      </c>
      <c r="J197" s="82">
        <f>IF(E197="Occupied",IFERROR(SUMIFS('Electricity Management'!$J:$J,'Electricity Management'!$A:$A,A197,'Electricity Management'!$C:$C,B197),0),0)</f>
        <v/>
      </c>
      <c r="K197" s="82">
        <f>IF(E197="Occupied",IFERROR(SUMIFS('Electricity Management'!$T:$T,'Electricity Management'!$K:$K,A197,'Electricity Management'!$L:$L,B197),0),0)</f>
        <v/>
      </c>
      <c r="O197" s="117" t="n"/>
      <c r="P197" s="116" t="n"/>
      <c r="Q197" s="116" t="n"/>
      <c r="R197" s="116" t="n"/>
      <c r="S197" s="119" t="n"/>
      <c r="T197" s="120">
        <f>IF(F197="Yes",A197&amp;"-"&amp;B197,C197)</f>
        <v/>
      </c>
    </row>
    <row r="198" ht="14.25" customHeight="1" s="83">
      <c r="A198" s="116" t="n"/>
      <c r="B198" s="116" t="n"/>
      <c r="C198" s="116" t="n"/>
      <c r="D198" s="116" t="n"/>
      <c r="E198" s="116">
        <f>IF(D198&lt;&gt;"","Occupied","Vacant")</f>
        <v/>
      </c>
      <c r="F198" s="116" t="n"/>
      <c r="G198" s="117" t="n"/>
      <c r="H198" s="116">
        <f>COUNTIFS($B:$B,B198,$E:$E,"Occupied")</f>
        <v/>
      </c>
      <c r="I198" s="82">
        <f>IF(E198&lt;&gt;"Occupied",0,IF(H198=1,350,IF(H198=2,200,0)))</f>
        <v/>
      </c>
      <c r="J198" s="82">
        <f>IF(E198="Occupied",IFERROR(SUMIFS('Electricity Management'!$J:$J,'Electricity Management'!$A:$A,A198,'Electricity Management'!$C:$C,B198),0),0)</f>
        <v/>
      </c>
      <c r="K198" s="82">
        <f>IF(E198="Occupied",IFERROR(SUMIFS('Electricity Management'!$T:$T,'Electricity Management'!$K:$K,A198,'Electricity Management'!$L:$L,B198),0),0)</f>
        <v/>
      </c>
      <c r="O198" s="117" t="n"/>
      <c r="P198" s="116" t="n"/>
      <c r="Q198" s="116" t="n"/>
      <c r="R198" s="116" t="n"/>
      <c r="S198" s="119" t="n"/>
      <c r="T198" s="120">
        <f>IF(F198="Yes",A198&amp;"-"&amp;B198,C198)</f>
        <v/>
      </c>
    </row>
    <row r="199" ht="14.25" customHeight="1" s="83">
      <c r="A199" s="116" t="n"/>
      <c r="B199" s="116" t="n"/>
      <c r="C199" s="116" t="n"/>
      <c r="D199" s="116" t="n"/>
      <c r="E199" s="116">
        <f>IF(D199&lt;&gt;"","Occupied","Vacant")</f>
        <v/>
      </c>
      <c r="F199" s="116" t="n"/>
      <c r="G199" s="117" t="n"/>
      <c r="H199" s="116">
        <f>COUNTIFS($B:$B,B199,$E:$E,"Occupied")</f>
        <v/>
      </c>
      <c r="I199" s="82">
        <f>IF(E199&lt;&gt;"Occupied",0,IF(H199=1,350,IF(H199=2,200,0)))</f>
        <v/>
      </c>
      <c r="J199" s="82">
        <f>IF(E199="Occupied",IFERROR(SUMIFS('Electricity Management'!$J:$J,'Electricity Management'!$A:$A,A199,'Electricity Management'!$C:$C,B199),0),0)</f>
        <v/>
      </c>
      <c r="K199" s="82">
        <f>IF(E199="Occupied",IFERROR(SUMIFS('Electricity Management'!$T:$T,'Electricity Management'!$K:$K,A199,'Electricity Management'!$L:$L,B199),0),0)</f>
        <v/>
      </c>
      <c r="O199" s="117" t="n"/>
      <c r="P199" s="116" t="n"/>
      <c r="Q199" s="116" t="n"/>
      <c r="R199" s="116" t="n"/>
      <c r="S199" s="119" t="n"/>
      <c r="T199" s="120">
        <f>IF(F199="Yes",A199&amp;"-"&amp;B199,C199)</f>
        <v/>
      </c>
    </row>
    <row r="200" ht="14.25" customHeight="1" s="83">
      <c r="A200" s="116" t="n"/>
      <c r="B200" s="116" t="n"/>
      <c r="C200" s="116" t="n"/>
      <c r="D200" s="116" t="n"/>
      <c r="E200" s="116">
        <f>IF(D200&lt;&gt;"","Occupied","Vacant")</f>
        <v/>
      </c>
      <c r="F200" s="116" t="n"/>
      <c r="G200" s="117" t="n"/>
      <c r="H200" s="116">
        <f>COUNTIFS($B:$B,B200,$E:$E,"Occupied")</f>
        <v/>
      </c>
      <c r="I200" s="82">
        <f>IF(E200&lt;&gt;"Occupied",0,IF(H200=1,350,IF(H200=2,200,0)))</f>
        <v/>
      </c>
      <c r="J200" s="82">
        <f>IF(E200="Occupied",IFERROR(SUMIFS('Electricity Management'!$J:$J,'Electricity Management'!$A:$A,A200,'Electricity Management'!$C:$C,B200),0),0)</f>
        <v/>
      </c>
      <c r="K200" s="82">
        <f>IF(E200="Occupied",IFERROR(SUMIFS('Electricity Management'!$T:$T,'Electricity Management'!$K:$K,A200,'Electricity Management'!$L:$L,B200),0),0)</f>
        <v/>
      </c>
      <c r="O200" s="117" t="n"/>
      <c r="P200" s="116" t="n"/>
      <c r="Q200" s="116" t="n"/>
      <c r="R200" s="116" t="n"/>
      <c r="S200" s="119" t="n"/>
      <c r="T200" s="120">
        <f>IF(F200="Yes",A200&amp;"-"&amp;B200,C200)</f>
        <v/>
      </c>
    </row>
    <row r="201" ht="14.25" customHeight="1" s="83">
      <c r="A201" s="116" t="n"/>
      <c r="B201" s="116" t="n"/>
      <c r="C201" s="116" t="n"/>
      <c r="D201" s="116" t="n"/>
      <c r="E201" s="116">
        <f>IF(D201&lt;&gt;"","Occupied","Vacant")</f>
        <v/>
      </c>
      <c r="F201" s="116" t="n"/>
      <c r="G201" s="117" t="n"/>
      <c r="H201" s="116">
        <f>COUNTIFS($B:$B,B201,$E:$E,"Occupied")</f>
        <v/>
      </c>
      <c r="I201" s="82">
        <f>IF(E201&lt;&gt;"Occupied",0,IF(H201=1,350,IF(H201=2,200,0)))</f>
        <v/>
      </c>
      <c r="J201" s="82">
        <f>IF(E201="Occupied",IFERROR(SUMIFS('Electricity Management'!$J:$J,'Electricity Management'!$A:$A,A201,'Electricity Management'!$C:$C,B201),0),0)</f>
        <v/>
      </c>
      <c r="K201" s="82">
        <f>IF(E201="Occupied",IFERROR(SUMIFS('Electricity Management'!$T:$T,'Electricity Management'!$K:$K,A201,'Electricity Management'!$L:$L,B201),0),0)</f>
        <v/>
      </c>
      <c r="O201" s="117" t="n"/>
      <c r="P201" s="116" t="n"/>
      <c r="Q201" s="116" t="n"/>
      <c r="R201" s="116" t="n"/>
      <c r="S201" s="119" t="n"/>
      <c r="T201" s="120">
        <f>IF(F201="Yes",A201&amp;"-"&amp;B201,C201)</f>
        <v/>
      </c>
    </row>
    <row r="202" ht="14.25" customHeight="1" s="83">
      <c r="A202" s="116" t="n"/>
      <c r="B202" s="116" t="n"/>
      <c r="C202" s="116" t="n"/>
      <c r="D202" s="116" t="n"/>
      <c r="E202" s="116">
        <f>IF(D202&lt;&gt;"","Occupied","Vacant")</f>
        <v/>
      </c>
      <c r="F202" s="116" t="n"/>
      <c r="G202" s="117" t="n"/>
      <c r="H202" s="116">
        <f>COUNTIFS($B:$B,B202,$E:$E,"Occupied")</f>
        <v/>
      </c>
      <c r="I202" s="82">
        <f>IF(E202&lt;&gt;"Occupied",0,IF(H202=1,350,IF(H202=2,200,0)))</f>
        <v/>
      </c>
      <c r="J202" s="82">
        <f>IF(E202="Occupied",IFERROR(SUMIFS('Electricity Management'!$J:$J,'Electricity Management'!$A:$A,A202,'Electricity Management'!$C:$C,B202),0),0)</f>
        <v/>
      </c>
      <c r="K202" s="82">
        <f>IF(E202="Occupied",IFERROR(SUMIFS('Electricity Management'!$T:$T,'Electricity Management'!$K:$K,A202,'Electricity Management'!$L:$L,B202),0),0)</f>
        <v/>
      </c>
      <c r="O202" s="117" t="n"/>
      <c r="P202" s="116" t="n"/>
      <c r="Q202" s="116" t="n"/>
      <c r="R202" s="116" t="n"/>
      <c r="S202" s="119" t="n"/>
      <c r="T202" s="120">
        <f>IF(F202="Yes",A202&amp;"-"&amp;B202,C202)</f>
        <v/>
      </c>
    </row>
    <row r="203" ht="14.25" customHeight="1" s="83">
      <c r="A203" s="116" t="n"/>
      <c r="B203" s="116" t="n"/>
      <c r="C203" s="116" t="n"/>
      <c r="D203" s="116" t="n"/>
      <c r="E203" s="116">
        <f>IF(D203&lt;&gt;"","Occupied","Vacant")</f>
        <v/>
      </c>
      <c r="F203" s="116" t="n"/>
      <c r="G203" s="117" t="n"/>
      <c r="H203" s="116">
        <f>COUNTIFS($B:$B,B203,$E:$E,"Occupied")</f>
        <v/>
      </c>
      <c r="I203" s="82">
        <f>IF(E203&lt;&gt;"Occupied",0,IF(H203=1,350,IF(H203=2,200,0)))</f>
        <v/>
      </c>
      <c r="J203" s="82">
        <f>IF(E203="Occupied",IFERROR(SUMIFS('Electricity Management'!$J:$J,'Electricity Management'!$A:$A,A203,'Electricity Management'!$C:$C,B203),0),0)</f>
        <v/>
      </c>
      <c r="K203" s="82">
        <f>IF(E203="Occupied",IFERROR(SUMIFS('Electricity Management'!$T:$T,'Electricity Management'!$K:$K,A203,'Electricity Management'!$L:$L,B203),0),0)</f>
        <v/>
      </c>
      <c r="O203" s="117" t="n"/>
      <c r="P203" s="116" t="n"/>
      <c r="Q203" s="116" t="n"/>
      <c r="R203" s="116" t="n"/>
      <c r="S203" s="119" t="n"/>
      <c r="T203" s="120">
        <f>IF(F203="Yes",A203&amp;"-"&amp;B203,C203)</f>
        <v/>
      </c>
    </row>
    <row r="204" ht="14.25" customHeight="1" s="83">
      <c r="A204" s="116" t="n"/>
      <c r="B204" s="116" t="n"/>
      <c r="C204" s="116" t="n"/>
      <c r="D204" s="116" t="n"/>
      <c r="E204" s="116">
        <f>IF(D204&lt;&gt;"","Occupied","Vacant")</f>
        <v/>
      </c>
      <c r="F204" s="116" t="n"/>
      <c r="G204" s="117" t="n"/>
      <c r="H204" s="116">
        <f>COUNTIFS($B:$B,B204,$E:$E,"Occupied")</f>
        <v/>
      </c>
      <c r="I204" s="82">
        <f>IF(E204&lt;&gt;"Occupied",0,IF(H204=1,350,IF(H204=2,200,0)))</f>
        <v/>
      </c>
      <c r="J204" s="82">
        <f>IF(E204="Occupied",IFERROR(SUMIFS('Electricity Management'!$J:$J,'Electricity Management'!$A:$A,A204,'Electricity Management'!$C:$C,B204),0),0)</f>
        <v/>
      </c>
      <c r="K204" s="82">
        <f>IF(E204="Occupied",IFERROR(SUMIFS('Electricity Management'!$T:$T,'Electricity Management'!$K:$K,A204,'Electricity Management'!$L:$L,B204),0),0)</f>
        <v/>
      </c>
      <c r="O204" s="117" t="n"/>
      <c r="P204" s="116" t="n"/>
      <c r="Q204" s="116" t="n"/>
      <c r="R204" s="116" t="n"/>
      <c r="S204" s="119" t="n"/>
      <c r="T204" s="120">
        <f>IF(F204="Yes",A204&amp;"-"&amp;B204,C204)</f>
        <v/>
      </c>
    </row>
    <row r="205" ht="14.25" customHeight="1" s="83">
      <c r="A205" s="116" t="n"/>
      <c r="B205" s="116" t="n"/>
      <c r="C205" s="116" t="n"/>
      <c r="D205" s="116" t="n"/>
      <c r="E205" s="116">
        <f>IF(D205&lt;&gt;"","Occupied","Vacant")</f>
        <v/>
      </c>
      <c r="F205" s="116" t="n"/>
      <c r="G205" s="117" t="n"/>
      <c r="H205" s="116">
        <f>COUNTIFS($B:$B,B205,$E:$E,"Occupied")</f>
        <v/>
      </c>
      <c r="I205" s="82">
        <f>IF(E205&lt;&gt;"Occupied",0,IF(H205=1,350,IF(H205=2,200,0)))</f>
        <v/>
      </c>
      <c r="J205" s="82">
        <f>IF(E205="Occupied",IFERROR(SUMIFS('Electricity Management'!$J:$J,'Electricity Management'!$A:$A,A205,'Electricity Management'!$C:$C,B205),0),0)</f>
        <v/>
      </c>
      <c r="K205" s="82">
        <f>IF(E205="Occupied",IFERROR(SUMIFS('Electricity Management'!$T:$T,'Electricity Management'!$K:$K,A205,'Electricity Management'!$L:$L,B205),0),0)</f>
        <v/>
      </c>
      <c r="O205" s="117" t="n"/>
      <c r="P205" s="116" t="n"/>
      <c r="Q205" s="116" t="n"/>
      <c r="R205" s="116" t="n"/>
      <c r="S205" s="119" t="n"/>
      <c r="T205" s="120">
        <f>IF(F205="Yes",A205&amp;"-"&amp;B205,C205)</f>
        <v/>
      </c>
    </row>
    <row r="206" ht="14.25" customHeight="1" s="83">
      <c r="A206" s="116" t="n"/>
      <c r="B206" s="116" t="n"/>
      <c r="C206" s="116" t="n"/>
      <c r="D206" s="116" t="n"/>
      <c r="E206" s="116">
        <f>IF(D206&lt;&gt;"","Occupied","Vacant")</f>
        <v/>
      </c>
      <c r="F206" s="116" t="n"/>
      <c r="G206" s="117" t="n"/>
      <c r="H206" s="116">
        <f>COUNTIFS($B:$B,B206,$E:$E,"Occupied")</f>
        <v/>
      </c>
      <c r="I206" s="82">
        <f>IF(E206&lt;&gt;"Occupied",0,IF(H206=1,350,IF(H206=2,200,0)))</f>
        <v/>
      </c>
      <c r="J206" s="82">
        <f>IF(E206="Occupied",IFERROR(SUMIFS('Electricity Management'!$J:$J,'Electricity Management'!$A:$A,A206,'Electricity Management'!$C:$C,B206),0),0)</f>
        <v/>
      </c>
      <c r="K206" s="82">
        <f>IF(E206="Occupied",IFERROR(SUMIFS('Electricity Management'!$T:$T,'Electricity Management'!$K:$K,A206,'Electricity Management'!$L:$L,B206),0),0)</f>
        <v/>
      </c>
      <c r="O206" s="117" t="n"/>
      <c r="P206" s="116" t="n"/>
      <c r="Q206" s="116" t="n"/>
      <c r="R206" s="116" t="n"/>
      <c r="S206" s="119" t="n"/>
      <c r="T206" s="120">
        <f>IF(F206="Yes",A206&amp;"-"&amp;B206,C206)</f>
        <v/>
      </c>
    </row>
    <row r="207" ht="14.25" customHeight="1" s="83">
      <c r="A207" s="116" t="n"/>
      <c r="B207" s="116" t="n"/>
      <c r="C207" s="116" t="n"/>
      <c r="D207" s="116" t="n"/>
      <c r="E207" s="116">
        <f>IF(D207&lt;&gt;"","Occupied","Vacant")</f>
        <v/>
      </c>
      <c r="F207" s="116" t="n"/>
      <c r="G207" s="117" t="n"/>
      <c r="H207" s="116">
        <f>COUNTIFS($B:$B,B207,$E:$E,"Occupied")</f>
        <v/>
      </c>
      <c r="I207" s="82">
        <f>IF(E207&lt;&gt;"Occupied",0,IF(H207=1,350,IF(H207=2,200,0)))</f>
        <v/>
      </c>
      <c r="J207" s="82">
        <f>IF(E207="Occupied",IFERROR(SUMIFS('Electricity Management'!$J:$J,'Electricity Management'!$A:$A,A207,'Electricity Management'!$C:$C,B207),0),0)</f>
        <v/>
      </c>
      <c r="K207" s="82">
        <f>IF(E207="Occupied",IFERROR(SUMIFS('Electricity Management'!$T:$T,'Electricity Management'!$K:$K,A207,'Electricity Management'!$L:$L,B207),0),0)</f>
        <v/>
      </c>
      <c r="O207" s="117" t="n"/>
      <c r="P207" s="116" t="n"/>
      <c r="Q207" s="116" t="n"/>
      <c r="R207" s="116" t="n"/>
      <c r="S207" s="119" t="n"/>
      <c r="T207" s="120">
        <f>IF(F207="Yes",A207&amp;"-"&amp;B207,C207)</f>
        <v/>
      </c>
    </row>
    <row r="208" ht="14.25" customHeight="1" s="83">
      <c r="A208" s="116" t="n"/>
      <c r="B208" s="116" t="n"/>
      <c r="C208" s="116" t="n"/>
      <c r="D208" s="116" t="n"/>
      <c r="E208" s="116">
        <f>IF(D208&lt;&gt;"","Occupied","Vacant")</f>
        <v/>
      </c>
      <c r="F208" s="116" t="n"/>
      <c r="G208" s="117" t="n"/>
      <c r="H208" s="116">
        <f>COUNTIFS($B:$B,B208,$E:$E,"Occupied")</f>
        <v/>
      </c>
      <c r="I208" s="82">
        <f>IF(E208&lt;&gt;"Occupied",0,IF(H208=1,350,IF(H208=2,200,0)))</f>
        <v/>
      </c>
      <c r="J208" s="82">
        <f>IF(E208="Occupied",IFERROR(SUMIFS('Electricity Management'!$J:$J,'Electricity Management'!$A:$A,A208,'Electricity Management'!$C:$C,B208),0),0)</f>
        <v/>
      </c>
      <c r="K208" s="82">
        <f>IF(E208="Occupied",IFERROR(SUMIFS('Electricity Management'!$T:$T,'Electricity Management'!$K:$K,A208,'Electricity Management'!$L:$L,B208),0),0)</f>
        <v/>
      </c>
      <c r="O208" s="117" t="n"/>
      <c r="P208" s="116" t="n"/>
      <c r="Q208" s="116" t="n"/>
      <c r="R208" s="116" t="n"/>
      <c r="S208" s="119" t="n"/>
      <c r="T208" s="120">
        <f>IF(F208="Yes",A208&amp;"-"&amp;B208,C208)</f>
        <v/>
      </c>
    </row>
    <row r="209" ht="14.25" customHeight="1" s="83">
      <c r="A209" s="116" t="n"/>
      <c r="B209" s="116" t="n"/>
      <c r="C209" s="116" t="n"/>
      <c r="D209" s="116" t="n"/>
      <c r="E209" s="116">
        <f>IF(D209&lt;&gt;"","Occupied","Vacant")</f>
        <v/>
      </c>
      <c r="F209" s="116" t="n"/>
      <c r="G209" s="117" t="n"/>
      <c r="H209" s="116">
        <f>COUNTIFS($B:$B,B209,$E:$E,"Occupied")</f>
        <v/>
      </c>
      <c r="I209" s="82">
        <f>IF(E209&lt;&gt;"Occupied",0,IF(H209=1,350,IF(H209=2,200,0)))</f>
        <v/>
      </c>
      <c r="J209" s="82">
        <f>IF(E209="Occupied",IFERROR(SUMIFS('Electricity Management'!$J:$J,'Electricity Management'!$A:$A,A209,'Electricity Management'!$C:$C,B209),0),0)</f>
        <v/>
      </c>
      <c r="K209" s="82">
        <f>IF(E209="Occupied",IFERROR(SUMIFS('Electricity Management'!$T:$T,'Electricity Management'!$K:$K,A209,'Electricity Management'!$L:$L,B209),0),0)</f>
        <v/>
      </c>
      <c r="O209" s="117" t="n"/>
      <c r="P209" s="116" t="n"/>
      <c r="Q209" s="116" t="n"/>
      <c r="R209" s="116" t="n"/>
      <c r="S209" s="119" t="n"/>
      <c r="T209" s="120">
        <f>IF(F209="Yes",A209&amp;"-"&amp;B209,C209)</f>
        <v/>
      </c>
    </row>
    <row r="210" ht="14.25" customHeight="1" s="83">
      <c r="A210" s="116" t="n"/>
      <c r="B210" s="116" t="n"/>
      <c r="C210" s="116" t="n"/>
      <c r="D210" s="116" t="n"/>
      <c r="E210" s="116">
        <f>IF(D210&lt;&gt;"","Occupied","Vacant")</f>
        <v/>
      </c>
      <c r="F210" s="116" t="n"/>
      <c r="G210" s="117" t="n"/>
      <c r="H210" s="116">
        <f>COUNTIFS($B:$B,B210,$E:$E,"Occupied")</f>
        <v/>
      </c>
      <c r="I210" s="82">
        <f>IF(E210&lt;&gt;"Occupied",0,IF(H210=1,350,IF(H210=2,200,0)))</f>
        <v/>
      </c>
      <c r="J210" s="82">
        <f>IF(E210="Occupied",IFERROR(SUMIFS('Electricity Management'!$J:$J,'Electricity Management'!$A:$A,A210,'Electricity Management'!$C:$C,B210),0),0)</f>
        <v/>
      </c>
      <c r="K210" s="82">
        <f>IF(E210="Occupied",IFERROR(SUMIFS('Electricity Management'!$T:$T,'Electricity Management'!$K:$K,A210,'Electricity Management'!$L:$L,B210),0),0)</f>
        <v/>
      </c>
      <c r="O210" s="117" t="n"/>
      <c r="P210" s="116" t="n"/>
      <c r="Q210" s="116" t="n"/>
      <c r="R210" s="116" t="n"/>
      <c r="S210" s="119" t="n"/>
      <c r="T210" s="120">
        <f>IF(F210="Yes",A210&amp;"-"&amp;B210,C210)</f>
        <v/>
      </c>
    </row>
    <row r="211" ht="14.25" customHeight="1" s="83">
      <c r="A211" s="116" t="n"/>
      <c r="B211" s="116" t="n"/>
      <c r="C211" s="116" t="n"/>
      <c r="D211" s="116" t="n"/>
      <c r="E211" s="116">
        <f>IF(D211&lt;&gt;"","Occupied","Vacant")</f>
        <v/>
      </c>
      <c r="F211" s="116" t="n"/>
      <c r="G211" s="117" t="n"/>
      <c r="H211" s="116">
        <f>COUNTIFS($B:$B,B211,$E:$E,"Occupied")</f>
        <v/>
      </c>
      <c r="I211" s="82">
        <f>IF(E211&lt;&gt;"Occupied",0,IF(H211=1,350,IF(H211=2,200,0)))</f>
        <v/>
      </c>
      <c r="J211" s="82">
        <f>IF(E211="Occupied",IFERROR(SUMIFS('Electricity Management'!$J:$J,'Electricity Management'!$A:$A,A211,'Electricity Management'!$C:$C,B211),0),0)</f>
        <v/>
      </c>
      <c r="K211" s="82">
        <f>IF(E211="Occupied",IFERROR(SUMIFS('Electricity Management'!$T:$T,'Electricity Management'!$K:$K,A211,'Electricity Management'!$L:$L,B211),0),0)</f>
        <v/>
      </c>
      <c r="O211" s="117" t="n"/>
      <c r="P211" s="116" t="n"/>
      <c r="Q211" s="116" t="n"/>
      <c r="R211" s="116" t="n"/>
      <c r="S211" s="119" t="n"/>
      <c r="T211" s="120">
        <f>IF(F211="Yes",A211&amp;"-"&amp;B211,C211)</f>
        <v/>
      </c>
    </row>
    <row r="212" ht="14.25" customHeight="1" s="83">
      <c r="A212" s="116" t="n"/>
      <c r="B212" s="116" t="n"/>
      <c r="C212" s="116" t="n"/>
      <c r="D212" s="116" t="n"/>
      <c r="E212" s="116">
        <f>IF(D212&lt;&gt;"","Occupied","Vacant")</f>
        <v/>
      </c>
      <c r="F212" s="116" t="n"/>
      <c r="G212" s="117" t="n"/>
      <c r="H212" s="116">
        <f>COUNTIFS($B:$B,B212,$E:$E,"Occupied")</f>
        <v/>
      </c>
      <c r="I212" s="82">
        <f>IF(E212&lt;&gt;"Occupied",0,IF(H212=1,350,IF(H212=2,200,0)))</f>
        <v/>
      </c>
      <c r="J212" s="82">
        <f>IF(E212="Occupied",IFERROR(SUMIFS('Electricity Management'!$J:$J,'Electricity Management'!$A:$A,A212,'Electricity Management'!$C:$C,B212),0),0)</f>
        <v/>
      </c>
      <c r="K212" s="82">
        <f>IF(E212="Occupied",IFERROR(SUMIFS('Electricity Management'!$T:$T,'Electricity Management'!$K:$K,A212,'Electricity Management'!$L:$L,B212),0),0)</f>
        <v/>
      </c>
      <c r="O212" s="117" t="n"/>
      <c r="P212" s="116" t="n"/>
      <c r="Q212" s="116" t="n"/>
      <c r="R212" s="116" t="n"/>
      <c r="S212" s="119" t="n"/>
      <c r="T212" s="120">
        <f>IF(F212="Yes",A212&amp;"-"&amp;B212,C212)</f>
        <v/>
      </c>
    </row>
    <row r="213" ht="14.25" customHeight="1" s="83">
      <c r="A213" s="116" t="n"/>
      <c r="B213" s="116" t="n"/>
      <c r="C213" s="116" t="n"/>
      <c r="D213" s="116" t="n"/>
      <c r="E213" s="116">
        <f>IF(D213&lt;&gt;"","Occupied","Vacant")</f>
        <v/>
      </c>
      <c r="F213" s="116" t="n"/>
      <c r="G213" s="117" t="n"/>
      <c r="H213" s="116">
        <f>COUNTIFS($B:$B,B213,$E:$E,"Occupied")</f>
        <v/>
      </c>
      <c r="I213" s="82">
        <f>IF(E213&lt;&gt;"Occupied",0,IF(H213=1,350,IF(H213=2,200,0)))</f>
        <v/>
      </c>
      <c r="J213" s="82">
        <f>IF(E213="Occupied",IFERROR(SUMIFS('Electricity Management'!$J:$J,'Electricity Management'!$A:$A,A213,'Electricity Management'!$C:$C,B213),0),0)</f>
        <v/>
      </c>
      <c r="K213" s="82">
        <f>IF(E213="Occupied",IFERROR(SUMIFS('Electricity Management'!$T:$T,'Electricity Management'!$K:$K,A213,'Electricity Management'!$L:$L,B213),0),0)</f>
        <v/>
      </c>
      <c r="O213" s="117" t="n"/>
      <c r="P213" s="116" t="n"/>
      <c r="Q213" s="116" t="n"/>
      <c r="R213" s="116" t="n"/>
      <c r="S213" s="119" t="n"/>
      <c r="T213" s="120">
        <f>IF(F213="Yes",A213&amp;"-"&amp;B213,C213)</f>
        <v/>
      </c>
    </row>
    <row r="214" ht="14.25" customHeight="1" s="83">
      <c r="A214" s="116" t="n"/>
      <c r="B214" s="116" t="n"/>
      <c r="C214" s="116" t="n"/>
      <c r="D214" s="116" t="n"/>
      <c r="E214" s="116">
        <f>IF(D214&lt;&gt;"","Occupied","Vacant")</f>
        <v/>
      </c>
      <c r="F214" s="116" t="n"/>
      <c r="G214" s="117" t="n"/>
      <c r="H214" s="116">
        <f>COUNTIFS($B:$B,B214,$E:$E,"Occupied")</f>
        <v/>
      </c>
      <c r="I214" s="82">
        <f>IF(E214&lt;&gt;"Occupied",0,IF(H214=1,350,IF(H214=2,200,0)))</f>
        <v/>
      </c>
      <c r="J214" s="82">
        <f>IF(E214="Occupied",IFERROR(SUMIFS('Electricity Management'!$J:$J,'Electricity Management'!$A:$A,A214,'Electricity Management'!$C:$C,B214),0),0)</f>
        <v/>
      </c>
      <c r="K214" s="82">
        <f>IF(E214="Occupied",IFERROR(SUMIFS('Electricity Management'!$T:$T,'Electricity Management'!$K:$K,A214,'Electricity Management'!$L:$L,B214),0),0)</f>
        <v/>
      </c>
      <c r="O214" s="117" t="n"/>
      <c r="P214" s="116" t="n"/>
      <c r="Q214" s="116" t="n"/>
      <c r="R214" s="116" t="n"/>
      <c r="S214" s="119" t="n"/>
      <c r="T214" s="120">
        <f>IF(F214="Yes",A214&amp;"-"&amp;B214,C214)</f>
        <v/>
      </c>
    </row>
    <row r="215" ht="14.25" customHeight="1" s="83">
      <c r="A215" s="116" t="n"/>
      <c r="B215" s="116" t="n"/>
      <c r="C215" s="116" t="n"/>
      <c r="D215" s="116" t="n"/>
      <c r="E215" s="116">
        <f>IF(D215&lt;&gt;"","Occupied","Vacant")</f>
        <v/>
      </c>
      <c r="F215" s="116" t="n"/>
      <c r="G215" s="117" t="n"/>
      <c r="H215" s="116">
        <f>COUNTIFS($B:$B,B215,$E:$E,"Occupied")</f>
        <v/>
      </c>
      <c r="I215" s="82">
        <f>IF(E215&lt;&gt;"Occupied",0,IF(H215=1,350,IF(H215=2,200,0)))</f>
        <v/>
      </c>
      <c r="J215" s="82">
        <f>IF(E215="Occupied",IFERROR(SUMIFS('Electricity Management'!$J:$J,'Electricity Management'!$A:$A,A215,'Electricity Management'!$C:$C,B215),0),0)</f>
        <v/>
      </c>
      <c r="K215" s="82">
        <f>IF(E215="Occupied",IFERROR(SUMIFS('Electricity Management'!$T:$T,'Electricity Management'!$K:$K,A215,'Electricity Management'!$L:$L,B215),0),0)</f>
        <v/>
      </c>
      <c r="O215" s="117" t="n"/>
      <c r="P215" s="116" t="n"/>
      <c r="Q215" s="116" t="n"/>
      <c r="R215" s="116" t="n"/>
      <c r="S215" s="119" t="n"/>
      <c r="T215" s="120">
        <f>IF(F215="Yes",A215&amp;"-"&amp;B215,C215)</f>
        <v/>
      </c>
    </row>
    <row r="216" ht="14.25" customHeight="1" s="83">
      <c r="A216" s="116" t="n"/>
      <c r="B216" s="116" t="n"/>
      <c r="C216" s="116" t="n"/>
      <c r="D216" s="116" t="n"/>
      <c r="E216" s="116">
        <f>IF(D216&lt;&gt;"","Occupied","Vacant")</f>
        <v/>
      </c>
      <c r="F216" s="116" t="n"/>
      <c r="G216" s="117" t="n"/>
      <c r="H216" s="116">
        <f>COUNTIFS($B:$B,B216,$E:$E,"Occupied")</f>
        <v/>
      </c>
      <c r="I216" s="82">
        <f>IF(E216&lt;&gt;"Occupied",0,IF(H216=1,350,IF(H216=2,200,0)))</f>
        <v/>
      </c>
      <c r="J216" s="82">
        <f>IF(E216="Occupied",IFERROR(SUMIFS('Electricity Management'!$J:$J,'Electricity Management'!$A:$A,A216,'Electricity Management'!$C:$C,B216),0),0)</f>
        <v/>
      </c>
      <c r="K216" s="82">
        <f>IF(E216="Occupied",IFERROR(SUMIFS('Electricity Management'!$T:$T,'Electricity Management'!$K:$K,A216,'Electricity Management'!$L:$L,B216),0),0)</f>
        <v/>
      </c>
      <c r="O216" s="117" t="n"/>
      <c r="P216" s="116" t="n"/>
      <c r="Q216" s="116" t="n"/>
      <c r="R216" s="116" t="n"/>
      <c r="S216" s="119" t="n"/>
      <c r="T216" s="120">
        <f>IF(F216="Yes",A216&amp;"-"&amp;B216,C216)</f>
        <v/>
      </c>
    </row>
    <row r="217" ht="14.25" customHeight="1" s="83">
      <c r="A217" s="116" t="n"/>
      <c r="B217" s="116" t="n"/>
      <c r="C217" s="116" t="n"/>
      <c r="D217" s="116" t="n"/>
      <c r="E217" s="116">
        <f>IF(D217&lt;&gt;"","Occupied","Vacant")</f>
        <v/>
      </c>
      <c r="F217" s="116" t="n"/>
      <c r="G217" s="117" t="n"/>
      <c r="H217" s="116">
        <f>COUNTIFS($B:$B,B217,$E:$E,"Occupied")</f>
        <v/>
      </c>
      <c r="I217" s="82">
        <f>IF(E217&lt;&gt;"Occupied",0,IF(H217=1,350,IF(H217=2,200,0)))</f>
        <v/>
      </c>
      <c r="J217" s="82">
        <f>IF(E217="Occupied",IFERROR(SUMIFS('Electricity Management'!$J:$J,'Electricity Management'!$A:$A,A217,'Electricity Management'!$C:$C,B217),0),0)</f>
        <v/>
      </c>
      <c r="K217" s="82">
        <f>IF(E217="Occupied",IFERROR(SUMIFS('Electricity Management'!$T:$T,'Electricity Management'!$K:$K,A217,'Electricity Management'!$L:$L,B217),0),0)</f>
        <v/>
      </c>
      <c r="O217" s="117" t="n"/>
      <c r="P217" s="116" t="n"/>
      <c r="Q217" s="116" t="n"/>
      <c r="R217" s="116" t="n"/>
      <c r="S217" s="119" t="n"/>
      <c r="T217" s="120">
        <f>IF(F217="Yes",A217&amp;"-"&amp;B217,C217)</f>
        <v/>
      </c>
    </row>
    <row r="218" ht="14.25" customHeight="1" s="83">
      <c r="A218" s="116" t="n"/>
      <c r="B218" s="116" t="n"/>
      <c r="C218" s="116" t="n"/>
      <c r="D218" s="116" t="n"/>
      <c r="E218" s="116">
        <f>IF(D218&lt;&gt;"","Occupied","Vacant")</f>
        <v/>
      </c>
      <c r="F218" s="116" t="n"/>
      <c r="G218" s="117" t="n"/>
      <c r="H218" s="116">
        <f>COUNTIFS($B:$B,B218,$E:$E,"Occupied")</f>
        <v/>
      </c>
      <c r="I218" s="82">
        <f>IF(E218&lt;&gt;"Occupied",0,IF(H218=1,350,IF(H218=2,200,0)))</f>
        <v/>
      </c>
      <c r="J218" s="82">
        <f>IF(E218="Occupied",IFERROR(SUMIFS('Electricity Management'!$J:$J,'Electricity Management'!$A:$A,A218,'Electricity Management'!$C:$C,B218),0),0)</f>
        <v/>
      </c>
      <c r="K218" s="82">
        <f>IF(E218="Occupied",IFERROR(SUMIFS('Electricity Management'!$T:$T,'Electricity Management'!$K:$K,A218,'Electricity Management'!$L:$L,B218),0),0)</f>
        <v/>
      </c>
      <c r="O218" s="117" t="n"/>
      <c r="P218" s="116" t="n"/>
      <c r="Q218" s="116" t="n"/>
      <c r="R218" s="116" t="n"/>
      <c r="S218" s="119" t="n"/>
      <c r="T218" s="120">
        <f>IF(F218="Yes",A218&amp;"-"&amp;B218,C218)</f>
        <v/>
      </c>
    </row>
    <row r="219" ht="14.25" customHeight="1" s="83">
      <c r="A219" s="116" t="n"/>
      <c r="B219" s="116" t="n"/>
      <c r="C219" s="116" t="n"/>
      <c r="D219" s="116" t="n"/>
      <c r="E219" s="116">
        <f>IF(D219&lt;&gt;"","Occupied","Vacant")</f>
        <v/>
      </c>
      <c r="F219" s="116" t="n"/>
      <c r="G219" s="117" t="n"/>
      <c r="H219" s="116">
        <f>COUNTIFS($B:$B,B219,$E:$E,"Occupied")</f>
        <v/>
      </c>
      <c r="I219" s="82">
        <f>IF(E219&lt;&gt;"Occupied",0,IF(H219=1,350,IF(H219=2,200,0)))</f>
        <v/>
      </c>
      <c r="J219" s="82">
        <f>IF(E219="Occupied",IFERROR(SUMIFS('Electricity Management'!$J:$J,'Electricity Management'!$A:$A,A219,'Electricity Management'!$C:$C,B219),0),0)</f>
        <v/>
      </c>
      <c r="K219" s="82">
        <f>IF(E219="Occupied",IFERROR(SUMIFS('Electricity Management'!$T:$T,'Electricity Management'!$K:$K,A219,'Electricity Management'!$L:$L,B219),0),0)</f>
        <v/>
      </c>
      <c r="O219" s="117" t="n"/>
      <c r="P219" s="116" t="n"/>
      <c r="Q219" s="116" t="n"/>
      <c r="R219" s="116" t="n"/>
      <c r="S219" s="119" t="n"/>
      <c r="T219" s="120">
        <f>IF(F219="Yes",A219&amp;"-"&amp;B219,C219)</f>
        <v/>
      </c>
    </row>
    <row r="220" ht="14.25" customHeight="1" s="83">
      <c r="A220" s="116" t="n"/>
      <c r="B220" s="116" t="n"/>
      <c r="C220" s="116" t="n"/>
      <c r="D220" s="116" t="n"/>
      <c r="E220" s="116">
        <f>IF(D220&lt;&gt;"","Occupied","Vacant")</f>
        <v/>
      </c>
      <c r="F220" s="116" t="n"/>
      <c r="G220" s="117" t="n"/>
      <c r="H220" s="116">
        <f>COUNTIFS($B:$B,B220,$E:$E,"Occupied")</f>
        <v/>
      </c>
      <c r="I220" s="82">
        <f>IF(E220&lt;&gt;"Occupied",0,IF(H220=1,350,IF(H220=2,200,0)))</f>
        <v/>
      </c>
      <c r="J220" s="82">
        <f>IF(E220="Occupied",IFERROR(SUMIFS('Electricity Management'!$J:$J,'Electricity Management'!$A:$A,A220,'Electricity Management'!$C:$C,B220),0),0)</f>
        <v/>
      </c>
      <c r="K220" s="82">
        <f>IF(E220="Occupied",IFERROR(SUMIFS('Electricity Management'!$T:$T,'Electricity Management'!$K:$K,A220,'Electricity Management'!$L:$L,B220),0),0)</f>
        <v/>
      </c>
      <c r="O220" s="117" t="n"/>
      <c r="P220" s="116" t="n"/>
      <c r="Q220" s="116" t="n"/>
      <c r="R220" s="116" t="n"/>
      <c r="S220" s="119" t="n"/>
      <c r="T220" s="120">
        <f>IF(F220="Yes",A220&amp;"-"&amp;B220,C220)</f>
        <v/>
      </c>
    </row>
    <row r="221" ht="14.25" customHeight="1" s="83">
      <c r="A221" s="116" t="n"/>
      <c r="B221" s="116" t="n"/>
      <c r="C221" s="116" t="n"/>
      <c r="D221" s="116" t="n"/>
      <c r="E221" s="116">
        <f>IF(D221&lt;&gt;"","Occupied","Vacant")</f>
        <v/>
      </c>
      <c r="F221" s="116" t="n"/>
      <c r="G221" s="117" t="n"/>
      <c r="H221" s="116">
        <f>COUNTIFS($B:$B,B221,$E:$E,"Occupied")</f>
        <v/>
      </c>
      <c r="I221" s="82">
        <f>IF(E221&lt;&gt;"Occupied",0,IF(H221=1,350,IF(H221=2,200,0)))</f>
        <v/>
      </c>
      <c r="J221" s="82">
        <f>IF(E221="Occupied",IFERROR(SUMIFS('Electricity Management'!$J:$J,'Electricity Management'!$A:$A,A221,'Electricity Management'!$C:$C,B221),0),0)</f>
        <v/>
      </c>
      <c r="K221" s="82">
        <f>IF(E221="Occupied",IFERROR(SUMIFS('Electricity Management'!$T:$T,'Electricity Management'!$K:$K,A221,'Electricity Management'!$L:$L,B221),0),0)</f>
        <v/>
      </c>
      <c r="O221" s="117" t="n"/>
      <c r="P221" s="116" t="n"/>
      <c r="Q221" s="116" t="n"/>
      <c r="R221" s="116" t="n"/>
      <c r="S221" s="119" t="n"/>
      <c r="T221" s="120">
        <f>IF(F221="Yes",A221&amp;"-"&amp;B221,C221)</f>
        <v/>
      </c>
    </row>
    <row r="222" ht="14.25" customHeight="1" s="83">
      <c r="A222" s="116" t="n"/>
      <c r="B222" s="116" t="n"/>
      <c r="C222" s="116" t="n"/>
      <c r="D222" s="116" t="n"/>
      <c r="E222" s="116">
        <f>IF(D222&lt;&gt;"","Occupied","Vacant")</f>
        <v/>
      </c>
      <c r="F222" s="116" t="n"/>
      <c r="G222" s="117" t="n"/>
      <c r="H222" s="116">
        <f>COUNTIFS($B:$B,B222,$E:$E,"Occupied")</f>
        <v/>
      </c>
      <c r="I222" s="82">
        <f>IF(E222&lt;&gt;"Occupied",0,IF(H222=1,350,IF(H222=2,200,0)))</f>
        <v/>
      </c>
      <c r="J222" s="82">
        <f>IF(E222="Occupied",IFERROR(SUMIFS('Electricity Management'!$J:$J,'Electricity Management'!$A:$A,A222,'Electricity Management'!$C:$C,B222),0),0)</f>
        <v/>
      </c>
      <c r="K222" s="82">
        <f>IF(E222="Occupied",IFERROR(SUMIFS('Electricity Management'!$T:$T,'Electricity Management'!$K:$K,A222,'Electricity Management'!$L:$L,B222),0),0)</f>
        <v/>
      </c>
      <c r="O222" s="117" t="n"/>
      <c r="P222" s="116" t="n"/>
      <c r="Q222" s="116" t="n"/>
      <c r="R222" s="116" t="n"/>
      <c r="S222" s="119" t="n"/>
      <c r="T222" s="120">
        <f>IF(F222="Yes",A222&amp;"-"&amp;B222,C222)</f>
        <v/>
      </c>
    </row>
    <row r="223" ht="14.25" customHeight="1" s="83">
      <c r="A223" s="116" t="n"/>
      <c r="B223" s="116" t="n"/>
      <c r="C223" s="116" t="n"/>
      <c r="D223" s="116" t="n"/>
      <c r="E223" s="116">
        <f>IF(D223&lt;&gt;"","Occupied","Vacant")</f>
        <v/>
      </c>
      <c r="F223" s="116" t="n"/>
      <c r="G223" s="117" t="n"/>
      <c r="H223" s="116">
        <f>COUNTIFS($B:$B,B223,$E:$E,"Occupied")</f>
        <v/>
      </c>
      <c r="I223" s="82">
        <f>IF(E223&lt;&gt;"Occupied",0,IF(H223=1,350,IF(H223=2,200,0)))</f>
        <v/>
      </c>
      <c r="J223" s="82">
        <f>IF(E223="Occupied",IFERROR(SUMIFS('Electricity Management'!$J:$J,'Electricity Management'!$A:$A,A223,'Electricity Management'!$C:$C,B223),0),0)</f>
        <v/>
      </c>
      <c r="K223" s="82">
        <f>IF(E223="Occupied",IFERROR(SUMIFS('Electricity Management'!$T:$T,'Electricity Management'!$K:$K,A223,'Electricity Management'!$L:$L,B223),0),0)</f>
        <v/>
      </c>
      <c r="O223" s="117" t="n"/>
      <c r="P223" s="116" t="n"/>
      <c r="Q223" s="116" t="n"/>
      <c r="R223" s="116" t="n"/>
      <c r="S223" s="119" t="n"/>
      <c r="T223" s="120">
        <f>IF(F223="Yes",A223&amp;"-"&amp;B223,C223)</f>
        <v/>
      </c>
    </row>
    <row r="224" ht="14.25" customHeight="1" s="83">
      <c r="A224" s="116" t="n"/>
      <c r="B224" s="116" t="n"/>
      <c r="C224" s="116" t="n"/>
      <c r="D224" s="116" t="n"/>
      <c r="E224" s="116">
        <f>IF(D224&lt;&gt;"","Occupied","Vacant")</f>
        <v/>
      </c>
      <c r="F224" s="116" t="n"/>
      <c r="G224" s="117" t="n"/>
      <c r="H224" s="116">
        <f>COUNTIFS($B:$B,B224,$E:$E,"Occupied")</f>
        <v/>
      </c>
      <c r="I224" s="82">
        <f>IF(E224&lt;&gt;"Occupied",0,IF(H224=1,350,IF(H224=2,200,0)))</f>
        <v/>
      </c>
      <c r="J224" s="82">
        <f>IF(E224="Occupied",IFERROR(SUMIFS('Electricity Management'!$J:$J,'Electricity Management'!$A:$A,A224,'Electricity Management'!$C:$C,B224),0),0)</f>
        <v/>
      </c>
      <c r="K224" s="82">
        <f>IF(E224="Occupied",IFERROR(SUMIFS('Electricity Management'!$T:$T,'Electricity Management'!$K:$K,A224,'Electricity Management'!$L:$L,B224),0),0)</f>
        <v/>
      </c>
      <c r="O224" s="117" t="n"/>
      <c r="P224" s="116" t="n"/>
      <c r="Q224" s="116" t="n"/>
      <c r="R224" s="116" t="n"/>
      <c r="S224" s="119" t="n"/>
      <c r="T224" s="120">
        <f>IF(F224="Yes",A224&amp;"-"&amp;B224,C224)</f>
        <v/>
      </c>
    </row>
    <row r="225" ht="14.25" customHeight="1" s="83">
      <c r="A225" s="116" t="n"/>
      <c r="B225" s="116" t="n"/>
      <c r="C225" s="116" t="n"/>
      <c r="D225" s="116" t="n"/>
      <c r="E225" s="116">
        <f>IF(D225&lt;&gt;"","Occupied","Vacant")</f>
        <v/>
      </c>
      <c r="F225" s="116" t="n"/>
      <c r="G225" s="117" t="n"/>
      <c r="H225" s="116">
        <f>COUNTIFS($B:$B,B225,$E:$E,"Occupied")</f>
        <v/>
      </c>
      <c r="I225" s="82">
        <f>IF(E225&lt;&gt;"Occupied",0,IF(H225=1,350,IF(H225=2,200,0)))</f>
        <v/>
      </c>
      <c r="J225" s="82">
        <f>IF(E225="Occupied",IFERROR(SUMIFS('Electricity Management'!$J:$J,'Electricity Management'!$A:$A,A225,'Electricity Management'!$C:$C,B225),0),0)</f>
        <v/>
      </c>
      <c r="K225" s="82">
        <f>IF(E225="Occupied",IFERROR(SUMIFS('Electricity Management'!$T:$T,'Electricity Management'!$K:$K,A225,'Electricity Management'!$L:$L,B225),0),0)</f>
        <v/>
      </c>
      <c r="O225" s="117" t="n"/>
      <c r="P225" s="116" t="n"/>
      <c r="Q225" s="116" t="n"/>
      <c r="R225" s="116" t="n"/>
      <c r="S225" s="119" t="n"/>
      <c r="T225" s="120">
        <f>IF(F225="Yes",A225&amp;"-"&amp;B225,C225)</f>
        <v/>
      </c>
    </row>
    <row r="226" ht="14.25" customHeight="1" s="83">
      <c r="A226" s="116" t="n"/>
      <c r="B226" s="116" t="n"/>
      <c r="C226" s="116" t="n"/>
      <c r="D226" s="116" t="n"/>
      <c r="E226" s="116">
        <f>IF(D226&lt;&gt;"","Occupied","Vacant")</f>
        <v/>
      </c>
      <c r="F226" s="116" t="n"/>
      <c r="G226" s="117" t="n"/>
      <c r="H226" s="116">
        <f>COUNTIFS($B:$B,B226,$E:$E,"Occupied")</f>
        <v/>
      </c>
      <c r="I226" s="82">
        <f>IF(E226&lt;&gt;"Occupied",0,IF(H226=1,350,IF(H226=2,200,0)))</f>
        <v/>
      </c>
      <c r="J226" s="82">
        <f>IF(E226="Occupied",IFERROR(SUMIFS('Electricity Management'!$J:$J,'Electricity Management'!$A:$A,A226,'Electricity Management'!$C:$C,B226),0),0)</f>
        <v/>
      </c>
      <c r="K226" s="82">
        <f>IF(E226="Occupied",IFERROR(SUMIFS('Electricity Management'!$T:$T,'Electricity Management'!$K:$K,A226,'Electricity Management'!$L:$L,B226),0),0)</f>
        <v/>
      </c>
      <c r="O226" s="117" t="n"/>
      <c r="P226" s="116" t="n"/>
      <c r="Q226" s="116" t="n"/>
      <c r="R226" s="116" t="n"/>
      <c r="S226" s="119" t="n"/>
      <c r="T226" s="120">
        <f>IF(F226="Yes",A226&amp;"-"&amp;B226,C226)</f>
        <v/>
      </c>
    </row>
    <row r="227" ht="14.25" customHeight="1" s="83">
      <c r="A227" s="116" t="n"/>
      <c r="B227" s="116" t="n"/>
      <c r="C227" s="116" t="n"/>
      <c r="D227" s="116" t="n"/>
      <c r="E227" s="116">
        <f>IF(D227&lt;&gt;"","Occupied","Vacant")</f>
        <v/>
      </c>
      <c r="F227" s="116" t="n"/>
      <c r="G227" s="117" t="n"/>
      <c r="H227" s="116">
        <f>COUNTIFS($B:$B,B227,$E:$E,"Occupied")</f>
        <v/>
      </c>
      <c r="I227" s="82">
        <f>IF(E227&lt;&gt;"Occupied",0,IF(H227=1,350,IF(H227=2,200,0)))</f>
        <v/>
      </c>
      <c r="J227" s="82">
        <f>IF(E227="Occupied",IFERROR(SUMIFS('Electricity Management'!$J:$J,'Electricity Management'!$A:$A,A227,'Electricity Management'!$C:$C,B227),0),0)</f>
        <v/>
      </c>
      <c r="K227" s="82">
        <f>IF(E227="Occupied",IFERROR(SUMIFS('Electricity Management'!$T:$T,'Electricity Management'!$K:$K,A227,'Electricity Management'!$L:$L,B227),0),0)</f>
        <v/>
      </c>
      <c r="O227" s="117" t="n"/>
      <c r="P227" s="116" t="n"/>
      <c r="Q227" s="116" t="n"/>
      <c r="R227" s="116" t="n"/>
      <c r="S227" s="119" t="n"/>
      <c r="T227" s="120">
        <f>IF(F227="Yes",A227&amp;"-"&amp;B227,C227)</f>
        <v/>
      </c>
    </row>
    <row r="228" ht="14.25" customHeight="1" s="83">
      <c r="A228" s="116" t="n"/>
      <c r="B228" s="116" t="n"/>
      <c r="C228" s="116" t="n"/>
      <c r="D228" s="116" t="n"/>
      <c r="E228" s="116">
        <f>IF(D228&lt;&gt;"","Occupied","Vacant")</f>
        <v/>
      </c>
      <c r="F228" s="116" t="n"/>
      <c r="G228" s="117" t="n"/>
      <c r="H228" s="116">
        <f>COUNTIFS($B:$B,B228,$E:$E,"Occupied")</f>
        <v/>
      </c>
      <c r="I228" s="82">
        <f>IF(E228&lt;&gt;"Occupied",0,IF(H228=1,350,IF(H228=2,200,0)))</f>
        <v/>
      </c>
      <c r="J228" s="82">
        <f>IF(E228="Occupied",IFERROR(SUMIFS('Electricity Management'!$J:$J,'Electricity Management'!$A:$A,A228,'Electricity Management'!$C:$C,B228),0),0)</f>
        <v/>
      </c>
      <c r="K228" s="82">
        <f>IF(E228="Occupied",IFERROR(SUMIFS('Electricity Management'!$T:$T,'Electricity Management'!$K:$K,A228,'Electricity Management'!$L:$L,B228),0),0)</f>
        <v/>
      </c>
      <c r="O228" s="117" t="n"/>
      <c r="P228" s="116" t="n"/>
      <c r="Q228" s="116" t="n"/>
      <c r="R228" s="116" t="n"/>
      <c r="S228" s="119" t="n"/>
      <c r="T228" s="120">
        <f>IF(F228="Yes",A228&amp;"-"&amp;B228,C228)</f>
        <v/>
      </c>
    </row>
    <row r="229" ht="14.25" customHeight="1" s="83">
      <c r="A229" s="116" t="n"/>
      <c r="B229" s="116" t="n"/>
      <c r="C229" s="116" t="n"/>
      <c r="D229" s="116" t="n"/>
      <c r="E229" s="116">
        <f>IF(D229&lt;&gt;"","Occupied","Vacant")</f>
        <v/>
      </c>
      <c r="F229" s="116" t="n"/>
      <c r="G229" s="117" t="n"/>
      <c r="H229" s="116">
        <f>COUNTIFS($B:$B,B229,$E:$E,"Occupied")</f>
        <v/>
      </c>
      <c r="I229" s="82">
        <f>IF(E229&lt;&gt;"Occupied",0,IF(H229=1,350,IF(H229=2,200,0)))</f>
        <v/>
      </c>
      <c r="J229" s="82">
        <f>IF(E229="Occupied",IFERROR(SUMIFS('Electricity Management'!$J:$J,'Electricity Management'!$A:$A,A229,'Electricity Management'!$C:$C,B229),0),0)</f>
        <v/>
      </c>
      <c r="K229" s="82">
        <f>IF(E229="Occupied",IFERROR(SUMIFS('Electricity Management'!$T:$T,'Electricity Management'!$K:$K,A229,'Electricity Management'!$L:$L,B229),0),0)</f>
        <v/>
      </c>
      <c r="O229" s="117" t="n"/>
      <c r="P229" s="116" t="n"/>
      <c r="Q229" s="116" t="n"/>
      <c r="R229" s="116" t="n"/>
      <c r="S229" s="119" t="n"/>
      <c r="T229" s="120">
        <f>IF(F229="Yes",A229&amp;"-"&amp;B229,C229)</f>
        <v/>
      </c>
    </row>
    <row r="230" ht="14.25" customHeight="1" s="83">
      <c r="A230" s="116" t="n"/>
      <c r="B230" s="116" t="n"/>
      <c r="C230" s="116" t="n"/>
      <c r="D230" s="116" t="n"/>
      <c r="E230" s="116">
        <f>IF(D230&lt;&gt;"","Occupied","Vacant")</f>
        <v/>
      </c>
      <c r="F230" s="116" t="n"/>
      <c r="G230" s="117" t="n"/>
      <c r="H230" s="116">
        <f>COUNTIFS($B:$B,B230,$E:$E,"Occupied")</f>
        <v/>
      </c>
      <c r="I230" s="82">
        <f>IF(E230&lt;&gt;"Occupied",0,IF(H230=1,350,IF(H230=2,200,0)))</f>
        <v/>
      </c>
      <c r="J230" s="82">
        <f>IF(E230="Occupied",IFERROR(SUMIFS('Electricity Management'!$J:$J,'Electricity Management'!$A:$A,A230,'Electricity Management'!$C:$C,B230),0),0)</f>
        <v/>
      </c>
      <c r="K230" s="82">
        <f>IF(E230="Occupied",IFERROR(SUMIFS('Electricity Management'!$T:$T,'Electricity Management'!$K:$K,A230,'Electricity Management'!$L:$L,B230),0),0)</f>
        <v/>
      </c>
      <c r="O230" s="117" t="n"/>
      <c r="P230" s="116" t="n"/>
      <c r="Q230" s="116" t="n"/>
      <c r="R230" s="116" t="n"/>
      <c r="S230" s="119" t="n"/>
      <c r="T230" s="120">
        <f>IF(F230="Yes",A230&amp;"-"&amp;B230,C230)</f>
        <v/>
      </c>
    </row>
    <row r="231" ht="14.25" customHeight="1" s="83">
      <c r="A231" s="116" t="n"/>
      <c r="B231" s="116" t="n"/>
      <c r="C231" s="116" t="n"/>
      <c r="D231" s="116" t="n"/>
      <c r="E231" s="116">
        <f>IF(D231&lt;&gt;"","Occupied","Vacant")</f>
        <v/>
      </c>
      <c r="F231" s="116" t="n"/>
      <c r="G231" s="117" t="n"/>
      <c r="H231" s="116">
        <f>COUNTIFS($B:$B,B231,$E:$E,"Occupied")</f>
        <v/>
      </c>
      <c r="I231" s="82">
        <f>IF(E231&lt;&gt;"Occupied",0,IF(H231=1,350,IF(H231=2,200,0)))</f>
        <v/>
      </c>
      <c r="J231" s="82">
        <f>IF(E231="Occupied",IFERROR(SUMIFS('Electricity Management'!$J:$J,'Electricity Management'!$A:$A,A231,'Electricity Management'!$C:$C,B231),0),0)</f>
        <v/>
      </c>
      <c r="K231" s="82">
        <f>IF(E231="Occupied",IFERROR(SUMIFS('Electricity Management'!$T:$T,'Electricity Management'!$K:$K,A231,'Electricity Management'!$L:$L,B231),0),0)</f>
        <v/>
      </c>
      <c r="O231" s="117" t="n"/>
      <c r="P231" s="116" t="n"/>
      <c r="Q231" s="116" t="n"/>
      <c r="R231" s="116" t="n"/>
      <c r="S231" s="119" t="n"/>
      <c r="T231" s="120">
        <f>IF(F231="Yes",A231&amp;"-"&amp;B231,C231)</f>
        <v/>
      </c>
    </row>
    <row r="232" ht="14.25" customHeight="1" s="83">
      <c r="A232" s="116" t="n"/>
      <c r="B232" s="116" t="n"/>
      <c r="C232" s="116" t="n"/>
      <c r="D232" s="116" t="n"/>
      <c r="E232" s="116">
        <f>IF(D232&lt;&gt;"","Occupied","Vacant")</f>
        <v/>
      </c>
      <c r="F232" s="116" t="n"/>
      <c r="G232" s="117" t="n"/>
      <c r="H232" s="116">
        <f>COUNTIFS($B:$B,B232,$E:$E,"Occupied")</f>
        <v/>
      </c>
      <c r="I232" s="82">
        <f>IF(E232&lt;&gt;"Occupied",0,IF(H232=1,350,IF(H232=2,200,0)))</f>
        <v/>
      </c>
      <c r="J232" s="82">
        <f>IF(E232="Occupied",IFERROR(SUMIFS('Electricity Management'!$J:$J,'Electricity Management'!$A:$A,A232,'Electricity Management'!$C:$C,B232),0),0)</f>
        <v/>
      </c>
      <c r="K232" s="82">
        <f>IF(E232="Occupied",IFERROR(SUMIFS('Electricity Management'!$T:$T,'Electricity Management'!$K:$K,A232,'Electricity Management'!$L:$L,B232),0),0)</f>
        <v/>
      </c>
      <c r="O232" s="117" t="n"/>
      <c r="P232" s="116" t="n"/>
      <c r="Q232" s="116" t="n"/>
      <c r="R232" s="116" t="n"/>
      <c r="S232" s="119" t="n"/>
      <c r="T232" s="120">
        <f>IF(F232="Yes",A232&amp;"-"&amp;B232,C232)</f>
        <v/>
      </c>
    </row>
    <row r="233" ht="14.25" customHeight="1" s="83">
      <c r="A233" s="116" t="n"/>
      <c r="B233" s="116" t="n"/>
      <c r="C233" s="116" t="n"/>
      <c r="D233" s="116" t="n"/>
      <c r="E233" s="116">
        <f>IF(D233&lt;&gt;"","Occupied","Vacant")</f>
        <v/>
      </c>
      <c r="F233" s="116" t="n"/>
      <c r="G233" s="117" t="n"/>
      <c r="H233" s="116">
        <f>COUNTIFS($B:$B,B233,$E:$E,"Occupied")</f>
        <v/>
      </c>
      <c r="I233" s="82">
        <f>IF(E233&lt;&gt;"Occupied",0,IF(H233=1,350,IF(H233=2,200,0)))</f>
        <v/>
      </c>
      <c r="J233" s="82">
        <f>IF(E233="Occupied",IFERROR(SUMIFS('Electricity Management'!$J:$J,'Electricity Management'!$A:$A,A233,'Electricity Management'!$C:$C,B233),0),0)</f>
        <v/>
      </c>
      <c r="K233" s="82">
        <f>IF(E233="Occupied",IFERROR(SUMIFS('Electricity Management'!$T:$T,'Electricity Management'!$K:$K,A233,'Electricity Management'!$L:$L,B233),0),0)</f>
        <v/>
      </c>
      <c r="O233" s="117" t="n"/>
      <c r="P233" s="116" t="n"/>
      <c r="Q233" s="116" t="n"/>
      <c r="R233" s="116" t="n"/>
      <c r="S233" s="119" t="n"/>
      <c r="T233" s="120">
        <f>IF(F233="Yes",A233&amp;"-"&amp;B233,C233)</f>
        <v/>
      </c>
    </row>
    <row r="234" ht="14.25" customHeight="1" s="83">
      <c r="A234" s="116" t="n"/>
      <c r="B234" s="116" t="n"/>
      <c r="C234" s="116" t="n"/>
      <c r="D234" s="116" t="n"/>
      <c r="E234" s="116">
        <f>IF(D234&lt;&gt;"","Occupied","Vacant")</f>
        <v/>
      </c>
      <c r="F234" s="116" t="n"/>
      <c r="G234" s="117" t="n"/>
      <c r="H234" s="116">
        <f>COUNTIFS($B:$B,B234,$E:$E,"Occupied")</f>
        <v/>
      </c>
      <c r="I234" s="82">
        <f>IF(E234&lt;&gt;"Occupied",0,IF(H234=1,350,IF(H234=2,200,0)))</f>
        <v/>
      </c>
      <c r="J234" s="82">
        <f>IF(E234="Occupied",IFERROR(SUMIFS('Electricity Management'!$J:$J,'Electricity Management'!$A:$A,A234,'Electricity Management'!$C:$C,B234),0),0)</f>
        <v/>
      </c>
      <c r="K234" s="82">
        <f>IF(E234="Occupied",IFERROR(SUMIFS('Electricity Management'!$T:$T,'Electricity Management'!$K:$K,A234,'Electricity Management'!$L:$L,B234),0),0)</f>
        <v/>
      </c>
      <c r="O234" s="117" t="n"/>
      <c r="P234" s="116" t="n"/>
      <c r="Q234" s="116" t="n"/>
      <c r="R234" s="116" t="n"/>
      <c r="S234" s="119" t="n"/>
      <c r="T234" s="120">
        <f>IF(F234="Yes",A234&amp;"-"&amp;B234,C234)</f>
        <v/>
      </c>
    </row>
    <row r="235" ht="14.25" customHeight="1" s="83">
      <c r="A235" s="116" t="n"/>
      <c r="B235" s="116" t="n"/>
      <c r="C235" s="116" t="n"/>
      <c r="D235" s="116" t="n"/>
      <c r="E235" s="116">
        <f>IF(D235&lt;&gt;"","Occupied","Vacant")</f>
        <v/>
      </c>
      <c r="F235" s="116" t="n"/>
      <c r="G235" s="117" t="n"/>
      <c r="H235" s="116">
        <f>COUNTIFS($B:$B,B235,$E:$E,"Occupied")</f>
        <v/>
      </c>
      <c r="I235" s="82">
        <f>IF(E235&lt;&gt;"Occupied",0,IF(H235=1,350,IF(H235=2,200,0)))</f>
        <v/>
      </c>
      <c r="J235" s="82">
        <f>IF(E235="Occupied",IFERROR(SUMIFS('Electricity Management'!$J:$J,'Electricity Management'!$A:$A,A235,'Electricity Management'!$C:$C,B235),0),0)</f>
        <v/>
      </c>
      <c r="K235" s="82">
        <f>IF(E235="Occupied",IFERROR(SUMIFS('Electricity Management'!$T:$T,'Electricity Management'!$K:$K,A235,'Electricity Management'!$L:$L,B235),0),0)</f>
        <v/>
      </c>
      <c r="O235" s="117" t="n"/>
      <c r="P235" s="116" t="n"/>
      <c r="Q235" s="116" t="n"/>
      <c r="R235" s="116" t="n"/>
      <c r="S235" s="119" t="n"/>
      <c r="T235" s="120">
        <f>IF(F235="Yes",A235&amp;"-"&amp;B235,C235)</f>
        <v/>
      </c>
    </row>
    <row r="236" ht="14.25" customHeight="1" s="83">
      <c r="A236" s="116" t="n"/>
      <c r="B236" s="116" t="n"/>
      <c r="C236" s="116" t="n"/>
      <c r="D236" s="116" t="n"/>
      <c r="E236" s="116">
        <f>IF(D236&lt;&gt;"","Occupied","Vacant")</f>
        <v/>
      </c>
      <c r="F236" s="116" t="n"/>
      <c r="G236" s="117" t="n"/>
      <c r="H236" s="116">
        <f>COUNTIFS($B:$B,B236,$E:$E,"Occupied")</f>
        <v/>
      </c>
      <c r="I236" s="82">
        <f>IF(E236&lt;&gt;"Occupied",0,IF(H236=1,350,IF(H236=2,200,0)))</f>
        <v/>
      </c>
      <c r="J236" s="82">
        <f>IF(E236="Occupied",IFERROR(SUMIFS('Electricity Management'!$J:$J,'Electricity Management'!$A:$A,A236,'Electricity Management'!$C:$C,B236),0),0)</f>
        <v/>
      </c>
      <c r="K236" s="82">
        <f>IF(E236="Occupied",IFERROR(SUMIFS('Electricity Management'!$T:$T,'Electricity Management'!$K:$K,A236,'Electricity Management'!$L:$L,B236),0),0)</f>
        <v/>
      </c>
      <c r="O236" s="117" t="n"/>
      <c r="P236" s="116" t="n"/>
      <c r="Q236" s="116" t="n"/>
      <c r="R236" s="116" t="n"/>
      <c r="S236" s="119" t="n"/>
      <c r="T236" s="120">
        <f>IF(F236="Yes",A236&amp;"-"&amp;B236,C236)</f>
        <v/>
      </c>
    </row>
    <row r="237" ht="14.25" customHeight="1" s="83">
      <c r="A237" s="116" t="n"/>
      <c r="B237" s="116" t="n"/>
      <c r="C237" s="116" t="n"/>
      <c r="D237" s="116" t="n"/>
      <c r="E237" s="116">
        <f>IF(D237&lt;&gt;"","Occupied","Vacant")</f>
        <v/>
      </c>
      <c r="F237" s="116" t="n"/>
      <c r="G237" s="117" t="n"/>
      <c r="H237" s="116">
        <f>COUNTIFS($B:$B,B237,$E:$E,"Occupied")</f>
        <v/>
      </c>
      <c r="I237" s="82">
        <f>IF(E237&lt;&gt;"Occupied",0,IF(H237=1,350,IF(H237=2,200,0)))</f>
        <v/>
      </c>
      <c r="J237" s="82">
        <f>IF(E237="Occupied",IFERROR(SUMIFS('Electricity Management'!$J:$J,'Electricity Management'!$A:$A,A237,'Electricity Management'!$C:$C,B237),0),0)</f>
        <v/>
      </c>
      <c r="K237" s="82">
        <f>IF(E237="Occupied",IFERROR(SUMIFS('Electricity Management'!$T:$T,'Electricity Management'!$K:$K,A237,'Electricity Management'!$L:$L,B237),0),0)</f>
        <v/>
      </c>
      <c r="O237" s="117" t="n"/>
      <c r="P237" s="116" t="n"/>
      <c r="Q237" s="116" t="n"/>
      <c r="R237" s="116" t="n"/>
      <c r="S237" s="119" t="n"/>
      <c r="T237" s="120">
        <f>IF(F237="Yes",A237&amp;"-"&amp;B237,C237)</f>
        <v/>
      </c>
    </row>
    <row r="238" ht="14.25" customHeight="1" s="83">
      <c r="A238" s="116" t="n"/>
      <c r="B238" s="116" t="n"/>
      <c r="C238" s="116" t="n"/>
      <c r="D238" s="116" t="n"/>
      <c r="E238" s="116">
        <f>IF(D238&lt;&gt;"","Occupied","Vacant")</f>
        <v/>
      </c>
      <c r="F238" s="116" t="n"/>
      <c r="G238" s="117" t="n"/>
      <c r="H238" s="116">
        <f>COUNTIFS($B:$B,B238,$E:$E,"Occupied")</f>
        <v/>
      </c>
      <c r="I238" s="82">
        <f>IF(E238&lt;&gt;"Occupied",0,IF(H238=1,350,IF(H238=2,200,0)))</f>
        <v/>
      </c>
      <c r="J238" s="82">
        <f>IF(E238="Occupied",IFERROR(SUMIFS('Electricity Management'!$J:$J,'Electricity Management'!$A:$A,A238,'Electricity Management'!$C:$C,B238),0),0)</f>
        <v/>
      </c>
      <c r="K238" s="82">
        <f>IF(E238="Occupied",IFERROR(SUMIFS('Electricity Management'!$T:$T,'Electricity Management'!$K:$K,A238,'Electricity Management'!$L:$L,B238),0),0)</f>
        <v/>
      </c>
      <c r="O238" s="117" t="n"/>
      <c r="P238" s="116" t="n"/>
      <c r="Q238" s="116" t="n"/>
      <c r="R238" s="116" t="n"/>
      <c r="S238" s="119" t="n"/>
      <c r="T238" s="120">
        <f>IF(F238="Yes",A238&amp;"-"&amp;B238,C238)</f>
        <v/>
      </c>
    </row>
    <row r="239" ht="14.25" customHeight="1" s="83">
      <c r="A239" s="116" t="n"/>
      <c r="B239" s="116" t="n"/>
      <c r="C239" s="116" t="n"/>
      <c r="D239" s="116" t="n"/>
      <c r="E239" s="116">
        <f>IF(D239&lt;&gt;"","Occupied","Vacant")</f>
        <v/>
      </c>
      <c r="F239" s="116" t="n"/>
      <c r="G239" s="117" t="n"/>
      <c r="H239" s="116">
        <f>COUNTIFS($B:$B,B239,$E:$E,"Occupied")</f>
        <v/>
      </c>
      <c r="I239" s="82">
        <f>IF(E239&lt;&gt;"Occupied",0,IF(H239=1,350,IF(H239=2,200,0)))</f>
        <v/>
      </c>
      <c r="J239" s="82">
        <f>IF(E239="Occupied",IFERROR(SUMIFS('Electricity Management'!$J:$J,'Electricity Management'!$A:$A,A239,'Electricity Management'!$C:$C,B239),0),0)</f>
        <v/>
      </c>
      <c r="K239" s="82">
        <f>IF(E239="Occupied",IFERROR(SUMIFS('Electricity Management'!$T:$T,'Electricity Management'!$K:$K,A239,'Electricity Management'!$L:$L,B239),0),0)</f>
        <v/>
      </c>
      <c r="O239" s="117" t="n"/>
      <c r="P239" s="116" t="n"/>
      <c r="Q239" s="116" t="n"/>
      <c r="R239" s="116" t="n"/>
      <c r="S239" s="119" t="n"/>
      <c r="T239" s="120">
        <f>IF(F239="Yes",A239&amp;"-"&amp;B239,C239)</f>
        <v/>
      </c>
    </row>
    <row r="240" ht="14.25" customHeight="1" s="83">
      <c r="A240" s="116" t="n"/>
      <c r="B240" s="116" t="n"/>
      <c r="C240" s="116" t="n"/>
      <c r="D240" s="116" t="n"/>
      <c r="E240" s="116">
        <f>IF(D240&lt;&gt;"","Occupied","Vacant")</f>
        <v/>
      </c>
      <c r="F240" s="116" t="n"/>
      <c r="G240" s="117" t="n"/>
      <c r="H240" s="116">
        <f>COUNTIFS($B:$B,B240,$E:$E,"Occupied")</f>
        <v/>
      </c>
      <c r="I240" s="82">
        <f>IF(E240&lt;&gt;"Occupied",0,IF(H240=1,350,IF(H240=2,200,0)))</f>
        <v/>
      </c>
      <c r="J240" s="82">
        <f>IF(E240="Occupied",IFERROR(SUMIFS('Electricity Management'!$J:$J,'Electricity Management'!$A:$A,A240,'Electricity Management'!$C:$C,B240),0),0)</f>
        <v/>
      </c>
      <c r="K240" s="82">
        <f>IF(E240="Occupied",IFERROR(SUMIFS('Electricity Management'!$T:$T,'Electricity Management'!$K:$K,A240,'Electricity Management'!$L:$L,B240),0),0)</f>
        <v/>
      </c>
      <c r="O240" s="117" t="n"/>
      <c r="P240" s="116" t="n"/>
      <c r="Q240" s="116" t="n"/>
      <c r="R240" s="116" t="n"/>
      <c r="S240" s="119" t="n"/>
      <c r="T240" s="120">
        <f>IF(F240="Yes",A240&amp;"-"&amp;B240,C240)</f>
        <v/>
      </c>
    </row>
    <row r="241" ht="14.25" customHeight="1" s="83">
      <c r="A241" s="116" t="n"/>
      <c r="B241" s="116" t="n"/>
      <c r="C241" s="116" t="n"/>
      <c r="D241" s="116" t="n"/>
      <c r="E241" s="116">
        <f>IF(D241&lt;&gt;"","Occupied","Vacant")</f>
        <v/>
      </c>
      <c r="F241" s="116" t="n"/>
      <c r="G241" s="117" t="n"/>
      <c r="H241" s="116">
        <f>COUNTIFS($B:$B,B241,$E:$E,"Occupied")</f>
        <v/>
      </c>
      <c r="I241" s="82">
        <f>IF(E241&lt;&gt;"Occupied",0,IF(H241=1,350,IF(H241=2,200,0)))</f>
        <v/>
      </c>
      <c r="J241" s="82">
        <f>IF(E241="Occupied",IFERROR(SUMIFS('Electricity Management'!$J:$J,'Electricity Management'!$A:$A,A241,'Electricity Management'!$C:$C,B241),0),0)</f>
        <v/>
      </c>
      <c r="K241" s="82">
        <f>IF(E241="Occupied",IFERROR(SUMIFS('Electricity Management'!$T:$T,'Electricity Management'!$K:$K,A241,'Electricity Management'!$L:$L,B241),0),0)</f>
        <v/>
      </c>
      <c r="O241" s="117" t="n"/>
      <c r="P241" s="116" t="n"/>
      <c r="Q241" s="116" t="n"/>
      <c r="R241" s="116" t="n"/>
      <c r="S241" s="119" t="n"/>
      <c r="T241" s="120">
        <f>IF(F241="Yes",A241&amp;"-"&amp;B241,C241)</f>
        <v/>
      </c>
    </row>
    <row r="242" ht="14.25" customHeight="1" s="83">
      <c r="A242" s="116" t="n"/>
      <c r="B242" s="116" t="n"/>
      <c r="C242" s="116" t="n"/>
      <c r="D242" s="116" t="n"/>
      <c r="E242" s="116">
        <f>IF(D242&lt;&gt;"","Occupied","Vacant")</f>
        <v/>
      </c>
      <c r="F242" s="116" t="n"/>
      <c r="G242" s="117" t="n"/>
      <c r="H242" s="116">
        <f>COUNTIFS($B:$B,B242,$E:$E,"Occupied")</f>
        <v/>
      </c>
      <c r="I242" s="82">
        <f>IF(E242&lt;&gt;"Occupied",0,IF(H242=1,350,IF(H242=2,200,0)))</f>
        <v/>
      </c>
      <c r="J242" s="82">
        <f>IF(E242="Occupied",IFERROR(SUMIFS('Electricity Management'!$J:$J,'Electricity Management'!$A:$A,A242,'Electricity Management'!$C:$C,B242),0),0)</f>
        <v/>
      </c>
      <c r="K242" s="82">
        <f>IF(E242="Occupied",IFERROR(SUMIFS('Electricity Management'!$T:$T,'Electricity Management'!$K:$K,A242,'Electricity Management'!$L:$L,B242),0),0)</f>
        <v/>
      </c>
      <c r="O242" s="117" t="n"/>
      <c r="P242" s="116" t="n"/>
      <c r="Q242" s="116" t="n"/>
      <c r="R242" s="116" t="n"/>
      <c r="S242" s="119" t="n"/>
      <c r="T242" s="120">
        <f>IF(F242="Yes",A242&amp;"-"&amp;B242,C242)</f>
        <v/>
      </c>
    </row>
    <row r="243" ht="14.25" customHeight="1" s="83">
      <c r="A243" s="116" t="n"/>
      <c r="B243" s="116" t="n"/>
      <c r="C243" s="116" t="n"/>
      <c r="D243" s="116" t="n"/>
      <c r="E243" s="116">
        <f>IF(D243&lt;&gt;"","Occupied","Vacant")</f>
        <v/>
      </c>
      <c r="F243" s="116" t="n"/>
      <c r="G243" s="117" t="n"/>
      <c r="H243" s="116">
        <f>COUNTIFS($B:$B,B243,$E:$E,"Occupied")</f>
        <v/>
      </c>
      <c r="I243" s="82">
        <f>IF(E243&lt;&gt;"Occupied",0,IF(H243=1,350,IF(H243=2,200,0)))</f>
        <v/>
      </c>
      <c r="J243" s="82">
        <f>IF(E243="Occupied",IFERROR(SUMIFS('Electricity Management'!$J:$J,'Electricity Management'!$A:$A,A243,'Electricity Management'!$C:$C,B243),0),0)</f>
        <v/>
      </c>
      <c r="K243" s="82">
        <f>IF(E243="Occupied",IFERROR(SUMIFS('Electricity Management'!$T:$T,'Electricity Management'!$K:$K,A243,'Electricity Management'!$L:$L,B243),0),0)</f>
        <v/>
      </c>
      <c r="O243" s="117" t="n"/>
      <c r="P243" s="116" t="n"/>
      <c r="Q243" s="116" t="n"/>
      <c r="R243" s="116" t="n"/>
      <c r="S243" s="119" t="n"/>
      <c r="T243" s="120">
        <f>IF(F243="Yes",A243&amp;"-"&amp;B243,C243)</f>
        <v/>
      </c>
    </row>
    <row r="244" ht="14.25" customHeight="1" s="83">
      <c r="A244" s="116" t="n"/>
      <c r="B244" s="116" t="n"/>
      <c r="C244" s="116" t="n"/>
      <c r="D244" s="116" t="n"/>
      <c r="E244" s="116">
        <f>IF(D244&lt;&gt;"","Occupied","Vacant")</f>
        <v/>
      </c>
      <c r="F244" s="116" t="n"/>
      <c r="G244" s="117" t="n"/>
      <c r="H244" s="116">
        <f>COUNTIFS($B:$B,B244,$E:$E,"Occupied")</f>
        <v/>
      </c>
      <c r="I244" s="82">
        <f>IF(E244&lt;&gt;"Occupied",0,IF(H244=1,350,IF(H244=2,200,0)))</f>
        <v/>
      </c>
      <c r="J244" s="82">
        <f>IF(E244="Occupied",IFERROR(SUMIFS('Electricity Management'!$J:$J,'Electricity Management'!$A:$A,A244,'Electricity Management'!$C:$C,B244),0),0)</f>
        <v/>
      </c>
      <c r="K244" s="82">
        <f>IF(E244="Occupied",IFERROR(SUMIFS('Electricity Management'!$T:$T,'Electricity Management'!$K:$K,A244,'Electricity Management'!$L:$L,B244),0),0)</f>
        <v/>
      </c>
      <c r="O244" s="117" t="n"/>
      <c r="P244" s="116" t="n"/>
      <c r="Q244" s="116" t="n"/>
      <c r="R244" s="116" t="n"/>
      <c r="S244" s="119" t="n"/>
      <c r="T244" s="120">
        <f>IF(F244="Yes",A244&amp;"-"&amp;B244,C244)</f>
        <v/>
      </c>
    </row>
    <row r="245" ht="14.25" customHeight="1" s="83">
      <c r="A245" s="116" t="n"/>
      <c r="B245" s="116" t="n"/>
      <c r="C245" s="116" t="n"/>
      <c r="D245" s="116" t="n"/>
      <c r="E245" s="116">
        <f>IF(D245&lt;&gt;"","Occupied","Vacant")</f>
        <v/>
      </c>
      <c r="F245" s="116" t="n"/>
      <c r="G245" s="117" t="n"/>
      <c r="H245" s="116">
        <f>COUNTIFS($B:$B,B245,$E:$E,"Occupied")</f>
        <v/>
      </c>
      <c r="I245" s="82">
        <f>IF(E245&lt;&gt;"Occupied",0,IF(H245=1,350,IF(H245=2,200,0)))</f>
        <v/>
      </c>
      <c r="J245" s="82">
        <f>IF(E245="Occupied",IFERROR(SUMIFS('Electricity Management'!$J:$J,'Electricity Management'!$A:$A,A245,'Electricity Management'!$C:$C,B245),0),0)</f>
        <v/>
      </c>
      <c r="K245" s="82">
        <f>IF(E245="Occupied",IFERROR(SUMIFS('Electricity Management'!$T:$T,'Electricity Management'!$K:$K,A245,'Electricity Management'!$L:$L,B245),0),0)</f>
        <v/>
      </c>
      <c r="O245" s="117" t="n"/>
      <c r="P245" s="116" t="n"/>
      <c r="Q245" s="116" t="n"/>
      <c r="R245" s="116" t="n"/>
      <c r="S245" s="119" t="n"/>
      <c r="T245" s="120">
        <f>IF(F245="Yes",A245&amp;"-"&amp;B245,C245)</f>
        <v/>
      </c>
    </row>
    <row r="246" ht="14.25" customHeight="1" s="83">
      <c r="A246" s="116" t="n"/>
      <c r="B246" s="116" t="n"/>
      <c r="C246" s="116" t="n"/>
      <c r="D246" s="116" t="n"/>
      <c r="E246" s="116">
        <f>IF(D246&lt;&gt;"","Occupied","Vacant")</f>
        <v/>
      </c>
      <c r="F246" s="116" t="n"/>
      <c r="G246" s="117" t="n"/>
      <c r="H246" s="116">
        <f>COUNTIFS($B:$B,B246,$E:$E,"Occupied")</f>
        <v/>
      </c>
      <c r="I246" s="82">
        <f>IF(E246&lt;&gt;"Occupied",0,IF(H246=1,350,IF(H246=2,200,0)))</f>
        <v/>
      </c>
      <c r="J246" s="82">
        <f>IF(E246="Occupied",IFERROR(SUMIFS('Electricity Management'!$J:$J,'Electricity Management'!$A:$A,A246,'Electricity Management'!$C:$C,B246),0),0)</f>
        <v/>
      </c>
      <c r="K246" s="82">
        <f>IF(E246="Occupied",IFERROR(SUMIFS('Electricity Management'!$T:$T,'Electricity Management'!$K:$K,A246,'Electricity Management'!$L:$L,B246),0),0)</f>
        <v/>
      </c>
      <c r="O246" s="117" t="n"/>
      <c r="P246" s="116" t="n"/>
      <c r="Q246" s="116" t="n"/>
      <c r="R246" s="116" t="n"/>
      <c r="S246" s="119" t="n"/>
      <c r="T246" s="120">
        <f>IF(F246="Yes",A246&amp;"-"&amp;B246,C246)</f>
        <v/>
      </c>
    </row>
    <row r="247" ht="14.25" customHeight="1" s="83">
      <c r="A247" s="116" t="n"/>
      <c r="B247" s="116" t="n"/>
      <c r="C247" s="116" t="n"/>
      <c r="D247" s="116" t="n"/>
      <c r="E247" s="116">
        <f>IF(D247&lt;&gt;"","Occupied","Vacant")</f>
        <v/>
      </c>
      <c r="F247" s="116" t="n"/>
      <c r="G247" s="117" t="n"/>
      <c r="H247" s="116">
        <f>COUNTIFS($B:$B,B247,$E:$E,"Occupied")</f>
        <v/>
      </c>
      <c r="I247" s="82">
        <f>IF(E247&lt;&gt;"Occupied",0,IF(H247=1,350,IF(H247=2,200,0)))</f>
        <v/>
      </c>
      <c r="J247" s="82">
        <f>IF(E247="Occupied",IFERROR(SUMIFS('Electricity Management'!$J:$J,'Electricity Management'!$A:$A,A247,'Electricity Management'!$C:$C,B247),0),0)</f>
        <v/>
      </c>
      <c r="K247" s="82">
        <f>IF(E247="Occupied",IFERROR(SUMIFS('Electricity Management'!$T:$T,'Electricity Management'!$K:$K,A247,'Electricity Management'!$L:$L,B247),0),0)</f>
        <v/>
      </c>
      <c r="O247" s="117" t="n"/>
      <c r="P247" s="116" t="n"/>
      <c r="Q247" s="116" t="n"/>
      <c r="R247" s="116" t="n"/>
      <c r="S247" s="119" t="n"/>
      <c r="T247" s="120">
        <f>IF(F247="Yes",A247&amp;"-"&amp;B247,C247)</f>
        <v/>
      </c>
    </row>
    <row r="248" ht="14.25" customHeight="1" s="83">
      <c r="A248" s="116" t="n"/>
      <c r="B248" s="116" t="n"/>
      <c r="C248" s="116" t="n"/>
      <c r="D248" s="116" t="n"/>
      <c r="E248" s="116">
        <f>IF(D248&lt;&gt;"","Occupied","Vacant")</f>
        <v/>
      </c>
      <c r="F248" s="116" t="n"/>
      <c r="G248" s="117" t="n"/>
      <c r="H248" s="116">
        <f>COUNTIFS($B:$B,B248,$E:$E,"Occupied")</f>
        <v/>
      </c>
      <c r="I248" s="82">
        <f>IF(E248&lt;&gt;"Occupied",0,IF(H248=1,350,IF(H248=2,200,0)))</f>
        <v/>
      </c>
      <c r="J248" s="82">
        <f>IF(E248="Occupied",IFERROR(SUMIFS('Electricity Management'!$J:$J,'Electricity Management'!$A:$A,A248,'Electricity Management'!$C:$C,B248),0),0)</f>
        <v/>
      </c>
      <c r="K248" s="82">
        <f>IF(E248="Occupied",IFERROR(SUMIFS('Electricity Management'!$T:$T,'Electricity Management'!$K:$K,A248,'Electricity Management'!$L:$L,B248),0),0)</f>
        <v/>
      </c>
      <c r="O248" s="117" t="n"/>
      <c r="P248" s="116" t="n"/>
      <c r="Q248" s="116" t="n"/>
      <c r="R248" s="116" t="n"/>
      <c r="S248" s="119" t="n"/>
      <c r="T248" s="120">
        <f>IF(F248="Yes",A248&amp;"-"&amp;B248,C248)</f>
        <v/>
      </c>
    </row>
    <row r="249" ht="14.25" customHeight="1" s="83">
      <c r="A249" s="116" t="n"/>
      <c r="B249" s="116" t="n"/>
      <c r="C249" s="116" t="n"/>
      <c r="D249" s="116" t="n"/>
      <c r="E249" s="116">
        <f>IF(D249&lt;&gt;"","Occupied","Vacant")</f>
        <v/>
      </c>
      <c r="F249" s="116" t="n"/>
      <c r="G249" s="117" t="n"/>
      <c r="H249" s="116">
        <f>COUNTIFS($B:$B,B249,$E:$E,"Occupied")</f>
        <v/>
      </c>
      <c r="I249" s="82">
        <f>IF(E249&lt;&gt;"Occupied",0,IF(H249=1,350,IF(H249=2,200,0)))</f>
        <v/>
      </c>
      <c r="J249" s="82">
        <f>IF(E249="Occupied",IFERROR(SUMIFS('Electricity Management'!$J:$J,'Electricity Management'!$A:$A,A249,'Electricity Management'!$C:$C,B249),0),0)</f>
        <v/>
      </c>
      <c r="K249" s="82">
        <f>IF(E249="Occupied",IFERROR(SUMIFS('Electricity Management'!$T:$T,'Electricity Management'!$K:$K,A249,'Electricity Management'!$L:$L,B249),0),0)</f>
        <v/>
      </c>
      <c r="O249" s="117" t="n"/>
      <c r="P249" s="116" t="n"/>
      <c r="Q249" s="116" t="n"/>
      <c r="R249" s="116" t="n"/>
      <c r="S249" s="119" t="n"/>
      <c r="T249" s="120">
        <f>IF(F249="Yes",A249&amp;"-"&amp;B249,C249)</f>
        <v/>
      </c>
    </row>
    <row r="250" ht="14.25" customHeight="1" s="83">
      <c r="A250" s="116" t="n"/>
      <c r="B250" s="116" t="n"/>
      <c r="C250" s="116" t="n"/>
      <c r="D250" s="116" t="n"/>
      <c r="E250" s="116">
        <f>IF(D250&lt;&gt;"","Occupied","Vacant")</f>
        <v/>
      </c>
      <c r="F250" s="116" t="n"/>
      <c r="G250" s="117" t="n"/>
      <c r="H250" s="116">
        <f>COUNTIFS($B:$B,B250,$E:$E,"Occupied")</f>
        <v/>
      </c>
      <c r="I250" s="82">
        <f>IF(E250&lt;&gt;"Occupied",0,IF(H250=1,350,IF(H250=2,200,0)))</f>
        <v/>
      </c>
      <c r="J250" s="82">
        <f>IF(E250="Occupied",IFERROR(SUMIFS('Electricity Management'!$J:$J,'Electricity Management'!$A:$A,A250,'Electricity Management'!$C:$C,B250),0),0)</f>
        <v/>
      </c>
      <c r="K250" s="82">
        <f>IF(E250="Occupied",IFERROR(SUMIFS('Electricity Management'!$T:$T,'Electricity Management'!$K:$K,A250,'Electricity Management'!$L:$L,B250),0),0)</f>
        <v/>
      </c>
      <c r="O250" s="117" t="n"/>
      <c r="P250" s="116" t="n"/>
      <c r="Q250" s="116" t="n"/>
      <c r="R250" s="116" t="n"/>
      <c r="S250" s="119" t="n"/>
      <c r="T250" s="120">
        <f>IF(F250="Yes",A250&amp;"-"&amp;B250,C250)</f>
        <v/>
      </c>
    </row>
    <row r="251" ht="14.25" customHeight="1" s="83">
      <c r="A251" s="116" t="n"/>
      <c r="B251" s="116" t="n"/>
      <c r="C251" s="116" t="n"/>
      <c r="D251" s="116" t="n"/>
      <c r="E251" s="116">
        <f>IF(D251&lt;&gt;"","Occupied","Vacant")</f>
        <v/>
      </c>
      <c r="F251" s="116" t="n"/>
      <c r="G251" s="117" t="n"/>
      <c r="H251" s="116">
        <f>COUNTIFS($B:$B,B251,$E:$E,"Occupied")</f>
        <v/>
      </c>
      <c r="I251" s="82">
        <f>IF(E251&lt;&gt;"Occupied",0,IF(H251=1,350,IF(H251=2,200,0)))</f>
        <v/>
      </c>
      <c r="J251" s="82">
        <f>IF(E251="Occupied",IFERROR(SUMIFS('Electricity Management'!$J:$J,'Electricity Management'!$A:$A,A251,'Electricity Management'!$C:$C,B251),0),0)</f>
        <v/>
      </c>
      <c r="K251" s="82">
        <f>IF(E251="Occupied",IFERROR(SUMIFS('Electricity Management'!$T:$T,'Electricity Management'!$K:$K,A251,'Electricity Management'!$L:$L,B251),0),0)</f>
        <v/>
      </c>
      <c r="O251" s="117" t="n"/>
      <c r="P251" s="116" t="n"/>
      <c r="Q251" s="116" t="n"/>
      <c r="R251" s="116" t="n"/>
      <c r="S251" s="119" t="n"/>
      <c r="T251" s="120">
        <f>IF(F251="Yes",A251&amp;"-"&amp;B251,C251)</f>
        <v/>
      </c>
    </row>
    <row r="252" ht="14.25" customHeight="1" s="83">
      <c r="A252" s="116" t="n"/>
      <c r="B252" s="116" t="n"/>
      <c r="C252" s="116" t="n"/>
      <c r="D252" s="116" t="n"/>
      <c r="E252" s="116">
        <f>IF(D252&lt;&gt;"","Occupied","Vacant")</f>
        <v/>
      </c>
      <c r="F252" s="116" t="n"/>
      <c r="G252" s="117" t="n"/>
      <c r="H252" s="116">
        <f>COUNTIFS($B:$B,B252,$E:$E,"Occupied")</f>
        <v/>
      </c>
      <c r="I252" s="82">
        <f>IF(E252&lt;&gt;"Occupied",0,IF(H252=1,350,IF(H252=2,200,0)))</f>
        <v/>
      </c>
      <c r="J252" s="82">
        <f>IF(E252="Occupied",IFERROR(SUMIFS('Electricity Management'!$J:$J,'Electricity Management'!$A:$A,A252,'Electricity Management'!$C:$C,B252),0),0)</f>
        <v/>
      </c>
      <c r="K252" s="82">
        <f>IF(E252="Occupied",IFERROR(SUMIFS('Electricity Management'!$T:$T,'Electricity Management'!$K:$K,A252,'Electricity Management'!$L:$L,B252),0),0)</f>
        <v/>
      </c>
      <c r="O252" s="117" t="n"/>
      <c r="P252" s="116" t="n"/>
      <c r="Q252" s="116" t="n"/>
      <c r="R252" s="116" t="n"/>
      <c r="S252" s="119" t="n"/>
      <c r="T252" s="120">
        <f>IF(F252="Yes",A252&amp;"-"&amp;B252,C252)</f>
        <v/>
      </c>
    </row>
    <row r="253" ht="14.25" customHeight="1" s="83">
      <c r="A253" s="116" t="n"/>
      <c r="B253" s="116" t="n"/>
      <c r="C253" s="116" t="n"/>
      <c r="D253" s="116" t="n"/>
      <c r="E253" s="116">
        <f>IF(D253&lt;&gt;"","Occupied","Vacant")</f>
        <v/>
      </c>
      <c r="F253" s="116" t="n"/>
      <c r="G253" s="117" t="n"/>
      <c r="H253" s="116">
        <f>COUNTIFS($B:$B,B253,$E:$E,"Occupied")</f>
        <v/>
      </c>
      <c r="I253" s="82">
        <f>IF(E253&lt;&gt;"Occupied",0,IF(H253=1,350,IF(H253=2,200,0)))</f>
        <v/>
      </c>
      <c r="J253" s="82">
        <f>IF(E253="Occupied",IFERROR(SUMIFS('Electricity Management'!$J:$J,'Electricity Management'!$A:$A,A253,'Electricity Management'!$C:$C,B253),0),0)</f>
        <v/>
      </c>
      <c r="K253" s="82">
        <f>IF(E253="Occupied",IFERROR(SUMIFS('Electricity Management'!$T:$T,'Electricity Management'!$K:$K,A253,'Electricity Management'!$L:$L,B253),0),0)</f>
        <v/>
      </c>
      <c r="O253" s="117" t="n"/>
      <c r="P253" s="116" t="n"/>
      <c r="Q253" s="116" t="n"/>
      <c r="R253" s="116" t="n"/>
      <c r="S253" s="119" t="n"/>
      <c r="T253" s="120">
        <f>IF(F253="Yes",A253&amp;"-"&amp;B253,C253)</f>
        <v/>
      </c>
    </row>
    <row r="254" ht="14.25" customHeight="1" s="83">
      <c r="A254" s="116" t="n"/>
      <c r="B254" s="116" t="n"/>
      <c r="C254" s="116" t="n"/>
      <c r="D254" s="116" t="n"/>
      <c r="E254" s="116">
        <f>IF(D254&lt;&gt;"","Occupied","Vacant")</f>
        <v/>
      </c>
      <c r="F254" s="116" t="n"/>
      <c r="G254" s="117" t="n"/>
      <c r="H254" s="116">
        <f>COUNTIFS($B:$B,B254,$E:$E,"Occupied")</f>
        <v/>
      </c>
      <c r="I254" s="82">
        <f>IF(E254&lt;&gt;"Occupied",0,IF(H254=1,350,IF(H254=2,200,0)))</f>
        <v/>
      </c>
      <c r="J254" s="82">
        <f>IF(E254="Occupied",IFERROR(SUMIFS('Electricity Management'!$J:$J,'Electricity Management'!$A:$A,A254,'Electricity Management'!$C:$C,B254),0),0)</f>
        <v/>
      </c>
      <c r="K254" s="82">
        <f>IF(E254="Occupied",IFERROR(SUMIFS('Electricity Management'!$T:$T,'Electricity Management'!$K:$K,A254,'Electricity Management'!$L:$L,B254),0),0)</f>
        <v/>
      </c>
      <c r="O254" s="117" t="n"/>
      <c r="P254" s="116" t="n"/>
      <c r="Q254" s="116" t="n"/>
      <c r="R254" s="116" t="n"/>
      <c r="S254" s="119" t="n"/>
      <c r="T254" s="120">
        <f>IF(F254="Yes",A254&amp;"-"&amp;B254,C254)</f>
        <v/>
      </c>
    </row>
    <row r="255" ht="14.25" customHeight="1" s="83">
      <c r="A255" s="116" t="n"/>
      <c r="B255" s="116" t="n"/>
      <c r="C255" s="116" t="n"/>
      <c r="D255" s="116" t="n"/>
      <c r="E255" s="116">
        <f>IF(D255&lt;&gt;"","Occupied","Vacant")</f>
        <v/>
      </c>
      <c r="F255" s="116" t="n"/>
      <c r="G255" s="117" t="n"/>
      <c r="H255" s="116">
        <f>COUNTIFS($B:$B,B255,$E:$E,"Occupied")</f>
        <v/>
      </c>
      <c r="I255" s="82">
        <f>IF(E255&lt;&gt;"Occupied",0,IF(H255=1,350,IF(H255=2,200,0)))</f>
        <v/>
      </c>
      <c r="J255" s="82">
        <f>IF(E255="Occupied",IFERROR(SUMIFS('Electricity Management'!$J:$J,'Electricity Management'!$A:$A,A255,'Electricity Management'!$C:$C,B255),0),0)</f>
        <v/>
      </c>
      <c r="K255" s="82">
        <f>IF(E255="Occupied",IFERROR(SUMIFS('Electricity Management'!$T:$T,'Electricity Management'!$K:$K,A255,'Electricity Management'!$L:$L,B255),0),0)</f>
        <v/>
      </c>
      <c r="O255" s="117" t="n"/>
      <c r="P255" s="116" t="n"/>
      <c r="Q255" s="116" t="n"/>
      <c r="R255" s="116" t="n"/>
      <c r="S255" s="119" t="n"/>
      <c r="T255" s="120">
        <f>IF(F255="Yes",A255&amp;"-"&amp;B255,C255)</f>
        <v/>
      </c>
    </row>
    <row r="256" ht="14.25" customHeight="1" s="83">
      <c r="A256" s="116" t="n"/>
      <c r="B256" s="116" t="n"/>
      <c r="C256" s="116" t="n"/>
      <c r="D256" s="116" t="n"/>
      <c r="E256" s="116">
        <f>IF(D256&lt;&gt;"","Occupied","Vacant")</f>
        <v/>
      </c>
      <c r="F256" s="116" t="n"/>
      <c r="G256" s="117" t="n"/>
      <c r="H256" s="116">
        <f>COUNTIFS($B:$B,B256,$E:$E,"Occupied")</f>
        <v/>
      </c>
      <c r="I256" s="82">
        <f>IF(E256&lt;&gt;"Occupied",0,IF(H256=1,350,IF(H256=2,200,0)))</f>
        <v/>
      </c>
      <c r="J256" s="82">
        <f>IF(E256="Occupied",IFERROR(SUMIFS('Electricity Management'!$J:$J,'Electricity Management'!$A:$A,A256,'Electricity Management'!$C:$C,B256),0),0)</f>
        <v/>
      </c>
      <c r="K256" s="82">
        <f>IF(E256="Occupied",IFERROR(SUMIFS('Electricity Management'!$T:$T,'Electricity Management'!$K:$K,A256,'Electricity Management'!$L:$L,B256),0),0)</f>
        <v/>
      </c>
      <c r="O256" s="117" t="n"/>
      <c r="P256" s="116" t="n"/>
      <c r="Q256" s="116" t="n"/>
      <c r="R256" s="116" t="n"/>
      <c r="S256" s="119" t="n"/>
      <c r="T256" s="120">
        <f>IF(F256="Yes",A256&amp;"-"&amp;B256,C256)</f>
        <v/>
      </c>
    </row>
    <row r="257" ht="14.25" customHeight="1" s="83">
      <c r="A257" s="116" t="n"/>
      <c r="B257" s="116" t="n"/>
      <c r="C257" s="116" t="n"/>
      <c r="D257" s="116" t="n"/>
      <c r="E257" s="116">
        <f>IF(D257&lt;&gt;"","Occupied","Vacant")</f>
        <v/>
      </c>
      <c r="F257" s="116" t="n"/>
      <c r="G257" s="117" t="n"/>
      <c r="H257" s="116">
        <f>COUNTIFS($B:$B,B257,$E:$E,"Occupied")</f>
        <v/>
      </c>
      <c r="I257" s="82">
        <f>IF(E257&lt;&gt;"Occupied",0,IF(H257=1,350,IF(H257=2,200,0)))</f>
        <v/>
      </c>
      <c r="J257" s="82">
        <f>IF(E257="Occupied",IFERROR(SUMIFS('Electricity Management'!$J:$J,'Electricity Management'!$A:$A,A257,'Electricity Management'!$C:$C,B257),0),0)</f>
        <v/>
      </c>
      <c r="K257" s="82">
        <f>IF(E257="Occupied",IFERROR(SUMIFS('Electricity Management'!$T:$T,'Electricity Management'!$K:$K,A257,'Electricity Management'!$L:$L,B257),0),0)</f>
        <v/>
      </c>
      <c r="O257" s="117" t="n"/>
      <c r="P257" s="116" t="n"/>
      <c r="Q257" s="116" t="n"/>
      <c r="R257" s="116" t="n"/>
      <c r="S257" s="119" t="n"/>
      <c r="T257" s="120">
        <f>IF(F257="Yes",A257&amp;"-"&amp;B257,C257)</f>
        <v/>
      </c>
    </row>
    <row r="258" ht="14.25" customHeight="1" s="83">
      <c r="A258" s="116" t="n"/>
      <c r="B258" s="116" t="n"/>
      <c r="C258" s="116" t="n"/>
      <c r="D258" s="116" t="n"/>
      <c r="E258" s="116">
        <f>IF(D258&lt;&gt;"","Occupied","Vacant")</f>
        <v/>
      </c>
      <c r="F258" s="116" t="n"/>
      <c r="G258" s="117" t="n"/>
      <c r="H258" s="116">
        <f>COUNTIFS($B:$B,B258,$E:$E,"Occupied")</f>
        <v/>
      </c>
      <c r="I258" s="82">
        <f>IF(E258&lt;&gt;"Occupied",0,IF(H258=1,350,IF(H258=2,200,0)))</f>
        <v/>
      </c>
      <c r="J258" s="82">
        <f>IF(E258="Occupied",IFERROR(SUMIFS('Electricity Management'!$J:$J,'Electricity Management'!$A:$A,A258,'Electricity Management'!$C:$C,B258),0),0)</f>
        <v/>
      </c>
      <c r="K258" s="82">
        <f>IF(E258="Occupied",IFERROR(SUMIFS('Electricity Management'!$T:$T,'Electricity Management'!$K:$K,A258,'Electricity Management'!$L:$L,B258),0),0)</f>
        <v/>
      </c>
      <c r="O258" s="117" t="n"/>
      <c r="P258" s="116" t="n"/>
      <c r="Q258" s="116" t="n"/>
      <c r="R258" s="116" t="n"/>
      <c r="S258" s="119" t="n"/>
      <c r="T258" s="120">
        <f>IF(F258="Yes",A258&amp;"-"&amp;B258,C258)</f>
        <v/>
      </c>
    </row>
    <row r="259" ht="14.25" customHeight="1" s="83">
      <c r="A259" s="116" t="n"/>
      <c r="B259" s="116" t="n"/>
      <c r="C259" s="116" t="n"/>
      <c r="D259" s="116" t="n"/>
      <c r="E259" s="116">
        <f>IF(D259&lt;&gt;"","Occupied","Vacant")</f>
        <v/>
      </c>
      <c r="F259" s="116" t="n"/>
      <c r="G259" s="117" t="n"/>
      <c r="H259" s="116">
        <f>COUNTIFS($B:$B,B259,$E:$E,"Occupied")</f>
        <v/>
      </c>
      <c r="I259" s="82">
        <f>IF(E259&lt;&gt;"Occupied",0,IF(H259=1,350,IF(H259=2,200,0)))</f>
        <v/>
      </c>
      <c r="J259" s="82">
        <f>IF(E259="Occupied",IFERROR(SUMIFS('Electricity Management'!$J:$J,'Electricity Management'!$A:$A,A259,'Electricity Management'!$C:$C,B259),0),0)</f>
        <v/>
      </c>
      <c r="K259" s="82">
        <f>IF(E259="Occupied",IFERROR(SUMIFS('Electricity Management'!$T:$T,'Electricity Management'!$K:$K,A259,'Electricity Management'!$L:$L,B259),0),0)</f>
        <v/>
      </c>
      <c r="O259" s="117" t="n"/>
      <c r="P259" s="116" t="n"/>
      <c r="Q259" s="116" t="n"/>
      <c r="R259" s="116" t="n"/>
      <c r="S259" s="119" t="n"/>
      <c r="T259" s="120">
        <f>IF(F259="Yes",A259&amp;"-"&amp;B259,C259)</f>
        <v/>
      </c>
    </row>
    <row r="260" ht="14.25" customHeight="1" s="83">
      <c r="A260" s="116" t="n"/>
      <c r="B260" s="116" t="n"/>
      <c r="C260" s="116" t="n"/>
      <c r="D260" s="116" t="n"/>
      <c r="E260" s="116">
        <f>IF(D260&lt;&gt;"","Occupied","Vacant")</f>
        <v/>
      </c>
      <c r="F260" s="116" t="n"/>
      <c r="G260" s="117" t="n"/>
      <c r="H260" s="116">
        <f>COUNTIFS($B:$B,B260,$E:$E,"Occupied")</f>
        <v/>
      </c>
      <c r="I260" s="82">
        <f>IF(E260&lt;&gt;"Occupied",0,IF(H260=1,350,IF(H260=2,200,0)))</f>
        <v/>
      </c>
      <c r="J260" s="82">
        <f>IF(E260="Occupied",IFERROR(SUMIFS('Electricity Management'!$J:$J,'Electricity Management'!$A:$A,A260,'Electricity Management'!$C:$C,B260),0),0)</f>
        <v/>
      </c>
      <c r="K260" s="82">
        <f>IF(E260="Occupied",IFERROR(SUMIFS('Electricity Management'!$T:$T,'Electricity Management'!$K:$K,A260,'Electricity Management'!$L:$L,B260),0),0)</f>
        <v/>
      </c>
      <c r="O260" s="117" t="n"/>
      <c r="P260" s="116" t="n"/>
      <c r="Q260" s="116" t="n"/>
      <c r="R260" s="116" t="n"/>
      <c r="S260" s="119" t="n"/>
      <c r="T260" s="120">
        <f>IF(F260="Yes",A260&amp;"-"&amp;B260,C260)</f>
        <v/>
      </c>
    </row>
    <row r="261" ht="14.25" customHeight="1" s="83">
      <c r="A261" s="116" t="n"/>
      <c r="B261" s="116" t="n"/>
      <c r="C261" s="116" t="n"/>
      <c r="D261" s="116" t="n"/>
      <c r="E261" s="116">
        <f>IF(D261&lt;&gt;"","Occupied","Vacant")</f>
        <v/>
      </c>
      <c r="F261" s="116" t="n"/>
      <c r="G261" s="117" t="n"/>
      <c r="H261" s="116">
        <f>COUNTIFS($B:$B,B261,$E:$E,"Occupied")</f>
        <v/>
      </c>
      <c r="I261" s="82">
        <f>IF(E261&lt;&gt;"Occupied",0,IF(H261=1,350,IF(H261=2,200,0)))</f>
        <v/>
      </c>
      <c r="J261" s="82">
        <f>IF(E261="Occupied",IFERROR(SUMIFS('Electricity Management'!$J:$J,'Electricity Management'!$A:$A,A261,'Electricity Management'!$C:$C,B261),0),0)</f>
        <v/>
      </c>
      <c r="K261" s="82">
        <f>IF(E261="Occupied",IFERROR(SUMIFS('Electricity Management'!$T:$T,'Electricity Management'!$K:$K,A261,'Electricity Management'!$L:$L,B261),0),0)</f>
        <v/>
      </c>
      <c r="O261" s="117" t="n"/>
      <c r="P261" s="116" t="n"/>
      <c r="Q261" s="116" t="n"/>
      <c r="R261" s="116" t="n"/>
      <c r="S261" s="119" t="n"/>
      <c r="T261" s="120">
        <f>IF(F261="Yes",A261&amp;"-"&amp;B261,C261)</f>
        <v/>
      </c>
    </row>
    <row r="262" ht="14.25" customHeight="1" s="83">
      <c r="A262" s="116" t="n"/>
      <c r="B262" s="116" t="n"/>
      <c r="C262" s="116" t="n"/>
      <c r="D262" s="116" t="n"/>
      <c r="E262" s="116">
        <f>IF(D262&lt;&gt;"","Occupied","Vacant")</f>
        <v/>
      </c>
      <c r="F262" s="116" t="n"/>
      <c r="G262" s="117" t="n"/>
      <c r="H262" s="116">
        <f>COUNTIFS($B:$B,B262,$E:$E,"Occupied")</f>
        <v/>
      </c>
      <c r="I262" s="82">
        <f>IF(E262&lt;&gt;"Occupied",0,IF(H262=1,350,IF(H262=2,200,0)))</f>
        <v/>
      </c>
      <c r="J262" s="82">
        <f>IF(E262="Occupied",IFERROR(SUMIFS('Electricity Management'!$J:$J,'Electricity Management'!$A:$A,A262,'Electricity Management'!$C:$C,B262),0),0)</f>
        <v/>
      </c>
      <c r="K262" s="82">
        <f>IF(E262="Occupied",IFERROR(SUMIFS('Electricity Management'!$T:$T,'Electricity Management'!$K:$K,A262,'Electricity Management'!$L:$L,B262),0),0)</f>
        <v/>
      </c>
      <c r="O262" s="117" t="n"/>
      <c r="P262" s="116" t="n"/>
      <c r="Q262" s="116" t="n"/>
      <c r="R262" s="116" t="n"/>
      <c r="S262" s="119" t="n"/>
      <c r="T262" s="120">
        <f>IF(F262="Yes",A262&amp;"-"&amp;B262,C262)</f>
        <v/>
      </c>
    </row>
    <row r="263" ht="14.25" customHeight="1" s="83">
      <c r="A263" s="116" t="n"/>
      <c r="B263" s="116" t="n"/>
      <c r="C263" s="116" t="n"/>
      <c r="D263" s="116" t="n"/>
      <c r="E263" s="116">
        <f>IF(D263&lt;&gt;"","Occupied","Vacant")</f>
        <v/>
      </c>
      <c r="F263" s="116" t="n"/>
      <c r="G263" s="117" t="n"/>
      <c r="H263" s="116">
        <f>COUNTIFS($B:$B,B263,$E:$E,"Occupied")</f>
        <v/>
      </c>
      <c r="I263" s="82">
        <f>IF(E263&lt;&gt;"Occupied",0,IF(H263=1,350,IF(H263=2,200,0)))</f>
        <v/>
      </c>
      <c r="J263" s="82">
        <f>IF(E263="Occupied",IFERROR(SUMIFS('Electricity Management'!$J:$J,'Electricity Management'!$A:$A,A263,'Electricity Management'!$C:$C,B263),0),0)</f>
        <v/>
      </c>
      <c r="K263" s="82">
        <f>IF(E263="Occupied",IFERROR(SUMIFS('Electricity Management'!$T:$T,'Electricity Management'!$K:$K,A263,'Electricity Management'!$L:$L,B263),0),0)</f>
        <v/>
      </c>
      <c r="O263" s="117" t="n"/>
      <c r="P263" s="116" t="n"/>
      <c r="Q263" s="116" t="n"/>
      <c r="R263" s="116" t="n"/>
      <c r="S263" s="119" t="n"/>
      <c r="T263" s="120">
        <f>IF(F263="Yes",A263&amp;"-"&amp;B263,C263)</f>
        <v/>
      </c>
    </row>
    <row r="264" ht="14.25" customHeight="1" s="83">
      <c r="A264" s="116" t="n"/>
      <c r="B264" s="116" t="n"/>
      <c r="C264" s="116" t="n"/>
      <c r="D264" s="116" t="n"/>
      <c r="E264" s="116">
        <f>IF(D264&lt;&gt;"","Occupied","Vacant")</f>
        <v/>
      </c>
      <c r="F264" s="116" t="n"/>
      <c r="G264" s="117" t="n"/>
      <c r="H264" s="116">
        <f>COUNTIFS($B:$B,B264,$E:$E,"Occupied")</f>
        <v/>
      </c>
      <c r="I264" s="82">
        <f>IF(E264&lt;&gt;"Occupied",0,IF(H264=1,350,IF(H264=2,200,0)))</f>
        <v/>
      </c>
      <c r="J264" s="82">
        <f>IF(E264="Occupied",IFERROR(SUMIFS('Electricity Management'!$J:$J,'Electricity Management'!$A:$A,A264,'Electricity Management'!$C:$C,B264),0),0)</f>
        <v/>
      </c>
      <c r="K264" s="82">
        <f>IF(E264="Occupied",IFERROR(SUMIFS('Electricity Management'!$T:$T,'Electricity Management'!$K:$K,A264,'Electricity Management'!$L:$L,B264),0),0)</f>
        <v/>
      </c>
      <c r="O264" s="117" t="n"/>
      <c r="P264" s="116" t="n"/>
      <c r="Q264" s="116" t="n"/>
      <c r="R264" s="116" t="n"/>
      <c r="S264" s="119" t="n"/>
      <c r="T264" s="120">
        <f>IF(F264="Yes",A264&amp;"-"&amp;B264,C264)</f>
        <v/>
      </c>
    </row>
    <row r="265" ht="14.25" customHeight="1" s="83">
      <c r="A265" s="116" t="n"/>
      <c r="B265" s="116" t="n"/>
      <c r="C265" s="116" t="n"/>
      <c r="D265" s="116" t="n"/>
      <c r="E265" s="116">
        <f>IF(D265&lt;&gt;"","Occupied","Vacant")</f>
        <v/>
      </c>
      <c r="F265" s="116" t="n"/>
      <c r="G265" s="117" t="n"/>
      <c r="H265" s="116">
        <f>COUNTIFS($B:$B,B265,$E:$E,"Occupied")</f>
        <v/>
      </c>
      <c r="I265" s="82">
        <f>IF(E265&lt;&gt;"Occupied",0,IF(H265=1,350,IF(H265=2,200,0)))</f>
        <v/>
      </c>
      <c r="J265" s="82">
        <f>IF(E265="Occupied",IFERROR(SUMIFS('Electricity Management'!$J:$J,'Electricity Management'!$A:$A,A265,'Electricity Management'!$C:$C,B265),0),0)</f>
        <v/>
      </c>
      <c r="K265" s="82">
        <f>IF(E265="Occupied",IFERROR(SUMIFS('Electricity Management'!$T:$T,'Electricity Management'!$K:$K,A265,'Electricity Management'!$L:$L,B265),0),0)</f>
        <v/>
      </c>
      <c r="O265" s="117" t="n"/>
      <c r="P265" s="116" t="n"/>
      <c r="Q265" s="116" t="n"/>
      <c r="R265" s="116" t="n"/>
      <c r="S265" s="119" t="n"/>
      <c r="T265" s="120">
        <f>IF(F265="Yes",A265&amp;"-"&amp;B265,C265)</f>
        <v/>
      </c>
    </row>
    <row r="266" ht="14.25" customHeight="1" s="83">
      <c r="A266" s="116" t="n"/>
      <c r="B266" s="116" t="n"/>
      <c r="C266" s="116" t="n"/>
      <c r="D266" s="116" t="n"/>
      <c r="E266" s="116">
        <f>IF(D266&lt;&gt;"","Occupied","Vacant")</f>
        <v/>
      </c>
      <c r="F266" s="116" t="n"/>
      <c r="G266" s="117" t="n"/>
      <c r="H266" s="116">
        <f>COUNTIFS($B:$B,B266,$E:$E,"Occupied")</f>
        <v/>
      </c>
      <c r="I266" s="82">
        <f>IF(E266&lt;&gt;"Occupied",0,IF(H266=1,350,IF(H266=2,200,0)))</f>
        <v/>
      </c>
      <c r="J266" s="82">
        <f>IF(E266="Occupied",IFERROR(SUMIFS('Electricity Management'!$J:$J,'Electricity Management'!$A:$A,A266,'Electricity Management'!$C:$C,B266),0),0)</f>
        <v/>
      </c>
      <c r="K266" s="82">
        <f>IF(E266="Occupied",IFERROR(SUMIFS('Electricity Management'!$T:$T,'Electricity Management'!$K:$K,A266,'Electricity Management'!$L:$L,B266),0),0)</f>
        <v/>
      </c>
      <c r="O266" s="117" t="n"/>
      <c r="P266" s="116" t="n"/>
      <c r="Q266" s="116" t="n"/>
      <c r="R266" s="116" t="n"/>
      <c r="S266" s="119" t="n"/>
      <c r="T266" s="120">
        <f>IF(F266="Yes",A266&amp;"-"&amp;B266,C266)</f>
        <v/>
      </c>
    </row>
    <row r="267" ht="14.25" customHeight="1" s="83">
      <c r="A267" s="116" t="n"/>
      <c r="B267" s="116" t="n"/>
      <c r="C267" s="116" t="n"/>
      <c r="D267" s="116" t="n"/>
      <c r="E267" s="116">
        <f>IF(D267&lt;&gt;"","Occupied","Vacant")</f>
        <v/>
      </c>
      <c r="F267" s="116" t="n"/>
      <c r="G267" s="117" t="n"/>
      <c r="H267" s="116">
        <f>COUNTIFS($B:$B,B267,$E:$E,"Occupied")</f>
        <v/>
      </c>
      <c r="I267" s="82">
        <f>IF(E267&lt;&gt;"Occupied",0,IF(H267=1,350,IF(H267=2,200,0)))</f>
        <v/>
      </c>
      <c r="J267" s="82">
        <f>IF(E267="Occupied",IFERROR(SUMIFS('Electricity Management'!$J:$J,'Electricity Management'!$A:$A,A267,'Electricity Management'!$C:$C,B267),0),0)</f>
        <v/>
      </c>
      <c r="K267" s="82">
        <f>IF(E267="Occupied",IFERROR(SUMIFS('Electricity Management'!$T:$T,'Electricity Management'!$K:$K,A267,'Electricity Management'!$L:$L,B267),0),0)</f>
        <v/>
      </c>
      <c r="O267" s="117" t="n"/>
      <c r="P267" s="116" t="n"/>
      <c r="Q267" s="116" t="n"/>
      <c r="R267" s="116" t="n"/>
      <c r="S267" s="119" t="n"/>
      <c r="T267" s="120">
        <f>IF(F267="Yes",A267&amp;"-"&amp;B267,C267)</f>
        <v/>
      </c>
    </row>
    <row r="268" ht="14.25" customHeight="1" s="83">
      <c r="A268" s="116" t="n"/>
      <c r="B268" s="116" t="n"/>
      <c r="C268" s="116" t="n"/>
      <c r="D268" s="116" t="n"/>
      <c r="E268" s="116">
        <f>IF(D268&lt;&gt;"","Occupied","Vacant")</f>
        <v/>
      </c>
      <c r="F268" s="116" t="n"/>
      <c r="G268" s="117" t="n"/>
      <c r="H268" s="116">
        <f>COUNTIFS($B:$B,B268,$E:$E,"Occupied")</f>
        <v/>
      </c>
      <c r="I268" s="82">
        <f>IF(E268&lt;&gt;"Occupied",0,IF(H268=1,350,IF(H268=2,200,0)))</f>
        <v/>
      </c>
      <c r="J268" s="82">
        <f>IF(E268="Occupied",IFERROR(SUMIFS('Electricity Management'!$J:$J,'Electricity Management'!$A:$A,A268,'Electricity Management'!$C:$C,B268),0),0)</f>
        <v/>
      </c>
      <c r="K268" s="82">
        <f>IF(E268="Occupied",IFERROR(SUMIFS('Electricity Management'!$T:$T,'Electricity Management'!$K:$K,A268,'Electricity Management'!$L:$L,B268),0),0)</f>
        <v/>
      </c>
      <c r="O268" s="117" t="n"/>
      <c r="P268" s="116" t="n"/>
      <c r="Q268" s="116" t="n"/>
      <c r="R268" s="116" t="n"/>
      <c r="S268" s="119" t="n"/>
      <c r="T268" s="120">
        <f>IF(F268="Yes",A268&amp;"-"&amp;B268,C268)</f>
        <v/>
      </c>
    </row>
    <row r="269" ht="14.25" customHeight="1" s="83">
      <c r="A269" s="116" t="n"/>
      <c r="B269" s="116" t="n"/>
      <c r="C269" s="116" t="n"/>
      <c r="D269" s="116" t="n"/>
      <c r="E269" s="116">
        <f>IF(D269&lt;&gt;"","Occupied","Vacant")</f>
        <v/>
      </c>
      <c r="F269" s="116" t="n"/>
      <c r="G269" s="117" t="n"/>
      <c r="H269" s="116">
        <f>COUNTIFS($B:$B,B269,$E:$E,"Occupied")</f>
        <v/>
      </c>
      <c r="I269" s="82">
        <f>IF(E269&lt;&gt;"Occupied",0,IF(H269=1,350,IF(H269=2,200,0)))</f>
        <v/>
      </c>
      <c r="J269" s="82">
        <f>IF(E269="Occupied",IFERROR(SUMIFS('Electricity Management'!$J:$J,'Electricity Management'!$A:$A,A269,'Electricity Management'!$C:$C,B269),0),0)</f>
        <v/>
      </c>
      <c r="K269" s="82">
        <f>IF(E269="Occupied",IFERROR(SUMIFS('Electricity Management'!$T:$T,'Electricity Management'!$K:$K,A269,'Electricity Management'!$L:$L,B269),0),0)</f>
        <v/>
      </c>
      <c r="O269" s="117" t="n"/>
      <c r="P269" s="116" t="n"/>
      <c r="Q269" s="116" t="n"/>
      <c r="R269" s="116" t="n"/>
      <c r="S269" s="119" t="n"/>
      <c r="T269" s="120">
        <f>IF(F269="Yes",A269&amp;"-"&amp;B269,C269)</f>
        <v/>
      </c>
    </row>
    <row r="270" ht="14.25" customHeight="1" s="83">
      <c r="A270" s="116" t="n"/>
      <c r="B270" s="116" t="n"/>
      <c r="C270" s="116" t="n"/>
      <c r="D270" s="116" t="n"/>
      <c r="E270" s="116">
        <f>IF(D270&lt;&gt;"","Occupied","Vacant")</f>
        <v/>
      </c>
      <c r="F270" s="116" t="n"/>
      <c r="G270" s="117" t="n"/>
      <c r="H270" s="116">
        <f>COUNTIFS($B:$B,B270,$E:$E,"Occupied")</f>
        <v/>
      </c>
      <c r="I270" s="82">
        <f>IF(E270&lt;&gt;"Occupied",0,IF(H270=1,350,IF(H270=2,200,0)))</f>
        <v/>
      </c>
      <c r="J270" s="82">
        <f>IF(E270="Occupied",IFERROR(SUMIFS('Electricity Management'!$J:$J,'Electricity Management'!$A:$A,A270,'Electricity Management'!$C:$C,B270),0),0)</f>
        <v/>
      </c>
      <c r="K270" s="82">
        <f>IF(E270="Occupied",IFERROR(SUMIFS('Electricity Management'!$T:$T,'Electricity Management'!$K:$K,A270,'Electricity Management'!$L:$L,B270),0),0)</f>
        <v/>
      </c>
      <c r="O270" s="117" t="n"/>
      <c r="P270" s="116" t="n"/>
      <c r="Q270" s="116" t="n"/>
      <c r="R270" s="116" t="n"/>
      <c r="S270" s="119" t="n"/>
      <c r="T270" s="120">
        <f>IF(F270="Yes",A270&amp;"-"&amp;B270,C270)</f>
        <v/>
      </c>
    </row>
    <row r="271" ht="14.25" customHeight="1" s="83">
      <c r="A271" s="116" t="n"/>
      <c r="B271" s="116" t="n"/>
      <c r="C271" s="116" t="n"/>
      <c r="D271" s="116" t="n"/>
      <c r="E271" s="116">
        <f>IF(D271&lt;&gt;"","Occupied","Vacant")</f>
        <v/>
      </c>
      <c r="F271" s="116" t="n"/>
      <c r="G271" s="117" t="n"/>
      <c r="H271" s="116">
        <f>COUNTIFS($B:$B,B271,$E:$E,"Occupied")</f>
        <v/>
      </c>
      <c r="I271" s="82">
        <f>IF(E271&lt;&gt;"Occupied",0,IF(H271=1,350,IF(H271=2,200,0)))</f>
        <v/>
      </c>
      <c r="J271" s="82">
        <f>IF(E271="Occupied",IFERROR(SUMIFS('Electricity Management'!$J:$J,'Electricity Management'!$A:$A,A271,'Electricity Management'!$C:$C,B271),0),0)</f>
        <v/>
      </c>
      <c r="K271" s="82">
        <f>IF(E271="Occupied",IFERROR(SUMIFS('Electricity Management'!$T:$T,'Electricity Management'!$K:$K,A271,'Electricity Management'!$L:$L,B271),0),0)</f>
        <v/>
      </c>
      <c r="O271" s="117" t="n"/>
      <c r="P271" s="116" t="n"/>
      <c r="Q271" s="116" t="n"/>
      <c r="R271" s="116" t="n"/>
      <c r="S271" s="119" t="n"/>
      <c r="T271" s="120">
        <f>IF(F271="Yes",A271&amp;"-"&amp;B271,C271)</f>
        <v/>
      </c>
    </row>
    <row r="272" ht="14.25" customHeight="1" s="83">
      <c r="A272" s="116" t="n"/>
      <c r="B272" s="116" t="n"/>
      <c r="C272" s="116" t="n"/>
      <c r="D272" s="116" t="n"/>
      <c r="E272" s="116">
        <f>IF(D272&lt;&gt;"","Occupied","Vacant")</f>
        <v/>
      </c>
      <c r="F272" s="116" t="n"/>
      <c r="G272" s="117" t="n"/>
      <c r="H272" s="116">
        <f>COUNTIFS($B:$B,B272,$E:$E,"Occupied")</f>
        <v/>
      </c>
      <c r="I272" s="82">
        <f>IF(E272&lt;&gt;"Occupied",0,IF(H272=1,350,IF(H272=2,200,0)))</f>
        <v/>
      </c>
      <c r="J272" s="82">
        <f>IF(E272="Occupied",IFERROR(SUMIFS('Electricity Management'!$J:$J,'Electricity Management'!$A:$A,A272,'Electricity Management'!$C:$C,B272),0),0)</f>
        <v/>
      </c>
      <c r="K272" s="82">
        <f>IF(E272="Occupied",IFERROR(SUMIFS('Electricity Management'!$T:$T,'Electricity Management'!$K:$K,A272,'Electricity Management'!$L:$L,B272),0),0)</f>
        <v/>
      </c>
      <c r="O272" s="117" t="n"/>
      <c r="P272" s="116" t="n"/>
      <c r="Q272" s="116" t="n"/>
      <c r="R272" s="116" t="n"/>
      <c r="S272" s="119" t="n"/>
      <c r="T272" s="120">
        <f>IF(F272="Yes",A272&amp;"-"&amp;B272,C272)</f>
        <v/>
      </c>
    </row>
    <row r="273" ht="14.25" customHeight="1" s="83">
      <c r="A273" s="116" t="n"/>
      <c r="B273" s="116" t="n"/>
      <c r="C273" s="116" t="n"/>
      <c r="D273" s="116" t="n"/>
      <c r="E273" s="116">
        <f>IF(D273&lt;&gt;"","Occupied","Vacant")</f>
        <v/>
      </c>
      <c r="F273" s="116" t="n"/>
      <c r="G273" s="117" t="n"/>
      <c r="H273" s="116">
        <f>COUNTIFS($B:$B,B273,$E:$E,"Occupied")</f>
        <v/>
      </c>
      <c r="I273" s="82">
        <f>IF(E273&lt;&gt;"Occupied",0,IF(H273=1,350,IF(H273=2,200,0)))</f>
        <v/>
      </c>
      <c r="J273" s="82">
        <f>IF(E273="Occupied",IFERROR(SUMIFS('Electricity Management'!$J:$J,'Electricity Management'!$A:$A,A273,'Electricity Management'!$C:$C,B273),0),0)</f>
        <v/>
      </c>
      <c r="K273" s="82">
        <f>IF(E273="Occupied",IFERROR(SUMIFS('Electricity Management'!$T:$T,'Electricity Management'!$K:$K,A273,'Electricity Management'!$L:$L,B273),0),0)</f>
        <v/>
      </c>
      <c r="O273" s="117" t="n"/>
      <c r="P273" s="116" t="n"/>
      <c r="Q273" s="116" t="n"/>
      <c r="R273" s="116" t="n"/>
      <c r="S273" s="119" t="n"/>
      <c r="T273" s="120">
        <f>IF(F273="Yes",A273&amp;"-"&amp;B273,C273)</f>
        <v/>
      </c>
    </row>
    <row r="274" ht="14.25" customHeight="1" s="83">
      <c r="A274" s="116" t="n"/>
      <c r="B274" s="116" t="n"/>
      <c r="C274" s="116" t="n"/>
      <c r="D274" s="116" t="n"/>
      <c r="E274" s="116">
        <f>IF(D274&lt;&gt;"","Occupied","Vacant")</f>
        <v/>
      </c>
      <c r="F274" s="116" t="n"/>
      <c r="G274" s="117" t="n"/>
      <c r="H274" s="116">
        <f>COUNTIFS($B:$B,B274,$E:$E,"Occupied")</f>
        <v/>
      </c>
      <c r="I274" s="82">
        <f>IF(E274&lt;&gt;"Occupied",0,IF(H274=1,350,IF(H274=2,200,0)))</f>
        <v/>
      </c>
      <c r="J274" s="82">
        <f>IF(E274="Occupied",IFERROR(SUMIFS('Electricity Management'!$J:$J,'Electricity Management'!$A:$A,A274,'Electricity Management'!$C:$C,B274),0),0)</f>
        <v/>
      </c>
      <c r="K274" s="82">
        <f>IF(E274="Occupied",IFERROR(SUMIFS('Electricity Management'!$T:$T,'Electricity Management'!$K:$K,A274,'Electricity Management'!$L:$L,B274),0),0)</f>
        <v/>
      </c>
      <c r="O274" s="117" t="n"/>
      <c r="P274" s="116" t="n"/>
      <c r="Q274" s="116" t="n"/>
      <c r="R274" s="116" t="n"/>
      <c r="S274" s="119" t="n"/>
      <c r="T274" s="120">
        <f>IF(F274="Yes",A274&amp;"-"&amp;B274,C274)</f>
        <v/>
      </c>
    </row>
    <row r="275" ht="14.25" customHeight="1" s="83">
      <c r="A275" s="116" t="n"/>
      <c r="B275" s="116" t="n"/>
      <c r="C275" s="116" t="n"/>
      <c r="D275" s="116" t="n"/>
      <c r="E275" s="116">
        <f>IF(D275&lt;&gt;"","Occupied","Vacant")</f>
        <v/>
      </c>
      <c r="F275" s="116" t="n"/>
      <c r="G275" s="117" t="n"/>
      <c r="H275" s="116">
        <f>COUNTIFS($B:$B,B275,$E:$E,"Occupied")</f>
        <v/>
      </c>
      <c r="I275" s="82">
        <f>IF(E275&lt;&gt;"Occupied",0,IF(H275=1,350,IF(H275=2,200,0)))</f>
        <v/>
      </c>
      <c r="J275" s="82">
        <f>IF(E275="Occupied",IFERROR(SUMIFS('Electricity Management'!$J:$J,'Electricity Management'!$A:$A,A275,'Electricity Management'!$C:$C,B275),0),0)</f>
        <v/>
      </c>
      <c r="K275" s="82">
        <f>IF(E275="Occupied",IFERROR(SUMIFS('Electricity Management'!$T:$T,'Electricity Management'!$K:$K,A275,'Electricity Management'!$L:$L,B275),0),0)</f>
        <v/>
      </c>
      <c r="O275" s="117" t="n"/>
      <c r="P275" s="116" t="n"/>
      <c r="Q275" s="116" t="n"/>
      <c r="R275" s="116" t="n"/>
      <c r="S275" s="119" t="n"/>
      <c r="T275" s="120">
        <f>IF(F275="Yes",A275&amp;"-"&amp;B275,C275)</f>
        <v/>
      </c>
    </row>
    <row r="276" ht="14.25" customHeight="1" s="83">
      <c r="A276" s="116" t="n"/>
      <c r="B276" s="116" t="n"/>
      <c r="C276" s="116" t="n"/>
      <c r="D276" s="116" t="n"/>
      <c r="E276" s="116">
        <f>IF(D276&lt;&gt;"","Occupied","Vacant")</f>
        <v/>
      </c>
      <c r="F276" s="116" t="n"/>
      <c r="G276" s="117" t="n"/>
      <c r="H276" s="116">
        <f>COUNTIFS($B:$B,B276,$E:$E,"Occupied")</f>
        <v/>
      </c>
      <c r="I276" s="82">
        <f>IF(E276&lt;&gt;"Occupied",0,IF(H276=1,350,IF(H276=2,200,0)))</f>
        <v/>
      </c>
      <c r="J276" s="82">
        <f>IF(E276="Occupied",IFERROR(SUMIFS('Electricity Management'!$J:$J,'Electricity Management'!$A:$A,A276,'Electricity Management'!$C:$C,B276),0),0)</f>
        <v/>
      </c>
      <c r="K276" s="82">
        <f>IF(E276="Occupied",IFERROR(SUMIFS('Electricity Management'!$T:$T,'Electricity Management'!$K:$K,A276,'Electricity Management'!$L:$L,B276),0),0)</f>
        <v/>
      </c>
      <c r="O276" s="117" t="n"/>
      <c r="P276" s="116" t="n"/>
      <c r="Q276" s="116" t="n"/>
      <c r="R276" s="116" t="n"/>
      <c r="S276" s="119" t="n"/>
      <c r="T276" s="120">
        <f>IF(F276="Yes",A276&amp;"-"&amp;B276,C276)</f>
        <v/>
      </c>
    </row>
    <row r="277" ht="14.25" customHeight="1" s="83">
      <c r="A277" s="116" t="n"/>
      <c r="B277" s="116" t="n"/>
      <c r="C277" s="116" t="n"/>
      <c r="D277" s="116" t="n"/>
      <c r="E277" s="116">
        <f>IF(D277&lt;&gt;"","Occupied","Vacant")</f>
        <v/>
      </c>
      <c r="F277" s="116" t="n"/>
      <c r="G277" s="117" t="n"/>
      <c r="H277" s="116">
        <f>COUNTIFS($B:$B,B277,$E:$E,"Occupied")</f>
        <v/>
      </c>
      <c r="I277" s="82">
        <f>IF(E277&lt;&gt;"Occupied",0,IF(H277=1,350,IF(H277=2,200,0)))</f>
        <v/>
      </c>
      <c r="J277" s="82">
        <f>IF(E277="Occupied",IFERROR(SUMIFS('Electricity Management'!$J:$J,'Electricity Management'!$A:$A,A277,'Electricity Management'!$C:$C,B277),0),0)</f>
        <v/>
      </c>
      <c r="K277" s="82">
        <f>IF(E277="Occupied",IFERROR(SUMIFS('Electricity Management'!$T:$T,'Electricity Management'!$K:$K,A277,'Electricity Management'!$L:$L,B277),0),0)</f>
        <v/>
      </c>
      <c r="O277" s="117" t="n"/>
      <c r="P277" s="116" t="n"/>
      <c r="Q277" s="116" t="n"/>
      <c r="R277" s="116" t="n"/>
      <c r="S277" s="119" t="n"/>
      <c r="T277" s="120">
        <f>IF(F277="Yes",A277&amp;"-"&amp;B277,C277)</f>
        <v/>
      </c>
    </row>
    <row r="278" ht="14.25" customHeight="1" s="83">
      <c r="A278" s="116" t="n"/>
      <c r="B278" s="116" t="n"/>
      <c r="C278" s="116" t="n"/>
      <c r="D278" s="116" t="n"/>
      <c r="E278" s="116">
        <f>IF(D278&lt;&gt;"","Occupied","Vacant")</f>
        <v/>
      </c>
      <c r="F278" s="116" t="n"/>
      <c r="G278" s="117" t="n"/>
      <c r="H278" s="116">
        <f>COUNTIFS($B:$B,B278,$E:$E,"Occupied")</f>
        <v/>
      </c>
      <c r="I278" s="82">
        <f>IF(E278&lt;&gt;"Occupied",0,IF(H278=1,350,IF(H278=2,200,0)))</f>
        <v/>
      </c>
      <c r="J278" s="82">
        <f>IF(E278="Occupied",IFERROR(SUMIFS('Electricity Management'!$J:$J,'Electricity Management'!$A:$A,A278,'Electricity Management'!$C:$C,B278),0),0)</f>
        <v/>
      </c>
      <c r="K278" s="82">
        <f>IF(E278="Occupied",IFERROR(SUMIFS('Electricity Management'!$T:$T,'Electricity Management'!$K:$K,A278,'Electricity Management'!$L:$L,B278),0),0)</f>
        <v/>
      </c>
      <c r="O278" s="117" t="n"/>
      <c r="P278" s="116" t="n"/>
      <c r="Q278" s="116" t="n"/>
      <c r="R278" s="116" t="n"/>
      <c r="S278" s="119" t="n"/>
      <c r="T278" s="120">
        <f>IF(F278="Yes",A278&amp;"-"&amp;B278,C278)</f>
        <v/>
      </c>
    </row>
    <row r="279" ht="14.25" customHeight="1" s="83">
      <c r="A279" s="116" t="n"/>
      <c r="B279" s="116" t="n"/>
      <c r="C279" s="116" t="n"/>
      <c r="D279" s="116" t="n"/>
      <c r="E279" s="116">
        <f>IF(D279&lt;&gt;"","Occupied","Vacant")</f>
        <v/>
      </c>
      <c r="F279" s="116" t="n"/>
      <c r="G279" s="117" t="n"/>
      <c r="H279" s="116">
        <f>COUNTIFS($B:$B,B279,$E:$E,"Occupied")</f>
        <v/>
      </c>
      <c r="I279" s="82">
        <f>IF(E279&lt;&gt;"Occupied",0,IF(H279=1,350,IF(H279=2,200,0)))</f>
        <v/>
      </c>
      <c r="J279" s="82">
        <f>IF(E279="Occupied",IFERROR(SUMIFS('Electricity Management'!$J:$J,'Electricity Management'!$A:$A,A279,'Electricity Management'!$C:$C,B279),0),0)</f>
        <v/>
      </c>
      <c r="K279" s="82">
        <f>IF(E279="Occupied",IFERROR(SUMIFS('Electricity Management'!$T:$T,'Electricity Management'!$K:$K,A279,'Electricity Management'!$L:$L,B279),0),0)</f>
        <v/>
      </c>
      <c r="O279" s="117" t="n"/>
      <c r="P279" s="116" t="n"/>
      <c r="Q279" s="116" t="n"/>
      <c r="R279" s="116" t="n"/>
      <c r="S279" s="119" t="n"/>
      <c r="T279" s="120">
        <f>IF(F279="Yes",A279&amp;"-"&amp;B279,C279)</f>
        <v/>
      </c>
    </row>
    <row r="280" ht="14.25" customHeight="1" s="83">
      <c r="A280" s="116" t="n"/>
      <c r="B280" s="116" t="n"/>
      <c r="C280" s="116" t="n"/>
      <c r="D280" s="116" t="n"/>
      <c r="E280" s="116">
        <f>IF(D280&lt;&gt;"","Occupied","Vacant")</f>
        <v/>
      </c>
      <c r="F280" s="116" t="n"/>
      <c r="G280" s="117" t="n"/>
      <c r="H280" s="116">
        <f>COUNTIFS($B:$B,B280,$E:$E,"Occupied")</f>
        <v/>
      </c>
      <c r="I280" s="82">
        <f>IF(E280&lt;&gt;"Occupied",0,IF(H280=1,350,IF(H280=2,200,0)))</f>
        <v/>
      </c>
      <c r="J280" s="82">
        <f>IF(E280="Occupied",IFERROR(SUMIFS('Electricity Management'!$J:$J,'Electricity Management'!$A:$A,A280,'Electricity Management'!$C:$C,B280),0),0)</f>
        <v/>
      </c>
      <c r="K280" s="82">
        <f>IF(E280="Occupied",IFERROR(SUMIFS('Electricity Management'!$T:$T,'Electricity Management'!$K:$K,A280,'Electricity Management'!$L:$L,B280),0),0)</f>
        <v/>
      </c>
      <c r="O280" s="117" t="n"/>
      <c r="P280" s="116" t="n"/>
      <c r="Q280" s="116" t="n"/>
      <c r="R280" s="116" t="n"/>
      <c r="S280" s="119" t="n"/>
      <c r="T280" s="120">
        <f>IF(F280="Yes",A280&amp;"-"&amp;B280,C280)</f>
        <v/>
      </c>
    </row>
    <row r="281" ht="14.25" customHeight="1" s="83">
      <c r="A281" s="116" t="n"/>
      <c r="B281" s="116" t="n"/>
      <c r="C281" s="116" t="n"/>
      <c r="D281" s="116" t="n"/>
      <c r="E281" s="116">
        <f>IF(D281&lt;&gt;"","Occupied","Vacant")</f>
        <v/>
      </c>
      <c r="F281" s="116" t="n"/>
      <c r="G281" s="117" t="n"/>
      <c r="H281" s="116">
        <f>COUNTIFS($B:$B,B281,$E:$E,"Occupied")</f>
        <v/>
      </c>
      <c r="I281" s="82">
        <f>IF(E281&lt;&gt;"Occupied",0,IF(H281=1,350,IF(H281=2,200,0)))</f>
        <v/>
      </c>
      <c r="J281" s="82">
        <f>IF(E281="Occupied",IFERROR(SUMIFS('Electricity Management'!$J:$J,'Electricity Management'!$A:$A,A281,'Electricity Management'!$C:$C,B281),0),0)</f>
        <v/>
      </c>
      <c r="K281" s="82">
        <f>IF(E281="Occupied",IFERROR(SUMIFS('Electricity Management'!$T:$T,'Electricity Management'!$K:$K,A281,'Electricity Management'!$L:$L,B281),0),0)</f>
        <v/>
      </c>
      <c r="O281" s="117" t="n"/>
      <c r="P281" s="116" t="n"/>
      <c r="Q281" s="116" t="n"/>
      <c r="R281" s="116" t="n"/>
      <c r="S281" s="119" t="n"/>
      <c r="T281" s="120">
        <f>IF(F281="Yes",A281&amp;"-"&amp;B281,C281)</f>
        <v/>
      </c>
    </row>
    <row r="282" ht="14.25" customHeight="1" s="83">
      <c r="A282" s="116" t="n"/>
      <c r="B282" s="116" t="n"/>
      <c r="C282" s="116" t="n"/>
      <c r="D282" s="116" t="n"/>
      <c r="E282" s="116">
        <f>IF(D282&lt;&gt;"","Occupied","Vacant")</f>
        <v/>
      </c>
      <c r="F282" s="116" t="n"/>
      <c r="G282" s="117" t="n"/>
      <c r="H282" s="116">
        <f>COUNTIFS($B:$B,B282,$E:$E,"Occupied")</f>
        <v/>
      </c>
      <c r="I282" s="82">
        <f>IF(E282&lt;&gt;"Occupied",0,IF(H282=1,350,IF(H282=2,200,0)))</f>
        <v/>
      </c>
      <c r="J282" s="82">
        <f>IF(E282="Occupied",IFERROR(SUMIFS('Electricity Management'!$J:$J,'Electricity Management'!$A:$A,A282,'Electricity Management'!$C:$C,B282),0),0)</f>
        <v/>
      </c>
      <c r="K282" s="82">
        <f>IF(E282="Occupied",IFERROR(SUMIFS('Electricity Management'!$T:$T,'Electricity Management'!$K:$K,A282,'Electricity Management'!$L:$L,B282),0),0)</f>
        <v/>
      </c>
      <c r="O282" s="117" t="n"/>
      <c r="P282" s="116" t="n"/>
      <c r="Q282" s="116" t="n"/>
      <c r="R282" s="116" t="n"/>
      <c r="S282" s="119" t="n"/>
      <c r="T282" s="120">
        <f>IF(F282="Yes",A282&amp;"-"&amp;B282,C282)</f>
        <v/>
      </c>
    </row>
    <row r="283" ht="14.25" customHeight="1" s="83">
      <c r="A283" s="116" t="n"/>
      <c r="B283" s="116" t="n"/>
      <c r="C283" s="116" t="n"/>
      <c r="D283" s="116" t="n"/>
      <c r="E283" s="116">
        <f>IF(D283&lt;&gt;"","Occupied","Vacant")</f>
        <v/>
      </c>
      <c r="F283" s="116" t="n"/>
      <c r="G283" s="117" t="n"/>
      <c r="H283" s="116">
        <f>COUNTIFS($B:$B,B283,$E:$E,"Occupied")</f>
        <v/>
      </c>
      <c r="I283" s="82">
        <f>IF(E283&lt;&gt;"Occupied",0,IF(H283=1,350,IF(H283=2,200,0)))</f>
        <v/>
      </c>
      <c r="J283" s="82">
        <f>IF(E283="Occupied",IFERROR(SUMIFS('Electricity Management'!$J:$J,'Electricity Management'!$A:$A,A283,'Electricity Management'!$C:$C,B283),0),0)</f>
        <v/>
      </c>
      <c r="K283" s="82">
        <f>IF(E283="Occupied",IFERROR(SUMIFS('Electricity Management'!$T:$T,'Electricity Management'!$K:$K,A283,'Electricity Management'!$L:$L,B283),0),0)</f>
        <v/>
      </c>
      <c r="O283" s="117" t="n"/>
      <c r="P283" s="116" t="n"/>
      <c r="Q283" s="116" t="n"/>
      <c r="R283" s="116" t="n"/>
      <c r="S283" s="119" t="n"/>
      <c r="T283" s="120">
        <f>IF(F283="Yes",A283&amp;"-"&amp;B283,C283)</f>
        <v/>
      </c>
    </row>
    <row r="284" ht="14.25" customHeight="1" s="83">
      <c r="A284" s="116" t="n"/>
      <c r="B284" s="116" t="n"/>
      <c r="C284" s="116" t="n"/>
      <c r="D284" s="116" t="n"/>
      <c r="E284" s="116">
        <f>IF(D284&lt;&gt;"","Occupied","Vacant")</f>
        <v/>
      </c>
      <c r="F284" s="116" t="n"/>
      <c r="G284" s="117" t="n"/>
      <c r="H284" s="116">
        <f>COUNTIFS($B:$B,B284,$E:$E,"Occupied")</f>
        <v/>
      </c>
      <c r="I284" s="82">
        <f>IF(E284&lt;&gt;"Occupied",0,IF(H284=1,350,IF(H284=2,200,0)))</f>
        <v/>
      </c>
      <c r="J284" s="82">
        <f>IF(E284="Occupied",IFERROR(SUMIFS('Electricity Management'!$J:$J,'Electricity Management'!$A:$A,A284,'Electricity Management'!$C:$C,B284),0),0)</f>
        <v/>
      </c>
      <c r="K284" s="82">
        <f>IF(E284="Occupied",IFERROR(SUMIFS('Electricity Management'!$T:$T,'Electricity Management'!$K:$K,A284,'Electricity Management'!$L:$L,B284),0),0)</f>
        <v/>
      </c>
      <c r="O284" s="117" t="n"/>
      <c r="P284" s="116" t="n"/>
      <c r="Q284" s="116" t="n"/>
      <c r="R284" s="116" t="n"/>
      <c r="S284" s="119" t="n"/>
      <c r="T284" s="120">
        <f>IF(F284="Yes",A284&amp;"-"&amp;B284,C284)</f>
        <v/>
      </c>
    </row>
    <row r="285" ht="14.25" customHeight="1" s="83">
      <c r="A285" s="116" t="n"/>
      <c r="B285" s="116" t="n"/>
      <c r="C285" s="116" t="n"/>
      <c r="D285" s="116" t="n"/>
      <c r="E285" s="116">
        <f>IF(D285&lt;&gt;"","Occupied","Vacant")</f>
        <v/>
      </c>
      <c r="F285" s="116" t="n"/>
      <c r="G285" s="117" t="n"/>
      <c r="H285" s="116">
        <f>COUNTIFS($B:$B,B285,$E:$E,"Occupied")</f>
        <v/>
      </c>
      <c r="I285" s="82">
        <f>IF(E285&lt;&gt;"Occupied",0,IF(H285=1,350,IF(H285=2,200,0)))</f>
        <v/>
      </c>
      <c r="J285" s="82">
        <f>IF(E285="Occupied",IFERROR(SUMIFS('Electricity Management'!$J:$J,'Electricity Management'!$A:$A,A285,'Electricity Management'!$C:$C,B285),0),0)</f>
        <v/>
      </c>
      <c r="K285" s="82">
        <f>IF(E285="Occupied",IFERROR(SUMIFS('Electricity Management'!$T:$T,'Electricity Management'!$K:$K,A285,'Electricity Management'!$L:$L,B285),0),0)</f>
        <v/>
      </c>
      <c r="O285" s="117" t="n"/>
      <c r="P285" s="116" t="n"/>
      <c r="Q285" s="116" t="n"/>
      <c r="R285" s="116" t="n"/>
      <c r="S285" s="119" t="n"/>
      <c r="T285" s="120">
        <f>IF(F285="Yes",A285&amp;"-"&amp;B285,C285)</f>
        <v/>
      </c>
    </row>
    <row r="286" ht="14.25" customHeight="1" s="83">
      <c r="A286" s="116" t="n"/>
      <c r="B286" s="116" t="n"/>
      <c r="C286" s="116" t="n"/>
      <c r="D286" s="116" t="n"/>
      <c r="E286" s="116">
        <f>IF(D286&lt;&gt;"","Occupied","Vacant")</f>
        <v/>
      </c>
      <c r="F286" s="116" t="n"/>
      <c r="G286" s="117" t="n"/>
      <c r="H286" s="116">
        <f>COUNTIFS($B:$B,B286,$E:$E,"Occupied")</f>
        <v/>
      </c>
      <c r="I286" s="82">
        <f>IF(E286&lt;&gt;"Occupied",0,IF(H286=1,350,IF(H286=2,200,0)))</f>
        <v/>
      </c>
      <c r="J286" s="82">
        <f>IF(E286="Occupied",IFERROR(SUMIFS('Electricity Management'!$J:$J,'Electricity Management'!$A:$A,A286,'Electricity Management'!$C:$C,B286),0),0)</f>
        <v/>
      </c>
      <c r="K286" s="82">
        <f>IF(E286="Occupied",IFERROR(SUMIFS('Electricity Management'!$T:$T,'Electricity Management'!$K:$K,A286,'Electricity Management'!$L:$L,B286),0),0)</f>
        <v/>
      </c>
      <c r="O286" s="117" t="n"/>
      <c r="P286" s="116" t="n"/>
      <c r="Q286" s="116" t="n"/>
      <c r="R286" s="116" t="n"/>
      <c r="S286" s="119" t="n"/>
      <c r="T286" s="120">
        <f>IF(F286="Yes",A286&amp;"-"&amp;B286,C286)</f>
        <v/>
      </c>
    </row>
    <row r="287" ht="14.25" customHeight="1" s="83">
      <c r="A287" s="116" t="n"/>
      <c r="B287" s="116" t="n"/>
      <c r="C287" s="116" t="n"/>
      <c r="D287" s="116" t="n"/>
      <c r="E287" s="116">
        <f>IF(D287&lt;&gt;"","Occupied","Vacant")</f>
        <v/>
      </c>
      <c r="F287" s="116" t="n"/>
      <c r="G287" s="117" t="n"/>
      <c r="H287" s="116">
        <f>COUNTIFS($B:$B,B287,$E:$E,"Occupied")</f>
        <v/>
      </c>
      <c r="I287" s="82">
        <f>IF(E287&lt;&gt;"Occupied",0,IF(H287=1,350,IF(H287=2,200,0)))</f>
        <v/>
      </c>
      <c r="J287" s="82">
        <f>IF(E287="Occupied",IFERROR(SUMIFS('Electricity Management'!$J:$J,'Electricity Management'!$A:$A,A287,'Electricity Management'!$C:$C,B287),0),0)</f>
        <v/>
      </c>
      <c r="K287" s="82">
        <f>IF(E287="Occupied",IFERROR(SUMIFS('Electricity Management'!$T:$T,'Electricity Management'!$K:$K,A287,'Electricity Management'!$L:$L,B287),0),0)</f>
        <v/>
      </c>
      <c r="O287" s="117" t="n"/>
      <c r="P287" s="116" t="n"/>
      <c r="Q287" s="116" t="n"/>
      <c r="R287" s="116" t="n"/>
      <c r="S287" s="119" t="n"/>
      <c r="T287" s="120">
        <f>IF(F287="Yes",A287&amp;"-"&amp;B287,C287)</f>
        <v/>
      </c>
    </row>
    <row r="288" ht="14.25" customHeight="1" s="83">
      <c r="A288" s="116" t="n"/>
      <c r="B288" s="116" t="n"/>
      <c r="C288" s="116" t="n"/>
      <c r="D288" s="116" t="n"/>
      <c r="E288" s="116">
        <f>IF(D288&lt;&gt;"","Occupied","Vacant")</f>
        <v/>
      </c>
      <c r="F288" s="116" t="n"/>
      <c r="G288" s="117" t="n"/>
      <c r="H288" s="116">
        <f>COUNTIFS($B:$B,B288,$E:$E,"Occupied")</f>
        <v/>
      </c>
      <c r="I288" s="82">
        <f>IF(E288&lt;&gt;"Occupied",0,IF(H288=1,350,IF(H288=2,200,0)))</f>
        <v/>
      </c>
      <c r="J288" s="82">
        <f>IF(E288="Occupied",IFERROR(SUMIFS('Electricity Management'!$J:$J,'Electricity Management'!$A:$A,A288,'Electricity Management'!$C:$C,B288),0),0)</f>
        <v/>
      </c>
      <c r="K288" s="82">
        <f>IF(E288="Occupied",IFERROR(SUMIFS('Electricity Management'!$T:$T,'Electricity Management'!$K:$K,A288,'Electricity Management'!$L:$L,B288),0),0)</f>
        <v/>
      </c>
      <c r="O288" s="117" t="n"/>
      <c r="P288" s="116" t="n"/>
      <c r="Q288" s="116" t="n"/>
      <c r="R288" s="116" t="n"/>
      <c r="S288" s="119" t="n"/>
      <c r="T288" s="120">
        <f>IF(F288="Yes",A288&amp;"-"&amp;B288,C288)</f>
        <v/>
      </c>
    </row>
    <row r="289" ht="14.25" customHeight="1" s="83">
      <c r="A289" s="116" t="n"/>
      <c r="B289" s="116" t="n"/>
      <c r="C289" s="116" t="n"/>
      <c r="D289" s="116" t="n"/>
      <c r="E289" s="116">
        <f>IF(D289&lt;&gt;"","Occupied","Vacant")</f>
        <v/>
      </c>
      <c r="F289" s="116" t="n"/>
      <c r="G289" s="117" t="n"/>
      <c r="H289" s="116">
        <f>COUNTIFS($B:$B,B289,$E:$E,"Occupied")</f>
        <v/>
      </c>
      <c r="I289" s="82">
        <f>IF(E289&lt;&gt;"Occupied",0,IF(H289=1,350,IF(H289=2,200,0)))</f>
        <v/>
      </c>
      <c r="J289" s="82">
        <f>IF(E289="Occupied",IFERROR(SUMIFS('Electricity Management'!$J:$J,'Electricity Management'!$A:$A,A289,'Electricity Management'!$C:$C,B289),0),0)</f>
        <v/>
      </c>
      <c r="K289" s="82">
        <f>IF(E289="Occupied",IFERROR(SUMIFS('Electricity Management'!$T:$T,'Electricity Management'!$K:$K,A289,'Electricity Management'!$L:$L,B289),0),0)</f>
        <v/>
      </c>
      <c r="O289" s="117" t="n"/>
      <c r="P289" s="116" t="n"/>
      <c r="Q289" s="116" t="n"/>
      <c r="R289" s="116" t="n"/>
      <c r="S289" s="119" t="n"/>
      <c r="T289" s="120">
        <f>IF(F289="Yes",A289&amp;"-"&amp;B289,C289)</f>
        <v/>
      </c>
    </row>
    <row r="290" ht="14.25" customHeight="1" s="83">
      <c r="A290" s="116" t="n"/>
      <c r="B290" s="116" t="n"/>
      <c r="C290" s="116" t="n"/>
      <c r="D290" s="116" t="n"/>
      <c r="E290" s="116">
        <f>IF(D290&lt;&gt;"","Occupied","Vacant")</f>
        <v/>
      </c>
      <c r="F290" s="116" t="n"/>
      <c r="G290" s="117" t="n"/>
      <c r="H290" s="116">
        <f>COUNTIFS($B:$B,B290,$E:$E,"Occupied")</f>
        <v/>
      </c>
      <c r="I290" s="82">
        <f>IF(E290&lt;&gt;"Occupied",0,IF(H290=1,350,IF(H290=2,200,0)))</f>
        <v/>
      </c>
      <c r="J290" s="82">
        <f>IF(E290="Occupied",IFERROR(SUMIFS('Electricity Management'!$J:$J,'Electricity Management'!$A:$A,A290,'Electricity Management'!$C:$C,B290),0),0)</f>
        <v/>
      </c>
      <c r="K290" s="82">
        <f>IF(E290="Occupied",IFERROR(SUMIFS('Electricity Management'!$T:$T,'Electricity Management'!$K:$K,A290,'Electricity Management'!$L:$L,B290),0),0)</f>
        <v/>
      </c>
      <c r="O290" s="117" t="n"/>
      <c r="P290" s="116" t="n"/>
      <c r="Q290" s="116" t="n"/>
      <c r="R290" s="116" t="n"/>
      <c r="S290" s="119" t="n"/>
      <c r="T290" s="120">
        <f>IF(F290="Yes",A290&amp;"-"&amp;B290,C290)</f>
        <v/>
      </c>
    </row>
    <row r="291" ht="14.25" customHeight="1" s="83">
      <c r="A291" s="116" t="n"/>
      <c r="B291" s="116" t="n"/>
      <c r="C291" s="116" t="n"/>
      <c r="D291" s="116" t="n"/>
      <c r="E291" s="116">
        <f>IF(D291&lt;&gt;"","Occupied","Vacant")</f>
        <v/>
      </c>
      <c r="F291" s="116" t="n"/>
      <c r="G291" s="117" t="n"/>
      <c r="H291" s="116">
        <f>COUNTIFS($B:$B,B291,$E:$E,"Occupied")</f>
        <v/>
      </c>
      <c r="I291" s="82">
        <f>IF(E291&lt;&gt;"Occupied",0,IF(H291=1,350,IF(H291=2,200,0)))</f>
        <v/>
      </c>
      <c r="J291" s="82">
        <f>IF(E291="Occupied",IFERROR(SUMIFS('Electricity Management'!$J:$J,'Electricity Management'!$A:$A,A291,'Electricity Management'!$C:$C,B291),0),0)</f>
        <v/>
      </c>
      <c r="K291" s="82">
        <f>IF(E291="Occupied",IFERROR(SUMIFS('Electricity Management'!$T:$T,'Electricity Management'!$K:$K,A291,'Electricity Management'!$L:$L,B291),0),0)</f>
        <v/>
      </c>
      <c r="O291" s="117" t="n"/>
      <c r="P291" s="116" t="n"/>
      <c r="Q291" s="116" t="n"/>
      <c r="R291" s="116" t="n"/>
      <c r="S291" s="119" t="n"/>
      <c r="T291" s="120">
        <f>IF(F291="Yes",A291&amp;"-"&amp;B291,C291)</f>
        <v/>
      </c>
    </row>
    <row r="292" ht="14.25" customHeight="1" s="83">
      <c r="A292" s="116" t="n"/>
      <c r="B292" s="116" t="n"/>
      <c r="C292" s="116" t="n"/>
      <c r="D292" s="116" t="n"/>
      <c r="E292" s="116">
        <f>IF(D292&lt;&gt;"","Occupied","Vacant")</f>
        <v/>
      </c>
      <c r="F292" s="116" t="n"/>
      <c r="G292" s="117" t="n"/>
      <c r="H292" s="116">
        <f>COUNTIFS($B:$B,B292,$E:$E,"Occupied")</f>
        <v/>
      </c>
      <c r="I292" s="82">
        <f>IF(E292&lt;&gt;"Occupied",0,IF(H292=1,350,IF(H292=2,200,0)))</f>
        <v/>
      </c>
      <c r="J292" s="82">
        <f>IF(E292="Occupied",IFERROR(SUMIFS('Electricity Management'!$J:$J,'Electricity Management'!$A:$A,A292,'Electricity Management'!$C:$C,B292),0),0)</f>
        <v/>
      </c>
      <c r="K292" s="82">
        <f>IF(E292="Occupied",IFERROR(SUMIFS('Electricity Management'!$T:$T,'Electricity Management'!$K:$K,A292,'Electricity Management'!$L:$L,B292),0),0)</f>
        <v/>
      </c>
      <c r="O292" s="117" t="n"/>
      <c r="P292" s="116" t="n"/>
      <c r="Q292" s="116" t="n"/>
      <c r="R292" s="116" t="n"/>
      <c r="S292" s="119" t="n"/>
      <c r="T292" s="120">
        <f>IF(F292="Yes",A292&amp;"-"&amp;B292,C292)</f>
        <v/>
      </c>
    </row>
    <row r="293" ht="14.25" customHeight="1" s="83">
      <c r="A293" s="116" t="n"/>
      <c r="B293" s="116" t="n"/>
      <c r="C293" s="116" t="n"/>
      <c r="D293" s="116" t="n"/>
      <c r="E293" s="116">
        <f>IF(D293&lt;&gt;"","Occupied","Vacant")</f>
        <v/>
      </c>
      <c r="F293" s="116" t="n"/>
      <c r="G293" s="117" t="n"/>
      <c r="H293" s="116">
        <f>COUNTIFS($B:$B,B293,$E:$E,"Occupied")</f>
        <v/>
      </c>
      <c r="I293" s="82">
        <f>IF(E293&lt;&gt;"Occupied",0,IF(H293=1,350,IF(H293=2,200,0)))</f>
        <v/>
      </c>
      <c r="J293" s="82">
        <f>IF(E293="Occupied",IFERROR(SUMIFS('Electricity Management'!$J:$J,'Electricity Management'!$A:$A,A293,'Electricity Management'!$C:$C,B293),0),0)</f>
        <v/>
      </c>
      <c r="K293" s="82">
        <f>IF(E293="Occupied",IFERROR(SUMIFS('Electricity Management'!$T:$T,'Electricity Management'!$K:$K,A293,'Electricity Management'!$L:$L,B293),0),0)</f>
        <v/>
      </c>
      <c r="O293" s="117" t="n"/>
      <c r="P293" s="116" t="n"/>
      <c r="Q293" s="116" t="n"/>
      <c r="R293" s="116" t="n"/>
      <c r="S293" s="119" t="n"/>
      <c r="T293" s="120">
        <f>IF(F293="Yes",A293&amp;"-"&amp;B293,C293)</f>
        <v/>
      </c>
    </row>
    <row r="294" ht="14.25" customHeight="1" s="83">
      <c r="A294" s="116" t="n"/>
      <c r="B294" s="116" t="n"/>
      <c r="C294" s="116" t="n"/>
      <c r="D294" s="116" t="n"/>
      <c r="E294" s="116">
        <f>IF(D294&lt;&gt;"","Occupied","Vacant")</f>
        <v/>
      </c>
      <c r="F294" s="116" t="n"/>
      <c r="G294" s="117" t="n"/>
      <c r="H294" s="116">
        <f>COUNTIFS($B:$B,B294,$E:$E,"Occupied")</f>
        <v/>
      </c>
      <c r="I294" s="82">
        <f>IF(E294&lt;&gt;"Occupied",0,IF(H294=1,350,IF(H294=2,200,0)))</f>
        <v/>
      </c>
      <c r="J294" s="82">
        <f>IF(E294="Occupied",IFERROR(SUMIFS('Electricity Management'!$J:$J,'Electricity Management'!$A:$A,A294,'Electricity Management'!$C:$C,B294),0),0)</f>
        <v/>
      </c>
      <c r="K294" s="82">
        <f>IF(E294="Occupied",IFERROR(SUMIFS('Electricity Management'!$T:$T,'Electricity Management'!$K:$K,A294,'Electricity Management'!$L:$L,B294),0),0)</f>
        <v/>
      </c>
      <c r="O294" s="117" t="n"/>
      <c r="P294" s="116" t="n"/>
      <c r="Q294" s="116" t="n"/>
      <c r="R294" s="116" t="n"/>
      <c r="S294" s="119" t="n"/>
      <c r="T294" s="120">
        <f>IF(F294="Yes",A294&amp;"-"&amp;B294,C294)</f>
        <v/>
      </c>
    </row>
    <row r="295" ht="14.25" customHeight="1" s="83">
      <c r="A295" s="116" t="n"/>
      <c r="B295" s="116" t="n"/>
      <c r="C295" s="116" t="n"/>
      <c r="D295" s="116" t="n"/>
      <c r="E295" s="116">
        <f>IF(D295&lt;&gt;"","Occupied","Vacant")</f>
        <v/>
      </c>
      <c r="F295" s="116" t="n"/>
      <c r="G295" s="117" t="n"/>
      <c r="H295" s="116">
        <f>COUNTIFS($B:$B,B295,$E:$E,"Occupied")</f>
        <v/>
      </c>
      <c r="I295" s="82">
        <f>IF(E295&lt;&gt;"Occupied",0,IF(H295=1,350,IF(H295=2,200,0)))</f>
        <v/>
      </c>
      <c r="J295" s="82">
        <f>IF(E295="Occupied",IFERROR(SUMIFS('Electricity Management'!$J:$J,'Electricity Management'!$A:$A,A295,'Electricity Management'!$C:$C,B295),0),0)</f>
        <v/>
      </c>
      <c r="K295" s="82">
        <f>IF(E295="Occupied",IFERROR(SUMIFS('Electricity Management'!$T:$T,'Electricity Management'!$K:$K,A295,'Electricity Management'!$L:$L,B295),0),0)</f>
        <v/>
      </c>
      <c r="O295" s="117" t="n"/>
      <c r="P295" s="116" t="n"/>
      <c r="Q295" s="116" t="n"/>
      <c r="R295" s="116" t="n"/>
      <c r="S295" s="119" t="n"/>
      <c r="T295" s="120">
        <f>IF(F295="Yes",A295&amp;"-"&amp;B295,C295)</f>
        <v/>
      </c>
    </row>
    <row r="296" ht="14.25" customHeight="1" s="83">
      <c r="A296" s="116" t="n"/>
      <c r="B296" s="116" t="n"/>
      <c r="C296" s="116" t="n"/>
      <c r="D296" s="116" t="n"/>
      <c r="E296" s="116">
        <f>IF(D296&lt;&gt;"","Occupied","Vacant")</f>
        <v/>
      </c>
      <c r="F296" s="116" t="n"/>
      <c r="G296" s="117" t="n"/>
      <c r="H296" s="116">
        <f>COUNTIFS($B:$B,B296,$E:$E,"Occupied")</f>
        <v/>
      </c>
      <c r="I296" s="82">
        <f>IF(E296&lt;&gt;"Occupied",0,IF(H296=1,350,IF(H296=2,200,0)))</f>
        <v/>
      </c>
      <c r="J296" s="82">
        <f>IF(E296="Occupied",IFERROR(SUMIFS('Electricity Management'!$J:$J,'Electricity Management'!$A:$A,A296,'Electricity Management'!$C:$C,B296),0),0)</f>
        <v/>
      </c>
      <c r="K296" s="82">
        <f>IF(E296="Occupied",IFERROR(SUMIFS('Electricity Management'!$T:$T,'Electricity Management'!$K:$K,A296,'Electricity Management'!$L:$L,B296),0),0)</f>
        <v/>
      </c>
      <c r="O296" s="117" t="n"/>
      <c r="P296" s="116" t="n"/>
      <c r="Q296" s="116" t="n"/>
      <c r="R296" s="116" t="n"/>
      <c r="S296" s="119" t="n"/>
      <c r="T296" s="120">
        <f>IF(F296="Yes",A296&amp;"-"&amp;B296,C296)</f>
        <v/>
      </c>
    </row>
    <row r="297" ht="14.25" customHeight="1" s="83">
      <c r="A297" s="116" t="n"/>
      <c r="B297" s="116" t="n"/>
      <c r="C297" s="116" t="n"/>
      <c r="D297" s="116" t="n"/>
      <c r="E297" s="116">
        <f>IF(D297&lt;&gt;"","Occupied","Vacant")</f>
        <v/>
      </c>
      <c r="F297" s="116" t="n"/>
      <c r="G297" s="117" t="n"/>
      <c r="H297" s="116">
        <f>COUNTIFS($B:$B,B297,$E:$E,"Occupied")</f>
        <v/>
      </c>
      <c r="I297" s="82">
        <f>IF(E297&lt;&gt;"Occupied",0,IF(H297=1,350,IF(H297=2,200,0)))</f>
        <v/>
      </c>
      <c r="J297" s="82">
        <f>IF(E297="Occupied",IFERROR(SUMIFS('Electricity Management'!$J:$J,'Electricity Management'!$A:$A,A297,'Electricity Management'!$C:$C,B297),0),0)</f>
        <v/>
      </c>
      <c r="K297" s="82">
        <f>IF(E297="Occupied",IFERROR(SUMIFS('Electricity Management'!$T:$T,'Electricity Management'!$K:$K,A297,'Electricity Management'!$L:$L,B297),0),0)</f>
        <v/>
      </c>
      <c r="O297" s="117" t="n"/>
      <c r="P297" s="116" t="n"/>
      <c r="Q297" s="116" t="n"/>
      <c r="R297" s="116" t="n"/>
      <c r="S297" s="119" t="n"/>
      <c r="T297" s="120">
        <f>IF(F297="Yes",A297&amp;"-"&amp;B297,C297)</f>
        <v/>
      </c>
    </row>
    <row r="298" ht="14.25" customHeight="1" s="83">
      <c r="A298" s="116" t="n"/>
      <c r="B298" s="116" t="n"/>
      <c r="C298" s="116" t="n"/>
      <c r="D298" s="116" t="n"/>
      <c r="E298" s="116">
        <f>IF(D298&lt;&gt;"","Occupied","Vacant")</f>
        <v/>
      </c>
      <c r="F298" s="116" t="n"/>
      <c r="G298" s="117" t="n"/>
      <c r="H298" s="116">
        <f>COUNTIFS($B:$B,B298,$E:$E,"Occupied")</f>
        <v/>
      </c>
      <c r="I298" s="82">
        <f>IF(E298&lt;&gt;"Occupied",0,IF(H298=1,350,IF(H298=2,200,0)))</f>
        <v/>
      </c>
      <c r="J298" s="82">
        <f>IF(E298="Occupied",IFERROR(SUMIFS('Electricity Management'!$J:$J,'Electricity Management'!$A:$A,A298,'Electricity Management'!$C:$C,B298),0),0)</f>
        <v/>
      </c>
      <c r="K298" s="82">
        <f>IF(E298="Occupied",IFERROR(SUMIFS('Electricity Management'!$T:$T,'Electricity Management'!$K:$K,A298,'Electricity Management'!$L:$L,B298),0),0)</f>
        <v/>
      </c>
      <c r="O298" s="117" t="n"/>
      <c r="P298" s="116" t="n"/>
      <c r="Q298" s="116" t="n"/>
      <c r="R298" s="116" t="n"/>
      <c r="S298" s="119" t="n"/>
      <c r="T298" s="120">
        <f>IF(F298="Yes",A298&amp;"-"&amp;B298,C298)</f>
        <v/>
      </c>
    </row>
    <row r="299" ht="14.25" customHeight="1" s="83">
      <c r="A299" s="116" t="n"/>
      <c r="B299" s="116" t="n"/>
      <c r="C299" s="116" t="n"/>
      <c r="D299" s="116" t="n"/>
      <c r="E299" s="116">
        <f>IF(D299&lt;&gt;"","Occupied","Vacant")</f>
        <v/>
      </c>
      <c r="F299" s="116" t="n"/>
      <c r="G299" s="117" t="n"/>
      <c r="H299" s="116">
        <f>COUNTIFS($B:$B,B299,$E:$E,"Occupied")</f>
        <v/>
      </c>
      <c r="I299" s="82">
        <f>IF(E299&lt;&gt;"Occupied",0,IF(H299=1,350,IF(H299=2,200,0)))</f>
        <v/>
      </c>
      <c r="J299" s="82">
        <f>IF(E299="Occupied",IFERROR(SUMIFS('Electricity Management'!$J:$J,'Electricity Management'!$A:$A,A299,'Electricity Management'!$C:$C,B299),0),0)</f>
        <v/>
      </c>
      <c r="K299" s="82">
        <f>IF(E299="Occupied",IFERROR(SUMIFS('Electricity Management'!$T:$T,'Electricity Management'!$K:$K,A299,'Electricity Management'!$L:$L,B299),0),0)</f>
        <v/>
      </c>
      <c r="O299" s="117" t="n"/>
      <c r="P299" s="116" t="n"/>
      <c r="Q299" s="116" t="n"/>
      <c r="R299" s="116" t="n"/>
      <c r="S299" s="119" t="n"/>
      <c r="T299" s="120">
        <f>IF(F299="Yes",A299&amp;"-"&amp;B299,C299)</f>
        <v/>
      </c>
    </row>
    <row r="300" ht="14.25" customHeight="1" s="83">
      <c r="A300" s="116" t="n"/>
      <c r="B300" s="116" t="n"/>
      <c r="C300" s="116" t="n"/>
      <c r="D300" s="116" t="n"/>
      <c r="E300" s="116">
        <f>IF(D300&lt;&gt;"","Occupied","Vacant")</f>
        <v/>
      </c>
      <c r="F300" s="116" t="n"/>
      <c r="G300" s="117" t="n"/>
      <c r="H300" s="116">
        <f>COUNTIFS($B:$B,B300,$E:$E,"Occupied")</f>
        <v/>
      </c>
      <c r="I300" s="82">
        <f>IF(E300&lt;&gt;"Occupied",0,IF(H300=1,350,IF(H300=2,200,0)))</f>
        <v/>
      </c>
      <c r="J300" s="82">
        <f>IF(E300="Occupied",IFERROR(SUMIFS('Electricity Management'!$J:$J,'Electricity Management'!$A:$A,A300,'Electricity Management'!$C:$C,B300),0),0)</f>
        <v/>
      </c>
      <c r="K300" s="82">
        <f>IF(E300="Occupied",IFERROR(SUMIFS('Electricity Management'!$T:$T,'Electricity Management'!$K:$K,A300,'Electricity Management'!$L:$L,B300),0),0)</f>
        <v/>
      </c>
      <c r="O300" s="117" t="n"/>
      <c r="P300" s="116" t="n"/>
      <c r="Q300" s="116" t="n"/>
      <c r="R300" s="116" t="n"/>
      <c r="S300" s="119" t="n"/>
      <c r="T300" s="120">
        <f>IF(F300="Yes",A300&amp;"-"&amp;B300,C300)</f>
        <v/>
      </c>
    </row>
    <row r="301" ht="14.25" customHeight="1" s="83">
      <c r="A301" s="116" t="n"/>
      <c r="B301" s="116" t="n"/>
      <c r="C301" s="116" t="n"/>
      <c r="D301" s="116" t="n"/>
      <c r="E301" s="116">
        <f>IF(D301&lt;&gt;"","Occupied","Vacant")</f>
        <v/>
      </c>
      <c r="F301" s="116" t="n"/>
      <c r="G301" s="117" t="n"/>
      <c r="H301" s="116">
        <f>COUNTIFS($B:$B,B301,$E:$E,"Occupied")</f>
        <v/>
      </c>
      <c r="I301" s="82">
        <f>IF(E301&lt;&gt;"Occupied",0,IF(H301=1,350,IF(H301=2,200,0)))</f>
        <v/>
      </c>
      <c r="J301" s="82">
        <f>IF(E301="Occupied",IFERROR(SUMIFS('Electricity Management'!$J:$J,'Electricity Management'!$A:$A,A301,'Electricity Management'!$C:$C,B301),0),0)</f>
        <v/>
      </c>
      <c r="K301" s="82">
        <f>IF(E301="Occupied",IFERROR(SUMIFS('Electricity Management'!$T:$T,'Electricity Management'!$K:$K,A301,'Electricity Management'!$L:$L,B301),0),0)</f>
        <v/>
      </c>
      <c r="O301" s="117" t="n"/>
      <c r="P301" s="116" t="n"/>
      <c r="Q301" s="116" t="n"/>
      <c r="R301" s="116" t="n"/>
      <c r="S301" s="119" t="n"/>
      <c r="T301" s="120">
        <f>IF(F301="Yes",A301&amp;"-"&amp;B301,C301)</f>
        <v/>
      </c>
    </row>
    <row r="302" ht="14.25" customHeight="1" s="83">
      <c r="A302" s="116" t="n"/>
      <c r="B302" s="116" t="n"/>
      <c r="C302" s="116" t="n"/>
      <c r="D302" s="116" t="n"/>
      <c r="E302" s="116">
        <f>IF(D302&lt;&gt;"","Occupied","Vacant")</f>
        <v/>
      </c>
      <c r="F302" s="116" t="n"/>
      <c r="G302" s="117" t="n"/>
      <c r="H302" s="116">
        <f>COUNTIFS($B:$B,B302,$E:$E,"Occupied")</f>
        <v/>
      </c>
      <c r="I302" s="82">
        <f>IF(E302&lt;&gt;"Occupied",0,IF(H302=1,350,IF(H302=2,200,0)))</f>
        <v/>
      </c>
      <c r="J302" s="82">
        <f>IF(E302="Occupied",IFERROR(SUMIFS('Electricity Management'!$J:$J,'Electricity Management'!$A:$A,A302,'Electricity Management'!$C:$C,B302),0),0)</f>
        <v/>
      </c>
      <c r="K302" s="82">
        <f>IF(E302="Occupied",IFERROR(SUMIFS('Electricity Management'!$T:$T,'Electricity Management'!$K:$K,A302,'Electricity Management'!$L:$L,B302),0),0)</f>
        <v/>
      </c>
      <c r="O302" s="117" t="n"/>
      <c r="P302" s="116" t="n"/>
      <c r="Q302" s="116" t="n"/>
      <c r="R302" s="116" t="n"/>
      <c r="S302" s="119" t="n"/>
      <c r="T302" s="120">
        <f>IF(F302="Yes",A302&amp;"-"&amp;B302,C302)</f>
        <v/>
      </c>
    </row>
    <row r="303" ht="14.25" customHeight="1" s="83">
      <c r="A303" s="116" t="n"/>
      <c r="B303" s="116" t="n"/>
      <c r="C303" s="116" t="n"/>
      <c r="D303" s="116" t="n"/>
      <c r="E303" s="116">
        <f>IF(D303&lt;&gt;"","Occupied","Vacant")</f>
        <v/>
      </c>
      <c r="F303" s="116" t="n"/>
      <c r="G303" s="117" t="n"/>
      <c r="H303" s="116">
        <f>COUNTIFS($B:$B,B303,$E:$E,"Occupied")</f>
        <v/>
      </c>
      <c r="I303" s="82">
        <f>IF(E303&lt;&gt;"Occupied",0,IF(H303=1,350,IF(H303=2,200,0)))</f>
        <v/>
      </c>
      <c r="J303" s="82">
        <f>IF(E303="Occupied",IFERROR(SUMIFS('Electricity Management'!$J:$J,'Electricity Management'!$A:$A,A303,'Electricity Management'!$C:$C,B303),0),0)</f>
        <v/>
      </c>
      <c r="K303" s="82">
        <f>IF(E303="Occupied",IFERROR(SUMIFS('Electricity Management'!$T:$T,'Electricity Management'!$K:$K,A303,'Electricity Management'!$L:$L,B303),0),0)</f>
        <v/>
      </c>
      <c r="O303" s="117" t="n"/>
      <c r="P303" s="116" t="n"/>
      <c r="Q303" s="116" t="n"/>
      <c r="R303" s="116" t="n"/>
      <c r="S303" s="119" t="n"/>
      <c r="T303" s="120">
        <f>IF(F303="Yes",A303&amp;"-"&amp;B303,C303)</f>
        <v/>
      </c>
    </row>
    <row r="304" ht="14.25" customHeight="1" s="83">
      <c r="A304" s="116" t="n"/>
      <c r="B304" s="116" t="n"/>
      <c r="C304" s="116" t="n"/>
      <c r="D304" s="116" t="n"/>
      <c r="E304" s="116">
        <f>IF(D304&lt;&gt;"","Occupied","Vacant")</f>
        <v/>
      </c>
      <c r="F304" s="116" t="n"/>
      <c r="G304" s="117" t="n"/>
      <c r="H304" s="116">
        <f>COUNTIFS($B:$B,B304,$E:$E,"Occupied")</f>
        <v/>
      </c>
      <c r="I304" s="82">
        <f>IF(E304&lt;&gt;"Occupied",0,IF(H304=1,350,IF(H304=2,200,0)))</f>
        <v/>
      </c>
      <c r="J304" s="82">
        <f>IF(E304="Occupied",IFERROR(SUMIFS('Electricity Management'!$J:$J,'Electricity Management'!$A:$A,A304,'Electricity Management'!$C:$C,B304),0),0)</f>
        <v/>
      </c>
      <c r="K304" s="82">
        <f>IF(E304="Occupied",IFERROR(SUMIFS('Electricity Management'!$T:$T,'Electricity Management'!$K:$K,A304,'Electricity Management'!$L:$L,B304),0),0)</f>
        <v/>
      </c>
      <c r="O304" s="117" t="n"/>
      <c r="P304" s="116" t="n"/>
      <c r="Q304" s="116" t="n"/>
      <c r="R304" s="116" t="n"/>
      <c r="S304" s="119" t="n"/>
      <c r="T304" s="120">
        <f>IF(F304="Yes",A304&amp;"-"&amp;B304,C304)</f>
        <v/>
      </c>
    </row>
    <row r="305" ht="14.25" customHeight="1" s="83">
      <c r="A305" s="116" t="n"/>
      <c r="B305" s="116" t="n"/>
      <c r="C305" s="116" t="n"/>
      <c r="D305" s="116" t="n"/>
      <c r="E305" s="116">
        <f>IF(D305&lt;&gt;"","Occupied","Vacant")</f>
        <v/>
      </c>
      <c r="F305" s="116" t="n"/>
      <c r="G305" s="117" t="n"/>
      <c r="H305" s="116">
        <f>COUNTIFS($B:$B,B305,$E:$E,"Occupied")</f>
        <v/>
      </c>
      <c r="I305" s="82">
        <f>IF(E305&lt;&gt;"Occupied",0,IF(H305=1,350,IF(H305=2,200,0)))</f>
        <v/>
      </c>
      <c r="J305" s="82">
        <f>IF(E305="Occupied",IFERROR(SUMIFS('Electricity Management'!$J:$J,'Electricity Management'!$A:$A,A305,'Electricity Management'!$C:$C,B305),0),0)</f>
        <v/>
      </c>
      <c r="K305" s="82">
        <f>IF(E305="Occupied",IFERROR(SUMIFS('Electricity Management'!$T:$T,'Electricity Management'!$K:$K,A305,'Electricity Management'!$L:$L,B305),0),0)</f>
        <v/>
      </c>
      <c r="O305" s="117" t="n"/>
      <c r="P305" s="116" t="n"/>
      <c r="Q305" s="116" t="n"/>
      <c r="R305" s="116" t="n"/>
      <c r="S305" s="119" t="n"/>
      <c r="T305" s="120">
        <f>IF(F305="Yes",A305&amp;"-"&amp;B305,C305)</f>
        <v/>
      </c>
    </row>
    <row r="306" ht="14.25" customHeight="1" s="83">
      <c r="A306" s="116" t="n"/>
      <c r="B306" s="116" t="n"/>
      <c r="C306" s="116" t="n"/>
      <c r="D306" s="116" t="n"/>
      <c r="E306" s="116">
        <f>IF(D306&lt;&gt;"","Occupied","Vacant")</f>
        <v/>
      </c>
      <c r="F306" s="116" t="n"/>
      <c r="G306" s="117" t="n"/>
      <c r="H306" s="116">
        <f>COUNTIFS($B:$B,B306,$E:$E,"Occupied")</f>
        <v/>
      </c>
      <c r="I306" s="82">
        <f>IF(E306&lt;&gt;"Occupied",0,IF(H306=1,350,IF(H306=2,200,0)))</f>
        <v/>
      </c>
      <c r="J306" s="82">
        <f>IF(E306="Occupied",IFERROR(SUMIFS('Electricity Management'!$J:$J,'Electricity Management'!$A:$A,A306,'Electricity Management'!$C:$C,B306),0),0)</f>
        <v/>
      </c>
      <c r="K306" s="82">
        <f>IF(E306="Occupied",IFERROR(SUMIFS('Electricity Management'!$T:$T,'Electricity Management'!$K:$K,A306,'Electricity Management'!$L:$L,B306),0),0)</f>
        <v/>
      </c>
      <c r="O306" s="117" t="n"/>
      <c r="P306" s="116" t="n"/>
      <c r="Q306" s="116" t="n"/>
      <c r="R306" s="116" t="n"/>
      <c r="S306" s="119" t="n"/>
      <c r="T306" s="120">
        <f>IF(F306="Yes",A306&amp;"-"&amp;B306,C306)</f>
        <v/>
      </c>
    </row>
    <row r="307" ht="14.25" customHeight="1" s="83">
      <c r="A307" s="116" t="n"/>
      <c r="B307" s="116" t="n"/>
      <c r="C307" s="116" t="n"/>
      <c r="D307" s="116" t="n"/>
      <c r="E307" s="116">
        <f>IF(D307&lt;&gt;"","Occupied","Vacant")</f>
        <v/>
      </c>
      <c r="F307" s="116" t="n"/>
      <c r="G307" s="117" t="n"/>
      <c r="H307" s="116">
        <f>COUNTIFS($B:$B,B307,$E:$E,"Occupied")</f>
        <v/>
      </c>
      <c r="I307" s="82">
        <f>IF(E307&lt;&gt;"Occupied",0,IF(H307=1,350,IF(H307=2,200,0)))</f>
        <v/>
      </c>
      <c r="J307" s="82">
        <f>IF(E307="Occupied",IFERROR(SUMIFS('Electricity Management'!$J:$J,'Electricity Management'!$A:$A,A307,'Electricity Management'!$C:$C,B307),0),0)</f>
        <v/>
      </c>
      <c r="K307" s="82">
        <f>IF(E307="Occupied",IFERROR(SUMIFS('Electricity Management'!$T:$T,'Electricity Management'!$K:$K,A307,'Electricity Management'!$L:$L,B307),0),0)</f>
        <v/>
      </c>
      <c r="O307" s="117" t="n"/>
      <c r="P307" s="116" t="n"/>
      <c r="Q307" s="116" t="n"/>
      <c r="R307" s="116" t="n"/>
      <c r="S307" s="119" t="n"/>
      <c r="T307" s="120">
        <f>IF(F307="Yes",A307&amp;"-"&amp;B307,C307)</f>
        <v/>
      </c>
    </row>
    <row r="308" ht="14.25" customHeight="1" s="83">
      <c r="A308" s="116" t="n"/>
      <c r="B308" s="116" t="n"/>
      <c r="C308" s="116" t="n"/>
      <c r="D308" s="116" t="n"/>
      <c r="E308" s="116">
        <f>IF(D308&lt;&gt;"","Occupied","Vacant")</f>
        <v/>
      </c>
      <c r="F308" s="116" t="n"/>
      <c r="G308" s="117" t="n"/>
      <c r="H308" s="116">
        <f>COUNTIFS($B:$B,B308,$E:$E,"Occupied")</f>
        <v/>
      </c>
      <c r="I308" s="82">
        <f>IF(E308&lt;&gt;"Occupied",0,IF(H308=1,350,IF(H308=2,200,0)))</f>
        <v/>
      </c>
      <c r="J308" s="82">
        <f>IF(E308="Occupied",IFERROR(SUMIFS('Electricity Management'!$J:$J,'Electricity Management'!$A:$A,A308,'Electricity Management'!$C:$C,B308),0),0)</f>
        <v/>
      </c>
      <c r="K308" s="82">
        <f>IF(E308="Occupied",IFERROR(SUMIFS('Electricity Management'!$T:$T,'Electricity Management'!$K:$K,A308,'Electricity Management'!$L:$L,B308),0),0)</f>
        <v/>
      </c>
      <c r="O308" s="117" t="n"/>
      <c r="P308" s="116" t="n"/>
      <c r="Q308" s="116" t="n"/>
      <c r="R308" s="116" t="n"/>
      <c r="S308" s="119" t="n"/>
      <c r="T308" s="120">
        <f>IF(F308="Yes",A308&amp;"-"&amp;B308,C308)</f>
        <v/>
      </c>
    </row>
    <row r="309" ht="14.25" customHeight="1" s="83">
      <c r="A309" s="116" t="n"/>
      <c r="B309" s="116" t="n"/>
      <c r="C309" s="116" t="n"/>
      <c r="D309" s="116" t="n"/>
      <c r="E309" s="116">
        <f>IF(D309&lt;&gt;"","Occupied","Vacant")</f>
        <v/>
      </c>
      <c r="F309" s="116" t="n"/>
      <c r="G309" s="117" t="n"/>
      <c r="H309" s="116">
        <f>COUNTIFS($B:$B,B309,$E:$E,"Occupied")</f>
        <v/>
      </c>
      <c r="I309" s="82">
        <f>IF(E309&lt;&gt;"Occupied",0,IF(H309=1,350,IF(H309=2,200,0)))</f>
        <v/>
      </c>
      <c r="J309" s="82">
        <f>IF(E309="Occupied",IFERROR(SUMIFS('Electricity Management'!$J:$J,'Electricity Management'!$A:$A,A309,'Electricity Management'!$C:$C,B309),0),0)</f>
        <v/>
      </c>
      <c r="K309" s="82">
        <f>IF(E309="Occupied",IFERROR(SUMIFS('Electricity Management'!$T:$T,'Electricity Management'!$K:$K,A309,'Electricity Management'!$L:$L,B309),0),0)</f>
        <v/>
      </c>
      <c r="O309" s="117" t="n"/>
      <c r="P309" s="116" t="n"/>
      <c r="Q309" s="116" t="n"/>
      <c r="R309" s="116" t="n"/>
      <c r="S309" s="119" t="n"/>
      <c r="T309" s="120">
        <f>IF(F309="Yes",A309&amp;"-"&amp;B309,C309)</f>
        <v/>
      </c>
    </row>
    <row r="310" ht="14.25" customHeight="1" s="83">
      <c r="A310" s="116" t="n"/>
      <c r="B310" s="116" t="n"/>
      <c r="C310" s="116" t="n"/>
      <c r="D310" s="116" t="n"/>
      <c r="E310" s="116">
        <f>IF(D310&lt;&gt;"","Occupied","Vacant")</f>
        <v/>
      </c>
      <c r="F310" s="116" t="n"/>
      <c r="G310" s="117" t="n"/>
      <c r="H310" s="116">
        <f>COUNTIFS($B:$B,B310,$E:$E,"Occupied")</f>
        <v/>
      </c>
      <c r="I310" s="82">
        <f>IF(E310&lt;&gt;"Occupied",0,IF(H310=1,350,IF(H310=2,200,0)))</f>
        <v/>
      </c>
      <c r="J310" s="82">
        <f>IF(E310="Occupied",IFERROR(SUMIFS('Electricity Management'!$J:$J,'Electricity Management'!$A:$A,A310,'Electricity Management'!$C:$C,B310),0),0)</f>
        <v/>
      </c>
      <c r="K310" s="82">
        <f>IF(E310="Occupied",IFERROR(SUMIFS('Electricity Management'!$T:$T,'Electricity Management'!$K:$K,A310,'Electricity Management'!$L:$L,B310),0),0)</f>
        <v/>
      </c>
      <c r="O310" s="117" t="n"/>
      <c r="P310" s="116" t="n"/>
      <c r="Q310" s="116" t="n"/>
      <c r="R310" s="116" t="n"/>
      <c r="S310" s="119" t="n"/>
      <c r="T310" s="120">
        <f>IF(F310="Yes",A310&amp;"-"&amp;B310,C310)</f>
        <v/>
      </c>
    </row>
    <row r="311" ht="14.25" customHeight="1" s="83">
      <c r="A311" s="116" t="n"/>
      <c r="B311" s="116" t="n"/>
      <c r="C311" s="116" t="n"/>
      <c r="D311" s="116" t="n"/>
      <c r="E311" s="116">
        <f>IF(D311&lt;&gt;"","Occupied","Vacant")</f>
        <v/>
      </c>
      <c r="F311" s="116" t="n"/>
      <c r="G311" s="117" t="n"/>
      <c r="H311" s="116">
        <f>COUNTIFS($B:$B,B311,$E:$E,"Occupied")</f>
        <v/>
      </c>
      <c r="I311" s="82">
        <f>IF(E311&lt;&gt;"Occupied",0,IF(H311=1,350,IF(H311=2,200,0)))</f>
        <v/>
      </c>
      <c r="J311" s="82">
        <f>IF(E311="Occupied",IFERROR(SUMIFS('Electricity Management'!$J:$J,'Electricity Management'!$A:$A,A311,'Electricity Management'!$C:$C,B311),0),0)</f>
        <v/>
      </c>
      <c r="K311" s="82">
        <f>IF(E311="Occupied",IFERROR(SUMIFS('Electricity Management'!$T:$T,'Electricity Management'!$K:$K,A311,'Electricity Management'!$L:$L,B311),0),0)</f>
        <v/>
      </c>
      <c r="O311" s="117" t="n"/>
      <c r="P311" s="116" t="n"/>
      <c r="Q311" s="116" t="n"/>
      <c r="R311" s="116" t="n"/>
      <c r="S311" s="119" t="n"/>
      <c r="T311" s="120">
        <f>IF(F311="Yes",A311&amp;"-"&amp;B311,C311)</f>
        <v/>
      </c>
    </row>
    <row r="312" ht="14.25" customHeight="1" s="83">
      <c r="A312" s="116" t="n"/>
      <c r="B312" s="116" t="n"/>
      <c r="C312" s="116" t="n"/>
      <c r="D312" s="116" t="n"/>
      <c r="E312" s="116">
        <f>IF(D312&lt;&gt;"","Occupied","Vacant")</f>
        <v/>
      </c>
      <c r="F312" s="116" t="n"/>
      <c r="G312" s="117" t="n"/>
      <c r="H312" s="116">
        <f>COUNTIFS($B:$B,B312,$E:$E,"Occupied")</f>
        <v/>
      </c>
      <c r="I312" s="82">
        <f>IF(E312&lt;&gt;"Occupied",0,IF(H312=1,350,IF(H312=2,200,0)))</f>
        <v/>
      </c>
      <c r="J312" s="82">
        <f>IF(E312="Occupied",IFERROR(SUMIFS('Electricity Management'!$J:$J,'Electricity Management'!$A:$A,A312,'Electricity Management'!$C:$C,B312),0),0)</f>
        <v/>
      </c>
      <c r="K312" s="82">
        <f>IF(E312="Occupied",IFERROR(SUMIFS('Electricity Management'!$T:$T,'Electricity Management'!$K:$K,A312,'Electricity Management'!$L:$L,B312),0),0)</f>
        <v/>
      </c>
      <c r="O312" s="117" t="n"/>
      <c r="P312" s="116" t="n"/>
      <c r="Q312" s="116" t="n"/>
      <c r="R312" s="116" t="n"/>
      <c r="S312" s="119" t="n"/>
      <c r="T312" s="120">
        <f>IF(F312="Yes",A312&amp;"-"&amp;B312,C312)</f>
        <v/>
      </c>
    </row>
    <row r="313" ht="14.25" customHeight="1" s="83">
      <c r="A313" s="116" t="n"/>
      <c r="B313" s="116" t="n"/>
      <c r="C313" s="116" t="n"/>
      <c r="D313" s="116" t="n"/>
      <c r="E313" s="116">
        <f>IF(D313&lt;&gt;"","Occupied","Vacant")</f>
        <v/>
      </c>
      <c r="F313" s="116" t="n"/>
      <c r="G313" s="117" t="n"/>
      <c r="H313" s="116">
        <f>COUNTIFS($B:$B,B313,$E:$E,"Occupied")</f>
        <v/>
      </c>
      <c r="I313" s="82">
        <f>IF(E313&lt;&gt;"Occupied",0,IF(H313=1,350,IF(H313=2,200,0)))</f>
        <v/>
      </c>
      <c r="J313" s="82">
        <f>IF(E313="Occupied",IFERROR(SUMIFS('Electricity Management'!$J:$J,'Electricity Management'!$A:$A,A313,'Electricity Management'!$C:$C,B313),0),0)</f>
        <v/>
      </c>
      <c r="K313" s="82">
        <f>IF(E313="Occupied",IFERROR(SUMIFS('Electricity Management'!$T:$T,'Electricity Management'!$K:$K,A313,'Electricity Management'!$L:$L,B313),0),0)</f>
        <v/>
      </c>
      <c r="O313" s="117" t="n"/>
      <c r="P313" s="116" t="n"/>
      <c r="Q313" s="116" t="n"/>
      <c r="R313" s="116" t="n"/>
      <c r="S313" s="119" t="n"/>
      <c r="T313" s="120">
        <f>IF(F313="Yes",A313&amp;"-"&amp;B313,C313)</f>
        <v/>
      </c>
    </row>
    <row r="314" ht="14.25" customHeight="1" s="83">
      <c r="A314" s="116" t="n"/>
      <c r="B314" s="116" t="n"/>
      <c r="C314" s="116" t="n"/>
      <c r="D314" s="116" t="n"/>
      <c r="E314" s="116">
        <f>IF(D314&lt;&gt;"","Occupied","Vacant")</f>
        <v/>
      </c>
      <c r="F314" s="116" t="n"/>
      <c r="G314" s="117" t="n"/>
      <c r="H314" s="116">
        <f>COUNTIFS($B:$B,B314,$E:$E,"Occupied")</f>
        <v/>
      </c>
      <c r="I314" s="82">
        <f>IF(E314&lt;&gt;"Occupied",0,IF(H314=1,350,IF(H314=2,200,0)))</f>
        <v/>
      </c>
      <c r="J314" s="82">
        <f>IF(E314="Occupied",IFERROR(SUMIFS('Electricity Management'!$J:$J,'Electricity Management'!$A:$A,A314,'Electricity Management'!$C:$C,B314),0),0)</f>
        <v/>
      </c>
      <c r="K314" s="82">
        <f>IF(E314="Occupied",IFERROR(SUMIFS('Electricity Management'!$T:$T,'Electricity Management'!$K:$K,A314,'Electricity Management'!$L:$L,B314),0),0)</f>
        <v/>
      </c>
      <c r="O314" s="117" t="n"/>
      <c r="P314" s="116" t="n"/>
      <c r="Q314" s="116" t="n"/>
      <c r="R314" s="116" t="n"/>
      <c r="S314" s="119" t="n"/>
      <c r="T314" s="120">
        <f>IF(F314="Yes",A314&amp;"-"&amp;B314,C314)</f>
        <v/>
      </c>
    </row>
    <row r="315" ht="14.25" customHeight="1" s="83">
      <c r="A315" s="116" t="n"/>
      <c r="B315" s="116" t="n"/>
      <c r="C315" s="116" t="n"/>
      <c r="D315" s="116" t="n"/>
      <c r="E315" s="116">
        <f>IF(D315&lt;&gt;"","Occupied","Vacant")</f>
        <v/>
      </c>
      <c r="F315" s="116" t="n"/>
      <c r="G315" s="117" t="n"/>
      <c r="H315" s="116">
        <f>COUNTIFS($B:$B,B315,$E:$E,"Occupied")</f>
        <v/>
      </c>
      <c r="I315" s="82">
        <f>IF(E315&lt;&gt;"Occupied",0,IF(H315=1,350,IF(H315=2,200,0)))</f>
        <v/>
      </c>
      <c r="J315" s="82">
        <f>IF(E315="Occupied",IFERROR(SUMIFS('Electricity Management'!$J:$J,'Electricity Management'!$A:$A,A315,'Electricity Management'!$C:$C,B315),0),0)</f>
        <v/>
      </c>
      <c r="K315" s="82">
        <f>IF(E315="Occupied",IFERROR(SUMIFS('Electricity Management'!$T:$T,'Electricity Management'!$K:$K,A315,'Electricity Management'!$L:$L,B315),0),0)</f>
        <v/>
      </c>
      <c r="O315" s="117" t="n"/>
      <c r="P315" s="116" t="n"/>
      <c r="Q315" s="116" t="n"/>
      <c r="R315" s="116" t="n"/>
      <c r="S315" s="119" t="n"/>
      <c r="T315" s="120">
        <f>IF(F315="Yes",A315&amp;"-"&amp;B315,C315)</f>
        <v/>
      </c>
    </row>
    <row r="316" ht="14.25" customHeight="1" s="83">
      <c r="A316" s="116" t="n"/>
      <c r="B316" s="116" t="n"/>
      <c r="C316" s="116" t="n"/>
      <c r="D316" s="116" t="n"/>
      <c r="E316" s="116">
        <f>IF(D316&lt;&gt;"","Occupied","Vacant")</f>
        <v/>
      </c>
      <c r="F316" s="116" t="n"/>
      <c r="G316" s="117" t="n"/>
      <c r="H316" s="116">
        <f>COUNTIFS($B:$B,B316,$E:$E,"Occupied")</f>
        <v/>
      </c>
      <c r="I316" s="82">
        <f>IF(E316&lt;&gt;"Occupied",0,IF(H316=1,350,IF(H316=2,200,0)))</f>
        <v/>
      </c>
      <c r="J316" s="82">
        <f>IF(E316="Occupied",IFERROR(SUMIFS('Electricity Management'!$J:$J,'Electricity Management'!$A:$A,A316,'Electricity Management'!$C:$C,B316),0),0)</f>
        <v/>
      </c>
      <c r="K316" s="82">
        <f>IF(E316="Occupied",IFERROR(SUMIFS('Electricity Management'!$T:$T,'Electricity Management'!$K:$K,A316,'Electricity Management'!$L:$L,B316),0),0)</f>
        <v/>
      </c>
      <c r="O316" s="117" t="n"/>
      <c r="P316" s="116" t="n"/>
      <c r="Q316" s="116" t="n"/>
      <c r="R316" s="116" t="n"/>
      <c r="S316" s="119" t="n"/>
      <c r="T316" s="120">
        <f>IF(F316="Yes",A316&amp;"-"&amp;B316,C316)</f>
        <v/>
      </c>
    </row>
    <row r="317" ht="14.25" customHeight="1" s="83">
      <c r="A317" s="116" t="n"/>
      <c r="B317" s="116" t="n"/>
      <c r="C317" s="116" t="n"/>
      <c r="D317" s="116" t="n"/>
      <c r="E317" s="116">
        <f>IF(D317&lt;&gt;"","Occupied","Vacant")</f>
        <v/>
      </c>
      <c r="F317" s="116" t="n"/>
      <c r="G317" s="117" t="n"/>
      <c r="H317" s="116">
        <f>COUNTIFS($B:$B,B317,$E:$E,"Occupied")</f>
        <v/>
      </c>
      <c r="I317" s="82">
        <f>IF(E317&lt;&gt;"Occupied",0,IF(H317=1,350,IF(H317=2,200,0)))</f>
        <v/>
      </c>
      <c r="J317" s="82">
        <f>IF(E317="Occupied",IFERROR(SUMIFS('Electricity Management'!$J:$J,'Electricity Management'!$A:$A,A317,'Electricity Management'!$C:$C,B317),0),0)</f>
        <v/>
      </c>
      <c r="K317" s="82">
        <f>IF(E317="Occupied",IFERROR(SUMIFS('Electricity Management'!$T:$T,'Electricity Management'!$K:$K,A317,'Electricity Management'!$L:$L,B317),0),0)</f>
        <v/>
      </c>
      <c r="O317" s="117" t="n"/>
      <c r="P317" s="116" t="n"/>
      <c r="Q317" s="116" t="n"/>
      <c r="R317" s="116" t="n"/>
      <c r="S317" s="119" t="n"/>
      <c r="T317" s="120">
        <f>IF(F317="Yes",A317&amp;"-"&amp;B317,C317)</f>
        <v/>
      </c>
    </row>
    <row r="318" ht="14.25" customHeight="1" s="83">
      <c r="A318" s="116" t="n"/>
      <c r="B318" s="116" t="n"/>
      <c r="C318" s="116" t="n"/>
      <c r="D318" s="116" t="n"/>
      <c r="E318" s="116">
        <f>IF(D318&lt;&gt;"","Occupied","Vacant")</f>
        <v/>
      </c>
      <c r="F318" s="116" t="n"/>
      <c r="G318" s="117" t="n"/>
      <c r="H318" s="116">
        <f>COUNTIFS($B:$B,B318,$E:$E,"Occupied")</f>
        <v/>
      </c>
      <c r="I318" s="82">
        <f>IF(E318&lt;&gt;"Occupied",0,IF(H318=1,350,IF(H318=2,200,0)))</f>
        <v/>
      </c>
      <c r="J318" s="82">
        <f>IF(E318="Occupied",IFERROR(SUMIFS('Electricity Management'!$J:$J,'Electricity Management'!$A:$A,A318,'Electricity Management'!$C:$C,B318),0),0)</f>
        <v/>
      </c>
      <c r="K318" s="82">
        <f>IF(E318="Occupied",IFERROR(SUMIFS('Electricity Management'!$T:$T,'Electricity Management'!$K:$K,A318,'Electricity Management'!$L:$L,B318),0),0)</f>
        <v/>
      </c>
      <c r="O318" s="117" t="n"/>
      <c r="P318" s="116" t="n"/>
      <c r="Q318" s="116" t="n"/>
      <c r="R318" s="116" t="n"/>
      <c r="S318" s="119" t="n"/>
      <c r="T318" s="120">
        <f>IF(F318="Yes",A318&amp;"-"&amp;B318,C318)</f>
        <v/>
      </c>
    </row>
    <row r="319" ht="14.25" customHeight="1" s="83">
      <c r="A319" s="116" t="n"/>
      <c r="B319" s="116" t="n"/>
      <c r="C319" s="116" t="n"/>
      <c r="D319" s="116" t="n"/>
      <c r="E319" s="116">
        <f>IF(D319&lt;&gt;"","Occupied","Vacant")</f>
        <v/>
      </c>
      <c r="F319" s="116" t="n"/>
      <c r="G319" s="117" t="n"/>
      <c r="H319" s="116">
        <f>COUNTIFS($B:$B,B319,$E:$E,"Occupied")</f>
        <v/>
      </c>
      <c r="I319" s="82">
        <f>IF(E319&lt;&gt;"Occupied",0,IF(H319=1,350,IF(H319=2,200,0)))</f>
        <v/>
      </c>
      <c r="J319" s="82">
        <f>IF(E319="Occupied",IFERROR(SUMIFS('Electricity Management'!$J:$J,'Electricity Management'!$A:$A,A319,'Electricity Management'!$C:$C,B319),0),0)</f>
        <v/>
      </c>
      <c r="K319" s="82">
        <f>IF(E319="Occupied",IFERROR(SUMIFS('Electricity Management'!$T:$T,'Electricity Management'!$K:$K,A319,'Electricity Management'!$L:$L,B319),0),0)</f>
        <v/>
      </c>
      <c r="O319" s="117" t="n"/>
      <c r="P319" s="116" t="n"/>
      <c r="Q319" s="116" t="n"/>
      <c r="R319" s="116" t="n"/>
      <c r="S319" s="119" t="n"/>
      <c r="T319" s="120">
        <f>IF(F319="Yes",A319&amp;"-"&amp;B319,C319)</f>
        <v/>
      </c>
    </row>
    <row r="320" ht="14.25" customHeight="1" s="83">
      <c r="A320" s="116" t="n"/>
      <c r="B320" s="116" t="n"/>
      <c r="C320" s="116" t="n"/>
      <c r="D320" s="116" t="n"/>
      <c r="E320" s="116">
        <f>IF(D320&lt;&gt;"","Occupied","Vacant")</f>
        <v/>
      </c>
      <c r="F320" s="116" t="n"/>
      <c r="G320" s="117" t="n"/>
      <c r="H320" s="116">
        <f>COUNTIFS($B:$B,B320,$E:$E,"Occupied")</f>
        <v/>
      </c>
      <c r="I320" s="82">
        <f>IF(E320&lt;&gt;"Occupied",0,IF(H320=1,350,IF(H320=2,200,0)))</f>
        <v/>
      </c>
      <c r="J320" s="82">
        <f>IF(E320="Occupied",IFERROR(SUMIFS('Electricity Management'!$J:$J,'Electricity Management'!$A:$A,A320,'Electricity Management'!$C:$C,B320),0),0)</f>
        <v/>
      </c>
      <c r="K320" s="82">
        <f>IF(E320="Occupied",IFERROR(SUMIFS('Electricity Management'!$T:$T,'Electricity Management'!$K:$K,A320,'Electricity Management'!$L:$L,B320),0),0)</f>
        <v/>
      </c>
      <c r="O320" s="117" t="n"/>
      <c r="P320" s="116" t="n"/>
      <c r="Q320" s="116" t="n"/>
      <c r="R320" s="116" t="n"/>
      <c r="S320" s="119" t="n"/>
      <c r="T320" s="120">
        <f>IF(F320="Yes",A320&amp;"-"&amp;B320,C320)</f>
        <v/>
      </c>
    </row>
    <row r="321" ht="14.25" customHeight="1" s="83">
      <c r="A321" s="116" t="n"/>
      <c r="B321" s="116" t="n"/>
      <c r="C321" s="116" t="n"/>
      <c r="D321" s="116" t="n"/>
      <c r="E321" s="116">
        <f>IF(D321&lt;&gt;"","Occupied","Vacant")</f>
        <v/>
      </c>
      <c r="F321" s="116" t="n"/>
      <c r="G321" s="117" t="n"/>
      <c r="H321" s="116">
        <f>COUNTIFS($B:$B,B321,$E:$E,"Occupied")</f>
        <v/>
      </c>
      <c r="I321" s="82">
        <f>IF(E321&lt;&gt;"Occupied",0,IF(H321=1,350,IF(H321=2,200,0)))</f>
        <v/>
      </c>
      <c r="J321" s="82">
        <f>IF(E321="Occupied",IFERROR(SUMIFS('Electricity Management'!$J:$J,'Electricity Management'!$A:$A,A321,'Electricity Management'!$C:$C,B321),0),0)</f>
        <v/>
      </c>
      <c r="K321" s="82">
        <f>IF(E321="Occupied",IFERROR(SUMIFS('Electricity Management'!$T:$T,'Electricity Management'!$K:$K,A321,'Electricity Management'!$L:$L,B321),0),0)</f>
        <v/>
      </c>
      <c r="O321" s="117" t="n"/>
      <c r="P321" s="116" t="n"/>
      <c r="Q321" s="116" t="n"/>
      <c r="R321" s="116" t="n"/>
      <c r="S321" s="119" t="n"/>
      <c r="T321" s="120">
        <f>IF(F321="Yes",A321&amp;"-"&amp;B321,C321)</f>
        <v/>
      </c>
    </row>
    <row r="322" ht="14.25" customHeight="1" s="83">
      <c r="A322" s="116" t="n"/>
      <c r="B322" s="116" t="n"/>
      <c r="C322" s="116" t="n"/>
      <c r="D322" s="116" t="n"/>
      <c r="E322" s="116">
        <f>IF(D322&lt;&gt;"","Occupied","Vacant")</f>
        <v/>
      </c>
      <c r="F322" s="116" t="n"/>
      <c r="G322" s="117" t="n"/>
      <c r="H322" s="116">
        <f>COUNTIFS($B:$B,B322,$E:$E,"Occupied")</f>
        <v/>
      </c>
      <c r="I322" s="82">
        <f>IF(E322&lt;&gt;"Occupied",0,IF(H322=1,350,IF(H322=2,200,0)))</f>
        <v/>
      </c>
      <c r="J322" s="82">
        <f>IF(E322="Occupied",IFERROR(SUMIFS('Electricity Management'!$J:$J,'Electricity Management'!$A:$A,A322,'Electricity Management'!$C:$C,B322),0),0)</f>
        <v/>
      </c>
      <c r="K322" s="82">
        <f>IF(E322="Occupied",IFERROR(SUMIFS('Electricity Management'!$T:$T,'Electricity Management'!$K:$K,A322,'Electricity Management'!$L:$L,B322),0),0)</f>
        <v/>
      </c>
      <c r="O322" s="117" t="n"/>
      <c r="P322" s="116" t="n"/>
      <c r="Q322" s="116" t="n"/>
      <c r="R322" s="116" t="n"/>
      <c r="S322" s="119" t="n"/>
      <c r="T322" s="120">
        <f>IF(F322="Yes",A322&amp;"-"&amp;B322,C322)</f>
        <v/>
      </c>
    </row>
    <row r="323" ht="14.25" customHeight="1" s="83">
      <c r="A323" s="116" t="n"/>
      <c r="B323" s="116" t="n"/>
      <c r="C323" s="116" t="n"/>
      <c r="D323" s="116" t="n"/>
      <c r="E323" s="116">
        <f>IF(D323&lt;&gt;"","Occupied","Vacant")</f>
        <v/>
      </c>
      <c r="F323" s="116" t="n"/>
      <c r="G323" s="117" t="n"/>
      <c r="H323" s="116">
        <f>COUNTIFS($B:$B,B323,$E:$E,"Occupied")</f>
        <v/>
      </c>
      <c r="I323" s="82">
        <f>IF(E323&lt;&gt;"Occupied",0,IF(H323=1,350,IF(H323=2,200,0)))</f>
        <v/>
      </c>
      <c r="J323" s="82">
        <f>IF(E323="Occupied",IFERROR(SUMIFS('Electricity Management'!$J:$J,'Electricity Management'!$A:$A,A323,'Electricity Management'!$C:$C,B323),0),0)</f>
        <v/>
      </c>
      <c r="K323" s="82">
        <f>IF(E323="Occupied",IFERROR(SUMIFS('Electricity Management'!$T:$T,'Electricity Management'!$K:$K,A323,'Electricity Management'!$L:$L,B323),0),0)</f>
        <v/>
      </c>
      <c r="O323" s="117" t="n"/>
      <c r="P323" s="116" t="n"/>
      <c r="Q323" s="116" t="n"/>
      <c r="R323" s="116" t="n"/>
      <c r="S323" s="119" t="n"/>
      <c r="T323" s="120">
        <f>IF(F323="Yes",A323&amp;"-"&amp;B323,C323)</f>
        <v/>
      </c>
    </row>
    <row r="324" ht="14.25" customHeight="1" s="83">
      <c r="A324" s="116" t="n"/>
      <c r="B324" s="116" t="n"/>
      <c r="C324" s="116" t="n"/>
      <c r="D324" s="116" t="n"/>
      <c r="E324" s="116">
        <f>IF(D324&lt;&gt;"","Occupied","Vacant")</f>
        <v/>
      </c>
      <c r="F324" s="116" t="n"/>
      <c r="G324" s="117" t="n"/>
      <c r="H324" s="116">
        <f>COUNTIFS($B:$B,B324,$E:$E,"Occupied")</f>
        <v/>
      </c>
      <c r="I324" s="82">
        <f>IF(E324&lt;&gt;"Occupied",0,IF(H324=1,350,IF(H324=2,200,0)))</f>
        <v/>
      </c>
      <c r="J324" s="82">
        <f>IF(E324="Occupied",IFERROR(SUMIFS('Electricity Management'!$J:$J,'Electricity Management'!$A:$A,A324,'Electricity Management'!$C:$C,B324),0),0)</f>
        <v/>
      </c>
      <c r="K324" s="82">
        <f>IF(E324="Occupied",IFERROR(SUMIFS('Electricity Management'!$T:$T,'Electricity Management'!$K:$K,A324,'Electricity Management'!$L:$L,B324),0),0)</f>
        <v/>
      </c>
      <c r="O324" s="117" t="n"/>
      <c r="P324" s="116" t="n"/>
      <c r="Q324" s="116" t="n"/>
      <c r="R324" s="116" t="n"/>
      <c r="S324" s="119" t="n"/>
      <c r="T324" s="120">
        <f>IF(F324="Yes",A324&amp;"-"&amp;B324,C324)</f>
        <v/>
      </c>
    </row>
    <row r="325" ht="14.25" customHeight="1" s="83">
      <c r="A325" s="116" t="n"/>
      <c r="B325" s="116" t="n"/>
      <c r="C325" s="116" t="n"/>
      <c r="D325" s="116" t="n"/>
      <c r="E325" s="116">
        <f>IF(D325&lt;&gt;"","Occupied","Vacant")</f>
        <v/>
      </c>
      <c r="F325" s="116" t="n"/>
      <c r="G325" s="117" t="n"/>
      <c r="H325" s="116">
        <f>COUNTIFS($B:$B,B325,$E:$E,"Occupied")</f>
        <v/>
      </c>
      <c r="I325" s="82">
        <f>IF(E325&lt;&gt;"Occupied",0,IF(H325=1,350,IF(H325=2,200,0)))</f>
        <v/>
      </c>
      <c r="J325" s="82">
        <f>IF(E325="Occupied",IFERROR(SUMIFS('Electricity Management'!$J:$J,'Electricity Management'!$A:$A,A325,'Electricity Management'!$C:$C,B325),0),0)</f>
        <v/>
      </c>
      <c r="K325" s="82">
        <f>IF(E325="Occupied",IFERROR(SUMIFS('Electricity Management'!$T:$T,'Electricity Management'!$K:$K,A325,'Electricity Management'!$L:$L,B325),0),0)</f>
        <v/>
      </c>
      <c r="O325" s="117" t="n"/>
      <c r="P325" s="116" t="n"/>
      <c r="Q325" s="116" t="n"/>
      <c r="R325" s="116" t="n"/>
      <c r="S325" s="119" t="n"/>
      <c r="T325" s="120">
        <f>IF(F325="Yes",A325&amp;"-"&amp;B325,C325)</f>
        <v/>
      </c>
    </row>
    <row r="326" ht="14.25" customHeight="1" s="83">
      <c r="A326" s="116" t="n"/>
      <c r="B326" s="116" t="n"/>
      <c r="C326" s="116" t="n"/>
      <c r="D326" s="116" t="n"/>
      <c r="E326" s="116">
        <f>IF(D326&lt;&gt;"","Occupied","Vacant")</f>
        <v/>
      </c>
      <c r="F326" s="116" t="n"/>
      <c r="G326" s="117" t="n"/>
      <c r="H326" s="116">
        <f>COUNTIFS($B:$B,B326,$E:$E,"Occupied")</f>
        <v/>
      </c>
      <c r="I326" s="82">
        <f>IF(E326&lt;&gt;"Occupied",0,IF(H326=1,350,IF(H326=2,200,0)))</f>
        <v/>
      </c>
      <c r="J326" s="82">
        <f>IF(E326="Occupied",IFERROR(SUMIFS('Electricity Management'!$J:$J,'Electricity Management'!$A:$A,A326,'Electricity Management'!$C:$C,B326),0),0)</f>
        <v/>
      </c>
      <c r="K326" s="82">
        <f>IF(E326="Occupied",IFERROR(SUMIFS('Electricity Management'!$T:$T,'Electricity Management'!$K:$K,A326,'Electricity Management'!$L:$L,B326),0),0)</f>
        <v/>
      </c>
      <c r="O326" s="117" t="n"/>
      <c r="P326" s="116" t="n"/>
      <c r="Q326" s="116" t="n"/>
      <c r="R326" s="116" t="n"/>
      <c r="S326" s="119" t="n"/>
      <c r="T326" s="120">
        <f>IF(F326="Yes",A326&amp;"-"&amp;B326,C326)</f>
        <v/>
      </c>
    </row>
    <row r="327" ht="14.25" customHeight="1" s="83">
      <c r="A327" s="116" t="n"/>
      <c r="B327" s="116" t="n"/>
      <c r="C327" s="116" t="n"/>
      <c r="D327" s="116" t="n"/>
      <c r="E327" s="116">
        <f>IF(D327&lt;&gt;"","Occupied","Vacant")</f>
        <v/>
      </c>
      <c r="F327" s="116" t="n"/>
      <c r="G327" s="117" t="n"/>
      <c r="H327" s="116">
        <f>COUNTIFS($B:$B,B327,$E:$E,"Occupied")</f>
        <v/>
      </c>
      <c r="I327" s="82">
        <f>IF(E327&lt;&gt;"Occupied",0,IF(H327=1,350,IF(H327=2,200,0)))</f>
        <v/>
      </c>
      <c r="J327" s="82">
        <f>IF(E327="Occupied",IFERROR(SUMIFS('Electricity Management'!$J:$J,'Electricity Management'!$A:$A,A327,'Electricity Management'!$C:$C,B327),0),0)</f>
        <v/>
      </c>
      <c r="K327" s="82">
        <f>IF(E327="Occupied",IFERROR(SUMIFS('Electricity Management'!$T:$T,'Electricity Management'!$K:$K,A327,'Electricity Management'!$L:$L,B327),0),0)</f>
        <v/>
      </c>
      <c r="O327" s="117" t="n"/>
      <c r="P327" s="116" t="n"/>
      <c r="Q327" s="116" t="n"/>
      <c r="R327" s="116" t="n"/>
      <c r="S327" s="119" t="n"/>
      <c r="T327" s="120">
        <f>IF(F327="Yes",A327&amp;"-"&amp;B327,C327)</f>
        <v/>
      </c>
    </row>
    <row r="328" ht="14.25" customHeight="1" s="83">
      <c r="A328" s="116" t="n"/>
      <c r="B328" s="116" t="n"/>
      <c r="C328" s="116" t="n"/>
      <c r="D328" s="116" t="n"/>
      <c r="E328" s="116">
        <f>IF(D328&lt;&gt;"","Occupied","Vacant")</f>
        <v/>
      </c>
      <c r="F328" s="116" t="n"/>
      <c r="G328" s="117" t="n"/>
      <c r="H328" s="116">
        <f>COUNTIFS($B:$B,B328,$E:$E,"Occupied")</f>
        <v/>
      </c>
      <c r="I328" s="82">
        <f>IF(E328&lt;&gt;"Occupied",0,IF(H328=1,350,IF(H328=2,200,0)))</f>
        <v/>
      </c>
      <c r="J328" s="82">
        <f>IF(E328="Occupied",IFERROR(SUMIFS('Electricity Management'!$J:$J,'Electricity Management'!$A:$A,A328,'Electricity Management'!$C:$C,B328),0),0)</f>
        <v/>
      </c>
      <c r="K328" s="82">
        <f>IF(E328="Occupied",IFERROR(SUMIFS('Electricity Management'!$T:$T,'Electricity Management'!$K:$K,A328,'Electricity Management'!$L:$L,B328),0),0)</f>
        <v/>
      </c>
      <c r="O328" s="117" t="n"/>
      <c r="P328" s="116" t="n"/>
      <c r="Q328" s="116" t="n"/>
      <c r="R328" s="116" t="n"/>
      <c r="S328" s="119" t="n"/>
      <c r="T328" s="120">
        <f>IF(F328="Yes",A328&amp;"-"&amp;B328,C328)</f>
        <v/>
      </c>
    </row>
    <row r="329" ht="14.25" customHeight="1" s="83">
      <c r="A329" s="116" t="n"/>
      <c r="B329" s="116" t="n"/>
      <c r="C329" s="116" t="n"/>
      <c r="D329" s="116" t="n"/>
      <c r="E329" s="116">
        <f>IF(D329&lt;&gt;"","Occupied","Vacant")</f>
        <v/>
      </c>
      <c r="F329" s="116" t="n"/>
      <c r="G329" s="117" t="n"/>
      <c r="H329" s="116">
        <f>COUNTIFS($B:$B,B329,$E:$E,"Occupied")</f>
        <v/>
      </c>
      <c r="I329" s="82">
        <f>IF(E329&lt;&gt;"Occupied",0,IF(H329=1,350,IF(H329=2,200,0)))</f>
        <v/>
      </c>
      <c r="J329" s="82">
        <f>IF(E329="Occupied",IFERROR(SUMIFS('Electricity Management'!$J:$J,'Electricity Management'!$A:$A,A329,'Electricity Management'!$C:$C,B329),0),0)</f>
        <v/>
      </c>
      <c r="K329" s="82">
        <f>IF(E329="Occupied",IFERROR(SUMIFS('Electricity Management'!$T:$T,'Electricity Management'!$K:$K,A329,'Electricity Management'!$L:$L,B329),0),0)</f>
        <v/>
      </c>
      <c r="O329" s="117" t="n"/>
      <c r="P329" s="116" t="n"/>
      <c r="Q329" s="116" t="n"/>
      <c r="R329" s="116" t="n"/>
      <c r="S329" s="119" t="n"/>
      <c r="T329" s="120">
        <f>IF(F329="Yes",A329&amp;"-"&amp;B329,C329)</f>
        <v/>
      </c>
    </row>
    <row r="330" ht="14.25" customHeight="1" s="83">
      <c r="A330" s="116" t="n"/>
      <c r="B330" s="116" t="n"/>
      <c r="C330" s="116" t="n"/>
      <c r="D330" s="116" t="n"/>
      <c r="E330" s="116">
        <f>IF(D330&lt;&gt;"","Occupied","Vacant")</f>
        <v/>
      </c>
      <c r="F330" s="116" t="n"/>
      <c r="G330" s="117" t="n"/>
      <c r="H330" s="116">
        <f>COUNTIFS($B:$B,B330,$E:$E,"Occupied")</f>
        <v/>
      </c>
      <c r="I330" s="82">
        <f>IF(E330&lt;&gt;"Occupied",0,IF(H330=1,350,IF(H330=2,200,0)))</f>
        <v/>
      </c>
      <c r="J330" s="82">
        <f>IF(E330="Occupied",IFERROR(SUMIFS('Electricity Management'!$J:$J,'Electricity Management'!$A:$A,A330,'Electricity Management'!$C:$C,B330),0),0)</f>
        <v/>
      </c>
      <c r="K330" s="82">
        <f>IF(E330="Occupied",IFERROR(SUMIFS('Electricity Management'!$T:$T,'Electricity Management'!$K:$K,A330,'Electricity Management'!$L:$L,B330),0),0)</f>
        <v/>
      </c>
      <c r="O330" s="117" t="n"/>
      <c r="P330" s="116" t="n"/>
      <c r="Q330" s="116" t="n"/>
      <c r="R330" s="116" t="n"/>
      <c r="S330" s="119" t="n"/>
      <c r="T330" s="120">
        <f>IF(F330="Yes",A330&amp;"-"&amp;B330,C330)</f>
        <v/>
      </c>
    </row>
    <row r="331" ht="14.25" customHeight="1" s="83">
      <c r="A331" s="116" t="n"/>
      <c r="B331" s="116" t="n"/>
      <c r="C331" s="116" t="n"/>
      <c r="D331" s="116" t="n"/>
      <c r="E331" s="116">
        <f>IF(D331&lt;&gt;"","Occupied","Vacant")</f>
        <v/>
      </c>
      <c r="F331" s="116" t="n"/>
      <c r="G331" s="117" t="n"/>
      <c r="H331" s="116">
        <f>COUNTIFS($B:$B,B331,$E:$E,"Occupied")</f>
        <v/>
      </c>
      <c r="I331" s="82">
        <f>IF(E331&lt;&gt;"Occupied",0,IF(H331=1,350,IF(H331=2,200,0)))</f>
        <v/>
      </c>
      <c r="J331" s="82">
        <f>IF(E331="Occupied",IFERROR(SUMIFS('Electricity Management'!$J:$J,'Electricity Management'!$A:$A,A331,'Electricity Management'!$C:$C,B331),0),0)</f>
        <v/>
      </c>
      <c r="K331" s="82">
        <f>IF(E331="Occupied",IFERROR(SUMIFS('Electricity Management'!$T:$T,'Electricity Management'!$K:$K,A331,'Electricity Management'!$L:$L,B331),0),0)</f>
        <v/>
      </c>
      <c r="O331" s="117" t="n"/>
      <c r="P331" s="116" t="n"/>
      <c r="Q331" s="116" t="n"/>
      <c r="R331" s="116" t="n"/>
      <c r="S331" s="119" t="n"/>
      <c r="T331" s="120">
        <f>IF(F331="Yes",A331&amp;"-"&amp;B331,C331)</f>
        <v/>
      </c>
    </row>
    <row r="332" ht="14.25" customHeight="1" s="83">
      <c r="A332" s="116" t="n"/>
      <c r="B332" s="116" t="n"/>
      <c r="C332" s="116" t="n"/>
      <c r="D332" s="116" t="n"/>
      <c r="E332" s="116">
        <f>IF(D332&lt;&gt;"","Occupied","Vacant")</f>
        <v/>
      </c>
      <c r="F332" s="116" t="n"/>
      <c r="G332" s="117" t="n"/>
      <c r="H332" s="116">
        <f>COUNTIFS($B:$B,B332,$E:$E,"Occupied")</f>
        <v/>
      </c>
      <c r="I332" s="82">
        <f>IF(E332&lt;&gt;"Occupied",0,IF(H332=1,350,IF(H332=2,200,0)))</f>
        <v/>
      </c>
      <c r="J332" s="82">
        <f>IF(E332="Occupied",IFERROR(SUMIFS('Electricity Management'!$J:$J,'Electricity Management'!$A:$A,A332,'Electricity Management'!$C:$C,B332),0),0)</f>
        <v/>
      </c>
      <c r="K332" s="82">
        <f>IF(E332="Occupied",IFERROR(SUMIFS('Electricity Management'!$T:$T,'Electricity Management'!$K:$K,A332,'Electricity Management'!$L:$L,B332),0),0)</f>
        <v/>
      </c>
      <c r="O332" s="117" t="n"/>
      <c r="P332" s="116" t="n"/>
      <c r="Q332" s="116" t="n"/>
      <c r="R332" s="116" t="n"/>
      <c r="S332" s="119" t="n"/>
      <c r="T332" s="120">
        <f>IF(F332="Yes",A332&amp;"-"&amp;B332,C332)</f>
        <v/>
      </c>
    </row>
    <row r="333" ht="14.25" customHeight="1" s="83">
      <c r="A333" s="116" t="n"/>
      <c r="B333" s="116" t="n"/>
      <c r="C333" s="116" t="n"/>
      <c r="D333" s="116" t="n"/>
      <c r="E333" s="116">
        <f>IF(D333&lt;&gt;"","Occupied","Vacant")</f>
        <v/>
      </c>
      <c r="F333" s="116" t="n"/>
      <c r="G333" s="117" t="n"/>
      <c r="H333" s="116">
        <f>COUNTIFS($B:$B,B333,$E:$E,"Occupied")</f>
        <v/>
      </c>
      <c r="I333" s="82">
        <f>IF(E333&lt;&gt;"Occupied",0,IF(H333=1,350,IF(H333=2,200,0)))</f>
        <v/>
      </c>
      <c r="J333" s="82">
        <f>IF(E333="Occupied",IFERROR(SUMIFS('Electricity Management'!$J:$J,'Electricity Management'!$A:$A,A333,'Electricity Management'!$C:$C,B333),0),0)</f>
        <v/>
      </c>
      <c r="K333" s="82">
        <f>IF(E333="Occupied",IFERROR(SUMIFS('Electricity Management'!$T:$T,'Electricity Management'!$K:$K,A333,'Electricity Management'!$L:$L,B333),0),0)</f>
        <v/>
      </c>
      <c r="O333" s="117" t="n"/>
      <c r="P333" s="116" t="n"/>
      <c r="Q333" s="116" t="n"/>
      <c r="R333" s="116" t="n"/>
      <c r="S333" s="119" t="n"/>
      <c r="T333" s="120">
        <f>IF(F333="Yes",A333&amp;"-"&amp;B333,C333)</f>
        <v/>
      </c>
    </row>
    <row r="334" ht="14.25" customHeight="1" s="83">
      <c r="A334" s="116" t="n"/>
      <c r="B334" s="116" t="n"/>
      <c r="C334" s="116" t="n"/>
      <c r="D334" s="116" t="n"/>
      <c r="E334" s="116">
        <f>IF(D334&lt;&gt;"","Occupied","Vacant")</f>
        <v/>
      </c>
      <c r="F334" s="116" t="n"/>
      <c r="G334" s="117" t="n"/>
      <c r="H334" s="116">
        <f>COUNTIFS($B:$B,B334,$E:$E,"Occupied")</f>
        <v/>
      </c>
      <c r="I334" s="82">
        <f>IF(E334&lt;&gt;"Occupied",0,IF(H334=1,350,IF(H334=2,200,0)))</f>
        <v/>
      </c>
      <c r="J334" s="82">
        <f>IF(E334="Occupied",IFERROR(SUMIFS('Electricity Management'!$J:$J,'Electricity Management'!$A:$A,A334,'Electricity Management'!$C:$C,B334),0),0)</f>
        <v/>
      </c>
      <c r="K334" s="82">
        <f>IF(E334="Occupied",IFERROR(SUMIFS('Electricity Management'!$T:$T,'Electricity Management'!$K:$K,A334,'Electricity Management'!$L:$L,B334),0),0)</f>
        <v/>
      </c>
      <c r="O334" s="117" t="n"/>
      <c r="P334" s="116" t="n"/>
      <c r="Q334" s="116" t="n"/>
      <c r="R334" s="116" t="n"/>
      <c r="S334" s="119" t="n"/>
      <c r="T334" s="120">
        <f>IF(F334="Yes",A334&amp;"-"&amp;B334,C334)</f>
        <v/>
      </c>
    </row>
    <row r="335" ht="14.25" customHeight="1" s="83">
      <c r="A335" s="116" t="n"/>
      <c r="B335" s="116" t="n"/>
      <c r="C335" s="116" t="n"/>
      <c r="D335" s="116" t="n"/>
      <c r="E335" s="116">
        <f>IF(D335&lt;&gt;"","Occupied","Vacant")</f>
        <v/>
      </c>
      <c r="F335" s="116" t="n"/>
      <c r="G335" s="117" t="n"/>
      <c r="H335" s="116">
        <f>COUNTIFS($B:$B,B335,$E:$E,"Occupied")</f>
        <v/>
      </c>
      <c r="I335" s="82">
        <f>IF(E335&lt;&gt;"Occupied",0,IF(H335=1,350,IF(H335=2,200,0)))</f>
        <v/>
      </c>
      <c r="J335" s="82">
        <f>IF(E335="Occupied",IFERROR(SUMIFS('Electricity Management'!$J:$J,'Electricity Management'!$A:$A,A335,'Electricity Management'!$C:$C,B335),0),0)</f>
        <v/>
      </c>
      <c r="K335" s="82">
        <f>IF(E335="Occupied",IFERROR(SUMIFS('Electricity Management'!$T:$T,'Electricity Management'!$K:$K,A335,'Electricity Management'!$L:$L,B335),0),0)</f>
        <v/>
      </c>
      <c r="O335" s="117" t="n"/>
      <c r="P335" s="116" t="n"/>
      <c r="Q335" s="116" t="n"/>
      <c r="R335" s="116" t="n"/>
      <c r="S335" s="119" t="n"/>
      <c r="T335" s="120">
        <f>IF(F335="Yes",A335&amp;"-"&amp;B335,C335)</f>
        <v/>
      </c>
    </row>
    <row r="336" ht="14.25" customHeight="1" s="83">
      <c r="A336" s="116" t="n"/>
      <c r="B336" s="116" t="n"/>
      <c r="C336" s="116" t="n"/>
      <c r="D336" s="116" t="n"/>
      <c r="E336" s="116">
        <f>IF(D336&lt;&gt;"","Occupied","Vacant")</f>
        <v/>
      </c>
      <c r="F336" s="116" t="n"/>
      <c r="G336" s="117" t="n"/>
      <c r="H336" s="116">
        <f>COUNTIFS($B:$B,B336,$E:$E,"Occupied")</f>
        <v/>
      </c>
      <c r="I336" s="82">
        <f>IF(E336&lt;&gt;"Occupied",0,IF(H336=1,350,IF(H336=2,200,0)))</f>
        <v/>
      </c>
      <c r="J336" s="82">
        <f>IF(E336="Occupied",IFERROR(SUMIFS('Electricity Management'!$J:$J,'Electricity Management'!$A:$A,A336,'Electricity Management'!$C:$C,B336),0),0)</f>
        <v/>
      </c>
      <c r="K336" s="82">
        <f>IF(E336="Occupied",IFERROR(SUMIFS('Electricity Management'!$T:$T,'Electricity Management'!$K:$K,A336,'Electricity Management'!$L:$L,B336),0),0)</f>
        <v/>
      </c>
      <c r="O336" s="117" t="n"/>
      <c r="P336" s="116" t="n"/>
      <c r="Q336" s="116" t="n"/>
      <c r="R336" s="116" t="n"/>
      <c r="S336" s="119" t="n"/>
      <c r="T336" s="120">
        <f>IF(F336="Yes",A336&amp;"-"&amp;B336,C336)</f>
        <v/>
      </c>
    </row>
    <row r="337" ht="14.25" customHeight="1" s="83">
      <c r="A337" s="116" t="n"/>
      <c r="B337" s="116" t="n"/>
      <c r="C337" s="116" t="n"/>
      <c r="D337" s="116" t="n"/>
      <c r="E337" s="116">
        <f>IF(D337&lt;&gt;"","Occupied","Vacant")</f>
        <v/>
      </c>
      <c r="F337" s="116" t="n"/>
      <c r="G337" s="117" t="n"/>
      <c r="H337" s="116">
        <f>COUNTIFS($B:$B,B337,$E:$E,"Occupied")</f>
        <v/>
      </c>
      <c r="I337" s="82">
        <f>IF(E337&lt;&gt;"Occupied",0,IF(H337=1,350,IF(H337=2,200,0)))</f>
        <v/>
      </c>
      <c r="J337" s="82">
        <f>IF(E337="Occupied",IFERROR(SUMIFS('Electricity Management'!$J:$J,'Electricity Management'!$A:$A,A337,'Electricity Management'!$C:$C,B337),0),0)</f>
        <v/>
      </c>
      <c r="K337" s="82">
        <f>IF(E337="Occupied",IFERROR(SUMIFS('Electricity Management'!$T:$T,'Electricity Management'!$K:$K,A337,'Electricity Management'!$L:$L,B337),0),0)</f>
        <v/>
      </c>
      <c r="O337" s="117" t="n"/>
      <c r="P337" s="116" t="n"/>
      <c r="Q337" s="116" t="n"/>
      <c r="R337" s="116" t="n"/>
      <c r="S337" s="119" t="n"/>
      <c r="T337" s="120">
        <f>IF(F337="Yes",A337&amp;"-"&amp;B337,C337)</f>
        <v/>
      </c>
    </row>
    <row r="338" ht="14.25" customHeight="1" s="83">
      <c r="A338" s="116" t="n"/>
      <c r="B338" s="116" t="n"/>
      <c r="C338" s="116" t="n"/>
      <c r="D338" s="116" t="n"/>
      <c r="E338" s="116">
        <f>IF(D338&lt;&gt;"","Occupied","Vacant")</f>
        <v/>
      </c>
      <c r="F338" s="116" t="n"/>
      <c r="G338" s="117" t="n"/>
      <c r="H338" s="116">
        <f>COUNTIFS($B:$B,B338,$E:$E,"Occupied")</f>
        <v/>
      </c>
      <c r="I338" s="82">
        <f>IF(E338&lt;&gt;"Occupied",0,IF(H338=1,350,IF(H338=2,200,0)))</f>
        <v/>
      </c>
      <c r="J338" s="82">
        <f>IF(E338="Occupied",IFERROR(SUMIFS('Electricity Management'!$J:$J,'Electricity Management'!$A:$A,A338,'Electricity Management'!$C:$C,B338),0),0)</f>
        <v/>
      </c>
      <c r="K338" s="82">
        <f>IF(E338="Occupied",IFERROR(SUMIFS('Electricity Management'!$T:$T,'Electricity Management'!$K:$K,A338,'Electricity Management'!$L:$L,B338),0),0)</f>
        <v/>
      </c>
      <c r="O338" s="117" t="n"/>
      <c r="P338" s="116" t="n"/>
      <c r="Q338" s="116" t="n"/>
      <c r="R338" s="116" t="n"/>
      <c r="S338" s="119" t="n"/>
      <c r="T338" s="120">
        <f>IF(F338="Yes",A338&amp;"-"&amp;B338,C338)</f>
        <v/>
      </c>
    </row>
    <row r="339" ht="14.25" customHeight="1" s="83">
      <c r="A339" s="116" t="n"/>
      <c r="B339" s="116" t="n"/>
      <c r="C339" s="116" t="n"/>
      <c r="D339" s="116" t="n"/>
      <c r="E339" s="116">
        <f>IF(D339&lt;&gt;"","Occupied","Vacant")</f>
        <v/>
      </c>
      <c r="F339" s="116" t="n"/>
      <c r="G339" s="117" t="n"/>
      <c r="H339" s="116">
        <f>COUNTIFS($B:$B,B339,$E:$E,"Occupied")</f>
        <v/>
      </c>
      <c r="I339" s="82">
        <f>IF(E339&lt;&gt;"Occupied",0,IF(H339=1,350,IF(H339=2,200,0)))</f>
        <v/>
      </c>
      <c r="J339" s="82">
        <f>IF(E339="Occupied",IFERROR(SUMIFS('Electricity Management'!$J:$J,'Electricity Management'!$A:$A,A339,'Electricity Management'!$C:$C,B339),0),0)</f>
        <v/>
      </c>
      <c r="K339" s="82">
        <f>IF(E339="Occupied",IFERROR(SUMIFS('Electricity Management'!$T:$T,'Electricity Management'!$K:$K,A339,'Electricity Management'!$L:$L,B339),0),0)</f>
        <v/>
      </c>
      <c r="O339" s="117" t="n"/>
      <c r="P339" s="116" t="n"/>
      <c r="Q339" s="116" t="n"/>
      <c r="R339" s="116" t="n"/>
      <c r="S339" s="119" t="n"/>
      <c r="T339" s="120">
        <f>IF(F339="Yes",A339&amp;"-"&amp;B339,C339)</f>
        <v/>
      </c>
    </row>
    <row r="340" ht="14.25" customHeight="1" s="83">
      <c r="A340" s="116" t="n"/>
      <c r="B340" s="116" t="n"/>
      <c r="C340" s="116" t="n"/>
      <c r="D340" s="116" t="n"/>
      <c r="E340" s="116">
        <f>IF(D340&lt;&gt;"","Occupied","Vacant")</f>
        <v/>
      </c>
      <c r="F340" s="116" t="n"/>
      <c r="G340" s="117" t="n"/>
      <c r="H340" s="116">
        <f>COUNTIFS($B:$B,B340,$E:$E,"Occupied")</f>
        <v/>
      </c>
      <c r="I340" s="82">
        <f>IF(E340&lt;&gt;"Occupied",0,IF(H340=1,350,IF(H340=2,200,0)))</f>
        <v/>
      </c>
      <c r="J340" s="82">
        <f>IF(E340="Occupied",IFERROR(SUMIFS('Electricity Management'!$J:$J,'Electricity Management'!$A:$A,A340,'Electricity Management'!$C:$C,B340),0),0)</f>
        <v/>
      </c>
      <c r="K340" s="82">
        <f>IF(E340="Occupied",IFERROR(SUMIFS('Electricity Management'!$T:$T,'Electricity Management'!$K:$K,A340,'Electricity Management'!$L:$L,B340),0),0)</f>
        <v/>
      </c>
      <c r="O340" s="117" t="n"/>
      <c r="P340" s="116" t="n"/>
      <c r="Q340" s="116" t="n"/>
      <c r="R340" s="116" t="n"/>
      <c r="S340" s="119" t="n"/>
      <c r="T340" s="120">
        <f>IF(F340="Yes",A340&amp;"-"&amp;B340,C340)</f>
        <v/>
      </c>
    </row>
    <row r="341" ht="14.25" customHeight="1" s="83">
      <c r="A341" s="116" t="n"/>
      <c r="B341" s="116" t="n"/>
      <c r="C341" s="116" t="n"/>
      <c r="D341" s="116" t="n"/>
      <c r="E341" s="116">
        <f>IF(D341&lt;&gt;"","Occupied","Vacant")</f>
        <v/>
      </c>
      <c r="F341" s="116" t="n"/>
      <c r="G341" s="117" t="n"/>
      <c r="H341" s="116">
        <f>COUNTIFS($B:$B,B341,$E:$E,"Occupied")</f>
        <v/>
      </c>
      <c r="I341" s="82">
        <f>IF(E341&lt;&gt;"Occupied",0,IF(H341=1,350,IF(H341=2,200,0)))</f>
        <v/>
      </c>
      <c r="J341" s="82">
        <f>IF(E341="Occupied",IFERROR(SUMIFS('Electricity Management'!$J:$J,'Electricity Management'!$A:$A,A341,'Electricity Management'!$C:$C,B341),0),0)</f>
        <v/>
      </c>
      <c r="K341" s="82">
        <f>IF(E341="Occupied",IFERROR(SUMIFS('Electricity Management'!$T:$T,'Electricity Management'!$K:$K,A341,'Electricity Management'!$L:$L,B341),0),0)</f>
        <v/>
      </c>
      <c r="O341" s="117" t="n"/>
      <c r="P341" s="116" t="n"/>
      <c r="Q341" s="116" t="n"/>
      <c r="R341" s="116" t="n"/>
      <c r="S341" s="119" t="n"/>
      <c r="T341" s="120">
        <f>IF(F341="Yes",A341&amp;"-"&amp;B341,C341)</f>
        <v/>
      </c>
    </row>
    <row r="342" ht="14.25" customHeight="1" s="83">
      <c r="A342" s="116" t="n"/>
      <c r="B342" s="116" t="n"/>
      <c r="C342" s="116" t="n"/>
      <c r="D342" s="116" t="n"/>
      <c r="E342" s="116">
        <f>IF(D342&lt;&gt;"","Occupied","Vacant")</f>
        <v/>
      </c>
      <c r="F342" s="116" t="n"/>
      <c r="G342" s="117" t="n"/>
      <c r="H342" s="116">
        <f>COUNTIFS($B:$B,B342,$E:$E,"Occupied")</f>
        <v/>
      </c>
      <c r="I342" s="82">
        <f>IF(E342&lt;&gt;"Occupied",0,IF(H342=1,350,IF(H342=2,200,0)))</f>
        <v/>
      </c>
      <c r="J342" s="82">
        <f>IF(E342="Occupied",IFERROR(SUMIFS('Electricity Management'!$J:$J,'Electricity Management'!$A:$A,A342,'Electricity Management'!$C:$C,B342),0),0)</f>
        <v/>
      </c>
      <c r="K342" s="82">
        <f>IF(E342="Occupied",IFERROR(SUMIFS('Electricity Management'!$T:$T,'Electricity Management'!$K:$K,A342,'Electricity Management'!$L:$L,B342),0),0)</f>
        <v/>
      </c>
      <c r="O342" s="117" t="n"/>
      <c r="P342" s="116" t="n"/>
      <c r="Q342" s="116" t="n"/>
      <c r="R342" s="116" t="n"/>
      <c r="S342" s="119" t="n"/>
      <c r="T342" s="120">
        <f>IF(F342="Yes",A342&amp;"-"&amp;B342,C342)</f>
        <v/>
      </c>
    </row>
    <row r="343" ht="14.25" customHeight="1" s="83">
      <c r="A343" s="116" t="n"/>
      <c r="B343" s="116" t="n"/>
      <c r="C343" s="116" t="n"/>
      <c r="D343" s="116" t="n"/>
      <c r="E343" s="116">
        <f>IF(D343&lt;&gt;"","Occupied","Vacant")</f>
        <v/>
      </c>
      <c r="F343" s="116" t="n"/>
      <c r="G343" s="117" t="n"/>
      <c r="H343" s="116">
        <f>COUNTIFS($B:$B,B343,$E:$E,"Occupied")</f>
        <v/>
      </c>
      <c r="I343" s="82">
        <f>IF(E343&lt;&gt;"Occupied",0,IF(H343=1,350,IF(H343=2,200,0)))</f>
        <v/>
      </c>
      <c r="J343" s="82">
        <f>IF(E343="Occupied",IFERROR(SUMIFS('Electricity Management'!$J:$J,'Electricity Management'!$A:$A,A343,'Electricity Management'!$C:$C,B343),0),0)</f>
        <v/>
      </c>
      <c r="K343" s="82">
        <f>IF(E343="Occupied",IFERROR(SUMIFS('Electricity Management'!$T:$T,'Electricity Management'!$K:$K,A343,'Electricity Management'!$L:$L,B343),0),0)</f>
        <v/>
      </c>
      <c r="O343" s="117" t="n"/>
      <c r="P343" s="116" t="n"/>
      <c r="Q343" s="116" t="n"/>
      <c r="R343" s="116" t="n"/>
      <c r="S343" s="119" t="n"/>
      <c r="T343" s="120">
        <f>IF(F343="Yes",A343&amp;"-"&amp;B343,C343)</f>
        <v/>
      </c>
    </row>
    <row r="344" ht="14.25" customHeight="1" s="83">
      <c r="A344" s="116" t="n"/>
      <c r="B344" s="116" t="n"/>
      <c r="C344" s="116" t="n"/>
      <c r="D344" s="116" t="n"/>
      <c r="E344" s="116">
        <f>IF(D344&lt;&gt;"","Occupied","Vacant")</f>
        <v/>
      </c>
      <c r="F344" s="116" t="n"/>
      <c r="G344" s="117" t="n"/>
      <c r="H344" s="116">
        <f>COUNTIFS($B:$B,B344,$E:$E,"Occupied")</f>
        <v/>
      </c>
      <c r="I344" s="82">
        <f>IF(E344&lt;&gt;"Occupied",0,IF(H344=1,350,IF(H344=2,200,0)))</f>
        <v/>
      </c>
      <c r="J344" s="82">
        <f>IF(E344="Occupied",IFERROR(SUMIFS('Electricity Management'!$J:$J,'Electricity Management'!$A:$A,A344,'Electricity Management'!$C:$C,B344),0),0)</f>
        <v/>
      </c>
      <c r="K344" s="82">
        <f>IF(E344="Occupied",IFERROR(SUMIFS('Electricity Management'!$T:$T,'Electricity Management'!$K:$K,A344,'Electricity Management'!$L:$L,B344),0),0)</f>
        <v/>
      </c>
      <c r="O344" s="117" t="n"/>
      <c r="P344" s="116" t="n"/>
      <c r="Q344" s="116" t="n"/>
      <c r="R344" s="116" t="n"/>
      <c r="S344" s="119" t="n"/>
      <c r="T344" s="120">
        <f>IF(F344="Yes",A344&amp;"-"&amp;B344,C344)</f>
        <v/>
      </c>
    </row>
    <row r="345" ht="14.25" customHeight="1" s="83">
      <c r="A345" s="116" t="n"/>
      <c r="B345" s="116" t="n"/>
      <c r="C345" s="116" t="n"/>
      <c r="D345" s="116" t="n"/>
      <c r="E345" s="116">
        <f>IF(D345&lt;&gt;"","Occupied","Vacant")</f>
        <v/>
      </c>
      <c r="F345" s="116" t="n"/>
      <c r="G345" s="117" t="n"/>
      <c r="H345" s="116">
        <f>COUNTIFS($B:$B,B345,$E:$E,"Occupied")</f>
        <v/>
      </c>
      <c r="I345" s="82">
        <f>IF(E345&lt;&gt;"Occupied",0,IF(H345=1,350,IF(H345=2,200,0)))</f>
        <v/>
      </c>
      <c r="J345" s="82">
        <f>IF(E345="Occupied",IFERROR(SUMIFS('Electricity Management'!$J:$J,'Electricity Management'!$A:$A,A345,'Electricity Management'!$C:$C,B345),0),0)</f>
        <v/>
      </c>
      <c r="K345" s="82">
        <f>IF(E345="Occupied",IFERROR(SUMIFS('Electricity Management'!$T:$T,'Electricity Management'!$K:$K,A345,'Electricity Management'!$L:$L,B345),0),0)</f>
        <v/>
      </c>
      <c r="O345" s="117" t="n"/>
      <c r="P345" s="116" t="n"/>
      <c r="Q345" s="116" t="n"/>
      <c r="R345" s="116" t="n"/>
      <c r="S345" s="119" t="n"/>
      <c r="T345" s="120">
        <f>IF(F345="Yes",A345&amp;"-"&amp;B345,C345)</f>
        <v/>
      </c>
    </row>
    <row r="346" ht="14.25" customHeight="1" s="83">
      <c r="A346" s="116" t="n"/>
      <c r="B346" s="116" t="n"/>
      <c r="C346" s="116" t="n"/>
      <c r="D346" s="116" t="n"/>
      <c r="E346" s="116">
        <f>IF(D346&lt;&gt;"","Occupied","Vacant")</f>
        <v/>
      </c>
      <c r="F346" s="116" t="n"/>
      <c r="G346" s="117" t="n"/>
      <c r="H346" s="116">
        <f>COUNTIFS($B:$B,B346,$E:$E,"Occupied")</f>
        <v/>
      </c>
      <c r="I346" s="82">
        <f>IF(E346&lt;&gt;"Occupied",0,IF(H346=1,350,IF(H346=2,200,0)))</f>
        <v/>
      </c>
      <c r="J346" s="82">
        <f>IF(E346="Occupied",IFERROR(SUMIFS('Electricity Management'!$J:$J,'Electricity Management'!$A:$A,A346,'Electricity Management'!$C:$C,B346),0),0)</f>
        <v/>
      </c>
      <c r="K346" s="82">
        <f>IF(E346="Occupied",IFERROR(SUMIFS('Electricity Management'!$T:$T,'Electricity Management'!$K:$K,A346,'Electricity Management'!$L:$L,B346),0),0)</f>
        <v/>
      </c>
      <c r="O346" s="117" t="n"/>
      <c r="P346" s="116" t="n"/>
      <c r="Q346" s="116" t="n"/>
      <c r="R346" s="116" t="n"/>
      <c r="S346" s="119" t="n"/>
      <c r="T346" s="120">
        <f>IF(F346="Yes",A346&amp;"-"&amp;B346,C346)</f>
        <v/>
      </c>
    </row>
    <row r="347" ht="14.25" customHeight="1" s="83">
      <c r="A347" s="116" t="n"/>
      <c r="B347" s="116" t="n"/>
      <c r="C347" s="116" t="n"/>
      <c r="D347" s="116" t="n"/>
      <c r="E347" s="116">
        <f>IF(D347&lt;&gt;"","Occupied","Vacant")</f>
        <v/>
      </c>
      <c r="F347" s="116" t="n"/>
      <c r="G347" s="117" t="n"/>
      <c r="H347" s="116">
        <f>COUNTIFS($B:$B,B347,$E:$E,"Occupied")</f>
        <v/>
      </c>
      <c r="I347" s="82">
        <f>IF(E347&lt;&gt;"Occupied",0,IF(H347=1,350,IF(H347=2,200,0)))</f>
        <v/>
      </c>
      <c r="J347" s="82">
        <f>IF(E347="Occupied",IFERROR(SUMIFS('Electricity Management'!$J:$J,'Electricity Management'!$A:$A,A347,'Electricity Management'!$C:$C,B347),0),0)</f>
        <v/>
      </c>
      <c r="K347" s="82">
        <f>IF(E347="Occupied",IFERROR(SUMIFS('Electricity Management'!$T:$T,'Electricity Management'!$K:$K,A347,'Electricity Management'!$L:$L,B347),0),0)</f>
        <v/>
      </c>
      <c r="O347" s="117" t="n"/>
      <c r="P347" s="116" t="n"/>
      <c r="Q347" s="116" t="n"/>
      <c r="R347" s="116" t="n"/>
      <c r="S347" s="119" t="n"/>
      <c r="T347" s="120">
        <f>IF(F347="Yes",A347&amp;"-"&amp;B347,C347)</f>
        <v/>
      </c>
    </row>
    <row r="348" ht="14.25" customHeight="1" s="83">
      <c r="A348" s="116" t="n"/>
      <c r="B348" s="116" t="n"/>
      <c r="C348" s="116" t="n"/>
      <c r="D348" s="116" t="n"/>
      <c r="E348" s="116">
        <f>IF(D348&lt;&gt;"","Occupied","Vacant")</f>
        <v/>
      </c>
      <c r="F348" s="116" t="n"/>
      <c r="G348" s="117" t="n"/>
      <c r="H348" s="116">
        <f>COUNTIFS($B:$B,B348,$E:$E,"Occupied")</f>
        <v/>
      </c>
      <c r="I348" s="82">
        <f>IF(E348&lt;&gt;"Occupied",0,IF(H348=1,350,IF(H348=2,200,0)))</f>
        <v/>
      </c>
      <c r="J348" s="82">
        <f>IF(E348="Occupied",IFERROR(SUMIFS('Electricity Management'!$J:$J,'Electricity Management'!$A:$A,A348,'Electricity Management'!$C:$C,B348),0),0)</f>
        <v/>
      </c>
      <c r="K348" s="82">
        <f>IF(E348="Occupied",IFERROR(SUMIFS('Electricity Management'!$T:$T,'Electricity Management'!$K:$K,A348,'Electricity Management'!$L:$L,B348),0),0)</f>
        <v/>
      </c>
      <c r="O348" s="117" t="n"/>
      <c r="P348" s="116" t="n"/>
      <c r="Q348" s="116" t="n"/>
      <c r="R348" s="116" t="n"/>
      <c r="S348" s="119" t="n"/>
      <c r="T348" s="120">
        <f>IF(F348="Yes",A348&amp;"-"&amp;B348,C348)</f>
        <v/>
      </c>
    </row>
    <row r="349" ht="14.25" customHeight="1" s="83">
      <c r="A349" s="116" t="n"/>
      <c r="B349" s="116" t="n"/>
      <c r="C349" s="116" t="n"/>
      <c r="D349" s="116" t="n"/>
      <c r="E349" s="116">
        <f>IF(D349&lt;&gt;"","Occupied","Vacant")</f>
        <v/>
      </c>
      <c r="F349" s="116" t="n"/>
      <c r="G349" s="117" t="n"/>
      <c r="H349" s="116">
        <f>COUNTIFS($B:$B,B349,$E:$E,"Occupied")</f>
        <v/>
      </c>
      <c r="I349" s="82">
        <f>IF(E349&lt;&gt;"Occupied",0,IF(H349=1,350,IF(H349=2,200,0)))</f>
        <v/>
      </c>
      <c r="J349" s="82">
        <f>IF(E349="Occupied",IFERROR(SUMIFS('Electricity Management'!$J:$J,'Electricity Management'!$A:$A,A349,'Electricity Management'!$C:$C,B349),0),0)</f>
        <v/>
      </c>
      <c r="K349" s="82">
        <f>IF(E349="Occupied",IFERROR(SUMIFS('Electricity Management'!$T:$T,'Electricity Management'!$K:$K,A349,'Electricity Management'!$L:$L,B349),0),0)</f>
        <v/>
      </c>
      <c r="O349" s="117" t="n"/>
      <c r="P349" s="116" t="n"/>
      <c r="Q349" s="116" t="n"/>
      <c r="R349" s="116" t="n"/>
      <c r="S349" s="119" t="n"/>
      <c r="T349" s="120">
        <f>IF(F349="Yes",A349&amp;"-"&amp;B349,C349)</f>
        <v/>
      </c>
    </row>
    <row r="350" ht="14.25" customHeight="1" s="83">
      <c r="A350" s="116" t="n"/>
      <c r="B350" s="116" t="n"/>
      <c r="C350" s="116" t="n"/>
      <c r="D350" s="116" t="n"/>
      <c r="E350" s="116">
        <f>IF(D350&lt;&gt;"","Occupied","Vacant")</f>
        <v/>
      </c>
      <c r="F350" s="116" t="n"/>
      <c r="G350" s="117" t="n"/>
      <c r="H350" s="116">
        <f>COUNTIFS($B:$B,B350,$E:$E,"Occupied")</f>
        <v/>
      </c>
      <c r="I350" s="82">
        <f>IF(E350&lt;&gt;"Occupied",0,IF(H350=1,350,IF(H350=2,200,0)))</f>
        <v/>
      </c>
      <c r="J350" s="82">
        <f>IF(E350="Occupied",IFERROR(SUMIFS('Electricity Management'!$J:$J,'Electricity Management'!$A:$A,A350,'Electricity Management'!$C:$C,B350),0),0)</f>
        <v/>
      </c>
      <c r="K350" s="82">
        <f>IF(E350="Occupied",IFERROR(SUMIFS('Electricity Management'!$T:$T,'Electricity Management'!$K:$K,A350,'Electricity Management'!$L:$L,B350),0),0)</f>
        <v/>
      </c>
      <c r="O350" s="117" t="n"/>
      <c r="P350" s="116" t="n"/>
      <c r="Q350" s="116" t="n"/>
      <c r="R350" s="116" t="n"/>
      <c r="S350" s="119" t="n"/>
      <c r="T350" s="120">
        <f>IF(F350="Yes",A350&amp;"-"&amp;B350,C350)</f>
        <v/>
      </c>
    </row>
    <row r="351" ht="14.25" customHeight="1" s="83">
      <c r="A351" s="116" t="n"/>
      <c r="B351" s="116" t="n"/>
      <c r="C351" s="116" t="n"/>
      <c r="D351" s="116" t="n"/>
      <c r="E351" s="116">
        <f>IF(D351&lt;&gt;"","Occupied","Vacant")</f>
        <v/>
      </c>
      <c r="F351" s="116" t="n"/>
      <c r="G351" s="117" t="n"/>
      <c r="H351" s="116">
        <f>COUNTIFS($B:$B,B351,$E:$E,"Occupied")</f>
        <v/>
      </c>
      <c r="I351" s="82">
        <f>IF(E351&lt;&gt;"Occupied",0,IF(H351=1,350,IF(H351=2,200,0)))</f>
        <v/>
      </c>
      <c r="J351" s="82">
        <f>IF(E351="Occupied",IFERROR(SUMIFS('Electricity Management'!$J:$J,'Electricity Management'!$A:$A,A351,'Electricity Management'!$C:$C,B351),0),0)</f>
        <v/>
      </c>
      <c r="K351" s="82">
        <f>IF(E351="Occupied",IFERROR(SUMIFS('Electricity Management'!$T:$T,'Electricity Management'!$K:$K,A351,'Electricity Management'!$L:$L,B351),0),0)</f>
        <v/>
      </c>
      <c r="O351" s="117" t="n"/>
      <c r="P351" s="116" t="n"/>
      <c r="Q351" s="116" t="n"/>
      <c r="R351" s="116" t="n"/>
      <c r="S351" s="119" t="n"/>
      <c r="T351" s="120">
        <f>IF(F351="Yes",A351&amp;"-"&amp;B351,C351)</f>
        <v/>
      </c>
    </row>
    <row r="352" ht="14.25" customHeight="1" s="83">
      <c r="A352" s="116" t="n"/>
      <c r="B352" s="116" t="n"/>
      <c r="C352" s="116" t="n"/>
      <c r="D352" s="116" t="n"/>
      <c r="E352" s="116">
        <f>IF(D352&lt;&gt;"","Occupied","Vacant")</f>
        <v/>
      </c>
      <c r="F352" s="116" t="n"/>
      <c r="G352" s="117" t="n"/>
      <c r="H352" s="116">
        <f>COUNTIFS($B:$B,B352,$E:$E,"Occupied")</f>
        <v/>
      </c>
      <c r="I352" s="82">
        <f>IF(E352&lt;&gt;"Occupied",0,IF(H352=1,350,IF(H352=2,200,0)))</f>
        <v/>
      </c>
      <c r="J352" s="82">
        <f>IF(E352="Occupied",IFERROR(SUMIFS('Electricity Management'!$J:$J,'Electricity Management'!$A:$A,A352,'Electricity Management'!$C:$C,B352),0),0)</f>
        <v/>
      </c>
      <c r="K352" s="82">
        <f>IF(E352="Occupied",IFERROR(SUMIFS('Electricity Management'!$T:$T,'Electricity Management'!$K:$K,A352,'Electricity Management'!$L:$L,B352),0),0)</f>
        <v/>
      </c>
      <c r="O352" s="117" t="n"/>
      <c r="P352" s="116" t="n"/>
      <c r="Q352" s="116" t="n"/>
      <c r="R352" s="116" t="n"/>
      <c r="S352" s="119" t="n"/>
      <c r="T352" s="120">
        <f>IF(F352="Yes",A352&amp;"-"&amp;B352,C352)</f>
        <v/>
      </c>
    </row>
    <row r="353" ht="14.25" customHeight="1" s="83">
      <c r="A353" s="116" t="n"/>
      <c r="B353" s="116" t="n"/>
      <c r="C353" s="116" t="n"/>
      <c r="D353" s="116" t="n"/>
      <c r="E353" s="116">
        <f>IF(D353&lt;&gt;"","Occupied","Vacant")</f>
        <v/>
      </c>
      <c r="F353" s="116" t="n"/>
      <c r="G353" s="117" t="n"/>
      <c r="H353" s="116">
        <f>COUNTIFS($B:$B,B353,$E:$E,"Occupied")</f>
        <v/>
      </c>
      <c r="I353" s="82">
        <f>IF(E353&lt;&gt;"Occupied",0,IF(H353=1,350,IF(H353=2,200,0)))</f>
        <v/>
      </c>
      <c r="J353" s="82">
        <f>IF(E353="Occupied",IFERROR(SUMIFS('Electricity Management'!$J:$J,'Electricity Management'!$A:$A,A353,'Electricity Management'!$C:$C,B353),0),0)</f>
        <v/>
      </c>
      <c r="K353" s="82">
        <f>IF(E353="Occupied",IFERROR(SUMIFS('Electricity Management'!$T:$T,'Electricity Management'!$K:$K,A353,'Electricity Management'!$L:$L,B353),0),0)</f>
        <v/>
      </c>
      <c r="O353" s="117" t="n"/>
      <c r="P353" s="116" t="n"/>
      <c r="Q353" s="116" t="n"/>
      <c r="R353" s="116" t="n"/>
      <c r="S353" s="119" t="n"/>
      <c r="T353" s="120">
        <f>IF(F353="Yes",A353&amp;"-"&amp;B353,C353)</f>
        <v/>
      </c>
    </row>
    <row r="354" ht="14.25" customHeight="1" s="83">
      <c r="A354" s="116" t="n"/>
      <c r="B354" s="116" t="n"/>
      <c r="C354" s="116" t="n"/>
      <c r="D354" s="116" t="n"/>
      <c r="E354" s="116">
        <f>IF(D354&lt;&gt;"","Occupied","Vacant")</f>
        <v/>
      </c>
      <c r="F354" s="116" t="n"/>
      <c r="G354" s="117" t="n"/>
      <c r="H354" s="116">
        <f>COUNTIFS($B:$B,B354,$E:$E,"Occupied")</f>
        <v/>
      </c>
      <c r="I354" s="82">
        <f>IF(E354&lt;&gt;"Occupied",0,IF(H354=1,350,IF(H354=2,200,0)))</f>
        <v/>
      </c>
      <c r="J354" s="82">
        <f>IF(E354="Occupied",IFERROR(SUMIFS('Electricity Management'!$J:$J,'Electricity Management'!$A:$A,A354,'Electricity Management'!$C:$C,B354),0),0)</f>
        <v/>
      </c>
      <c r="K354" s="82">
        <f>IF(E354="Occupied",IFERROR(SUMIFS('Electricity Management'!$T:$T,'Electricity Management'!$K:$K,A354,'Electricity Management'!$L:$L,B354),0),0)</f>
        <v/>
      </c>
      <c r="O354" s="117" t="n"/>
      <c r="P354" s="116" t="n"/>
      <c r="Q354" s="116" t="n"/>
      <c r="R354" s="116" t="n"/>
      <c r="S354" s="119" t="n"/>
      <c r="T354" s="120">
        <f>IF(F354="Yes",A354&amp;"-"&amp;B354,C354)</f>
        <v/>
      </c>
    </row>
    <row r="355" ht="14.25" customHeight="1" s="83">
      <c r="A355" s="116" t="n"/>
      <c r="B355" s="116" t="n"/>
      <c r="C355" s="116" t="n"/>
      <c r="D355" s="116" t="n"/>
      <c r="E355" s="116">
        <f>IF(D355&lt;&gt;"","Occupied","Vacant")</f>
        <v/>
      </c>
      <c r="F355" s="116" t="n"/>
      <c r="G355" s="117" t="n"/>
      <c r="H355" s="116">
        <f>COUNTIFS($B:$B,B355,$E:$E,"Occupied")</f>
        <v/>
      </c>
      <c r="I355" s="82">
        <f>IF(E355&lt;&gt;"Occupied",0,IF(H355=1,350,IF(H355=2,200,0)))</f>
        <v/>
      </c>
      <c r="J355" s="82">
        <f>IF(E355="Occupied",IFERROR(SUMIFS('Electricity Management'!$J:$J,'Electricity Management'!$A:$A,A355,'Electricity Management'!$C:$C,B355),0),0)</f>
        <v/>
      </c>
      <c r="K355" s="82">
        <f>IF(E355="Occupied",IFERROR(SUMIFS('Electricity Management'!$T:$T,'Electricity Management'!$K:$K,A355,'Electricity Management'!$L:$L,B355),0),0)</f>
        <v/>
      </c>
      <c r="O355" s="117" t="n"/>
      <c r="P355" s="116" t="n"/>
      <c r="Q355" s="116" t="n"/>
      <c r="R355" s="116" t="n"/>
      <c r="S355" s="119" t="n"/>
      <c r="T355" s="120">
        <f>IF(F355="Yes",A355&amp;"-"&amp;B355,C355)</f>
        <v/>
      </c>
    </row>
    <row r="356" ht="14.25" customHeight="1" s="83">
      <c r="A356" s="116" t="n"/>
      <c r="B356" s="116" t="n"/>
      <c r="C356" s="116" t="n"/>
      <c r="D356" s="116" t="n"/>
      <c r="E356" s="116">
        <f>IF(D356&lt;&gt;"","Occupied","Vacant")</f>
        <v/>
      </c>
      <c r="F356" s="116" t="n"/>
      <c r="G356" s="117" t="n"/>
      <c r="H356" s="116">
        <f>COUNTIFS($B:$B,B356,$E:$E,"Occupied")</f>
        <v/>
      </c>
      <c r="I356" s="82">
        <f>IF(E356&lt;&gt;"Occupied",0,IF(H356=1,350,IF(H356=2,200,0)))</f>
        <v/>
      </c>
      <c r="J356" s="82">
        <f>IF(E356="Occupied",IFERROR(SUMIFS('Electricity Management'!$J:$J,'Electricity Management'!$A:$A,A356,'Electricity Management'!$C:$C,B356),0),0)</f>
        <v/>
      </c>
      <c r="K356" s="82">
        <f>IF(E356="Occupied",IFERROR(SUMIFS('Electricity Management'!$T:$T,'Electricity Management'!$K:$K,A356,'Electricity Management'!$L:$L,B356),0),0)</f>
        <v/>
      </c>
      <c r="O356" s="117" t="n"/>
      <c r="P356" s="116" t="n"/>
      <c r="Q356" s="116" t="n"/>
      <c r="R356" s="116" t="n"/>
      <c r="S356" s="119" t="n"/>
      <c r="T356" s="120">
        <f>IF(F356="Yes",A356&amp;"-"&amp;B356,C356)</f>
        <v/>
      </c>
    </row>
    <row r="357" ht="14.25" customHeight="1" s="83">
      <c r="A357" s="116" t="n"/>
      <c r="B357" s="116" t="n"/>
      <c r="C357" s="116" t="n"/>
      <c r="D357" s="116" t="n"/>
      <c r="E357" s="116">
        <f>IF(D357&lt;&gt;"","Occupied","Vacant")</f>
        <v/>
      </c>
      <c r="F357" s="116" t="n"/>
      <c r="G357" s="117" t="n"/>
      <c r="H357" s="116">
        <f>COUNTIFS($B:$B,B357,$E:$E,"Occupied")</f>
        <v/>
      </c>
      <c r="I357" s="82">
        <f>IF(E357&lt;&gt;"Occupied",0,IF(H357=1,350,IF(H357=2,200,0)))</f>
        <v/>
      </c>
      <c r="J357" s="82">
        <f>IF(E357="Occupied",IFERROR(SUMIFS('Electricity Management'!$J:$J,'Electricity Management'!$A:$A,A357,'Electricity Management'!$C:$C,B357),0),0)</f>
        <v/>
      </c>
      <c r="K357" s="82">
        <f>IF(E357="Occupied",IFERROR(SUMIFS('Electricity Management'!$T:$T,'Electricity Management'!$K:$K,A357,'Electricity Management'!$L:$L,B357),0),0)</f>
        <v/>
      </c>
      <c r="O357" s="117" t="n"/>
      <c r="P357" s="116" t="n"/>
      <c r="Q357" s="116" t="n"/>
      <c r="R357" s="116" t="n"/>
      <c r="S357" s="119" t="n"/>
      <c r="T357" s="120">
        <f>IF(F357="Yes",A357&amp;"-"&amp;B357,C357)</f>
        <v/>
      </c>
    </row>
    <row r="358" ht="14.25" customHeight="1" s="83">
      <c r="A358" s="116" t="n"/>
      <c r="B358" s="116" t="n"/>
      <c r="C358" s="116" t="n"/>
      <c r="D358" s="116" t="n"/>
      <c r="E358" s="116">
        <f>IF(D358&lt;&gt;"","Occupied","Vacant")</f>
        <v/>
      </c>
      <c r="F358" s="116" t="n"/>
      <c r="G358" s="117" t="n"/>
      <c r="H358" s="116">
        <f>COUNTIFS($B:$B,B358,$E:$E,"Occupied")</f>
        <v/>
      </c>
      <c r="I358" s="82">
        <f>IF(E358&lt;&gt;"Occupied",0,IF(H358=1,350,IF(H358=2,200,0)))</f>
        <v/>
      </c>
      <c r="J358" s="82">
        <f>IF(E358="Occupied",IFERROR(SUMIFS('Electricity Management'!$J:$J,'Electricity Management'!$A:$A,A358,'Electricity Management'!$C:$C,B358),0),0)</f>
        <v/>
      </c>
      <c r="K358" s="82">
        <f>IF(E358="Occupied",IFERROR(SUMIFS('Electricity Management'!$T:$T,'Electricity Management'!$K:$K,A358,'Electricity Management'!$L:$L,B358),0),0)</f>
        <v/>
      </c>
      <c r="O358" s="117" t="n"/>
      <c r="P358" s="116" t="n"/>
      <c r="Q358" s="116" t="n"/>
      <c r="R358" s="116" t="n"/>
      <c r="S358" s="119" t="n"/>
      <c r="T358" s="120">
        <f>IF(F358="Yes",A358&amp;"-"&amp;B358,C358)</f>
        <v/>
      </c>
    </row>
    <row r="359" ht="14.25" customHeight="1" s="83">
      <c r="A359" s="116" t="n"/>
      <c r="B359" s="116" t="n"/>
      <c r="C359" s="116" t="n"/>
      <c r="D359" s="116" t="n"/>
      <c r="E359" s="116">
        <f>IF(D359&lt;&gt;"","Occupied","Vacant")</f>
        <v/>
      </c>
      <c r="F359" s="116" t="n"/>
      <c r="G359" s="117" t="n"/>
      <c r="H359" s="116">
        <f>COUNTIFS($B:$B,B359,$E:$E,"Occupied")</f>
        <v/>
      </c>
      <c r="I359" s="82">
        <f>IF(E359&lt;&gt;"Occupied",0,IF(H359=1,350,IF(H359=2,200,0)))</f>
        <v/>
      </c>
      <c r="J359" s="82">
        <f>IF(E359="Occupied",IFERROR(SUMIFS('Electricity Management'!$J:$J,'Electricity Management'!$A:$A,A359,'Electricity Management'!$C:$C,B359),0),0)</f>
        <v/>
      </c>
      <c r="K359" s="82">
        <f>IF(E359="Occupied",IFERROR(SUMIFS('Electricity Management'!$T:$T,'Electricity Management'!$K:$K,A359,'Electricity Management'!$L:$L,B359),0),0)</f>
        <v/>
      </c>
      <c r="O359" s="117" t="n"/>
      <c r="P359" s="116" t="n"/>
      <c r="Q359" s="116" t="n"/>
      <c r="R359" s="116" t="n"/>
      <c r="S359" s="119" t="n"/>
      <c r="T359" s="120">
        <f>IF(F359="Yes",A359&amp;"-"&amp;B359,C359)</f>
        <v/>
      </c>
    </row>
    <row r="360" ht="14.25" customHeight="1" s="83">
      <c r="A360" s="116" t="n"/>
      <c r="B360" s="116" t="n"/>
      <c r="C360" s="116" t="n"/>
      <c r="D360" s="116" t="n"/>
      <c r="E360" s="116">
        <f>IF(D360&lt;&gt;"","Occupied","Vacant")</f>
        <v/>
      </c>
      <c r="F360" s="116" t="n"/>
      <c r="G360" s="117" t="n"/>
      <c r="H360" s="116">
        <f>COUNTIFS($B:$B,B360,$E:$E,"Occupied")</f>
        <v/>
      </c>
      <c r="I360" s="82">
        <f>IF(E360&lt;&gt;"Occupied",0,IF(H360=1,350,IF(H360=2,200,0)))</f>
        <v/>
      </c>
      <c r="J360" s="82">
        <f>IF(E360="Occupied",IFERROR(SUMIFS('Electricity Management'!$J:$J,'Electricity Management'!$A:$A,A360,'Electricity Management'!$C:$C,B360),0),0)</f>
        <v/>
      </c>
      <c r="K360" s="82">
        <f>IF(E360="Occupied",IFERROR(SUMIFS('Electricity Management'!$T:$T,'Electricity Management'!$K:$K,A360,'Electricity Management'!$L:$L,B360),0),0)</f>
        <v/>
      </c>
      <c r="O360" s="117" t="n"/>
      <c r="P360" s="116" t="n"/>
      <c r="Q360" s="116" t="n"/>
      <c r="R360" s="116" t="n"/>
      <c r="S360" s="119" t="n"/>
      <c r="T360" s="120">
        <f>IF(F360="Yes",A360&amp;"-"&amp;B360,C360)</f>
        <v/>
      </c>
    </row>
    <row r="361" ht="14.25" customHeight="1" s="83">
      <c r="A361" s="116" t="n"/>
      <c r="B361" s="116" t="n"/>
      <c r="C361" s="116" t="n"/>
      <c r="D361" s="116" t="n"/>
      <c r="E361" s="116">
        <f>IF(D361&lt;&gt;"","Occupied","Vacant")</f>
        <v/>
      </c>
      <c r="F361" s="116" t="n"/>
      <c r="G361" s="117" t="n"/>
      <c r="H361" s="116">
        <f>COUNTIFS($B:$B,B361,$E:$E,"Occupied")</f>
        <v/>
      </c>
      <c r="I361" s="82">
        <f>IF(E361&lt;&gt;"Occupied",0,IF(H361=1,350,IF(H361=2,200,0)))</f>
        <v/>
      </c>
      <c r="J361" s="82">
        <f>IF(E361="Occupied",IFERROR(SUMIFS('Electricity Management'!$J:$J,'Electricity Management'!$A:$A,A361,'Electricity Management'!$C:$C,B361),0),0)</f>
        <v/>
      </c>
      <c r="K361" s="82">
        <f>IF(E361="Occupied",IFERROR(SUMIFS('Electricity Management'!$T:$T,'Electricity Management'!$K:$K,A361,'Electricity Management'!$L:$L,B361),0),0)</f>
        <v/>
      </c>
      <c r="O361" s="117" t="n"/>
      <c r="P361" s="116" t="n"/>
      <c r="Q361" s="116" t="n"/>
      <c r="R361" s="116" t="n"/>
      <c r="S361" s="119" t="n"/>
      <c r="T361" s="120">
        <f>IF(F361="Yes",A361&amp;"-"&amp;B361,C361)</f>
        <v/>
      </c>
    </row>
    <row r="362" ht="14.25" customHeight="1" s="83">
      <c r="A362" s="116" t="n"/>
      <c r="B362" s="116" t="n"/>
      <c r="C362" s="116" t="n"/>
      <c r="D362" s="116" t="n"/>
      <c r="E362" s="116">
        <f>IF(D362&lt;&gt;"","Occupied","Vacant")</f>
        <v/>
      </c>
      <c r="F362" s="116" t="n"/>
      <c r="G362" s="117" t="n"/>
      <c r="H362" s="116">
        <f>COUNTIFS($B:$B,B362,$E:$E,"Occupied")</f>
        <v/>
      </c>
      <c r="I362" s="82">
        <f>IF(E362&lt;&gt;"Occupied",0,IF(H362=1,350,IF(H362=2,200,0)))</f>
        <v/>
      </c>
      <c r="J362" s="82">
        <f>IF(E362="Occupied",IFERROR(SUMIFS('Electricity Management'!$J:$J,'Electricity Management'!$A:$A,A362,'Electricity Management'!$C:$C,B362),0),0)</f>
        <v/>
      </c>
      <c r="K362" s="82">
        <f>IF(E362="Occupied",IFERROR(SUMIFS('Electricity Management'!$T:$T,'Electricity Management'!$K:$K,A362,'Electricity Management'!$L:$L,B362),0),0)</f>
        <v/>
      </c>
      <c r="O362" s="117" t="n"/>
      <c r="P362" s="116" t="n"/>
      <c r="Q362" s="116" t="n"/>
      <c r="R362" s="116" t="n"/>
      <c r="S362" s="119" t="n"/>
      <c r="T362" s="120">
        <f>IF(F362="Yes",A362&amp;"-"&amp;B362,C362)</f>
        <v/>
      </c>
    </row>
    <row r="363" ht="14.25" customHeight="1" s="83">
      <c r="A363" s="116" t="n"/>
      <c r="B363" s="116" t="n"/>
      <c r="C363" s="116" t="n"/>
      <c r="D363" s="116" t="n"/>
      <c r="E363" s="116">
        <f>IF(D363&lt;&gt;"","Occupied","Vacant")</f>
        <v/>
      </c>
      <c r="F363" s="116" t="n"/>
      <c r="G363" s="117" t="n"/>
      <c r="H363" s="116">
        <f>COUNTIFS($B:$B,B363,$E:$E,"Occupied")</f>
        <v/>
      </c>
      <c r="I363" s="82">
        <f>IF(E363&lt;&gt;"Occupied",0,IF(H363=1,350,IF(H363=2,200,0)))</f>
        <v/>
      </c>
      <c r="J363" s="82">
        <f>IF(E363="Occupied",IFERROR(SUMIFS('Electricity Management'!$J:$J,'Electricity Management'!$A:$A,A363,'Electricity Management'!$C:$C,B363),0),0)</f>
        <v/>
      </c>
      <c r="K363" s="82">
        <f>IF(E363="Occupied",IFERROR(SUMIFS('Electricity Management'!$T:$T,'Electricity Management'!$K:$K,A363,'Electricity Management'!$L:$L,B363),0),0)</f>
        <v/>
      </c>
      <c r="O363" s="117" t="n"/>
      <c r="P363" s="116" t="n"/>
      <c r="Q363" s="116" t="n"/>
      <c r="R363" s="116" t="n"/>
      <c r="S363" s="119" t="n"/>
      <c r="T363" s="120">
        <f>IF(F363="Yes",A363&amp;"-"&amp;B363,C363)</f>
        <v/>
      </c>
    </row>
    <row r="364" ht="14.25" customHeight="1" s="83">
      <c r="A364" s="116" t="n"/>
      <c r="B364" s="116" t="n"/>
      <c r="C364" s="116" t="n"/>
      <c r="D364" s="116" t="n"/>
      <c r="E364" s="116">
        <f>IF(D364&lt;&gt;"","Occupied","Vacant")</f>
        <v/>
      </c>
      <c r="F364" s="116" t="n"/>
      <c r="G364" s="117" t="n"/>
      <c r="H364" s="116">
        <f>COUNTIFS($B:$B,B364,$E:$E,"Occupied")</f>
        <v/>
      </c>
      <c r="I364" s="82">
        <f>IF(E364&lt;&gt;"Occupied",0,IF(H364=1,350,IF(H364=2,200,0)))</f>
        <v/>
      </c>
      <c r="J364" s="82">
        <f>IF(E364="Occupied",IFERROR(SUMIFS('Electricity Management'!$J:$J,'Electricity Management'!$A:$A,A364,'Electricity Management'!$C:$C,B364),0),0)</f>
        <v/>
      </c>
      <c r="K364" s="82">
        <f>IF(E364="Occupied",IFERROR(SUMIFS('Electricity Management'!$T:$T,'Electricity Management'!$K:$K,A364,'Electricity Management'!$L:$L,B364),0),0)</f>
        <v/>
      </c>
      <c r="O364" s="117" t="n"/>
      <c r="P364" s="116" t="n"/>
      <c r="Q364" s="116" t="n"/>
      <c r="R364" s="116" t="n"/>
      <c r="S364" s="119" t="n"/>
      <c r="T364" s="120">
        <f>IF(F364="Yes",A364&amp;"-"&amp;B364,C364)</f>
        <v/>
      </c>
    </row>
    <row r="365" ht="14.25" customHeight="1" s="83">
      <c r="A365" s="116" t="n"/>
      <c r="B365" s="116" t="n"/>
      <c r="C365" s="116" t="n"/>
      <c r="D365" s="116" t="n"/>
      <c r="E365" s="116">
        <f>IF(D365&lt;&gt;"","Occupied","Vacant")</f>
        <v/>
      </c>
      <c r="F365" s="116" t="n"/>
      <c r="G365" s="117" t="n"/>
      <c r="H365" s="116">
        <f>COUNTIFS($B:$B,B365,$E:$E,"Occupied")</f>
        <v/>
      </c>
      <c r="I365" s="82">
        <f>IF(E365&lt;&gt;"Occupied",0,IF(H365=1,350,IF(H365=2,200,0)))</f>
        <v/>
      </c>
      <c r="J365" s="82">
        <f>IF(E365="Occupied",IFERROR(SUMIFS('Electricity Management'!$J:$J,'Electricity Management'!$A:$A,A365,'Electricity Management'!$C:$C,B365),0),0)</f>
        <v/>
      </c>
      <c r="K365" s="82">
        <f>IF(E365="Occupied",IFERROR(SUMIFS('Electricity Management'!$T:$T,'Electricity Management'!$K:$K,A365,'Electricity Management'!$L:$L,B365),0),0)</f>
        <v/>
      </c>
      <c r="O365" s="117" t="n"/>
      <c r="P365" s="116" t="n"/>
      <c r="Q365" s="116" t="n"/>
      <c r="R365" s="116" t="n"/>
      <c r="S365" s="119" t="n"/>
      <c r="T365" s="120">
        <f>IF(F365="Yes",A365&amp;"-"&amp;B365,C365)</f>
        <v/>
      </c>
    </row>
    <row r="366" ht="14.25" customHeight="1" s="83">
      <c r="A366" s="116" t="n"/>
      <c r="B366" s="116" t="n"/>
      <c r="C366" s="116" t="n"/>
      <c r="D366" s="116" t="n"/>
      <c r="E366" s="116">
        <f>IF(D366&lt;&gt;"","Occupied","Vacant")</f>
        <v/>
      </c>
      <c r="F366" s="116" t="n"/>
      <c r="G366" s="117" t="n"/>
      <c r="H366" s="116">
        <f>COUNTIFS($B:$B,B366,$E:$E,"Occupied")</f>
        <v/>
      </c>
      <c r="I366" s="82">
        <f>IF(E366&lt;&gt;"Occupied",0,IF(H366=1,350,IF(H366=2,200,0)))</f>
        <v/>
      </c>
      <c r="J366" s="82">
        <f>IF(E366="Occupied",IFERROR(SUMIFS('Electricity Management'!$J:$J,'Electricity Management'!$A:$A,A366,'Electricity Management'!$C:$C,B366),0),0)</f>
        <v/>
      </c>
      <c r="K366" s="82">
        <f>IF(E366="Occupied",IFERROR(SUMIFS('Electricity Management'!$T:$T,'Electricity Management'!$K:$K,A366,'Electricity Management'!$L:$L,B366),0),0)</f>
        <v/>
      </c>
      <c r="O366" s="117" t="n"/>
      <c r="P366" s="116" t="n"/>
      <c r="Q366" s="116" t="n"/>
      <c r="R366" s="116" t="n"/>
      <c r="S366" s="119" t="n"/>
      <c r="T366" s="120">
        <f>IF(F366="Yes",A366&amp;"-"&amp;B366,C366)</f>
        <v/>
      </c>
    </row>
    <row r="367" ht="14.25" customHeight="1" s="83">
      <c r="A367" s="116" t="n"/>
      <c r="B367" s="116" t="n"/>
      <c r="C367" s="116" t="n"/>
      <c r="D367" s="116" t="n"/>
      <c r="E367" s="116">
        <f>IF(D367&lt;&gt;"","Occupied","Vacant")</f>
        <v/>
      </c>
      <c r="F367" s="116" t="n"/>
      <c r="G367" s="117" t="n"/>
      <c r="H367" s="116">
        <f>COUNTIFS($B:$B,B367,$E:$E,"Occupied")</f>
        <v/>
      </c>
      <c r="I367" s="82">
        <f>IF(E367&lt;&gt;"Occupied",0,IF(H367=1,350,IF(H367=2,200,0)))</f>
        <v/>
      </c>
      <c r="J367" s="82">
        <f>IF(E367="Occupied",IFERROR(SUMIFS('Electricity Management'!$J:$J,'Electricity Management'!$A:$A,A367,'Electricity Management'!$C:$C,B367),0),0)</f>
        <v/>
      </c>
      <c r="K367" s="82">
        <f>IF(E367="Occupied",IFERROR(SUMIFS('Electricity Management'!$T:$T,'Electricity Management'!$K:$K,A367,'Electricity Management'!$L:$L,B367),0),0)</f>
        <v/>
      </c>
      <c r="O367" s="117" t="n"/>
      <c r="P367" s="116" t="n"/>
      <c r="Q367" s="116" t="n"/>
      <c r="R367" s="116" t="n"/>
      <c r="S367" s="119" t="n"/>
      <c r="T367" s="120">
        <f>IF(F367="Yes",A367&amp;"-"&amp;B367,C367)</f>
        <v/>
      </c>
    </row>
    <row r="368" ht="14.25" customHeight="1" s="83">
      <c r="A368" s="116" t="n"/>
      <c r="B368" s="116" t="n"/>
      <c r="C368" s="116" t="n"/>
      <c r="D368" s="116" t="n"/>
      <c r="E368" s="116">
        <f>IF(D368&lt;&gt;"","Occupied","Vacant")</f>
        <v/>
      </c>
      <c r="F368" s="116" t="n"/>
      <c r="G368" s="117" t="n"/>
      <c r="H368" s="116">
        <f>COUNTIFS($B:$B,B368,$E:$E,"Occupied")</f>
        <v/>
      </c>
      <c r="I368" s="82">
        <f>IF(E368&lt;&gt;"Occupied",0,IF(H368=1,350,IF(H368=2,200,0)))</f>
        <v/>
      </c>
      <c r="J368" s="82">
        <f>IF(E368="Occupied",IFERROR(SUMIFS('Electricity Management'!$J:$J,'Electricity Management'!$A:$A,A368,'Electricity Management'!$C:$C,B368),0),0)</f>
        <v/>
      </c>
      <c r="K368" s="82">
        <f>IF(E368="Occupied",IFERROR(SUMIFS('Electricity Management'!$T:$T,'Electricity Management'!$K:$K,A368,'Electricity Management'!$L:$L,B368),0),0)</f>
        <v/>
      </c>
      <c r="O368" s="117" t="n"/>
      <c r="P368" s="116" t="n"/>
      <c r="Q368" s="116" t="n"/>
      <c r="R368" s="116" t="n"/>
      <c r="S368" s="119" t="n"/>
      <c r="T368" s="120">
        <f>IF(F368="Yes",A368&amp;"-"&amp;B368,C368)</f>
        <v/>
      </c>
    </row>
    <row r="369" ht="14.25" customHeight="1" s="83">
      <c r="A369" s="116" t="n"/>
      <c r="B369" s="116" t="n"/>
      <c r="C369" s="116" t="n"/>
      <c r="D369" s="116" t="n"/>
      <c r="E369" s="116">
        <f>IF(D369&lt;&gt;"","Occupied","Vacant")</f>
        <v/>
      </c>
      <c r="F369" s="116" t="n"/>
      <c r="G369" s="117" t="n"/>
      <c r="H369" s="116">
        <f>COUNTIFS($B:$B,B369,$E:$E,"Occupied")</f>
        <v/>
      </c>
      <c r="I369" s="82">
        <f>IF(E369&lt;&gt;"Occupied",0,IF(H369=1,350,IF(H369=2,200,0)))</f>
        <v/>
      </c>
      <c r="J369" s="82">
        <f>IF(E369="Occupied",IFERROR(SUMIFS('Electricity Management'!$J:$J,'Electricity Management'!$A:$A,A369,'Electricity Management'!$C:$C,B369),0),0)</f>
        <v/>
      </c>
      <c r="K369" s="82">
        <f>IF(E369="Occupied",IFERROR(SUMIFS('Electricity Management'!$T:$T,'Electricity Management'!$K:$K,A369,'Electricity Management'!$L:$L,B369),0),0)</f>
        <v/>
      </c>
      <c r="O369" s="117" t="n"/>
      <c r="P369" s="116" t="n"/>
      <c r="Q369" s="116" t="n"/>
      <c r="R369" s="116" t="n"/>
      <c r="S369" s="119" t="n"/>
      <c r="T369" s="120">
        <f>IF(F369="Yes",A369&amp;"-"&amp;B369,C369)</f>
        <v/>
      </c>
    </row>
    <row r="370" ht="14.25" customHeight="1" s="83">
      <c r="A370" s="116" t="n"/>
      <c r="B370" s="116" t="n"/>
      <c r="C370" s="116" t="n"/>
      <c r="D370" s="116" t="n"/>
      <c r="E370" s="116">
        <f>IF(D370&lt;&gt;"","Occupied","Vacant")</f>
        <v/>
      </c>
      <c r="F370" s="116" t="n"/>
      <c r="G370" s="117" t="n"/>
      <c r="H370" s="116">
        <f>COUNTIFS($B:$B,B370,$E:$E,"Occupied")</f>
        <v/>
      </c>
      <c r="I370" s="82">
        <f>IF(E370&lt;&gt;"Occupied",0,IF(H370=1,350,IF(H370=2,200,0)))</f>
        <v/>
      </c>
      <c r="J370" s="82">
        <f>IF(E370="Occupied",IFERROR(SUMIFS('Electricity Management'!$J:$J,'Electricity Management'!$A:$A,A370,'Electricity Management'!$C:$C,B370),0),0)</f>
        <v/>
      </c>
      <c r="K370" s="82">
        <f>IF(E370="Occupied",IFERROR(SUMIFS('Electricity Management'!$T:$T,'Electricity Management'!$K:$K,A370,'Electricity Management'!$L:$L,B370),0),0)</f>
        <v/>
      </c>
      <c r="O370" s="117" t="n"/>
      <c r="P370" s="116" t="n"/>
      <c r="Q370" s="116" t="n"/>
      <c r="R370" s="116" t="n"/>
      <c r="S370" s="119" t="n"/>
      <c r="T370" s="120">
        <f>IF(F370="Yes",A370&amp;"-"&amp;B370,C370)</f>
        <v/>
      </c>
    </row>
    <row r="371" ht="14.25" customHeight="1" s="83">
      <c r="A371" s="116" t="n"/>
      <c r="B371" s="116" t="n"/>
      <c r="C371" s="116" t="n"/>
      <c r="D371" s="116" t="n"/>
      <c r="E371" s="116">
        <f>IF(D371&lt;&gt;"","Occupied","Vacant")</f>
        <v/>
      </c>
      <c r="F371" s="116" t="n"/>
      <c r="G371" s="117" t="n"/>
      <c r="H371" s="116">
        <f>COUNTIFS($B:$B,B371,$E:$E,"Occupied")</f>
        <v/>
      </c>
      <c r="I371" s="82">
        <f>IF(E371&lt;&gt;"Occupied",0,IF(H371=1,350,IF(H371=2,200,0)))</f>
        <v/>
      </c>
      <c r="J371" s="82">
        <f>IF(E371="Occupied",IFERROR(SUMIFS('Electricity Management'!$J:$J,'Electricity Management'!$A:$A,A371,'Electricity Management'!$C:$C,B371),0),0)</f>
        <v/>
      </c>
      <c r="K371" s="82">
        <f>IF(E371="Occupied",IFERROR(SUMIFS('Electricity Management'!$T:$T,'Electricity Management'!$K:$K,A371,'Electricity Management'!$L:$L,B371),0),0)</f>
        <v/>
      </c>
      <c r="O371" s="117" t="n"/>
      <c r="P371" s="116" t="n"/>
      <c r="Q371" s="116" t="n"/>
      <c r="R371" s="116" t="n"/>
      <c r="S371" s="119" t="n"/>
      <c r="T371" s="120">
        <f>IF(F371="Yes",A371&amp;"-"&amp;B371,C371)</f>
        <v/>
      </c>
    </row>
    <row r="372" ht="14.25" customHeight="1" s="83">
      <c r="A372" s="116" t="n"/>
      <c r="B372" s="116" t="n"/>
      <c r="C372" s="116" t="n"/>
      <c r="D372" s="116" t="n"/>
      <c r="E372" s="116">
        <f>IF(D372&lt;&gt;"","Occupied","Vacant")</f>
        <v/>
      </c>
      <c r="F372" s="116" t="n"/>
      <c r="G372" s="117" t="n"/>
      <c r="H372" s="116">
        <f>COUNTIFS($B:$B,B372,$E:$E,"Occupied")</f>
        <v/>
      </c>
      <c r="I372" s="82">
        <f>IF(E372&lt;&gt;"Occupied",0,IF(H372=1,350,IF(H372=2,200,0)))</f>
        <v/>
      </c>
      <c r="J372" s="82">
        <f>IF(E372="Occupied",IFERROR(SUMIFS('Electricity Management'!$J:$J,'Electricity Management'!$A:$A,A372,'Electricity Management'!$C:$C,B372),0),0)</f>
        <v/>
      </c>
      <c r="K372" s="82">
        <f>IF(E372="Occupied",IFERROR(SUMIFS('Electricity Management'!$T:$T,'Electricity Management'!$K:$K,A372,'Electricity Management'!$L:$L,B372),0),0)</f>
        <v/>
      </c>
      <c r="O372" s="117" t="n"/>
      <c r="P372" s="116" t="n"/>
      <c r="Q372" s="116" t="n"/>
      <c r="R372" s="116" t="n"/>
      <c r="S372" s="119" t="n"/>
      <c r="T372" s="120">
        <f>IF(F372="Yes",A372&amp;"-"&amp;B372,C372)</f>
        <v/>
      </c>
    </row>
    <row r="373" ht="14.25" customHeight="1" s="83">
      <c r="A373" s="116" t="n"/>
      <c r="B373" s="116" t="n"/>
      <c r="C373" s="116" t="n"/>
      <c r="D373" s="116" t="n"/>
      <c r="E373" s="116">
        <f>IF(D373&lt;&gt;"","Occupied","Vacant")</f>
        <v/>
      </c>
      <c r="F373" s="116" t="n"/>
      <c r="G373" s="117" t="n"/>
      <c r="H373" s="116">
        <f>COUNTIFS($B:$B,B373,$E:$E,"Occupied")</f>
        <v/>
      </c>
      <c r="I373" s="82">
        <f>IF(E373&lt;&gt;"Occupied",0,IF(H373=1,350,IF(H373=2,200,0)))</f>
        <v/>
      </c>
      <c r="J373" s="82">
        <f>IF(E373="Occupied",IFERROR(SUMIFS('Electricity Management'!$J:$J,'Electricity Management'!$A:$A,A373,'Electricity Management'!$C:$C,B373),0),0)</f>
        <v/>
      </c>
      <c r="K373" s="82">
        <f>IF(E373="Occupied",IFERROR(SUMIFS('Electricity Management'!$T:$T,'Electricity Management'!$K:$K,A373,'Electricity Management'!$L:$L,B373),0),0)</f>
        <v/>
      </c>
      <c r="O373" s="117" t="n"/>
      <c r="P373" s="116" t="n"/>
      <c r="Q373" s="116" t="n"/>
      <c r="R373" s="116" t="n"/>
      <c r="S373" s="119" t="n"/>
      <c r="T373" s="120">
        <f>IF(F373="Yes",A373&amp;"-"&amp;B373,C373)</f>
        <v/>
      </c>
    </row>
    <row r="374" ht="14.25" customHeight="1" s="83">
      <c r="A374" s="116" t="n"/>
      <c r="B374" s="116" t="n"/>
      <c r="C374" s="116" t="n"/>
      <c r="D374" s="116" t="n"/>
      <c r="E374" s="116">
        <f>IF(D374&lt;&gt;"","Occupied","Vacant")</f>
        <v/>
      </c>
      <c r="F374" s="116" t="n"/>
      <c r="G374" s="117" t="n"/>
      <c r="H374" s="116">
        <f>COUNTIFS($B:$B,B374,$E:$E,"Occupied")</f>
        <v/>
      </c>
      <c r="I374" s="82">
        <f>IF(E374&lt;&gt;"Occupied",0,IF(H374=1,350,IF(H374=2,200,0)))</f>
        <v/>
      </c>
      <c r="J374" s="82">
        <f>IF(E374="Occupied",IFERROR(SUMIFS('Electricity Management'!$J:$J,'Electricity Management'!$A:$A,A374,'Electricity Management'!$C:$C,B374),0),0)</f>
        <v/>
      </c>
      <c r="K374" s="82">
        <f>IF(E374="Occupied",IFERROR(SUMIFS('Electricity Management'!$T:$T,'Electricity Management'!$K:$K,A374,'Electricity Management'!$L:$L,B374),0),0)</f>
        <v/>
      </c>
      <c r="O374" s="117" t="n"/>
      <c r="P374" s="116" t="n"/>
      <c r="Q374" s="116" t="n"/>
      <c r="R374" s="116" t="n"/>
      <c r="S374" s="119" t="n"/>
      <c r="T374" s="120">
        <f>IF(F374="Yes",A374&amp;"-"&amp;B374,C374)</f>
        <v/>
      </c>
    </row>
    <row r="375" ht="14.25" customHeight="1" s="83">
      <c r="A375" s="116" t="n"/>
      <c r="B375" s="116" t="n"/>
      <c r="C375" s="116" t="n"/>
      <c r="D375" s="116" t="n"/>
      <c r="E375" s="116">
        <f>IF(D375&lt;&gt;"","Occupied","Vacant")</f>
        <v/>
      </c>
      <c r="F375" s="116" t="n"/>
      <c r="G375" s="117" t="n"/>
      <c r="H375" s="116">
        <f>COUNTIFS($B:$B,B375,$E:$E,"Occupied")</f>
        <v/>
      </c>
      <c r="I375" s="82">
        <f>IF(E375&lt;&gt;"Occupied",0,IF(H375=1,350,IF(H375=2,200,0)))</f>
        <v/>
      </c>
      <c r="J375" s="82">
        <f>IF(E375="Occupied",IFERROR(SUMIFS('Electricity Management'!$J:$J,'Electricity Management'!$A:$A,A375,'Electricity Management'!$C:$C,B375),0),0)</f>
        <v/>
      </c>
      <c r="K375" s="82">
        <f>IF(E375="Occupied",IFERROR(SUMIFS('Electricity Management'!$T:$T,'Electricity Management'!$K:$K,A375,'Electricity Management'!$L:$L,B375),0),0)</f>
        <v/>
      </c>
      <c r="O375" s="117" t="n"/>
      <c r="P375" s="116" t="n"/>
      <c r="Q375" s="116" t="n"/>
      <c r="R375" s="116" t="n"/>
      <c r="S375" s="119" t="n"/>
      <c r="T375" s="120">
        <f>IF(F375="Yes",A375&amp;"-"&amp;B375,C375)</f>
        <v/>
      </c>
    </row>
    <row r="376" ht="14.25" customHeight="1" s="83">
      <c r="A376" s="116" t="n"/>
      <c r="B376" s="116" t="n"/>
      <c r="C376" s="116" t="n"/>
      <c r="D376" s="116" t="n"/>
      <c r="E376" s="116">
        <f>IF(D376&lt;&gt;"","Occupied","Vacant")</f>
        <v/>
      </c>
      <c r="F376" s="116" t="n"/>
      <c r="G376" s="117" t="n"/>
      <c r="H376" s="116">
        <f>COUNTIFS($B:$B,B376,$E:$E,"Occupied")</f>
        <v/>
      </c>
      <c r="I376" s="82">
        <f>IF(E376&lt;&gt;"Occupied",0,IF(H376=1,350,IF(H376=2,200,0)))</f>
        <v/>
      </c>
      <c r="J376" s="82">
        <f>IF(E376="Occupied",IFERROR(SUMIFS('Electricity Management'!$J:$J,'Electricity Management'!$A:$A,A376,'Electricity Management'!$C:$C,B376),0),0)</f>
        <v/>
      </c>
      <c r="K376" s="82">
        <f>IF(E376="Occupied",IFERROR(SUMIFS('Electricity Management'!$T:$T,'Electricity Management'!$K:$K,A376,'Electricity Management'!$L:$L,B376),0),0)</f>
        <v/>
      </c>
      <c r="O376" s="117" t="n"/>
      <c r="P376" s="116" t="n"/>
      <c r="Q376" s="116" t="n"/>
      <c r="R376" s="116" t="n"/>
      <c r="S376" s="119" t="n"/>
      <c r="T376" s="120">
        <f>IF(F376="Yes",A376&amp;"-"&amp;B376,C376)</f>
        <v/>
      </c>
    </row>
    <row r="377" ht="14.25" customHeight="1" s="83">
      <c r="A377" s="116" t="n"/>
      <c r="B377" s="116" t="n"/>
      <c r="C377" s="116" t="n"/>
      <c r="D377" s="116" t="n"/>
      <c r="E377" s="116">
        <f>IF(D377&lt;&gt;"","Occupied","Vacant")</f>
        <v/>
      </c>
      <c r="F377" s="116" t="n"/>
      <c r="G377" s="117" t="n"/>
      <c r="H377" s="116">
        <f>COUNTIFS($B:$B,B377,$E:$E,"Occupied")</f>
        <v/>
      </c>
      <c r="I377" s="82">
        <f>IF(E377&lt;&gt;"Occupied",0,IF(H377=1,350,IF(H377=2,200,0)))</f>
        <v/>
      </c>
      <c r="J377" s="82">
        <f>IF(E377="Occupied",IFERROR(SUMIFS('Electricity Management'!$J:$J,'Electricity Management'!$A:$A,A377,'Electricity Management'!$C:$C,B377),0),0)</f>
        <v/>
      </c>
      <c r="K377" s="82">
        <f>IF(E377="Occupied",IFERROR(SUMIFS('Electricity Management'!$T:$T,'Electricity Management'!$K:$K,A377,'Electricity Management'!$L:$L,B377),0),0)</f>
        <v/>
      </c>
      <c r="O377" s="117" t="n"/>
      <c r="P377" s="116" t="n"/>
      <c r="Q377" s="116" t="n"/>
      <c r="R377" s="116" t="n"/>
      <c r="S377" s="119" t="n"/>
      <c r="T377" s="120">
        <f>IF(F377="Yes",A377&amp;"-"&amp;B377,C377)</f>
        <v/>
      </c>
    </row>
    <row r="378" ht="14.25" customHeight="1" s="83">
      <c r="A378" s="116" t="n"/>
      <c r="B378" s="116" t="n"/>
      <c r="C378" s="116" t="n"/>
      <c r="D378" s="116" t="n"/>
      <c r="E378" s="116">
        <f>IF(D378&lt;&gt;"","Occupied","Vacant")</f>
        <v/>
      </c>
      <c r="F378" s="116" t="n"/>
      <c r="G378" s="117" t="n"/>
      <c r="H378" s="116">
        <f>COUNTIFS($B:$B,B378,$E:$E,"Occupied")</f>
        <v/>
      </c>
      <c r="I378" s="82">
        <f>IF(E378&lt;&gt;"Occupied",0,IF(H378=1,350,IF(H378=2,200,0)))</f>
        <v/>
      </c>
      <c r="J378" s="82">
        <f>IF(E378="Occupied",IFERROR(SUMIFS('Electricity Management'!$J:$J,'Electricity Management'!$A:$A,A378,'Electricity Management'!$C:$C,B378),0),0)</f>
        <v/>
      </c>
      <c r="K378" s="82">
        <f>IF(E378="Occupied",IFERROR(SUMIFS('Electricity Management'!$T:$T,'Electricity Management'!$K:$K,A378,'Electricity Management'!$L:$L,B378),0),0)</f>
        <v/>
      </c>
      <c r="O378" s="117" t="n"/>
      <c r="P378" s="116" t="n"/>
      <c r="Q378" s="116" t="n"/>
      <c r="R378" s="116" t="n"/>
      <c r="S378" s="119" t="n"/>
      <c r="T378" s="120">
        <f>IF(F378="Yes",A378&amp;"-"&amp;B378,C378)</f>
        <v/>
      </c>
    </row>
    <row r="379" ht="14.25" customHeight="1" s="83">
      <c r="A379" s="116" t="n"/>
      <c r="B379" s="116" t="n"/>
      <c r="C379" s="116" t="n"/>
      <c r="D379" s="116" t="n"/>
      <c r="E379" s="116">
        <f>IF(D379&lt;&gt;"","Occupied","Vacant")</f>
        <v/>
      </c>
      <c r="F379" s="116" t="n"/>
      <c r="G379" s="117" t="n"/>
      <c r="H379" s="116">
        <f>COUNTIFS($B:$B,B379,$E:$E,"Occupied")</f>
        <v/>
      </c>
      <c r="I379" s="82">
        <f>IF(E379&lt;&gt;"Occupied",0,IF(H379=1,350,IF(H379=2,200,0)))</f>
        <v/>
      </c>
      <c r="J379" s="82">
        <f>IF(E379="Occupied",IFERROR(SUMIFS('Electricity Management'!$J:$J,'Electricity Management'!$A:$A,A379,'Electricity Management'!$C:$C,B379),0),0)</f>
        <v/>
      </c>
      <c r="K379" s="82">
        <f>IF(E379="Occupied",IFERROR(SUMIFS('Electricity Management'!$T:$T,'Electricity Management'!$K:$K,A379,'Electricity Management'!$L:$L,B379),0),0)</f>
        <v/>
      </c>
      <c r="O379" s="117" t="n"/>
      <c r="P379" s="116" t="n"/>
      <c r="Q379" s="116" t="n"/>
      <c r="R379" s="116" t="n"/>
      <c r="S379" s="119" t="n"/>
      <c r="T379" s="120">
        <f>IF(F379="Yes",A379&amp;"-"&amp;B379,C379)</f>
        <v/>
      </c>
    </row>
    <row r="380" ht="14.25" customHeight="1" s="83">
      <c r="A380" s="116" t="n"/>
      <c r="B380" s="116" t="n"/>
      <c r="C380" s="116" t="n"/>
      <c r="D380" s="116" t="n"/>
      <c r="E380" s="116">
        <f>IF(D380&lt;&gt;"","Occupied","Vacant")</f>
        <v/>
      </c>
      <c r="F380" s="116" t="n"/>
      <c r="G380" s="117" t="n"/>
      <c r="H380" s="116">
        <f>COUNTIFS($B:$B,B380,$E:$E,"Occupied")</f>
        <v/>
      </c>
      <c r="I380" s="82">
        <f>IF(E380&lt;&gt;"Occupied",0,IF(H380=1,350,IF(H380=2,200,0)))</f>
        <v/>
      </c>
      <c r="J380" s="82">
        <f>IF(E380="Occupied",IFERROR(SUMIFS('Electricity Management'!$J:$J,'Electricity Management'!$A:$A,A380,'Electricity Management'!$C:$C,B380),0),0)</f>
        <v/>
      </c>
      <c r="K380" s="82">
        <f>IF(E380="Occupied",IFERROR(SUMIFS('Electricity Management'!$T:$T,'Electricity Management'!$K:$K,A380,'Electricity Management'!$L:$L,B380),0),0)</f>
        <v/>
      </c>
      <c r="O380" s="117" t="n"/>
      <c r="P380" s="116" t="n"/>
      <c r="Q380" s="116" t="n"/>
      <c r="R380" s="116" t="n"/>
      <c r="S380" s="119" t="n"/>
      <c r="T380" s="120">
        <f>IF(F380="Yes",A380&amp;"-"&amp;B380,C380)</f>
        <v/>
      </c>
    </row>
    <row r="381" ht="14.25" customHeight="1" s="83">
      <c r="A381" s="116" t="n"/>
      <c r="B381" s="116" t="n"/>
      <c r="C381" s="116" t="n"/>
      <c r="D381" s="116" t="n"/>
      <c r="E381" s="116">
        <f>IF(D381&lt;&gt;"","Occupied","Vacant")</f>
        <v/>
      </c>
      <c r="F381" s="116" t="n"/>
      <c r="G381" s="117" t="n"/>
      <c r="H381" s="116">
        <f>COUNTIFS($B:$B,B381,$E:$E,"Occupied")</f>
        <v/>
      </c>
      <c r="I381" s="82">
        <f>IF(E381&lt;&gt;"Occupied",0,IF(H381=1,350,IF(H381=2,200,0)))</f>
        <v/>
      </c>
      <c r="J381" s="82">
        <f>IF(E381="Occupied",IFERROR(SUMIFS('Electricity Management'!$J:$J,'Electricity Management'!$A:$A,A381,'Electricity Management'!$C:$C,B381),0),0)</f>
        <v/>
      </c>
      <c r="K381" s="82">
        <f>IF(E381="Occupied",IFERROR(SUMIFS('Electricity Management'!$T:$T,'Electricity Management'!$K:$K,A381,'Electricity Management'!$L:$L,B381),0),0)</f>
        <v/>
      </c>
      <c r="O381" s="117" t="n"/>
      <c r="P381" s="116" t="n"/>
      <c r="Q381" s="116" t="n"/>
      <c r="R381" s="116" t="n"/>
      <c r="S381" s="119" t="n"/>
      <c r="T381" s="120">
        <f>IF(F381="Yes",A381&amp;"-"&amp;B381,C381)</f>
        <v/>
      </c>
    </row>
    <row r="382" ht="14.25" customHeight="1" s="83">
      <c r="A382" s="116" t="n"/>
      <c r="B382" s="116" t="n"/>
      <c r="C382" s="116" t="n"/>
      <c r="D382" s="116" t="n"/>
      <c r="E382" s="116">
        <f>IF(D382&lt;&gt;"","Occupied","Vacant")</f>
        <v/>
      </c>
      <c r="F382" s="116" t="n"/>
      <c r="G382" s="117" t="n"/>
      <c r="H382" s="116">
        <f>COUNTIFS($B:$B,B382,$E:$E,"Occupied")</f>
        <v/>
      </c>
      <c r="I382" s="82">
        <f>IF(E382&lt;&gt;"Occupied",0,IF(H382=1,350,IF(H382=2,200,0)))</f>
        <v/>
      </c>
      <c r="J382" s="82">
        <f>IF(E382="Occupied",IFERROR(SUMIFS('Electricity Management'!$J:$J,'Electricity Management'!$A:$A,A382,'Electricity Management'!$C:$C,B382),0),0)</f>
        <v/>
      </c>
      <c r="K382" s="82">
        <f>IF(E382="Occupied",IFERROR(SUMIFS('Electricity Management'!$T:$T,'Electricity Management'!$K:$K,A382,'Electricity Management'!$L:$L,B382),0),0)</f>
        <v/>
      </c>
      <c r="O382" s="117" t="n"/>
      <c r="P382" s="116" t="n"/>
      <c r="Q382" s="116" t="n"/>
      <c r="R382" s="116" t="n"/>
      <c r="S382" s="119" t="n"/>
      <c r="T382" s="120">
        <f>IF(F382="Yes",A382&amp;"-"&amp;B382,C382)</f>
        <v/>
      </c>
    </row>
    <row r="383" ht="14.25" customHeight="1" s="83">
      <c r="A383" s="116" t="n"/>
      <c r="B383" s="116" t="n"/>
      <c r="C383" s="116" t="n"/>
      <c r="D383" s="116" t="n"/>
      <c r="E383" s="116">
        <f>IF(D383&lt;&gt;"","Occupied","Vacant")</f>
        <v/>
      </c>
      <c r="F383" s="116" t="n"/>
      <c r="G383" s="117" t="n"/>
      <c r="H383" s="116">
        <f>COUNTIFS($B:$B,B383,$E:$E,"Occupied")</f>
        <v/>
      </c>
      <c r="I383" s="82">
        <f>IF(E383&lt;&gt;"Occupied",0,IF(H383=1,350,IF(H383=2,200,0)))</f>
        <v/>
      </c>
      <c r="J383" s="82">
        <f>IF(E383="Occupied",IFERROR(SUMIFS('Electricity Management'!$J:$J,'Electricity Management'!$A:$A,A383,'Electricity Management'!$C:$C,B383),0),0)</f>
        <v/>
      </c>
      <c r="K383" s="82">
        <f>IF(E383="Occupied",IFERROR(SUMIFS('Electricity Management'!$T:$T,'Electricity Management'!$K:$K,A383,'Electricity Management'!$L:$L,B383),0),0)</f>
        <v/>
      </c>
      <c r="O383" s="117" t="n"/>
      <c r="P383" s="116" t="n"/>
      <c r="Q383" s="116" t="n"/>
      <c r="R383" s="116" t="n"/>
      <c r="S383" s="119" t="n"/>
      <c r="T383" s="120">
        <f>IF(F383="Yes",A383&amp;"-"&amp;B383,C383)</f>
        <v/>
      </c>
    </row>
    <row r="384" ht="14.25" customHeight="1" s="83">
      <c r="A384" s="116" t="n"/>
      <c r="B384" s="116" t="n"/>
      <c r="C384" s="116" t="n"/>
      <c r="D384" s="116" t="n"/>
      <c r="E384" s="116">
        <f>IF(D384&lt;&gt;"","Occupied","Vacant")</f>
        <v/>
      </c>
      <c r="F384" s="116" t="n"/>
      <c r="G384" s="117" t="n"/>
      <c r="H384" s="116">
        <f>COUNTIFS($B:$B,B384,$E:$E,"Occupied")</f>
        <v/>
      </c>
      <c r="I384" s="82">
        <f>IF(E384&lt;&gt;"Occupied",0,IF(H384=1,350,IF(H384=2,200,0)))</f>
        <v/>
      </c>
      <c r="J384" s="82">
        <f>IF(E384="Occupied",IFERROR(SUMIFS('Electricity Management'!$J:$J,'Electricity Management'!$A:$A,A384,'Electricity Management'!$C:$C,B384),0),0)</f>
        <v/>
      </c>
      <c r="K384" s="82">
        <f>IF(E384="Occupied",IFERROR(SUMIFS('Electricity Management'!$T:$T,'Electricity Management'!$K:$K,A384,'Electricity Management'!$L:$L,B384),0),0)</f>
        <v/>
      </c>
      <c r="O384" s="117" t="n"/>
      <c r="P384" s="116" t="n"/>
      <c r="Q384" s="116" t="n"/>
      <c r="R384" s="116" t="n"/>
      <c r="S384" s="119" t="n"/>
      <c r="T384" s="120">
        <f>IF(F384="Yes",A384&amp;"-"&amp;B384,C384)</f>
        <v/>
      </c>
    </row>
    <row r="385" ht="14.25" customHeight="1" s="83">
      <c r="A385" s="116" t="n"/>
      <c r="B385" s="116" t="n"/>
      <c r="C385" s="116" t="n"/>
      <c r="D385" s="116" t="n"/>
      <c r="E385" s="116">
        <f>IF(D385&lt;&gt;"","Occupied","Vacant")</f>
        <v/>
      </c>
      <c r="F385" s="116" t="n"/>
      <c r="G385" s="117" t="n"/>
      <c r="H385" s="116">
        <f>COUNTIFS($B:$B,B385,$E:$E,"Occupied")</f>
        <v/>
      </c>
      <c r="I385" s="82">
        <f>IF(E385&lt;&gt;"Occupied",0,IF(H385=1,350,IF(H385=2,200,0)))</f>
        <v/>
      </c>
      <c r="J385" s="82">
        <f>IF(E385="Occupied",IFERROR(SUMIFS('Electricity Management'!$J:$J,'Electricity Management'!$A:$A,A385,'Electricity Management'!$C:$C,B385),0),0)</f>
        <v/>
      </c>
      <c r="K385" s="82">
        <f>IF(E385="Occupied",IFERROR(SUMIFS('Electricity Management'!$T:$T,'Electricity Management'!$K:$K,A385,'Electricity Management'!$L:$L,B385),0),0)</f>
        <v/>
      </c>
      <c r="O385" s="117" t="n"/>
      <c r="P385" s="116" t="n"/>
      <c r="Q385" s="116" t="n"/>
      <c r="R385" s="116" t="n"/>
      <c r="S385" s="119" t="n"/>
      <c r="T385" s="120">
        <f>IF(F385="Yes",A385&amp;"-"&amp;B385,C385)</f>
        <v/>
      </c>
    </row>
    <row r="386" ht="14.25" customHeight="1" s="83">
      <c r="A386" s="116" t="n"/>
      <c r="B386" s="116" t="n"/>
      <c r="C386" s="116" t="n"/>
      <c r="D386" s="116" t="n"/>
      <c r="E386" s="116">
        <f>IF(D386&lt;&gt;"","Occupied","Vacant")</f>
        <v/>
      </c>
      <c r="F386" s="116" t="n"/>
      <c r="G386" s="117" t="n"/>
      <c r="H386" s="116">
        <f>COUNTIFS($B:$B,B386,$E:$E,"Occupied")</f>
        <v/>
      </c>
      <c r="I386" s="82">
        <f>IF(E386&lt;&gt;"Occupied",0,IF(H386=1,350,IF(H386=2,200,0)))</f>
        <v/>
      </c>
      <c r="J386" s="82">
        <f>IF(E386="Occupied",IFERROR(SUMIFS('Electricity Management'!$J:$J,'Electricity Management'!$A:$A,A386,'Electricity Management'!$C:$C,B386),0),0)</f>
        <v/>
      </c>
      <c r="K386" s="82">
        <f>IF(E386="Occupied",IFERROR(SUMIFS('Electricity Management'!$T:$T,'Electricity Management'!$K:$K,A386,'Electricity Management'!$L:$L,B386),0),0)</f>
        <v/>
      </c>
      <c r="O386" s="117" t="n"/>
      <c r="P386" s="116" t="n"/>
      <c r="Q386" s="116" t="n"/>
      <c r="R386" s="116" t="n"/>
      <c r="S386" s="119" t="n"/>
      <c r="T386" s="120">
        <f>IF(F386="Yes",A386&amp;"-"&amp;B386,C386)</f>
        <v/>
      </c>
    </row>
    <row r="387" ht="14.25" customHeight="1" s="83">
      <c r="A387" s="116" t="n"/>
      <c r="B387" s="116" t="n"/>
      <c r="C387" s="116" t="n"/>
      <c r="D387" s="116" t="n"/>
      <c r="E387" s="116">
        <f>IF(D387&lt;&gt;"","Occupied","Vacant")</f>
        <v/>
      </c>
      <c r="F387" s="116" t="n"/>
      <c r="G387" s="117" t="n"/>
      <c r="H387" s="116">
        <f>COUNTIFS($B:$B,B387,$E:$E,"Occupied")</f>
        <v/>
      </c>
      <c r="I387" s="82">
        <f>IF(E387&lt;&gt;"Occupied",0,IF(H387=1,350,IF(H387=2,200,0)))</f>
        <v/>
      </c>
      <c r="J387" s="82">
        <f>IF(E387="Occupied",IFERROR(SUMIFS('Electricity Management'!$J:$J,'Electricity Management'!$A:$A,A387,'Electricity Management'!$C:$C,B387),0),0)</f>
        <v/>
      </c>
      <c r="K387" s="82">
        <f>IF(E387="Occupied",IFERROR(SUMIFS('Electricity Management'!$T:$T,'Electricity Management'!$K:$K,A387,'Electricity Management'!$L:$L,B387),0),0)</f>
        <v/>
      </c>
      <c r="O387" s="117" t="n"/>
      <c r="P387" s="116" t="n"/>
      <c r="Q387" s="116" t="n"/>
      <c r="R387" s="116" t="n"/>
      <c r="S387" s="119" t="n"/>
      <c r="T387" s="120">
        <f>IF(F387="Yes",A387&amp;"-"&amp;B387,C387)</f>
        <v/>
      </c>
    </row>
    <row r="388" ht="14.25" customHeight="1" s="83">
      <c r="A388" s="116" t="n"/>
      <c r="B388" s="116" t="n"/>
      <c r="C388" s="116" t="n"/>
      <c r="D388" s="116" t="n"/>
      <c r="E388" s="116">
        <f>IF(D388&lt;&gt;"","Occupied","Vacant")</f>
        <v/>
      </c>
      <c r="F388" s="116" t="n"/>
      <c r="G388" s="117" t="n"/>
      <c r="H388" s="116">
        <f>COUNTIFS($B:$B,B388,$E:$E,"Occupied")</f>
        <v/>
      </c>
      <c r="I388" s="82">
        <f>IF(E388&lt;&gt;"Occupied",0,IF(H388=1,350,IF(H388=2,200,0)))</f>
        <v/>
      </c>
      <c r="J388" s="82">
        <f>IF(E388="Occupied",IFERROR(SUMIFS('Electricity Management'!$J:$J,'Electricity Management'!$A:$A,A388,'Electricity Management'!$C:$C,B388),0),0)</f>
        <v/>
      </c>
      <c r="K388" s="82">
        <f>IF(E388="Occupied",IFERROR(SUMIFS('Electricity Management'!$T:$T,'Electricity Management'!$K:$K,A388,'Electricity Management'!$L:$L,B388),0),0)</f>
        <v/>
      </c>
      <c r="O388" s="117" t="n"/>
      <c r="P388" s="116" t="n"/>
      <c r="Q388" s="116" t="n"/>
      <c r="R388" s="116" t="n"/>
      <c r="S388" s="119" t="n"/>
      <c r="T388" s="120">
        <f>IF(F388="Yes",A388&amp;"-"&amp;B388,C388)</f>
        <v/>
      </c>
    </row>
    <row r="389" ht="14.25" customHeight="1" s="83">
      <c r="A389" s="116" t="n"/>
      <c r="B389" s="116" t="n"/>
      <c r="C389" s="116" t="n"/>
      <c r="D389" s="116" t="n"/>
      <c r="E389" s="116">
        <f>IF(D389&lt;&gt;"","Occupied","Vacant")</f>
        <v/>
      </c>
      <c r="F389" s="116" t="n"/>
      <c r="G389" s="117" t="n"/>
      <c r="H389" s="116">
        <f>COUNTIFS($B:$B,B389,$E:$E,"Occupied")</f>
        <v/>
      </c>
      <c r="I389" s="82">
        <f>IF(E389&lt;&gt;"Occupied",0,IF(H389=1,350,IF(H389=2,200,0)))</f>
        <v/>
      </c>
      <c r="J389" s="82">
        <f>IF(E389="Occupied",IFERROR(SUMIFS('Electricity Management'!$J:$J,'Electricity Management'!$A:$A,A389,'Electricity Management'!$C:$C,B389),0),0)</f>
        <v/>
      </c>
      <c r="K389" s="82">
        <f>IF(E389="Occupied",IFERROR(SUMIFS('Electricity Management'!$T:$T,'Electricity Management'!$K:$K,A389,'Electricity Management'!$L:$L,B389),0),0)</f>
        <v/>
      </c>
      <c r="O389" s="117" t="n"/>
      <c r="P389" s="116" t="n"/>
      <c r="Q389" s="116" t="n"/>
      <c r="R389" s="116" t="n"/>
      <c r="S389" s="119" t="n"/>
      <c r="T389" s="120">
        <f>IF(F389="Yes",A389&amp;"-"&amp;B389,C389)</f>
        <v/>
      </c>
    </row>
    <row r="390" ht="14.25" customHeight="1" s="83">
      <c r="A390" s="116" t="n"/>
      <c r="B390" s="116" t="n"/>
      <c r="C390" s="116" t="n"/>
      <c r="D390" s="116" t="n"/>
      <c r="E390" s="116">
        <f>IF(D390&lt;&gt;"","Occupied","Vacant")</f>
        <v/>
      </c>
      <c r="F390" s="116" t="n"/>
      <c r="G390" s="117" t="n"/>
      <c r="H390" s="116">
        <f>COUNTIFS($B:$B,B390,$E:$E,"Occupied")</f>
        <v/>
      </c>
      <c r="I390" s="82">
        <f>IF(E390&lt;&gt;"Occupied",0,IF(H390=1,350,IF(H390=2,200,0)))</f>
        <v/>
      </c>
      <c r="J390" s="82">
        <f>IF(E390="Occupied",IFERROR(SUMIFS('Electricity Management'!$J:$J,'Electricity Management'!$A:$A,A390,'Electricity Management'!$C:$C,B390),0),0)</f>
        <v/>
      </c>
      <c r="K390" s="82">
        <f>IF(E390="Occupied",IFERROR(SUMIFS('Electricity Management'!$T:$T,'Electricity Management'!$K:$K,A390,'Electricity Management'!$L:$L,B390),0),0)</f>
        <v/>
      </c>
      <c r="O390" s="117" t="n"/>
      <c r="P390" s="116" t="n"/>
      <c r="Q390" s="116" t="n"/>
      <c r="R390" s="116" t="n"/>
      <c r="S390" s="119" t="n"/>
      <c r="T390" s="120">
        <f>IF(F390="Yes",A390&amp;"-"&amp;B390,C390)</f>
        <v/>
      </c>
    </row>
    <row r="391" ht="14.25" customHeight="1" s="83">
      <c r="A391" s="116" t="n"/>
      <c r="B391" s="116" t="n"/>
      <c r="C391" s="116" t="n"/>
      <c r="D391" s="116" t="n"/>
      <c r="E391" s="116">
        <f>IF(D391&lt;&gt;"","Occupied","Vacant")</f>
        <v/>
      </c>
      <c r="F391" s="116" t="n"/>
      <c r="G391" s="117" t="n"/>
      <c r="H391" s="116">
        <f>COUNTIFS($B:$B,B391,$E:$E,"Occupied")</f>
        <v/>
      </c>
      <c r="I391" s="82">
        <f>IF(E391&lt;&gt;"Occupied",0,IF(H391=1,350,IF(H391=2,200,0)))</f>
        <v/>
      </c>
      <c r="J391" s="82">
        <f>IF(E391="Occupied",IFERROR(SUMIFS('Electricity Management'!$J:$J,'Electricity Management'!$A:$A,A391,'Electricity Management'!$C:$C,B391),0),0)</f>
        <v/>
      </c>
      <c r="K391" s="82">
        <f>IF(E391="Occupied",IFERROR(SUMIFS('Electricity Management'!$T:$T,'Electricity Management'!$K:$K,A391,'Electricity Management'!$L:$L,B391),0),0)</f>
        <v/>
      </c>
      <c r="O391" s="117" t="n"/>
      <c r="P391" s="116" t="n"/>
      <c r="Q391" s="116" t="n"/>
      <c r="R391" s="116" t="n"/>
      <c r="S391" s="119" t="n"/>
      <c r="T391" s="120">
        <f>IF(F391="Yes",A391&amp;"-"&amp;B391,C391)</f>
        <v/>
      </c>
    </row>
    <row r="392" ht="14.25" customHeight="1" s="83">
      <c r="A392" s="116" t="n"/>
      <c r="B392" s="116" t="n"/>
      <c r="C392" s="116" t="n"/>
      <c r="D392" s="116" t="n"/>
      <c r="E392" s="116">
        <f>IF(D392&lt;&gt;"","Occupied","Vacant")</f>
        <v/>
      </c>
      <c r="F392" s="116" t="n"/>
      <c r="G392" s="117" t="n"/>
      <c r="H392" s="116">
        <f>COUNTIFS($B:$B,B392,$E:$E,"Occupied")</f>
        <v/>
      </c>
      <c r="I392" s="82">
        <f>IF(E392&lt;&gt;"Occupied",0,IF(H392=1,350,IF(H392=2,200,0)))</f>
        <v/>
      </c>
      <c r="J392" s="82">
        <f>IF(E392="Occupied",IFERROR(SUMIFS('Electricity Management'!$J:$J,'Electricity Management'!$A:$A,A392,'Electricity Management'!$C:$C,B392),0),0)</f>
        <v/>
      </c>
      <c r="K392" s="82">
        <f>IF(E392="Occupied",IFERROR(SUMIFS('Electricity Management'!$T:$T,'Electricity Management'!$K:$K,A392,'Electricity Management'!$L:$L,B392),0),0)</f>
        <v/>
      </c>
      <c r="O392" s="117" t="n"/>
      <c r="P392" s="116" t="n"/>
      <c r="Q392" s="116" t="n"/>
      <c r="R392" s="116" t="n"/>
      <c r="S392" s="119" t="n"/>
      <c r="T392" s="120">
        <f>IF(F392="Yes",A392&amp;"-"&amp;B392,C392)</f>
        <v/>
      </c>
    </row>
    <row r="393" ht="14.25" customHeight="1" s="83">
      <c r="A393" s="116" t="n"/>
      <c r="B393" s="116" t="n"/>
      <c r="C393" s="116" t="n"/>
      <c r="D393" s="116" t="n"/>
      <c r="E393" s="116">
        <f>IF(D393&lt;&gt;"","Occupied","Vacant")</f>
        <v/>
      </c>
      <c r="F393" s="116" t="n"/>
      <c r="G393" s="117" t="n"/>
      <c r="H393" s="116">
        <f>COUNTIFS($B:$B,B393,$E:$E,"Occupied")</f>
        <v/>
      </c>
      <c r="I393" s="82">
        <f>IF(E393&lt;&gt;"Occupied",0,IF(H393=1,350,IF(H393=2,200,0)))</f>
        <v/>
      </c>
      <c r="J393" s="82">
        <f>IF(E393="Occupied",IFERROR(SUMIFS('Electricity Management'!$J:$J,'Electricity Management'!$A:$A,A393,'Electricity Management'!$C:$C,B393),0),0)</f>
        <v/>
      </c>
      <c r="K393" s="82">
        <f>IF(E393="Occupied",IFERROR(SUMIFS('Electricity Management'!$T:$T,'Electricity Management'!$K:$K,A393,'Electricity Management'!$L:$L,B393),0),0)</f>
        <v/>
      </c>
      <c r="O393" s="117" t="n"/>
      <c r="P393" s="116" t="n"/>
      <c r="Q393" s="116" t="n"/>
      <c r="R393" s="116" t="n"/>
      <c r="S393" s="119" t="n"/>
      <c r="T393" s="120">
        <f>IF(F393="Yes",A393&amp;"-"&amp;B393,C393)</f>
        <v/>
      </c>
    </row>
    <row r="394" ht="14.25" customHeight="1" s="83">
      <c r="A394" s="116" t="n"/>
      <c r="B394" s="116" t="n"/>
      <c r="C394" s="116" t="n"/>
      <c r="D394" s="116" t="n"/>
      <c r="E394" s="116">
        <f>IF(D394&lt;&gt;"","Occupied","Vacant")</f>
        <v/>
      </c>
      <c r="F394" s="116" t="n"/>
      <c r="G394" s="117" t="n"/>
      <c r="H394" s="116">
        <f>COUNTIFS($B:$B,B394,$E:$E,"Occupied")</f>
        <v/>
      </c>
      <c r="I394" s="82">
        <f>IF(E394&lt;&gt;"Occupied",0,IF(H394=1,350,IF(H394=2,200,0)))</f>
        <v/>
      </c>
      <c r="J394" s="82">
        <f>IF(E394="Occupied",IFERROR(SUMIFS('Electricity Management'!$J:$J,'Electricity Management'!$A:$A,A394,'Electricity Management'!$C:$C,B394),0),0)</f>
        <v/>
      </c>
      <c r="K394" s="82">
        <f>IF(E394="Occupied",IFERROR(SUMIFS('Electricity Management'!$T:$T,'Electricity Management'!$K:$K,A394,'Electricity Management'!$L:$L,B394),0),0)</f>
        <v/>
      </c>
      <c r="O394" s="117" t="n"/>
      <c r="P394" s="116" t="n"/>
      <c r="Q394" s="116" t="n"/>
      <c r="R394" s="116" t="n"/>
      <c r="S394" s="119" t="n"/>
      <c r="T394" s="120">
        <f>IF(F394="Yes",A394&amp;"-"&amp;B394,C394)</f>
        <v/>
      </c>
    </row>
    <row r="395" ht="14.25" customHeight="1" s="83">
      <c r="A395" s="116" t="n"/>
      <c r="B395" s="116" t="n"/>
      <c r="C395" s="116" t="n"/>
      <c r="D395" s="116" t="n"/>
      <c r="E395" s="116">
        <f>IF(D395&lt;&gt;"","Occupied","Vacant")</f>
        <v/>
      </c>
      <c r="F395" s="116" t="n"/>
      <c r="G395" s="117" t="n"/>
      <c r="H395" s="116">
        <f>COUNTIFS($B:$B,B395,$E:$E,"Occupied")</f>
        <v/>
      </c>
      <c r="I395" s="82">
        <f>IF(E395&lt;&gt;"Occupied",0,IF(H395=1,350,IF(H395=2,200,0)))</f>
        <v/>
      </c>
      <c r="J395" s="82">
        <f>IF(E395="Occupied",IFERROR(SUMIFS('Electricity Management'!$J:$J,'Electricity Management'!$A:$A,A395,'Electricity Management'!$C:$C,B395),0),0)</f>
        <v/>
      </c>
      <c r="K395" s="82">
        <f>IF(E395="Occupied",IFERROR(SUMIFS('Electricity Management'!$T:$T,'Electricity Management'!$K:$K,A395,'Electricity Management'!$L:$L,B395),0),0)</f>
        <v/>
      </c>
      <c r="O395" s="117" t="n"/>
      <c r="P395" s="116" t="n"/>
      <c r="Q395" s="116" t="n"/>
      <c r="R395" s="116" t="n"/>
      <c r="S395" s="119" t="n"/>
      <c r="T395" s="120">
        <f>IF(F395="Yes",A395&amp;"-"&amp;B395,C395)</f>
        <v/>
      </c>
    </row>
    <row r="396" ht="14.25" customHeight="1" s="83">
      <c r="A396" s="116" t="n"/>
      <c r="B396" s="116" t="n"/>
      <c r="C396" s="116" t="n"/>
      <c r="D396" s="116" t="n"/>
      <c r="E396" s="116">
        <f>IF(D396&lt;&gt;"","Occupied","Vacant")</f>
        <v/>
      </c>
      <c r="F396" s="116" t="n"/>
      <c r="G396" s="117" t="n"/>
      <c r="H396" s="116">
        <f>COUNTIFS($B:$B,B396,$E:$E,"Occupied")</f>
        <v/>
      </c>
      <c r="I396" s="82">
        <f>IF(E396&lt;&gt;"Occupied",0,IF(H396=1,350,IF(H396=2,200,0)))</f>
        <v/>
      </c>
      <c r="J396" s="82">
        <f>IF(E396="Occupied",IFERROR(SUMIFS('Electricity Management'!$J:$J,'Electricity Management'!$A:$A,A396,'Electricity Management'!$C:$C,B396),0),0)</f>
        <v/>
      </c>
      <c r="K396" s="82">
        <f>IF(E396="Occupied",IFERROR(SUMIFS('Electricity Management'!$T:$T,'Electricity Management'!$K:$K,A396,'Electricity Management'!$L:$L,B396),0),0)</f>
        <v/>
      </c>
      <c r="O396" s="117" t="n"/>
      <c r="P396" s="116" t="n"/>
      <c r="Q396" s="116" t="n"/>
      <c r="R396" s="116" t="n"/>
      <c r="S396" s="119" t="n"/>
      <c r="T396" s="120">
        <f>IF(F396="Yes",A396&amp;"-"&amp;B396,C396)</f>
        <v/>
      </c>
    </row>
    <row r="397" ht="14.25" customHeight="1" s="83">
      <c r="A397" s="116" t="n"/>
      <c r="B397" s="116" t="n"/>
      <c r="C397" s="116" t="n"/>
      <c r="D397" s="116" t="n"/>
      <c r="E397" s="116">
        <f>IF(D397&lt;&gt;"","Occupied","Vacant")</f>
        <v/>
      </c>
      <c r="F397" s="116" t="n"/>
      <c r="G397" s="117" t="n"/>
      <c r="H397" s="116">
        <f>COUNTIFS($B:$B,B397,$E:$E,"Occupied")</f>
        <v/>
      </c>
      <c r="I397" s="82">
        <f>IF(E397&lt;&gt;"Occupied",0,IF(H397=1,350,IF(H397=2,200,0)))</f>
        <v/>
      </c>
      <c r="J397" s="82">
        <f>IF(E397="Occupied",IFERROR(SUMIFS('Electricity Management'!$J:$J,'Electricity Management'!$A:$A,A397,'Electricity Management'!$C:$C,B397),0),0)</f>
        <v/>
      </c>
      <c r="K397" s="82">
        <f>IF(E397="Occupied",IFERROR(SUMIFS('Electricity Management'!$T:$T,'Electricity Management'!$K:$K,A397,'Electricity Management'!$L:$L,B397),0),0)</f>
        <v/>
      </c>
      <c r="O397" s="117" t="n"/>
      <c r="P397" s="116" t="n"/>
      <c r="Q397" s="116" t="n"/>
      <c r="R397" s="116" t="n"/>
      <c r="S397" s="119" t="n"/>
      <c r="T397" s="120">
        <f>IF(F397="Yes",A397&amp;"-"&amp;B397,C397)</f>
        <v/>
      </c>
    </row>
    <row r="398" ht="14.25" customHeight="1" s="83">
      <c r="A398" s="116" t="n"/>
      <c r="B398" s="116" t="n"/>
      <c r="C398" s="116" t="n"/>
      <c r="D398" s="116" t="n"/>
      <c r="E398" s="116">
        <f>IF(D398&lt;&gt;"","Occupied","Vacant")</f>
        <v/>
      </c>
      <c r="F398" s="116" t="n"/>
      <c r="G398" s="117" t="n"/>
      <c r="H398" s="116">
        <f>COUNTIFS($B:$B,B398,$E:$E,"Occupied")</f>
        <v/>
      </c>
      <c r="I398" s="82">
        <f>IF(E398&lt;&gt;"Occupied",0,IF(H398=1,350,IF(H398=2,200,0)))</f>
        <v/>
      </c>
      <c r="J398" s="82">
        <f>IF(E398="Occupied",IFERROR(SUMIFS('Electricity Management'!$J:$J,'Electricity Management'!$A:$A,A398,'Electricity Management'!$C:$C,B398),0),0)</f>
        <v/>
      </c>
      <c r="K398" s="82">
        <f>IF(E398="Occupied",IFERROR(SUMIFS('Electricity Management'!$T:$T,'Electricity Management'!$K:$K,A398,'Electricity Management'!$L:$L,B398),0),0)</f>
        <v/>
      </c>
      <c r="O398" s="117" t="n"/>
      <c r="P398" s="116" t="n"/>
      <c r="Q398" s="116" t="n"/>
      <c r="R398" s="116" t="n"/>
      <c r="S398" s="119" t="n"/>
      <c r="T398" s="120">
        <f>IF(F398="Yes",A398&amp;"-"&amp;B398,C398)</f>
        <v/>
      </c>
    </row>
    <row r="399" ht="14.25" customHeight="1" s="83">
      <c r="A399" s="116" t="n"/>
      <c r="B399" s="116" t="n"/>
      <c r="C399" s="116" t="n"/>
      <c r="D399" s="116" t="n"/>
      <c r="E399" s="116">
        <f>IF(D399&lt;&gt;"","Occupied","Vacant")</f>
        <v/>
      </c>
      <c r="F399" s="116" t="n"/>
      <c r="G399" s="117" t="n"/>
      <c r="H399" s="116">
        <f>COUNTIFS($B:$B,B399,$E:$E,"Occupied")</f>
        <v/>
      </c>
      <c r="I399" s="82">
        <f>IF(E399&lt;&gt;"Occupied",0,IF(H399=1,350,IF(H399=2,200,0)))</f>
        <v/>
      </c>
      <c r="J399" s="82">
        <f>IF(E399="Occupied",IFERROR(SUMIFS('Electricity Management'!$J:$J,'Electricity Management'!$A:$A,A399,'Electricity Management'!$C:$C,B399),0),0)</f>
        <v/>
      </c>
      <c r="K399" s="82">
        <f>IF(E399="Occupied",IFERROR(SUMIFS('Electricity Management'!$T:$T,'Electricity Management'!$K:$K,A399,'Electricity Management'!$L:$L,B399),0),0)</f>
        <v/>
      </c>
      <c r="O399" s="117" t="n"/>
      <c r="P399" s="116" t="n"/>
      <c r="Q399" s="116" t="n"/>
      <c r="R399" s="116" t="n"/>
      <c r="S399" s="119" t="n"/>
      <c r="T399" s="120">
        <f>IF(F399="Yes",A399&amp;"-"&amp;B399,C399)</f>
        <v/>
      </c>
    </row>
    <row r="400" ht="14.25" customHeight="1" s="83">
      <c r="A400" s="116" t="n"/>
      <c r="B400" s="116" t="n"/>
      <c r="C400" s="116" t="n"/>
      <c r="D400" s="116" t="n"/>
      <c r="E400" s="116">
        <f>IF(D400&lt;&gt;"","Occupied","Vacant")</f>
        <v/>
      </c>
      <c r="F400" s="116" t="n"/>
      <c r="G400" s="117" t="n"/>
      <c r="H400" s="116">
        <f>COUNTIFS($B:$B,B400,$E:$E,"Occupied")</f>
        <v/>
      </c>
      <c r="I400" s="82">
        <f>IF(E400&lt;&gt;"Occupied",0,IF(H400=1,350,IF(H400=2,200,0)))</f>
        <v/>
      </c>
      <c r="J400" s="82">
        <f>IF(E400="Occupied",IFERROR(SUMIFS('Electricity Management'!$J:$J,'Electricity Management'!$A:$A,A400,'Electricity Management'!$C:$C,B400),0),0)</f>
        <v/>
      </c>
      <c r="K400" s="82">
        <f>IF(E400="Occupied",IFERROR(SUMIFS('Electricity Management'!$T:$T,'Electricity Management'!$K:$K,A400,'Electricity Management'!$L:$L,B400),0),0)</f>
        <v/>
      </c>
      <c r="O400" s="117" t="n"/>
      <c r="P400" s="116" t="n"/>
      <c r="Q400" s="116" t="n"/>
      <c r="R400" s="116" t="n"/>
      <c r="S400" s="119" t="n"/>
      <c r="T400" s="120">
        <f>IF(F400="Yes",A400&amp;"-"&amp;B400,C400)</f>
        <v/>
      </c>
    </row>
    <row r="401" ht="14.25" customHeight="1" s="83">
      <c r="A401" s="116" t="n"/>
      <c r="B401" s="116" t="n"/>
      <c r="C401" s="116" t="n"/>
      <c r="D401" s="116" t="n"/>
      <c r="E401" s="116">
        <f>IF(D401&lt;&gt;"","Occupied","Vacant")</f>
        <v/>
      </c>
      <c r="F401" s="116" t="n"/>
      <c r="G401" s="117" t="n"/>
      <c r="H401" s="116">
        <f>COUNTIFS($B:$B,B401,$E:$E,"Occupied")</f>
        <v/>
      </c>
      <c r="I401" s="82">
        <f>IF(E401&lt;&gt;"Occupied",0,IF(H401=1,350,IF(H401=2,200,0)))</f>
        <v/>
      </c>
      <c r="J401" s="82">
        <f>IF(E401="Occupied",IFERROR(SUMIFS('Electricity Management'!$J:$J,'Electricity Management'!$A:$A,A401,'Electricity Management'!$C:$C,B401),0),0)</f>
        <v/>
      </c>
      <c r="K401" s="82">
        <f>IF(E401="Occupied",IFERROR(SUMIFS('Electricity Management'!$T:$T,'Electricity Management'!$K:$K,A401,'Electricity Management'!$L:$L,B401),0),0)</f>
        <v/>
      </c>
      <c r="O401" s="117" t="n"/>
      <c r="P401" s="116" t="n"/>
      <c r="Q401" s="116" t="n"/>
      <c r="R401" s="116" t="n"/>
      <c r="S401" s="119" t="n"/>
      <c r="T401" s="120">
        <f>IF(F401="Yes",A401&amp;"-"&amp;B401,C401)</f>
        <v/>
      </c>
    </row>
    <row r="402" ht="14.25" customHeight="1" s="83">
      <c r="A402" s="116" t="n"/>
      <c r="B402" s="116" t="n"/>
      <c r="C402" s="116" t="n"/>
      <c r="D402" s="116" t="n"/>
      <c r="E402" s="116">
        <f>IF(D402&lt;&gt;"","Occupied","Vacant")</f>
        <v/>
      </c>
      <c r="F402" s="116" t="n"/>
      <c r="G402" s="117" t="n"/>
      <c r="H402" s="116">
        <f>COUNTIFS($B:$B,B402,$E:$E,"Occupied")</f>
        <v/>
      </c>
      <c r="I402" s="82">
        <f>IF(E402&lt;&gt;"Occupied",0,IF(H402=1,350,IF(H402=2,200,0)))</f>
        <v/>
      </c>
      <c r="J402" s="82">
        <f>IF(E402="Occupied",IFERROR(SUMIFS('Electricity Management'!$J:$J,'Electricity Management'!$A:$A,A402,'Electricity Management'!$C:$C,B402),0),0)</f>
        <v/>
      </c>
      <c r="K402" s="82">
        <f>IF(E402="Occupied",IFERROR(SUMIFS('Electricity Management'!$T:$T,'Electricity Management'!$K:$K,A402,'Electricity Management'!$L:$L,B402),0),0)</f>
        <v/>
      </c>
      <c r="O402" s="117" t="n"/>
      <c r="P402" s="116" t="n"/>
      <c r="Q402" s="116" t="n"/>
      <c r="R402" s="116" t="n"/>
      <c r="S402" s="119" t="n"/>
      <c r="T402" s="120">
        <f>IF(F402="Yes",A402&amp;"-"&amp;B402,C402)</f>
        <v/>
      </c>
    </row>
    <row r="403" ht="14.25" customHeight="1" s="83">
      <c r="A403" s="116" t="n"/>
      <c r="B403" s="116" t="n"/>
      <c r="C403" s="116" t="n"/>
      <c r="D403" s="116" t="n"/>
      <c r="E403" s="116">
        <f>IF(D403&lt;&gt;"","Occupied","Vacant")</f>
        <v/>
      </c>
      <c r="F403" s="116" t="n"/>
      <c r="G403" s="117" t="n"/>
      <c r="H403" s="116">
        <f>COUNTIFS($B:$B,B403,$E:$E,"Occupied")</f>
        <v/>
      </c>
      <c r="I403" s="82">
        <f>IF(E403&lt;&gt;"Occupied",0,IF(H403=1,350,IF(H403=2,200,0)))</f>
        <v/>
      </c>
      <c r="J403" s="82">
        <f>IF(E403="Occupied",IFERROR(SUMIFS('Electricity Management'!$J:$J,'Electricity Management'!$A:$A,A403,'Electricity Management'!$C:$C,B403),0),0)</f>
        <v/>
      </c>
      <c r="K403" s="82">
        <f>IF(E403="Occupied",IFERROR(SUMIFS('Electricity Management'!$T:$T,'Electricity Management'!$K:$K,A403,'Electricity Management'!$L:$L,B403),0),0)</f>
        <v/>
      </c>
      <c r="O403" s="117" t="n"/>
      <c r="P403" s="116" t="n"/>
      <c r="Q403" s="116" t="n"/>
      <c r="R403" s="116" t="n"/>
      <c r="S403" s="119" t="n"/>
      <c r="T403" s="120">
        <f>IF(F403="Yes",A403&amp;"-"&amp;B403,C403)</f>
        <v/>
      </c>
    </row>
    <row r="404" ht="14.25" customHeight="1" s="83">
      <c r="A404" s="116" t="n"/>
      <c r="B404" s="116" t="n"/>
      <c r="C404" s="116" t="n"/>
      <c r="D404" s="116" t="n"/>
      <c r="E404" s="116">
        <f>IF(D404&lt;&gt;"","Occupied","Vacant")</f>
        <v/>
      </c>
      <c r="F404" s="116" t="n"/>
      <c r="G404" s="117" t="n"/>
      <c r="H404" s="116">
        <f>COUNTIFS($B:$B,B404,$E:$E,"Occupied")</f>
        <v/>
      </c>
      <c r="I404" s="82">
        <f>IF(E404&lt;&gt;"Occupied",0,IF(H404=1,350,IF(H404=2,200,0)))</f>
        <v/>
      </c>
      <c r="J404" s="82">
        <f>IF(E404="Occupied",IFERROR(SUMIFS('Electricity Management'!$J:$J,'Electricity Management'!$A:$A,A404,'Electricity Management'!$C:$C,B404),0),0)</f>
        <v/>
      </c>
      <c r="K404" s="82">
        <f>IF(E404="Occupied",IFERROR(SUMIFS('Electricity Management'!$T:$T,'Electricity Management'!$K:$K,A404,'Electricity Management'!$L:$L,B404),0),0)</f>
        <v/>
      </c>
      <c r="O404" s="117" t="n"/>
      <c r="P404" s="116" t="n"/>
      <c r="Q404" s="116" t="n"/>
      <c r="R404" s="116" t="n"/>
      <c r="S404" s="119" t="n"/>
      <c r="T404" s="120">
        <f>IF(F404="Yes",A404&amp;"-"&amp;B404,C404)</f>
        <v/>
      </c>
    </row>
    <row r="405" ht="14.25" customHeight="1" s="83">
      <c r="A405" s="116" t="n"/>
      <c r="B405" s="116" t="n"/>
      <c r="C405" s="116" t="n"/>
      <c r="D405" s="116" t="n"/>
      <c r="E405" s="116">
        <f>IF(D405&lt;&gt;"","Occupied","Vacant")</f>
        <v/>
      </c>
      <c r="F405" s="116" t="n"/>
      <c r="G405" s="117" t="n"/>
      <c r="H405" s="116">
        <f>COUNTIFS($B:$B,B405,$E:$E,"Occupied")</f>
        <v/>
      </c>
      <c r="I405" s="82">
        <f>IF(E405&lt;&gt;"Occupied",0,IF(H405=1,350,IF(H405=2,200,0)))</f>
        <v/>
      </c>
      <c r="J405" s="82">
        <f>IF(E405="Occupied",IFERROR(SUMIFS('Electricity Management'!$J:$J,'Electricity Management'!$A:$A,A405,'Electricity Management'!$C:$C,B405),0),0)</f>
        <v/>
      </c>
      <c r="K405" s="82">
        <f>IF(E405="Occupied",IFERROR(SUMIFS('Electricity Management'!$T:$T,'Electricity Management'!$K:$K,A405,'Electricity Management'!$L:$L,B405),0),0)</f>
        <v/>
      </c>
      <c r="O405" s="117" t="n"/>
      <c r="P405" s="116" t="n"/>
      <c r="Q405" s="116" t="n"/>
      <c r="R405" s="116" t="n"/>
      <c r="S405" s="119" t="n"/>
      <c r="T405" s="120">
        <f>IF(F405="Yes",A405&amp;"-"&amp;B405,C405)</f>
        <v/>
      </c>
    </row>
    <row r="406" ht="14.25" customHeight="1" s="83">
      <c r="A406" s="116" t="n"/>
      <c r="B406" s="116" t="n"/>
      <c r="C406" s="116" t="n"/>
      <c r="D406" s="116" t="n"/>
      <c r="E406" s="116">
        <f>IF(D406&lt;&gt;"","Occupied","Vacant")</f>
        <v/>
      </c>
      <c r="F406" s="116" t="n"/>
      <c r="G406" s="117" t="n"/>
      <c r="H406" s="116">
        <f>COUNTIFS($B:$B,B406,$E:$E,"Occupied")</f>
        <v/>
      </c>
      <c r="I406" s="82">
        <f>IF(E406&lt;&gt;"Occupied",0,IF(H406=1,350,IF(H406=2,200,0)))</f>
        <v/>
      </c>
      <c r="J406" s="82">
        <f>IF(E406="Occupied",IFERROR(SUMIFS('Electricity Management'!$J:$J,'Electricity Management'!$A:$A,A406,'Electricity Management'!$C:$C,B406),0),0)</f>
        <v/>
      </c>
      <c r="K406" s="82">
        <f>IF(E406="Occupied",IFERROR(SUMIFS('Electricity Management'!$T:$T,'Electricity Management'!$K:$K,A406,'Electricity Management'!$L:$L,B406),0),0)</f>
        <v/>
      </c>
      <c r="O406" s="117" t="n"/>
      <c r="P406" s="116" t="n"/>
      <c r="Q406" s="116" t="n"/>
      <c r="R406" s="116" t="n"/>
      <c r="S406" s="119" t="n"/>
      <c r="T406" s="120">
        <f>IF(F406="Yes",A406&amp;"-"&amp;B406,C406)</f>
        <v/>
      </c>
    </row>
    <row r="407" ht="14.25" customHeight="1" s="83">
      <c r="A407" s="116" t="n"/>
      <c r="B407" s="116" t="n"/>
      <c r="C407" s="116" t="n"/>
      <c r="D407" s="116" t="n"/>
      <c r="E407" s="116">
        <f>IF(D407&lt;&gt;"","Occupied","Vacant")</f>
        <v/>
      </c>
      <c r="F407" s="116" t="n"/>
      <c r="G407" s="117" t="n"/>
      <c r="H407" s="116">
        <f>COUNTIFS($B:$B,B407,$E:$E,"Occupied")</f>
        <v/>
      </c>
      <c r="I407" s="82">
        <f>IF(E407&lt;&gt;"Occupied",0,IF(H407=1,350,IF(H407=2,200,0)))</f>
        <v/>
      </c>
      <c r="J407" s="82">
        <f>IF(E407="Occupied",IFERROR(SUMIFS('Electricity Management'!$J:$J,'Electricity Management'!$A:$A,A407,'Electricity Management'!$C:$C,B407),0),0)</f>
        <v/>
      </c>
      <c r="K407" s="82">
        <f>IF(E407="Occupied",IFERROR(SUMIFS('Electricity Management'!$T:$T,'Electricity Management'!$K:$K,A407,'Electricity Management'!$L:$L,B407),0),0)</f>
        <v/>
      </c>
      <c r="O407" s="117" t="n"/>
      <c r="P407" s="116" t="n"/>
      <c r="Q407" s="116" t="n"/>
      <c r="R407" s="116" t="n"/>
      <c r="S407" s="119" t="n"/>
      <c r="T407" s="120">
        <f>IF(F407="Yes",A407&amp;"-"&amp;B407,C407)</f>
        <v/>
      </c>
    </row>
    <row r="408" ht="14.25" customHeight="1" s="83">
      <c r="A408" s="116" t="n"/>
      <c r="B408" s="116" t="n"/>
      <c r="C408" s="116" t="n"/>
      <c r="D408" s="116" t="n"/>
      <c r="E408" s="116">
        <f>IF(D408&lt;&gt;"","Occupied","Vacant")</f>
        <v/>
      </c>
      <c r="F408" s="116" t="n"/>
      <c r="G408" s="117" t="n"/>
      <c r="H408" s="116">
        <f>COUNTIFS($B:$B,B408,$E:$E,"Occupied")</f>
        <v/>
      </c>
      <c r="I408" s="82">
        <f>IF(E408&lt;&gt;"Occupied",0,IF(H408=1,350,IF(H408=2,200,0)))</f>
        <v/>
      </c>
      <c r="J408" s="82">
        <f>IF(E408="Occupied",IFERROR(SUMIFS('Electricity Management'!$J:$J,'Electricity Management'!$A:$A,A408,'Electricity Management'!$C:$C,B408),0),0)</f>
        <v/>
      </c>
      <c r="K408" s="82">
        <f>IF(E408="Occupied",IFERROR(SUMIFS('Electricity Management'!$T:$T,'Electricity Management'!$K:$K,A408,'Electricity Management'!$L:$L,B408),0),0)</f>
        <v/>
      </c>
      <c r="O408" s="117" t="n"/>
      <c r="P408" s="116" t="n"/>
      <c r="Q408" s="116" t="n"/>
      <c r="R408" s="116" t="n"/>
      <c r="S408" s="119" t="n"/>
      <c r="T408" s="120">
        <f>IF(F408="Yes",A408&amp;"-"&amp;B408,C408)</f>
        <v/>
      </c>
    </row>
    <row r="409" ht="14.25" customHeight="1" s="83">
      <c r="A409" s="116" t="n"/>
      <c r="B409" s="116" t="n"/>
      <c r="C409" s="116" t="n"/>
      <c r="D409" s="116" t="n"/>
      <c r="E409" s="116">
        <f>IF(D409&lt;&gt;"","Occupied","Vacant")</f>
        <v/>
      </c>
      <c r="F409" s="116" t="n"/>
      <c r="G409" s="117" t="n"/>
      <c r="H409" s="116">
        <f>COUNTIFS($B:$B,B409,$E:$E,"Occupied")</f>
        <v/>
      </c>
      <c r="I409" s="82">
        <f>IF(E409&lt;&gt;"Occupied",0,IF(H409=1,350,IF(H409=2,200,0)))</f>
        <v/>
      </c>
      <c r="J409" s="82">
        <f>IF(E409="Occupied",IFERROR(SUMIFS('Electricity Management'!$J:$J,'Electricity Management'!$A:$A,A409,'Electricity Management'!$C:$C,B409),0),0)</f>
        <v/>
      </c>
      <c r="K409" s="82">
        <f>IF(E409="Occupied",IFERROR(SUMIFS('Electricity Management'!$T:$T,'Electricity Management'!$K:$K,A409,'Electricity Management'!$L:$L,B409),0),0)</f>
        <v/>
      </c>
      <c r="O409" s="117" t="n"/>
      <c r="P409" s="116" t="n"/>
      <c r="Q409" s="116" t="n"/>
      <c r="R409" s="116" t="n"/>
      <c r="S409" s="119" t="n"/>
      <c r="T409" s="120">
        <f>IF(F409="Yes",A409&amp;"-"&amp;B409,C409)</f>
        <v/>
      </c>
    </row>
    <row r="410" ht="14.25" customHeight="1" s="83">
      <c r="A410" s="116" t="n"/>
      <c r="B410" s="116" t="n"/>
      <c r="C410" s="116" t="n"/>
      <c r="D410" s="116" t="n"/>
      <c r="E410" s="116">
        <f>IF(D410&lt;&gt;"","Occupied","Vacant")</f>
        <v/>
      </c>
      <c r="F410" s="116" t="n"/>
      <c r="G410" s="117" t="n"/>
      <c r="H410" s="116">
        <f>COUNTIFS($B:$B,B410,$E:$E,"Occupied")</f>
        <v/>
      </c>
      <c r="I410" s="82">
        <f>IF(E410&lt;&gt;"Occupied",0,IF(H410=1,350,IF(H410=2,200,0)))</f>
        <v/>
      </c>
      <c r="J410" s="82">
        <f>IF(E410="Occupied",IFERROR(SUMIFS('Electricity Management'!$J:$J,'Electricity Management'!$A:$A,A410,'Electricity Management'!$C:$C,B410),0),0)</f>
        <v/>
      </c>
      <c r="K410" s="82">
        <f>IF(E410="Occupied",IFERROR(SUMIFS('Electricity Management'!$T:$T,'Electricity Management'!$K:$K,A410,'Electricity Management'!$L:$L,B410),0),0)</f>
        <v/>
      </c>
      <c r="O410" s="117" t="n"/>
      <c r="P410" s="116" t="n"/>
      <c r="Q410" s="116" t="n"/>
      <c r="R410" s="116" t="n"/>
      <c r="S410" s="119" t="n"/>
      <c r="T410" s="120">
        <f>IF(F410="Yes",A410&amp;"-"&amp;B410,C410)</f>
        <v/>
      </c>
    </row>
    <row r="411" ht="14.25" customHeight="1" s="83">
      <c r="A411" s="116" t="n"/>
      <c r="B411" s="116" t="n"/>
      <c r="C411" s="116" t="n"/>
      <c r="D411" s="116" t="n"/>
      <c r="E411" s="116">
        <f>IF(D411&lt;&gt;"","Occupied","Vacant")</f>
        <v/>
      </c>
      <c r="F411" s="116" t="n"/>
      <c r="G411" s="117" t="n"/>
      <c r="H411" s="116">
        <f>COUNTIFS($B:$B,B411,$E:$E,"Occupied")</f>
        <v/>
      </c>
      <c r="I411" s="82">
        <f>IF(E411&lt;&gt;"Occupied",0,IF(H411=1,350,IF(H411=2,200,0)))</f>
        <v/>
      </c>
      <c r="J411" s="82">
        <f>IF(E411="Occupied",IFERROR(SUMIFS('Electricity Management'!$J:$J,'Electricity Management'!$A:$A,A411,'Electricity Management'!$C:$C,B411),0),0)</f>
        <v/>
      </c>
      <c r="K411" s="82">
        <f>IF(E411="Occupied",IFERROR(SUMIFS('Electricity Management'!$T:$T,'Electricity Management'!$K:$K,A411,'Electricity Management'!$L:$L,B411),0),0)</f>
        <v/>
      </c>
      <c r="O411" s="117" t="n"/>
      <c r="P411" s="116" t="n"/>
      <c r="Q411" s="116" t="n"/>
      <c r="R411" s="116" t="n"/>
      <c r="S411" s="119" t="n"/>
      <c r="T411" s="120">
        <f>IF(F411="Yes",A411&amp;"-"&amp;B411,C411)</f>
        <v/>
      </c>
    </row>
    <row r="412" ht="14.25" customHeight="1" s="83">
      <c r="A412" s="116" t="n"/>
      <c r="B412" s="116" t="n"/>
      <c r="C412" s="116" t="n"/>
      <c r="D412" s="116" t="n"/>
      <c r="E412" s="116">
        <f>IF(D412&lt;&gt;"","Occupied","Vacant")</f>
        <v/>
      </c>
      <c r="F412" s="116" t="n"/>
      <c r="G412" s="117" t="n"/>
      <c r="H412" s="116">
        <f>COUNTIFS($B:$B,B412,$E:$E,"Occupied")</f>
        <v/>
      </c>
      <c r="I412" s="82">
        <f>IF(E412&lt;&gt;"Occupied",0,IF(H412=1,350,IF(H412=2,200,0)))</f>
        <v/>
      </c>
      <c r="J412" s="82">
        <f>IF(E412="Occupied",IFERROR(SUMIFS('Electricity Management'!$J:$J,'Electricity Management'!$A:$A,A412,'Electricity Management'!$C:$C,B412),0),0)</f>
        <v/>
      </c>
      <c r="K412" s="82">
        <f>IF(E412="Occupied",IFERROR(SUMIFS('Electricity Management'!$T:$T,'Electricity Management'!$K:$K,A412,'Electricity Management'!$L:$L,B412),0),0)</f>
        <v/>
      </c>
      <c r="O412" s="117" t="n"/>
      <c r="P412" s="116" t="n"/>
      <c r="Q412" s="116" t="n"/>
      <c r="R412" s="116" t="n"/>
      <c r="S412" s="119" t="n"/>
      <c r="T412" s="120">
        <f>IF(F412="Yes",A412&amp;"-"&amp;B412,C412)</f>
        <v/>
      </c>
    </row>
    <row r="413" ht="14.25" customHeight="1" s="83">
      <c r="A413" s="116" t="n"/>
      <c r="B413" s="116" t="n"/>
      <c r="C413" s="116" t="n"/>
      <c r="D413" s="116" t="n"/>
      <c r="E413" s="116">
        <f>IF(D413&lt;&gt;"","Occupied","Vacant")</f>
        <v/>
      </c>
      <c r="F413" s="116" t="n"/>
      <c r="G413" s="117" t="n"/>
      <c r="H413" s="116">
        <f>COUNTIFS($B:$B,B413,$E:$E,"Occupied")</f>
        <v/>
      </c>
      <c r="I413" s="82">
        <f>IF(E413&lt;&gt;"Occupied",0,IF(H413=1,350,IF(H413=2,200,0)))</f>
        <v/>
      </c>
      <c r="J413" s="82">
        <f>IF(E413="Occupied",IFERROR(SUMIFS('Electricity Management'!$J:$J,'Electricity Management'!$A:$A,A413,'Electricity Management'!$C:$C,B413),0),0)</f>
        <v/>
      </c>
      <c r="K413" s="82">
        <f>IF(E413="Occupied",IFERROR(SUMIFS('Electricity Management'!$T:$T,'Electricity Management'!$K:$K,A413,'Electricity Management'!$L:$L,B413),0),0)</f>
        <v/>
      </c>
      <c r="O413" s="117" t="n"/>
      <c r="P413" s="116" t="n"/>
      <c r="Q413" s="116" t="n"/>
      <c r="R413" s="116" t="n"/>
      <c r="S413" s="119" t="n"/>
      <c r="T413" s="120">
        <f>IF(F413="Yes",A413&amp;"-"&amp;B413,C413)</f>
        <v/>
      </c>
    </row>
    <row r="414" ht="14.25" customHeight="1" s="83">
      <c r="A414" s="116" t="n"/>
      <c r="B414" s="116" t="n"/>
      <c r="C414" s="116" t="n"/>
      <c r="D414" s="116" t="n"/>
      <c r="E414" s="116">
        <f>IF(D414&lt;&gt;"","Occupied","Vacant")</f>
        <v/>
      </c>
      <c r="F414" s="116" t="n"/>
      <c r="G414" s="117" t="n"/>
      <c r="H414" s="116">
        <f>COUNTIFS($B:$B,B414,$E:$E,"Occupied")</f>
        <v/>
      </c>
      <c r="I414" s="82">
        <f>IF(E414&lt;&gt;"Occupied",0,IF(H414=1,350,IF(H414=2,200,0)))</f>
        <v/>
      </c>
      <c r="J414" s="82">
        <f>IF(E414="Occupied",IFERROR(SUMIFS('Electricity Management'!$J:$J,'Electricity Management'!$A:$A,A414,'Electricity Management'!$C:$C,B414),0),0)</f>
        <v/>
      </c>
      <c r="K414" s="82">
        <f>IF(E414="Occupied",IFERROR(SUMIFS('Electricity Management'!$T:$T,'Electricity Management'!$K:$K,A414,'Electricity Management'!$L:$L,B414),0),0)</f>
        <v/>
      </c>
      <c r="O414" s="117" t="n"/>
      <c r="P414" s="116" t="n"/>
      <c r="Q414" s="116" t="n"/>
      <c r="R414" s="116" t="n"/>
      <c r="S414" s="119" t="n"/>
      <c r="T414" s="120">
        <f>IF(F414="Yes",A414&amp;"-"&amp;B414,C414)</f>
        <v/>
      </c>
    </row>
    <row r="415" ht="14.25" customHeight="1" s="83">
      <c r="A415" s="116" t="n"/>
      <c r="B415" s="116" t="n"/>
      <c r="C415" s="116" t="n"/>
      <c r="D415" s="116" t="n"/>
      <c r="E415" s="116">
        <f>IF(D415&lt;&gt;"","Occupied","Vacant")</f>
        <v/>
      </c>
      <c r="F415" s="116" t="n"/>
      <c r="G415" s="117" t="n"/>
      <c r="H415" s="116">
        <f>COUNTIFS($B:$B,B415,$E:$E,"Occupied")</f>
        <v/>
      </c>
      <c r="I415" s="82">
        <f>IF(E415&lt;&gt;"Occupied",0,IF(H415=1,350,IF(H415=2,200,0)))</f>
        <v/>
      </c>
      <c r="J415" s="82">
        <f>IF(E415="Occupied",IFERROR(SUMIFS('Electricity Management'!$J:$J,'Electricity Management'!$A:$A,A415,'Electricity Management'!$C:$C,B415),0),0)</f>
        <v/>
      </c>
      <c r="K415" s="82">
        <f>IF(E415="Occupied",IFERROR(SUMIFS('Electricity Management'!$T:$T,'Electricity Management'!$K:$K,A415,'Electricity Management'!$L:$L,B415),0),0)</f>
        <v/>
      </c>
      <c r="O415" s="117" t="n"/>
      <c r="P415" s="116" t="n"/>
      <c r="Q415" s="116" t="n"/>
      <c r="R415" s="116" t="n"/>
      <c r="S415" s="119" t="n"/>
      <c r="T415" s="120">
        <f>IF(F415="Yes",A415&amp;"-"&amp;B415,C415)</f>
        <v/>
      </c>
    </row>
    <row r="416" ht="14.25" customHeight="1" s="83">
      <c r="A416" s="116" t="n"/>
      <c r="B416" s="116" t="n"/>
      <c r="C416" s="116" t="n"/>
      <c r="D416" s="116" t="n"/>
      <c r="E416" s="116">
        <f>IF(D416&lt;&gt;"","Occupied","Vacant")</f>
        <v/>
      </c>
      <c r="F416" s="116" t="n"/>
      <c r="G416" s="117" t="n"/>
      <c r="H416" s="116">
        <f>COUNTIFS($B:$B,B416,$E:$E,"Occupied")</f>
        <v/>
      </c>
      <c r="I416" s="82">
        <f>IF(E416&lt;&gt;"Occupied",0,IF(H416=1,350,IF(H416=2,200,0)))</f>
        <v/>
      </c>
      <c r="J416" s="82">
        <f>IF(E416="Occupied",IFERROR(SUMIFS('Electricity Management'!$J:$J,'Electricity Management'!$A:$A,A416,'Electricity Management'!$C:$C,B416),0),0)</f>
        <v/>
      </c>
      <c r="K416" s="82">
        <f>IF(E416="Occupied",IFERROR(SUMIFS('Electricity Management'!$T:$T,'Electricity Management'!$K:$K,A416,'Electricity Management'!$L:$L,B416),0),0)</f>
        <v/>
      </c>
      <c r="O416" s="117" t="n"/>
      <c r="P416" s="116" t="n"/>
      <c r="Q416" s="116" t="n"/>
      <c r="R416" s="116" t="n"/>
      <c r="S416" s="119" t="n"/>
      <c r="T416" s="120">
        <f>IF(F416="Yes",A416&amp;"-"&amp;B416,C416)</f>
        <v/>
      </c>
    </row>
    <row r="417" ht="14.25" customHeight="1" s="83">
      <c r="A417" s="116" t="n"/>
      <c r="B417" s="116" t="n"/>
      <c r="C417" s="116" t="n"/>
      <c r="D417" s="116" t="n"/>
      <c r="E417" s="116">
        <f>IF(D417&lt;&gt;"","Occupied","Vacant")</f>
        <v/>
      </c>
      <c r="F417" s="116" t="n"/>
      <c r="G417" s="117" t="n"/>
      <c r="H417" s="116">
        <f>COUNTIFS($B:$B,B417,$E:$E,"Occupied")</f>
        <v/>
      </c>
      <c r="I417" s="82">
        <f>IF(E417&lt;&gt;"Occupied",0,IF(H417=1,350,IF(H417=2,200,0)))</f>
        <v/>
      </c>
      <c r="J417" s="82">
        <f>IF(E417="Occupied",IFERROR(SUMIFS('Electricity Management'!$J:$J,'Electricity Management'!$A:$A,A417,'Electricity Management'!$C:$C,B417),0),0)</f>
        <v/>
      </c>
      <c r="K417" s="82">
        <f>IF(E417="Occupied",IFERROR(SUMIFS('Electricity Management'!$T:$T,'Electricity Management'!$K:$K,A417,'Electricity Management'!$L:$L,B417),0),0)</f>
        <v/>
      </c>
      <c r="O417" s="117" t="n"/>
      <c r="P417" s="116" t="n"/>
      <c r="Q417" s="116" t="n"/>
      <c r="R417" s="116" t="n"/>
      <c r="S417" s="119" t="n"/>
      <c r="T417" s="120">
        <f>IF(F417="Yes",A417&amp;"-"&amp;B417,C417)</f>
        <v/>
      </c>
    </row>
    <row r="418" ht="14.25" customHeight="1" s="83">
      <c r="A418" s="116" t="n"/>
      <c r="B418" s="116" t="n"/>
      <c r="C418" s="116" t="n"/>
      <c r="D418" s="116" t="n"/>
      <c r="E418" s="116">
        <f>IF(D418&lt;&gt;"","Occupied","Vacant")</f>
        <v/>
      </c>
      <c r="F418" s="116" t="n"/>
      <c r="G418" s="117" t="n"/>
      <c r="H418" s="116">
        <f>COUNTIFS($B:$B,B418,$E:$E,"Occupied")</f>
        <v/>
      </c>
      <c r="I418" s="82">
        <f>IF(E418&lt;&gt;"Occupied",0,IF(H418=1,350,IF(H418=2,200,0)))</f>
        <v/>
      </c>
      <c r="J418" s="82">
        <f>IF(E418="Occupied",IFERROR(SUMIFS('Electricity Management'!$J:$J,'Electricity Management'!$A:$A,A418,'Electricity Management'!$C:$C,B418),0),0)</f>
        <v/>
      </c>
      <c r="K418" s="82">
        <f>IF(E418="Occupied",IFERROR(SUMIFS('Electricity Management'!$T:$T,'Electricity Management'!$K:$K,A418,'Electricity Management'!$L:$L,B418),0),0)</f>
        <v/>
      </c>
      <c r="O418" s="117" t="n"/>
      <c r="P418" s="116" t="n"/>
      <c r="Q418" s="116" t="n"/>
      <c r="R418" s="116" t="n"/>
      <c r="S418" s="119" t="n"/>
      <c r="T418" s="120">
        <f>IF(F418="Yes",A418&amp;"-"&amp;B418,C418)</f>
        <v/>
      </c>
    </row>
    <row r="419" ht="14.25" customHeight="1" s="83">
      <c r="A419" s="116" t="n"/>
      <c r="B419" s="116" t="n"/>
      <c r="C419" s="116" t="n"/>
      <c r="D419" s="116" t="n"/>
      <c r="E419" s="116">
        <f>IF(D419&lt;&gt;"","Occupied","Vacant")</f>
        <v/>
      </c>
      <c r="F419" s="116" t="n"/>
      <c r="G419" s="117" t="n"/>
      <c r="H419" s="116">
        <f>COUNTIFS($B:$B,B419,$E:$E,"Occupied")</f>
        <v/>
      </c>
      <c r="I419" s="82">
        <f>IF(E419&lt;&gt;"Occupied",0,IF(H419=1,350,IF(H419=2,200,0)))</f>
        <v/>
      </c>
      <c r="J419" s="82">
        <f>IF(E419="Occupied",IFERROR(SUMIFS('Electricity Management'!$J:$J,'Electricity Management'!$A:$A,A419,'Electricity Management'!$C:$C,B419),0),0)</f>
        <v/>
      </c>
      <c r="K419" s="82">
        <f>IF(E419="Occupied",IFERROR(SUMIFS('Electricity Management'!$T:$T,'Electricity Management'!$K:$K,A419,'Electricity Management'!$L:$L,B419),0),0)</f>
        <v/>
      </c>
      <c r="O419" s="117" t="n"/>
      <c r="P419" s="116" t="n"/>
      <c r="Q419" s="116" t="n"/>
      <c r="R419" s="116" t="n"/>
      <c r="S419" s="119" t="n"/>
      <c r="T419" s="120">
        <f>IF(F419="Yes",A419&amp;"-"&amp;B419,C419)</f>
        <v/>
      </c>
    </row>
    <row r="420" ht="14.25" customHeight="1" s="83">
      <c r="A420" s="116" t="n"/>
      <c r="B420" s="116" t="n"/>
      <c r="C420" s="116" t="n"/>
      <c r="D420" s="116" t="n"/>
      <c r="E420" s="116">
        <f>IF(D420&lt;&gt;"","Occupied","Vacant")</f>
        <v/>
      </c>
      <c r="F420" s="116" t="n"/>
      <c r="G420" s="117" t="n"/>
      <c r="H420" s="116">
        <f>COUNTIFS($B:$B,B420,$E:$E,"Occupied")</f>
        <v/>
      </c>
      <c r="I420" s="82">
        <f>IF(E420&lt;&gt;"Occupied",0,IF(H420=1,350,IF(H420=2,200,0)))</f>
        <v/>
      </c>
      <c r="J420" s="82">
        <f>IF(E420="Occupied",IFERROR(SUMIFS('Electricity Management'!$J:$J,'Electricity Management'!$A:$A,A420,'Electricity Management'!$C:$C,B420),0),0)</f>
        <v/>
      </c>
      <c r="K420" s="82">
        <f>IF(E420="Occupied",IFERROR(SUMIFS('Electricity Management'!$T:$T,'Electricity Management'!$K:$K,A420,'Electricity Management'!$L:$L,B420),0),0)</f>
        <v/>
      </c>
      <c r="O420" s="117" t="n"/>
      <c r="P420" s="116" t="n"/>
      <c r="Q420" s="116" t="n"/>
      <c r="R420" s="116" t="n"/>
      <c r="S420" s="119" t="n"/>
      <c r="T420" s="120">
        <f>IF(F420="Yes",A420&amp;"-"&amp;B420,C420)</f>
        <v/>
      </c>
    </row>
    <row r="421" ht="14.25" customHeight="1" s="83">
      <c r="A421" s="116" t="n"/>
      <c r="B421" s="116" t="n"/>
      <c r="C421" s="116" t="n"/>
      <c r="D421" s="116" t="n"/>
      <c r="E421" s="116">
        <f>IF(D421&lt;&gt;"","Occupied","Vacant")</f>
        <v/>
      </c>
      <c r="F421" s="116" t="n"/>
      <c r="G421" s="117" t="n"/>
      <c r="H421" s="116">
        <f>COUNTIFS($B:$B,B421,$E:$E,"Occupied")</f>
        <v/>
      </c>
      <c r="I421" s="82">
        <f>IF(E421&lt;&gt;"Occupied",0,IF(H421=1,350,IF(H421=2,200,0)))</f>
        <v/>
      </c>
      <c r="J421" s="82">
        <f>IF(E421="Occupied",IFERROR(SUMIFS('Electricity Management'!$J:$J,'Electricity Management'!$A:$A,A421,'Electricity Management'!$C:$C,B421),0),0)</f>
        <v/>
      </c>
      <c r="K421" s="82">
        <f>IF(E421="Occupied",IFERROR(SUMIFS('Electricity Management'!$T:$T,'Electricity Management'!$K:$K,A421,'Electricity Management'!$L:$L,B421),0),0)</f>
        <v/>
      </c>
      <c r="O421" s="117" t="n"/>
      <c r="P421" s="116" t="n"/>
      <c r="Q421" s="116" t="n"/>
      <c r="R421" s="116" t="n"/>
      <c r="S421" s="119" t="n"/>
      <c r="T421" s="120">
        <f>IF(F421="Yes",A421&amp;"-"&amp;B421,C421)</f>
        <v/>
      </c>
    </row>
    <row r="422" ht="14.25" customHeight="1" s="83">
      <c r="A422" s="116" t="n"/>
      <c r="B422" s="116" t="n"/>
      <c r="C422" s="116" t="n"/>
      <c r="D422" s="116" t="n"/>
      <c r="E422" s="116">
        <f>IF(D422&lt;&gt;"","Occupied","Vacant")</f>
        <v/>
      </c>
      <c r="F422" s="116" t="n"/>
      <c r="G422" s="117" t="n"/>
      <c r="H422" s="116">
        <f>COUNTIFS($B:$B,B422,$E:$E,"Occupied")</f>
        <v/>
      </c>
      <c r="I422" s="82">
        <f>IF(E422&lt;&gt;"Occupied",0,IF(H422=1,350,IF(H422=2,200,0)))</f>
        <v/>
      </c>
      <c r="J422" s="82">
        <f>IF(E422="Occupied",IFERROR(SUMIFS('Electricity Management'!$J:$J,'Electricity Management'!$A:$A,A422,'Electricity Management'!$C:$C,B422),0),0)</f>
        <v/>
      </c>
      <c r="K422" s="82">
        <f>IF(E422="Occupied",IFERROR(SUMIFS('Electricity Management'!$T:$T,'Electricity Management'!$K:$K,A422,'Electricity Management'!$L:$L,B422),0),0)</f>
        <v/>
      </c>
      <c r="O422" s="117" t="n"/>
      <c r="P422" s="116" t="n"/>
      <c r="Q422" s="116" t="n"/>
      <c r="R422" s="116" t="n"/>
      <c r="S422" s="119" t="n"/>
      <c r="T422" s="120">
        <f>IF(F422="Yes",A422&amp;"-"&amp;B422,C422)</f>
        <v/>
      </c>
    </row>
    <row r="423" ht="14.25" customHeight="1" s="83">
      <c r="A423" s="116" t="n"/>
      <c r="B423" s="116" t="n"/>
      <c r="C423" s="116" t="n"/>
      <c r="D423" s="116" t="n"/>
      <c r="E423" s="116">
        <f>IF(D423&lt;&gt;"","Occupied","Vacant")</f>
        <v/>
      </c>
      <c r="F423" s="116" t="n"/>
      <c r="G423" s="117" t="n"/>
      <c r="H423" s="116">
        <f>COUNTIFS($B:$B,B423,$E:$E,"Occupied")</f>
        <v/>
      </c>
      <c r="I423" s="82">
        <f>IF(E423&lt;&gt;"Occupied",0,IF(H423=1,350,IF(H423=2,200,0)))</f>
        <v/>
      </c>
      <c r="J423" s="82">
        <f>IF(E423="Occupied",IFERROR(SUMIFS('Electricity Management'!$J:$J,'Electricity Management'!$A:$A,A423,'Electricity Management'!$C:$C,B423),0),0)</f>
        <v/>
      </c>
      <c r="K423" s="82">
        <f>IF(E423="Occupied",IFERROR(SUMIFS('Electricity Management'!$T:$T,'Electricity Management'!$K:$K,A423,'Electricity Management'!$L:$L,B423),0),0)</f>
        <v/>
      </c>
      <c r="O423" s="117" t="n"/>
      <c r="P423" s="116" t="n"/>
      <c r="Q423" s="116" t="n"/>
      <c r="R423" s="116" t="n"/>
      <c r="S423" s="119" t="n"/>
      <c r="T423" s="120">
        <f>IF(F423="Yes",A423&amp;"-"&amp;B423,C423)</f>
        <v/>
      </c>
    </row>
    <row r="424" ht="14.25" customHeight="1" s="83">
      <c r="A424" s="116" t="n"/>
      <c r="B424" s="116" t="n"/>
      <c r="C424" s="116" t="n"/>
      <c r="D424" s="116" t="n"/>
      <c r="E424" s="116">
        <f>IF(D424&lt;&gt;"","Occupied","Vacant")</f>
        <v/>
      </c>
      <c r="F424" s="116" t="n"/>
      <c r="G424" s="117" t="n"/>
      <c r="H424" s="116">
        <f>COUNTIFS($B:$B,B424,$E:$E,"Occupied")</f>
        <v/>
      </c>
      <c r="I424" s="82">
        <f>IF(E424&lt;&gt;"Occupied",0,IF(H424=1,350,IF(H424=2,200,0)))</f>
        <v/>
      </c>
      <c r="J424" s="82">
        <f>IF(E424="Occupied",IFERROR(SUMIFS('Electricity Management'!$J:$J,'Electricity Management'!$A:$A,A424,'Electricity Management'!$C:$C,B424),0),0)</f>
        <v/>
      </c>
      <c r="K424" s="82">
        <f>IF(E424="Occupied",IFERROR(SUMIFS('Electricity Management'!$T:$T,'Electricity Management'!$K:$K,A424,'Electricity Management'!$L:$L,B424),0),0)</f>
        <v/>
      </c>
      <c r="O424" s="117" t="n"/>
      <c r="P424" s="116" t="n"/>
      <c r="Q424" s="116" t="n"/>
      <c r="R424" s="116" t="n"/>
      <c r="S424" s="119" t="n"/>
      <c r="T424" s="120">
        <f>IF(F424="Yes",A424&amp;"-"&amp;B424,C424)</f>
        <v/>
      </c>
    </row>
    <row r="425" ht="14.25" customHeight="1" s="83">
      <c r="A425" s="116" t="n"/>
      <c r="B425" s="116" t="n"/>
      <c r="C425" s="116" t="n"/>
      <c r="D425" s="116" t="n"/>
      <c r="E425" s="116">
        <f>IF(D425&lt;&gt;"","Occupied","Vacant")</f>
        <v/>
      </c>
      <c r="F425" s="116" t="n"/>
      <c r="G425" s="117" t="n"/>
      <c r="H425" s="116">
        <f>COUNTIFS($B:$B,B425,$E:$E,"Occupied")</f>
        <v/>
      </c>
      <c r="I425" s="82">
        <f>IF(E425&lt;&gt;"Occupied",0,IF(H425=1,350,IF(H425=2,200,0)))</f>
        <v/>
      </c>
      <c r="J425" s="82">
        <f>IF(E425="Occupied",IFERROR(SUMIFS('Electricity Management'!$J:$J,'Electricity Management'!$A:$A,A425,'Electricity Management'!$C:$C,B425),0),0)</f>
        <v/>
      </c>
      <c r="K425" s="82">
        <f>IF(E425="Occupied",IFERROR(SUMIFS('Electricity Management'!$T:$T,'Electricity Management'!$K:$K,A425,'Electricity Management'!$L:$L,B425),0),0)</f>
        <v/>
      </c>
      <c r="O425" s="117" t="n"/>
      <c r="P425" s="116" t="n"/>
      <c r="Q425" s="116" t="n"/>
      <c r="R425" s="116" t="n"/>
      <c r="S425" s="119" t="n"/>
      <c r="T425" s="120">
        <f>IF(F425="Yes",A425&amp;"-"&amp;B425,C425)</f>
        <v/>
      </c>
    </row>
    <row r="426" ht="14.25" customHeight="1" s="83">
      <c r="A426" s="116" t="n"/>
      <c r="B426" s="116" t="n"/>
      <c r="C426" s="116" t="n"/>
      <c r="D426" s="116" t="n"/>
      <c r="E426" s="116">
        <f>IF(D426&lt;&gt;"","Occupied","Vacant")</f>
        <v/>
      </c>
      <c r="F426" s="116" t="n"/>
      <c r="G426" s="117" t="n"/>
      <c r="H426" s="116">
        <f>COUNTIFS($B:$B,B426,$E:$E,"Occupied")</f>
        <v/>
      </c>
      <c r="I426" s="82">
        <f>IF(E426&lt;&gt;"Occupied",0,IF(H426=1,350,IF(H426=2,200,0)))</f>
        <v/>
      </c>
      <c r="J426" s="82">
        <f>IF(E426="Occupied",IFERROR(SUMIFS('Electricity Management'!$J:$J,'Electricity Management'!$A:$A,A426,'Electricity Management'!$C:$C,B426),0),0)</f>
        <v/>
      </c>
      <c r="K426" s="82">
        <f>IF(E426="Occupied",IFERROR(SUMIFS('Electricity Management'!$T:$T,'Electricity Management'!$K:$K,A426,'Electricity Management'!$L:$L,B426),0),0)</f>
        <v/>
      </c>
      <c r="O426" s="117" t="n"/>
      <c r="P426" s="116" t="n"/>
      <c r="Q426" s="116" t="n"/>
      <c r="R426" s="116" t="n"/>
      <c r="S426" s="119" t="n"/>
      <c r="T426" s="120">
        <f>IF(F426="Yes",A426&amp;"-"&amp;B426,C426)</f>
        <v/>
      </c>
    </row>
    <row r="427" ht="14.25" customHeight="1" s="83">
      <c r="A427" s="116" t="n"/>
      <c r="B427" s="116" t="n"/>
      <c r="C427" s="116" t="n"/>
      <c r="D427" s="116" t="n"/>
      <c r="E427" s="116">
        <f>IF(D427&lt;&gt;"","Occupied","Vacant")</f>
        <v/>
      </c>
      <c r="F427" s="116" t="n"/>
      <c r="G427" s="117" t="n"/>
      <c r="H427" s="116">
        <f>COUNTIFS($B:$B,B427,$E:$E,"Occupied")</f>
        <v/>
      </c>
      <c r="I427" s="82">
        <f>IF(E427&lt;&gt;"Occupied",0,IF(H427=1,350,IF(H427=2,200,0)))</f>
        <v/>
      </c>
      <c r="J427" s="82">
        <f>IF(E427="Occupied",IFERROR(SUMIFS('Electricity Management'!$J:$J,'Electricity Management'!$A:$A,A427,'Electricity Management'!$C:$C,B427),0),0)</f>
        <v/>
      </c>
      <c r="K427" s="82">
        <f>IF(E427="Occupied",IFERROR(SUMIFS('Electricity Management'!$T:$T,'Electricity Management'!$K:$K,A427,'Electricity Management'!$L:$L,B427),0),0)</f>
        <v/>
      </c>
      <c r="O427" s="117" t="n"/>
      <c r="P427" s="116" t="n"/>
      <c r="Q427" s="116" t="n"/>
      <c r="R427" s="116" t="n"/>
      <c r="S427" s="119" t="n"/>
      <c r="T427" s="120">
        <f>IF(F427="Yes",A427&amp;"-"&amp;B427,C427)</f>
        <v/>
      </c>
    </row>
    <row r="428" ht="14.25" customHeight="1" s="83">
      <c r="A428" s="116" t="n"/>
      <c r="B428" s="116" t="n"/>
      <c r="C428" s="116" t="n"/>
      <c r="D428" s="116" t="n"/>
      <c r="E428" s="116">
        <f>IF(D428&lt;&gt;"","Occupied","Vacant")</f>
        <v/>
      </c>
      <c r="F428" s="116" t="n"/>
      <c r="G428" s="117" t="n"/>
      <c r="H428" s="116">
        <f>COUNTIFS($B:$B,B428,$E:$E,"Occupied")</f>
        <v/>
      </c>
      <c r="I428" s="82">
        <f>IF(E428&lt;&gt;"Occupied",0,IF(H428=1,350,IF(H428=2,200,0)))</f>
        <v/>
      </c>
      <c r="J428" s="82">
        <f>IF(E428="Occupied",IFERROR(SUMIFS('Electricity Management'!$J:$J,'Electricity Management'!$A:$A,A428,'Electricity Management'!$C:$C,B428),0),0)</f>
        <v/>
      </c>
      <c r="K428" s="82">
        <f>IF(E428="Occupied",IFERROR(SUMIFS('Electricity Management'!$T:$T,'Electricity Management'!$K:$K,A428,'Electricity Management'!$L:$L,B428),0),0)</f>
        <v/>
      </c>
      <c r="O428" s="117" t="n"/>
      <c r="P428" s="116" t="n"/>
      <c r="Q428" s="116" t="n"/>
      <c r="R428" s="116" t="n"/>
      <c r="S428" s="119" t="n"/>
      <c r="T428" s="120">
        <f>IF(F428="Yes",A428&amp;"-"&amp;B428,C428)</f>
        <v/>
      </c>
    </row>
  </sheetData>
  <autoFilter ref="A4:T428"/>
  <mergeCells count="3">
    <mergeCell ref="A1:I1"/>
    <mergeCell ref="A3:T3"/>
    <mergeCell ref="A2:I2"/>
  </mergeCells>
  <conditionalFormatting sqref="E5:E428">
    <cfRule type="expression" rank="0" priority="2" equalAverage="0" aboveAverage="0" dxfId="8" text="" percent="0" bottom="0">
      <formula>E5="Occupied"</formula>
    </cfRule>
    <cfRule type="expression" rank="0" priority="3" equalAverage="0" aboveAverage="0" dxfId="4" text="" percent="0" bottom="0">
      <formula>E5="Vacant"</formula>
    </cfRule>
    <cfRule type="expression" rank="0" priority="4" equalAverage="0" aboveAverage="0" dxfId="13" text="" percent="0" bottom="0">
      <formula>E5="Reserved"</formula>
    </cfRule>
  </conditionalFormatting>
  <conditionalFormatting sqref="F5:F428">
    <cfRule type="expression" rank="0" priority="5" equalAverage="0" aboveAverage="0" dxfId="13" text="" percent="0" bottom="0">
      <formula>AND($F5="Yes",#ref!&lt;2)</formula>
    </cfRule>
  </conditionalFormatting>
  <dataValidations count="6">
    <dataValidation sqref="G5:N428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  <dataValidation sqref="A5:A428" showDropDown="0" showInputMessage="0" showErrorMessage="0" allowBlank="1" errorTitle="Invalid selection" error="Select a value from the dropdown list." type="list" errorStyle="stop" operator="between">
      <formula1>DormList</formula1>
      <formula2>0</formula2>
    </dataValidation>
    <dataValidation sqref="E5:E428" showDropDown="0" showInputMessage="0" showErrorMessage="0" allowBlank="1" errorTitle="Invalid selection" error="Select a value from the dropdown list." type="list" errorStyle="stop" operator="between">
      <formula1>ClientStatusList</formula1>
      <formula2>0</formula2>
    </dataValidation>
    <dataValidation sqref="F5:F428" showDropDown="0" showInputMessage="0" showErrorMessage="0" allowBlank="1" errorTitle="Invalid selection" error="Select a value from the dropdown list." type="list" errorStyle="stop" operator="between">
      <formula1>YesNoList</formula1>
      <formula2>0</formula2>
    </dataValidation>
    <dataValidation sqref="R5:R428" showDropDown="0" showInputMessage="0" showErrorMessage="0" allowBlank="1" errorTitle="Invalid date" error="Enter a valid date using dd/mm/yyyy." type="date" errorStyle="stop" operator="greaterThanOrEqual">
      <formula1>DATE(2020,1,1)</formula1>
      <formula2>0</formula2>
    </dataValidation>
    <dataValidation sqref="S5:S428" showDropDown="0" showInputMessage="0" showErrorMessage="0" allowBlank="1" errorTitle="Invalid selection" error="Select a value from the dropdown list." type="list" errorStyle="stop" operator="between">
      <formula1>PaymentStatusList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E800"/>
  <sheetViews>
    <sheetView showFormulas="0" showGridLines="1" showRowColHeaders="1" showZeros="1" rightToLeft="0" tabSelected="1" showOutlineSymbols="1" defaultGridColor="1" view="normal" topLeftCell="I1" colorId="64" zoomScale="100" zoomScaleNormal="100" zoomScalePageLayoutView="100" workbookViewId="0">
      <pane xSplit="0" ySplit="5" topLeftCell="A6" activePane="bottomLeft" state="frozen"/>
      <selection pane="topLeft" activeCell="I1" activeCellId="0" sqref="I1"/>
      <selection pane="bottomLeft" activeCell="M6" activeCellId="0" sqref="M6"/>
    </sheetView>
  </sheetViews>
  <sheetFormatPr baseColWidth="8" defaultColWidth="9.00390625" defaultRowHeight="14.25" customHeight="0" zeroHeight="0" outlineLevelRow="0"/>
  <cols>
    <col width="14" customWidth="1" style="82" min="1" max="3"/>
    <col width="20" customWidth="1" style="82" min="4" max="5"/>
    <col width="18" customWidth="1" style="82" min="6" max="8"/>
    <col width="20" customWidth="1" style="82" min="9" max="9"/>
    <col width="22" customWidth="1" style="82" min="10" max="10"/>
    <col width="14" customWidth="1" style="82" min="11" max="13"/>
    <col width="24" customWidth="1" style="82" min="14" max="14"/>
    <col width="20" customWidth="1" style="82" min="15" max="15"/>
    <col width="18" customWidth="1" style="82" min="16" max="19"/>
    <col width="16" customWidth="1" style="83" min="21" max="21"/>
    <col width="18" customWidth="1" style="83" min="22" max="22"/>
    <col width="14" customWidth="1" style="83" min="23" max="23"/>
    <col width="14" customWidth="1" style="83" min="24" max="24"/>
    <col width="16" customWidth="1" style="83" min="25" max="25"/>
    <col width="16" customWidth="1" style="83" min="26" max="26"/>
    <col width="20" customWidth="1" style="83" min="27" max="27"/>
    <col width="20" customWidth="1" style="83" min="28" max="28"/>
    <col hidden="1" width="3" customWidth="1" style="83" min="29" max="29"/>
    <col hidden="1" width="3" customWidth="1" style="83" min="30" max="30"/>
    <col hidden="1" width="3" customWidth="1" style="83" min="31" max="31"/>
  </cols>
  <sheetData>
    <row r="1" ht="27.75" customHeight="1" s="83">
      <c r="A1" s="84" t="inlineStr">
        <is>
          <t>Advanced Electricity Management System</t>
        </is>
      </c>
      <c r="B1" s="85" t="n"/>
      <c r="C1" s="85" t="n"/>
      <c r="D1" s="85" t="n"/>
      <c r="E1" s="85" t="n"/>
      <c r="F1" s="85" t="n"/>
      <c r="G1" s="85" t="n"/>
      <c r="H1" s="85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</row>
    <row r="2" ht="14.25" customHeight="1" s="83">
      <c r="A2" s="86" t="inlineStr">
        <is>
          <t>Room, generator, government, and common-area split calculations.</t>
        </is>
      </c>
      <c r="B2" s="85" t="n"/>
      <c r="C2" s="85" t="n"/>
      <c r="D2" s="85" t="n"/>
      <c r="E2" s="85" t="n"/>
      <c r="F2" s="85" t="n"/>
      <c r="G2" s="85" t="n"/>
      <c r="H2" s="85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</row>
    <row r="3" ht="129" customHeight="1" s="83">
      <c r="A3" s="121" t="inlineStr">
        <is>
          <t>IMPORTANT: Dorm column = Dorm 1 / Dorm 2 / Dorm 3. Do NOT type client names here. Client names stay in Client DB column D.</t>
        </is>
      </c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</row>
    <row r="4" ht="14.25" customHeight="1" s="83">
      <c r="A4" s="122" t="inlineStr">
        <is>
          <t>SECTION A - ROOM ELECTRICITY</t>
        </is>
      </c>
      <c r="B4" s="85" t="n"/>
      <c r="C4" s="85" t="n"/>
      <c r="D4" s="85" t="n"/>
      <c r="E4" s="85" t="n"/>
      <c r="F4" s="85" t="n"/>
      <c r="G4" s="85" t="n"/>
      <c r="H4" s="85" t="n"/>
      <c r="I4" s="85" t="n"/>
      <c r="J4" s="88" t="n"/>
      <c r="K4" s="122" t="inlineStr">
        <is>
          <t>SECTION B - COMMON AREA ELECTRICITY</t>
        </is>
      </c>
      <c r="L4" s="85" t="n"/>
      <c r="M4" s="85" t="n"/>
      <c r="N4" s="85" t="n"/>
      <c r="O4" s="85" t="n"/>
      <c r="P4" s="85" t="n"/>
      <c r="Q4" s="85" t="n"/>
      <c r="R4" s="85" t="n"/>
      <c r="S4" s="85" t="n"/>
      <c r="T4" s="88" t="n"/>
      <c r="U4" s="122" t="inlineStr">
        <is>
          <t>SECTION C - PRORATA FACTURE</t>
        </is>
      </c>
      <c r="Y4" s="122" t="n"/>
    </row>
    <row r="5" ht="42.75" customHeight="1" s="83">
      <c r="A5" s="124" t="inlineStr">
        <is>
          <t>Dorm</t>
        </is>
      </c>
      <c r="B5" s="124" t="inlineStr">
        <is>
          <t>Month</t>
        </is>
      </c>
      <c r="C5" s="124" t="inlineStr">
        <is>
          <t>Room Number</t>
        </is>
      </c>
      <c r="D5" s="124" t="inlineStr">
        <is>
          <t>Total Room Meter kWh</t>
        </is>
      </c>
      <c r="E5" s="124" t="inlineStr">
        <is>
          <t>Generator kWh Supplied</t>
        </is>
      </c>
      <c r="F5" s="124" t="inlineStr">
        <is>
          <t>Government kWh</t>
        </is>
      </c>
      <c r="G5" s="124" t="inlineStr">
        <is>
          <t>Generator Charge</t>
        </is>
      </c>
      <c r="H5" s="124" t="inlineStr">
        <is>
          <t>Government Charge</t>
        </is>
      </c>
      <c r="I5" s="124" t="inlineStr">
        <is>
          <t>Total Room Electricity</t>
        </is>
      </c>
      <c r="J5" s="123" t="inlineStr">
        <is>
          <t>elec/ocupaied</t>
        </is>
      </c>
      <c r="K5" s="124" t="inlineStr">
        <is>
          <t>Dorm</t>
        </is>
      </c>
      <c r="L5" s="124" t="inlineStr">
        <is>
          <t>room</t>
        </is>
      </c>
      <c r="M5" s="124" t="inlineStr">
        <is>
          <t>Total Occupied Beds</t>
        </is>
      </c>
      <c r="N5" s="124" t="inlineStr">
        <is>
          <t>Common Area Meter kWh</t>
        </is>
      </c>
      <c r="O5" s="124" t="inlineStr">
        <is>
          <t>Generator kWh Supplied</t>
        </is>
      </c>
      <c r="P5" s="124" t="inlineStr">
        <is>
          <t>Government kWh</t>
        </is>
      </c>
      <c r="Q5" s="124" t="inlineStr">
        <is>
          <t>Generator Charge</t>
        </is>
      </c>
      <c r="R5" s="124" t="inlineStr">
        <is>
          <t>Government Charge</t>
        </is>
      </c>
      <c r="S5" s="124" t="inlineStr">
        <is>
          <t>Common Area Cost</t>
        </is>
      </c>
      <c r="T5" s="124" t="inlineStr">
        <is>
          <t>Common Area Per Person</t>
        </is>
      </c>
      <c r="U5" s="124" t="inlineStr">
        <is>
          <t>Invoice Month</t>
        </is>
      </c>
      <c r="V5" s="124" t="inlineStr">
        <is>
          <t>Client</t>
        </is>
      </c>
      <c r="W5" s="124" t="inlineStr">
        <is>
          <t>Dorm</t>
        </is>
      </c>
      <c r="X5" s="124" t="inlineStr">
        <is>
          <t>Room</t>
        </is>
      </c>
      <c r="Y5" s="124" t="inlineStr">
        <is>
          <t>Prorata Days</t>
        </is>
      </c>
      <c r="Z5" s="124" t="inlineStr">
        <is>
          <t>Prorata Factor</t>
        </is>
      </c>
      <c r="AA5" s="124" t="inlineStr">
        <is>
          <t>Room Elec Prorata</t>
        </is>
      </c>
      <c r="AB5" s="124" t="inlineStr">
        <is>
          <t>Area Elec Prorata</t>
        </is>
      </c>
      <c r="AC5" s="124" t="n"/>
      <c r="AD5" s="124" t="n"/>
      <c r="AE5" s="124" t="n"/>
    </row>
    <row r="6" ht="14.25" customHeight="1" s="83">
      <c r="A6" s="103" t="inlineStr">
        <is>
          <t>Dorm 1</t>
        </is>
      </c>
      <c r="B6" s="177" t="n">
        <v>46023</v>
      </c>
      <c r="C6" s="103" t="inlineStr">
        <is>
          <t>Room 1-1</t>
        </is>
      </c>
      <c r="D6" s="126" t="n">
        <v>500</v>
      </c>
      <c r="E6" s="126" t="n">
        <v>0</v>
      </c>
      <c r="F6" s="127">
        <f>MAX(D6-E6,0)</f>
        <v/>
      </c>
      <c r="G6" s="130">
        <f>E6*GeneratorRate</f>
        <v/>
      </c>
      <c r="H6" s="130">
        <f>F6*GovernmentRate</f>
        <v/>
      </c>
      <c r="I6" s="130">
        <f>G6+H6</f>
        <v/>
      </c>
      <c r="J6" s="129">
        <f>IFERROR(I6/COUNTIFS('Client DB &amp; Bed Mgmt'!$A:$A,A6,'Client DB &amp; Bed Mgmt'!$B:$B,C6,'Client DB &amp; Bed Mgmt'!$D:$D,"&lt;&gt;"),0)</f>
        <v/>
      </c>
      <c r="K6" s="103" t="inlineStr">
        <is>
          <t>Dorm 1</t>
        </is>
      </c>
      <c r="L6" s="103" t="inlineStr">
        <is>
          <t>Room 1-1</t>
        </is>
      </c>
      <c r="M6" s="103">
        <f>COUNTIFS('Client DB &amp; Bed Mgmt'!$A:$A,$K6,'Client DB &amp; Bed Mgmt'!$B:$B,$L6,'Client DB &amp; Bed Mgmt'!$D:$D,"&lt;&gt;")</f>
        <v/>
      </c>
      <c r="N6" s="126" t="n">
        <v>100</v>
      </c>
      <c r="O6" s="126" t="n">
        <v>600</v>
      </c>
      <c r="P6" s="127">
        <f>MAX(N6-O6,0)</f>
        <v/>
      </c>
      <c r="Q6" s="130">
        <f>O6*GeneratorRate</f>
        <v/>
      </c>
      <c r="R6" s="130">
        <f>P6*GovernmentRate</f>
        <v/>
      </c>
      <c r="S6" s="130">
        <f>Q6+R6</f>
        <v/>
      </c>
      <c r="T6" s="130">
        <f>IF(M6=0,0,S6/M6)</f>
        <v/>
      </c>
      <c r="U6" s="180">
        <f>'Invoice Generator'!$C$7</f>
        <v/>
      </c>
      <c r="V6" s="170">
        <f>'Invoice Generator'!$C$6</f>
        <v/>
      </c>
      <c r="W6" s="170">
        <f>'Invoice Generator'!$C$11</f>
        <v/>
      </c>
      <c r="X6" s="170">
        <f>'Invoice Generator'!$C$12</f>
        <v/>
      </c>
      <c r="Y6" s="181">
        <f>IFERROR(MAX(0,MIN(IF(OR('Invoice Generator'!$G$13="",NOT(ISNUMBER('Invoice Generator'!$G$13))),EOMONTH($U$6,0),'Invoice Generator'!$G$13),EOMONTH($U$6,0))-MAX(IF(OR('Invoice Generator'!$G$12="",NOT(ISNUMBER('Invoice Generator'!$G$12))),DATE(YEAR($U$6),MONTH($U$6),1),'Invoice Generator'!$G$12),DATE(YEAR($U$6),MONTH($U$6),1))+1),0)</f>
        <v/>
      </c>
      <c r="Z6" s="105">
        <f>IFERROR($Y$6/DAY(EOMONTH($U$6,0)),0)</f>
        <v/>
      </c>
      <c r="AA6" s="130">
        <f>'Invoice Generator'!$G$19*$Z$6</f>
        <v/>
      </c>
      <c r="AB6" s="130">
        <f>'Invoice Generator'!$G$20*$Z$6</f>
        <v/>
      </c>
      <c r="AC6" s="129" t="n"/>
      <c r="AD6" s="176" t="n"/>
      <c r="AE6" s="129" t="n"/>
    </row>
    <row r="7" ht="14.25" customHeight="1" s="83">
      <c r="A7" s="103" t="inlineStr">
        <is>
          <t>Dorm 1</t>
        </is>
      </c>
      <c r="B7" s="177" t="n">
        <v>46023</v>
      </c>
      <c r="C7" s="103" t="inlineStr">
        <is>
          <t>Room 1-2</t>
        </is>
      </c>
      <c r="D7" s="126" t="n">
        <v>0</v>
      </c>
      <c r="E7" s="126" t="n">
        <v>0</v>
      </c>
      <c r="F7" s="127">
        <f>MAX(D7-E7,0)</f>
        <v/>
      </c>
      <c r="G7" s="130">
        <f>E7*GeneratorRate</f>
        <v/>
      </c>
      <c r="H7" s="130">
        <f>F7*GovernmentRate</f>
        <v/>
      </c>
      <c r="I7" s="130">
        <f>G7+H7</f>
        <v/>
      </c>
      <c r="J7" s="129">
        <f>IFERROR(I7/COUNTIFS('Client DB &amp; Bed Mgmt'!$A:$A,A7,'Client DB &amp; Bed Mgmt'!$B:$B,C7,'Client DB &amp; Bed Mgmt'!$D:$D,"&lt;&gt;"),0)</f>
        <v/>
      </c>
      <c r="K7" s="103" t="inlineStr">
        <is>
          <t>Dorm 1</t>
        </is>
      </c>
      <c r="L7" s="103" t="inlineStr">
        <is>
          <t>Room 1-2</t>
        </is>
      </c>
      <c r="M7" s="103">
        <f>COUNTIFS('Client DB &amp; Bed Mgmt'!$A:$A,$K7,'Client DB &amp; Bed Mgmt'!$B:$B,$L7,'Client DB &amp; Bed Mgmt'!$D:$D,"&lt;&gt;")</f>
        <v/>
      </c>
      <c r="N7" s="126" t="n">
        <v>100</v>
      </c>
      <c r="O7" s="126" t="n">
        <v>455</v>
      </c>
      <c r="P7" s="127">
        <f>MAX(N7-O7,0)</f>
        <v/>
      </c>
      <c r="Q7" s="130">
        <f>O7*GeneratorRate</f>
        <v/>
      </c>
      <c r="R7" s="130">
        <f>P7*GovernmentRate</f>
        <v/>
      </c>
      <c r="S7" s="130">
        <f>Q7+R7</f>
        <v/>
      </c>
      <c r="T7" s="130">
        <f>IF(M7=0,0,S7/M7)</f>
        <v/>
      </c>
      <c r="U7" s="180" t="n"/>
      <c r="V7" s="170" t="n"/>
      <c r="W7" s="170" t="n"/>
      <c r="X7" s="127" t="n"/>
      <c r="Y7" s="130" t="n"/>
      <c r="Z7" s="127" t="n"/>
      <c r="AA7" s="130" t="n"/>
      <c r="AB7" s="176" t="n"/>
      <c r="AC7" s="129" t="n"/>
      <c r="AD7" s="176" t="n"/>
      <c r="AE7" s="129" t="n"/>
    </row>
    <row r="8" ht="14.25" customHeight="1" s="83">
      <c r="A8" s="103" t="inlineStr">
        <is>
          <t>Dorm 1</t>
        </is>
      </c>
      <c r="B8" s="177" t="n">
        <v>46023</v>
      </c>
      <c r="C8" s="103" t="inlineStr">
        <is>
          <t>Room 1-3</t>
        </is>
      </c>
      <c r="D8" s="126" t="n">
        <v>0</v>
      </c>
      <c r="E8" s="126" t="n">
        <v>0</v>
      </c>
      <c r="F8" s="127">
        <f>MAX(D8-E8,0)</f>
        <v/>
      </c>
      <c r="G8" s="130">
        <f>E8*GeneratorRate</f>
        <v/>
      </c>
      <c r="H8" s="130">
        <f>F8*GovernmentRate</f>
        <v/>
      </c>
      <c r="I8" s="130">
        <f>G8+H8</f>
        <v/>
      </c>
      <c r="J8" s="129">
        <f>IFERROR(I8/COUNTIFS('Client DB &amp; Bed Mgmt'!$A:$A,A8,'Client DB &amp; Bed Mgmt'!$B:$B,C8,'Client DB &amp; Bed Mgmt'!$D:$D,"&lt;&gt;"),0)</f>
        <v/>
      </c>
      <c r="K8" s="103" t="inlineStr">
        <is>
          <t>Dorm 1</t>
        </is>
      </c>
      <c r="L8" s="103" t="inlineStr">
        <is>
          <t>Room 1-3</t>
        </is>
      </c>
      <c r="M8" s="103">
        <f>COUNTIFS('Client DB &amp; Bed Mgmt'!$A:$A,$K8,'Client DB &amp; Bed Mgmt'!$B:$B,$L8,'Client DB &amp; Bed Mgmt'!$D:$D,"&lt;&gt;")</f>
        <v/>
      </c>
      <c r="N8" s="126" t="n">
        <v>0</v>
      </c>
      <c r="O8" s="126" t="n">
        <v>0</v>
      </c>
      <c r="P8" s="127">
        <f>MAX(N8-O8,0)</f>
        <v/>
      </c>
      <c r="Q8" s="130">
        <f>O8*GeneratorRate</f>
        <v/>
      </c>
      <c r="R8" s="130">
        <f>P8*GovernmentRate</f>
        <v/>
      </c>
      <c r="S8" s="130">
        <f>Q8+R8</f>
        <v/>
      </c>
      <c r="T8" s="130">
        <f>IF(M8=0,0,S8/M8)</f>
        <v/>
      </c>
      <c r="U8" s="180" t="n"/>
      <c r="V8" s="170" t="n"/>
      <c r="W8" s="170" t="n"/>
      <c r="X8" s="127" t="n"/>
      <c r="Y8" s="130" t="n"/>
      <c r="Z8" s="127" t="n"/>
      <c r="AA8" s="130" t="n"/>
      <c r="AB8" s="176" t="n"/>
      <c r="AC8" s="129" t="n"/>
      <c r="AD8" s="176" t="n"/>
      <c r="AE8" s="129" t="n"/>
    </row>
    <row r="9" ht="14.25" customHeight="1" s="83">
      <c r="A9" s="103" t="inlineStr">
        <is>
          <t>Dorm 1</t>
        </is>
      </c>
      <c r="B9" s="177" t="n">
        <v>46023</v>
      </c>
      <c r="C9" s="103" t="inlineStr">
        <is>
          <t>Room 1-4</t>
        </is>
      </c>
      <c r="D9" s="126" t="n">
        <v>0</v>
      </c>
      <c r="E9" s="126" t="n">
        <v>0</v>
      </c>
      <c r="F9" s="127">
        <f>MAX(D9-E9,0)</f>
        <v/>
      </c>
      <c r="G9" s="130">
        <f>E9*GeneratorRate</f>
        <v/>
      </c>
      <c r="H9" s="130">
        <f>F9*GovernmentRate</f>
        <v/>
      </c>
      <c r="I9" s="130">
        <f>G9+H9</f>
        <v/>
      </c>
      <c r="J9" s="129">
        <f>IFERROR(I9/COUNTIFS('Client DB &amp; Bed Mgmt'!$A:$A,A9,'Client DB &amp; Bed Mgmt'!$B:$B,C9,'Client DB &amp; Bed Mgmt'!$D:$D,"&lt;&gt;"),0)</f>
        <v/>
      </c>
      <c r="K9" s="103" t="inlineStr">
        <is>
          <t>Dorm 1</t>
        </is>
      </c>
      <c r="L9" s="103" t="inlineStr">
        <is>
          <t>Room 1-4</t>
        </is>
      </c>
      <c r="M9" s="103">
        <f>COUNTIFS('Client DB &amp; Bed Mgmt'!$A:$A,$K9,'Client DB &amp; Bed Mgmt'!$B:$B,$L9,'Client DB &amp; Bed Mgmt'!$D:$D,"&lt;&gt;")</f>
        <v/>
      </c>
      <c r="N9" s="126" t="n">
        <v>0</v>
      </c>
      <c r="O9" s="126" t="n">
        <v>0</v>
      </c>
      <c r="P9" s="127">
        <f>MAX(N9-O9,0)</f>
        <v/>
      </c>
      <c r="Q9" s="130">
        <f>O9*GeneratorRate</f>
        <v/>
      </c>
      <c r="R9" s="130">
        <f>P9*GovernmentRate</f>
        <v/>
      </c>
      <c r="S9" s="130">
        <f>Q9+R9</f>
        <v/>
      </c>
      <c r="T9" s="130">
        <f>IF(M9=0,0,S9/M9)</f>
        <v/>
      </c>
      <c r="U9" s="180" t="n"/>
      <c r="V9" s="170" t="n"/>
      <c r="W9" s="170" t="n"/>
      <c r="X9" s="127" t="n"/>
      <c r="Y9" s="130" t="n"/>
      <c r="Z9" s="127" t="n"/>
      <c r="AA9" s="130" t="n"/>
      <c r="AB9" s="176" t="n"/>
      <c r="AC9" s="129" t="n"/>
      <c r="AD9" s="176" t="n"/>
      <c r="AE9" s="129" t="n"/>
    </row>
    <row r="10" ht="14.25" customHeight="1" s="83">
      <c r="A10" s="103" t="inlineStr">
        <is>
          <t>Dorm 1</t>
        </is>
      </c>
      <c r="B10" s="177" t="n">
        <v>46023</v>
      </c>
      <c r="C10" s="103" t="inlineStr">
        <is>
          <t>Room 1-5</t>
        </is>
      </c>
      <c r="D10" s="126" t="n">
        <v>0</v>
      </c>
      <c r="E10" s="126" t="n">
        <v>0</v>
      </c>
      <c r="F10" s="127">
        <f>MAX(D10-E10,0)</f>
        <v/>
      </c>
      <c r="G10" s="130">
        <f>E10*GeneratorRate</f>
        <v/>
      </c>
      <c r="H10" s="130">
        <f>F10*GovernmentRate</f>
        <v/>
      </c>
      <c r="I10" s="130">
        <f>G10+H10</f>
        <v/>
      </c>
      <c r="J10" s="129">
        <f>IFERROR(I10/COUNTIFS('Client DB &amp; Bed Mgmt'!$A:$A,A10,'Client DB &amp; Bed Mgmt'!$B:$B,C10,'Client DB &amp; Bed Mgmt'!$D:$D,"&lt;&gt;"),0)</f>
        <v/>
      </c>
      <c r="K10" s="103" t="inlineStr">
        <is>
          <t>Dorm 1</t>
        </is>
      </c>
      <c r="L10" s="103" t="inlineStr">
        <is>
          <t>Room 1-5</t>
        </is>
      </c>
      <c r="M10" s="103">
        <f>COUNTIFS('Client DB &amp; Bed Mgmt'!$A:$A,$K10,'Client DB &amp; Bed Mgmt'!$B:$B,$L10,'Client DB &amp; Bed Mgmt'!$D:$D,"&lt;&gt;")</f>
        <v/>
      </c>
      <c r="N10" s="126" t="n">
        <v>700</v>
      </c>
      <c r="O10" s="126" t="n">
        <v>0</v>
      </c>
      <c r="P10" s="127">
        <f>MAX(N10-O10,0)</f>
        <v/>
      </c>
      <c r="Q10" s="130">
        <f>O10*GeneratorRate</f>
        <v/>
      </c>
      <c r="R10" s="130">
        <f>P10*GovernmentRate</f>
        <v/>
      </c>
      <c r="S10" s="130">
        <f>Q10+R10</f>
        <v/>
      </c>
      <c r="T10" s="130">
        <f>IF(M10=0,0,S10/M10)</f>
        <v/>
      </c>
      <c r="U10" s="180" t="n"/>
      <c r="V10" s="170" t="n"/>
      <c r="W10" s="170" t="n"/>
      <c r="X10" s="127" t="n"/>
      <c r="Y10" s="130" t="n"/>
      <c r="Z10" s="127" t="n"/>
      <c r="AA10" s="130" t="n"/>
      <c r="AB10" s="176" t="n"/>
      <c r="AC10" s="129" t="n"/>
      <c r="AD10" s="176" t="n"/>
      <c r="AE10" s="129" t="n"/>
    </row>
    <row r="11" ht="14.25" customHeight="1" s="83">
      <c r="A11" s="103" t="inlineStr">
        <is>
          <t>Dorm 1</t>
        </is>
      </c>
      <c r="B11" s="177" t="n">
        <v>46023</v>
      </c>
      <c r="C11" s="103" t="inlineStr">
        <is>
          <t>Room 1-6</t>
        </is>
      </c>
      <c r="D11" s="126" t="n">
        <v>0</v>
      </c>
      <c r="E11" s="126" t="n">
        <v>0</v>
      </c>
      <c r="F11" s="127">
        <f>MAX(D11-E11,0)</f>
        <v/>
      </c>
      <c r="G11" s="130">
        <f>E11*GeneratorRate</f>
        <v/>
      </c>
      <c r="H11" s="130">
        <f>F11*GovernmentRate</f>
        <v/>
      </c>
      <c r="I11" s="130">
        <f>G11+H11</f>
        <v/>
      </c>
      <c r="J11" s="129">
        <f>IFERROR(I11/COUNTIFS('Client DB &amp; Bed Mgmt'!$A:$A,A11,'Client DB &amp; Bed Mgmt'!$B:$B,C11,'Client DB &amp; Bed Mgmt'!$D:$D,"&lt;&gt;"),0)</f>
        <v/>
      </c>
      <c r="K11" s="103" t="inlineStr">
        <is>
          <t>Dorm 1</t>
        </is>
      </c>
      <c r="L11" s="103" t="inlineStr">
        <is>
          <t>Room 1-6</t>
        </is>
      </c>
      <c r="M11" s="103">
        <f>COUNTIFS('Client DB &amp; Bed Mgmt'!$A:$A,$K11,'Client DB &amp; Bed Mgmt'!$B:$B,$L11,'Client DB &amp; Bed Mgmt'!$D:$D,"&lt;&gt;")</f>
        <v/>
      </c>
      <c r="N11" s="126" t="n">
        <v>0</v>
      </c>
      <c r="O11" s="126" t="n">
        <v>0</v>
      </c>
      <c r="P11" s="127">
        <f>MAX(N11-O11,0)</f>
        <v/>
      </c>
      <c r="Q11" s="130">
        <f>O11*GeneratorRate</f>
        <v/>
      </c>
      <c r="R11" s="130">
        <f>P11*GovernmentRate</f>
        <v/>
      </c>
      <c r="S11" s="130">
        <f>Q11+R11</f>
        <v/>
      </c>
      <c r="T11" s="130">
        <f>IF(M11=0,0,S11/M11)</f>
        <v/>
      </c>
      <c r="U11" s="180" t="n"/>
      <c r="V11" s="170" t="n"/>
      <c r="W11" s="170" t="n"/>
      <c r="X11" s="127" t="n"/>
      <c r="Y11" s="130" t="n"/>
      <c r="Z11" s="127" t="n"/>
      <c r="AA11" s="130" t="n"/>
      <c r="AB11" s="176" t="n"/>
      <c r="AC11" s="129" t="n"/>
      <c r="AD11" s="176" t="n"/>
      <c r="AE11" s="129" t="n"/>
    </row>
    <row r="12" ht="14.25" customHeight="1" s="83">
      <c r="A12" s="103" t="inlineStr">
        <is>
          <t>Dorm 1</t>
        </is>
      </c>
      <c r="B12" s="177" t="n">
        <v>46054</v>
      </c>
      <c r="C12" s="103" t="inlineStr">
        <is>
          <t>Room 1-1</t>
        </is>
      </c>
      <c r="D12" s="126" t="n">
        <v>1550</v>
      </c>
      <c r="E12" s="126" t="n">
        <v>0</v>
      </c>
      <c r="F12" s="127">
        <f>MAX(D12-E12,0)</f>
        <v/>
      </c>
      <c r="G12" s="130">
        <f>E12*GeneratorRate</f>
        <v/>
      </c>
      <c r="H12" s="130">
        <f>F12*GovernmentRate</f>
        <v/>
      </c>
      <c r="I12" s="130">
        <f>G12+H12</f>
        <v/>
      </c>
      <c r="J12" s="129">
        <f>IFERROR(I12/COUNTIFS('Client DB &amp; Bed Mgmt'!$A:$A,A12,'Client DB &amp; Bed Mgmt'!$B:$B,C12,'Client DB &amp; Bed Mgmt'!$D:$D,"&lt;&gt;"),0)</f>
        <v/>
      </c>
      <c r="K12" s="103" t="inlineStr">
        <is>
          <t>Dorm 1</t>
        </is>
      </c>
      <c r="L12" s="103" t="inlineStr">
        <is>
          <t>Room 1-1</t>
        </is>
      </c>
      <c r="M12" s="103">
        <f>COUNTIFS('Client DB &amp; Bed Mgmt'!$A:$A,$K12,'Client DB &amp; Bed Mgmt'!$B:$B,$L12,'Client DB &amp; Bed Mgmt'!$D:$D,"&lt;&gt;")</f>
        <v/>
      </c>
      <c r="N12" s="126" t="n">
        <v>0</v>
      </c>
      <c r="O12" s="126" t="n">
        <v>0</v>
      </c>
      <c r="P12" s="127">
        <f>MAX(N12-O12,0)</f>
        <v/>
      </c>
      <c r="Q12" s="130">
        <f>O12*GeneratorRate</f>
        <v/>
      </c>
      <c r="R12" s="130">
        <f>P12*GovernmentRate</f>
        <v/>
      </c>
      <c r="S12" s="130">
        <f>Q12+R12</f>
        <v/>
      </c>
      <c r="T12" s="130">
        <f>IF(M12=0,0,S12/M12)</f>
        <v/>
      </c>
      <c r="U12" s="180" t="n"/>
      <c r="V12" s="170" t="n"/>
      <c r="W12" s="170" t="n"/>
      <c r="X12" s="127" t="n"/>
      <c r="Y12" s="130" t="n"/>
      <c r="Z12" s="127" t="n"/>
      <c r="AA12" s="130" t="n"/>
      <c r="AB12" s="176" t="n"/>
      <c r="AC12" s="129" t="n"/>
      <c r="AD12" s="176" t="n"/>
      <c r="AE12" s="129" t="n"/>
    </row>
    <row r="13" ht="14.25" customHeight="1" s="83">
      <c r="A13" s="103" t="inlineStr">
        <is>
          <t>Dorm 1</t>
        </is>
      </c>
      <c r="B13" s="177" t="n">
        <v>46054</v>
      </c>
      <c r="C13" s="103" t="inlineStr">
        <is>
          <t>Room 1-2</t>
        </is>
      </c>
      <c r="D13" s="126" t="n">
        <v>100</v>
      </c>
      <c r="E13" s="126" t="n">
        <v>0</v>
      </c>
      <c r="F13" s="127">
        <f>MAX(D13-E13,0)</f>
        <v/>
      </c>
      <c r="G13" s="130">
        <f>E13*GeneratorRate</f>
        <v/>
      </c>
      <c r="H13" s="130">
        <f>F13*GovernmentRate</f>
        <v/>
      </c>
      <c r="I13" s="130">
        <f>G13+H13</f>
        <v/>
      </c>
      <c r="J13" s="129">
        <f>IFERROR(I13/COUNTIFS('Client DB &amp; Bed Mgmt'!$A:$A,A13,'Client DB &amp; Bed Mgmt'!$B:$B,C13,'Client DB &amp; Bed Mgmt'!$D:$D,"&lt;&gt;"),0)</f>
        <v/>
      </c>
      <c r="K13" s="103" t="inlineStr">
        <is>
          <t>Dorm 1</t>
        </is>
      </c>
      <c r="L13" s="103" t="inlineStr">
        <is>
          <t>Room 1-2</t>
        </is>
      </c>
      <c r="M13" s="103">
        <f>COUNTIFS('Client DB &amp; Bed Mgmt'!$A:$A,$K13,'Client DB &amp; Bed Mgmt'!$B:$B,$L13,'Client DB &amp; Bed Mgmt'!$D:$D,"&lt;&gt;")</f>
        <v/>
      </c>
      <c r="N13" s="126" t="n">
        <v>0</v>
      </c>
      <c r="O13" s="126" t="n">
        <v>0</v>
      </c>
      <c r="P13" s="127">
        <f>MAX(N13-O13,0)</f>
        <v/>
      </c>
      <c r="Q13" s="130">
        <f>O13*GeneratorRate</f>
        <v/>
      </c>
      <c r="R13" s="130">
        <f>P13*GovernmentRate</f>
        <v/>
      </c>
      <c r="S13" s="130">
        <f>Q13+R13</f>
        <v/>
      </c>
      <c r="T13" s="130">
        <f>IF(M13=0,0,S13/M13)</f>
        <v/>
      </c>
      <c r="U13" s="180" t="n"/>
      <c r="V13" s="170" t="n"/>
      <c r="W13" s="170" t="n"/>
      <c r="X13" s="127" t="n"/>
      <c r="Y13" s="130" t="n"/>
      <c r="Z13" s="127" t="n"/>
      <c r="AA13" s="130" t="n"/>
      <c r="AB13" s="176" t="n"/>
      <c r="AC13" s="129" t="n"/>
      <c r="AD13" s="176" t="n"/>
      <c r="AE13" s="129" t="n"/>
    </row>
    <row r="14" ht="14.25" customHeight="1" s="83">
      <c r="A14" s="103" t="inlineStr">
        <is>
          <t>Dorm 1</t>
        </is>
      </c>
      <c r="B14" s="177" t="n">
        <v>46054</v>
      </c>
      <c r="C14" s="103" t="inlineStr">
        <is>
          <t>Room 1-3</t>
        </is>
      </c>
      <c r="D14" s="126" t="n">
        <v>0</v>
      </c>
      <c r="E14" s="126" t="n">
        <v>0</v>
      </c>
      <c r="F14" s="127">
        <f>MAX(D14-E14,0)</f>
        <v/>
      </c>
      <c r="G14" s="130">
        <f>E14*GeneratorRate</f>
        <v/>
      </c>
      <c r="H14" s="130">
        <f>F14*GovernmentRate</f>
        <v/>
      </c>
      <c r="I14" s="130">
        <f>G14+H14</f>
        <v/>
      </c>
      <c r="J14" s="129">
        <f>IFERROR(I14/COUNTIFS('Client DB &amp; Bed Mgmt'!$A:$A,A14,'Client DB &amp; Bed Mgmt'!$B:$B,C14,'Client DB &amp; Bed Mgmt'!$D:$D,"&lt;&gt;"),0)</f>
        <v/>
      </c>
      <c r="K14" s="103" t="inlineStr">
        <is>
          <t>Dorm 1</t>
        </is>
      </c>
      <c r="L14" s="103" t="inlineStr">
        <is>
          <t>Room 1-3</t>
        </is>
      </c>
      <c r="M14" s="103">
        <f>COUNTIFS('Client DB &amp; Bed Mgmt'!$A:$A,$K14,'Client DB &amp; Bed Mgmt'!$B:$B,$L14,'Client DB &amp; Bed Mgmt'!$D:$D,"&lt;&gt;")</f>
        <v/>
      </c>
      <c r="N14" s="126" t="n">
        <v>0</v>
      </c>
      <c r="O14" s="126" t="n">
        <v>0</v>
      </c>
      <c r="P14" s="127">
        <f>MAX(N14-O14,0)</f>
        <v/>
      </c>
      <c r="Q14" s="130">
        <f>O14*GeneratorRate</f>
        <v/>
      </c>
      <c r="R14" s="130">
        <f>P14*GovernmentRate</f>
        <v/>
      </c>
      <c r="S14" s="130">
        <f>Q14+R14</f>
        <v/>
      </c>
      <c r="T14" s="130">
        <f>IF(M14=0,0,S14/M14)</f>
        <v/>
      </c>
      <c r="U14" s="180" t="n"/>
      <c r="V14" s="170" t="n"/>
      <c r="W14" s="170" t="n"/>
      <c r="X14" s="127" t="n"/>
      <c r="Y14" s="130" t="n"/>
      <c r="Z14" s="127" t="n"/>
      <c r="AA14" s="130" t="n"/>
      <c r="AB14" s="176" t="n"/>
      <c r="AC14" s="129" t="n"/>
      <c r="AD14" s="176" t="n"/>
      <c r="AE14" s="129" t="n"/>
    </row>
    <row r="15" ht="14.25" customHeight="1" s="83">
      <c r="A15" s="103" t="inlineStr">
        <is>
          <t>Dorm 1</t>
        </is>
      </c>
      <c r="B15" s="177" t="n">
        <v>46054</v>
      </c>
      <c r="C15" s="103" t="inlineStr">
        <is>
          <t>Room 1-4</t>
        </is>
      </c>
      <c r="D15" s="126" t="n">
        <v>0</v>
      </c>
      <c r="E15" s="126" t="n">
        <v>0</v>
      </c>
      <c r="F15" s="127">
        <f>MAX(D15-E15,0)</f>
        <v/>
      </c>
      <c r="G15" s="130">
        <f>E15*GeneratorRate</f>
        <v/>
      </c>
      <c r="H15" s="130">
        <f>F15*GovernmentRate</f>
        <v/>
      </c>
      <c r="I15" s="130">
        <f>G15+H15</f>
        <v/>
      </c>
      <c r="J15" s="129">
        <f>IFERROR(I15/COUNTIFS('Client DB &amp; Bed Mgmt'!$A:$A,A15,'Client DB &amp; Bed Mgmt'!$B:$B,C15,'Client DB &amp; Bed Mgmt'!$D:$D,"&lt;&gt;"),0)</f>
        <v/>
      </c>
      <c r="K15" s="103" t="inlineStr">
        <is>
          <t>Dorm 1</t>
        </is>
      </c>
      <c r="L15" s="103" t="inlineStr">
        <is>
          <t>Room 1-4</t>
        </is>
      </c>
      <c r="M15" s="103">
        <f>COUNTIFS('Client DB &amp; Bed Mgmt'!$A:$A,$K15,'Client DB &amp; Bed Mgmt'!$B:$B,$L15,'Client DB &amp; Bed Mgmt'!$D:$D,"&lt;&gt;")</f>
        <v/>
      </c>
      <c r="N15" s="126" t="n">
        <v>0</v>
      </c>
      <c r="O15" s="126" t="n">
        <v>0</v>
      </c>
      <c r="P15" s="127">
        <f>MAX(N15-O15,0)</f>
        <v/>
      </c>
      <c r="Q15" s="130">
        <f>O15*GeneratorRate</f>
        <v/>
      </c>
      <c r="R15" s="130">
        <f>P15*GovernmentRate</f>
        <v/>
      </c>
      <c r="S15" s="130">
        <f>Q15+R15</f>
        <v/>
      </c>
      <c r="T15" s="130">
        <f>IF(M15=0,0,S15/M15)</f>
        <v/>
      </c>
      <c r="U15" s="180" t="n"/>
      <c r="V15" s="170" t="n"/>
      <c r="W15" s="170" t="n"/>
      <c r="X15" s="127" t="n"/>
      <c r="Y15" s="130" t="n"/>
      <c r="Z15" s="127" t="n"/>
      <c r="AA15" s="130" t="n"/>
      <c r="AB15" s="176" t="n"/>
      <c r="AC15" s="129" t="n"/>
      <c r="AD15" s="176" t="n"/>
      <c r="AE15" s="129" t="n"/>
    </row>
    <row r="16" ht="14.25" customHeight="1" s="83">
      <c r="A16" s="103" t="inlineStr">
        <is>
          <t>Dorm 1</t>
        </is>
      </c>
      <c r="B16" s="177" t="n">
        <v>46054</v>
      </c>
      <c r="C16" s="103" t="inlineStr">
        <is>
          <t>Room 1-5</t>
        </is>
      </c>
      <c r="D16" s="126" t="n">
        <v>0</v>
      </c>
      <c r="E16" s="126" t="n">
        <v>0</v>
      </c>
      <c r="F16" s="127">
        <f>MAX(D16-E16,0)</f>
        <v/>
      </c>
      <c r="G16" s="130">
        <f>E16*GeneratorRate</f>
        <v/>
      </c>
      <c r="H16" s="130">
        <f>F16*GovernmentRate</f>
        <v/>
      </c>
      <c r="I16" s="130">
        <f>G16+H16</f>
        <v/>
      </c>
      <c r="J16" s="129">
        <f>IFERROR(I16/COUNTIFS('Client DB &amp; Bed Mgmt'!$A:$A,A16,'Client DB &amp; Bed Mgmt'!$B:$B,C16,'Client DB &amp; Bed Mgmt'!$D:$D,"&lt;&gt;"),0)</f>
        <v/>
      </c>
      <c r="K16" s="103" t="inlineStr">
        <is>
          <t>Dorm 1</t>
        </is>
      </c>
      <c r="L16" s="103" t="inlineStr">
        <is>
          <t>Room 1-5</t>
        </is>
      </c>
      <c r="M16" s="103">
        <f>COUNTIFS('Client DB &amp; Bed Mgmt'!$A:$A,$K16,'Client DB &amp; Bed Mgmt'!$B:$B,$L16,'Client DB &amp; Bed Mgmt'!$D:$D,"&lt;&gt;")</f>
        <v/>
      </c>
      <c r="N16" s="126" t="n">
        <v>0</v>
      </c>
      <c r="O16" s="126" t="n">
        <v>0</v>
      </c>
      <c r="P16" s="127">
        <f>MAX(N16-O16,0)</f>
        <v/>
      </c>
      <c r="Q16" s="130">
        <f>O16*GeneratorRate</f>
        <v/>
      </c>
      <c r="R16" s="130">
        <f>P16*GovernmentRate</f>
        <v/>
      </c>
      <c r="S16" s="130">
        <f>Q16+R16</f>
        <v/>
      </c>
      <c r="T16" s="130">
        <f>IF(M16=0,0,S16/M16)</f>
        <v/>
      </c>
      <c r="U16" s="180" t="n"/>
      <c r="V16" s="170" t="n"/>
      <c r="W16" s="170" t="n"/>
      <c r="X16" s="127" t="n"/>
      <c r="Y16" s="130" t="n"/>
      <c r="Z16" s="127" t="n"/>
      <c r="AA16" s="130" t="n"/>
      <c r="AB16" s="176" t="n"/>
      <c r="AC16" s="129" t="n"/>
      <c r="AD16" s="176" t="n"/>
      <c r="AE16" s="129" t="n"/>
    </row>
    <row r="17" ht="14.25" customHeight="1" s="83">
      <c r="A17" s="103" t="inlineStr">
        <is>
          <t>Dorm 1</t>
        </is>
      </c>
      <c r="B17" s="177" t="n">
        <v>46054</v>
      </c>
      <c r="C17" s="103" t="inlineStr">
        <is>
          <t>Room 1-6</t>
        </is>
      </c>
      <c r="D17" s="126" t="n">
        <v>0</v>
      </c>
      <c r="E17" s="126" t="n">
        <v>0</v>
      </c>
      <c r="F17" s="127">
        <f>MAX(D17-E17,0)</f>
        <v/>
      </c>
      <c r="G17" s="130">
        <f>E17*GeneratorRate</f>
        <v/>
      </c>
      <c r="H17" s="130">
        <f>F17*GovernmentRate</f>
        <v/>
      </c>
      <c r="I17" s="130">
        <f>G17+H17</f>
        <v/>
      </c>
      <c r="J17" s="129">
        <f>IFERROR(I17/COUNTIFS('Client DB &amp; Bed Mgmt'!$A:$A,A17,'Client DB &amp; Bed Mgmt'!$B:$B,C17,'Client DB &amp; Bed Mgmt'!$D:$D,"&lt;&gt;"),0)</f>
        <v/>
      </c>
      <c r="K17" s="103" t="inlineStr">
        <is>
          <t>Dorm 1</t>
        </is>
      </c>
      <c r="L17" s="103" t="inlineStr">
        <is>
          <t>Room 1-6</t>
        </is>
      </c>
      <c r="M17" s="103">
        <f>COUNTIFS('Client DB &amp; Bed Mgmt'!$A:$A,$K17,'Client DB &amp; Bed Mgmt'!$B:$B,$L17,'Client DB &amp; Bed Mgmt'!$D:$D,"&lt;&gt;")</f>
        <v/>
      </c>
      <c r="N17" s="126" t="n">
        <v>0</v>
      </c>
      <c r="O17" s="126" t="n">
        <v>0</v>
      </c>
      <c r="P17" s="127">
        <f>MAX(N17-O17,0)</f>
        <v/>
      </c>
      <c r="Q17" s="130">
        <f>O17*GeneratorRate</f>
        <v/>
      </c>
      <c r="R17" s="130">
        <f>P17*GovernmentRate</f>
        <v/>
      </c>
      <c r="S17" s="130">
        <f>Q17+R17</f>
        <v/>
      </c>
      <c r="T17" s="130">
        <f>IF(M17=0,0,S17/M17)</f>
        <v/>
      </c>
      <c r="U17" s="180" t="n"/>
      <c r="V17" s="170" t="n"/>
      <c r="W17" s="170" t="n"/>
      <c r="X17" s="127" t="n"/>
      <c r="Y17" s="130" t="n"/>
      <c r="Z17" s="127" t="n"/>
      <c r="AA17" s="130" t="n"/>
      <c r="AB17" s="176" t="n"/>
      <c r="AC17" s="129" t="n"/>
      <c r="AD17" s="176" t="n"/>
      <c r="AE17" s="129" t="n"/>
    </row>
    <row r="18" ht="14.25" customHeight="1" s="83">
      <c r="A18" s="103" t="inlineStr">
        <is>
          <t>Dorm 1</t>
        </is>
      </c>
      <c r="B18" s="177" t="n">
        <v>46082</v>
      </c>
      <c r="C18" s="103" t="inlineStr">
        <is>
          <t>Room 1-1</t>
        </is>
      </c>
      <c r="D18" s="126" t="n">
        <v>0</v>
      </c>
      <c r="E18" s="126" t="n">
        <v>0</v>
      </c>
      <c r="F18" s="127">
        <f>MAX(D18-E18,0)</f>
        <v/>
      </c>
      <c r="G18" s="130">
        <f>E18*GeneratorRate</f>
        <v/>
      </c>
      <c r="H18" s="130">
        <f>F18*GovernmentRate</f>
        <v/>
      </c>
      <c r="I18" s="130">
        <f>G18+H18</f>
        <v/>
      </c>
      <c r="J18" s="129">
        <f>IFERROR(I18/COUNTIFS('Client DB &amp; Bed Mgmt'!$A:$A,A18,'Client DB &amp; Bed Mgmt'!$B:$B,C18,'Client DB &amp; Bed Mgmt'!$D:$D,"&lt;&gt;"),0)</f>
        <v/>
      </c>
      <c r="K18" s="103" t="inlineStr">
        <is>
          <t>Dorm 1</t>
        </is>
      </c>
      <c r="L18" s="103" t="inlineStr">
        <is>
          <t>Room 1-1</t>
        </is>
      </c>
      <c r="M18" s="103">
        <f>COUNTIFS('Client DB &amp; Bed Mgmt'!$A:$A,$K18,'Client DB &amp; Bed Mgmt'!$B:$B,$L18,'Client DB &amp; Bed Mgmt'!$D:$D,"&lt;&gt;")</f>
        <v/>
      </c>
      <c r="N18" s="126" t="n">
        <v>0</v>
      </c>
      <c r="O18" s="126" t="n">
        <v>0</v>
      </c>
      <c r="P18" s="127">
        <f>MAX(N18-O18,0)</f>
        <v/>
      </c>
      <c r="Q18" s="130">
        <f>O18*GeneratorRate</f>
        <v/>
      </c>
      <c r="R18" s="130">
        <f>P18*GovernmentRate</f>
        <v/>
      </c>
      <c r="S18" s="130">
        <f>Q18+R18</f>
        <v/>
      </c>
      <c r="T18" s="130">
        <f>IF(M18=0,0,S18/M18)</f>
        <v/>
      </c>
      <c r="U18" s="180" t="n"/>
      <c r="V18" s="170" t="n"/>
      <c r="W18" s="170" t="n"/>
      <c r="X18" s="127" t="n"/>
      <c r="Y18" s="130" t="n"/>
      <c r="Z18" s="127" t="n"/>
      <c r="AA18" s="130" t="n"/>
      <c r="AB18" s="176" t="n"/>
      <c r="AC18" s="129" t="n"/>
      <c r="AD18" s="176" t="n"/>
      <c r="AE18" s="129" t="n"/>
    </row>
    <row r="19" ht="14.25" customHeight="1" s="83">
      <c r="A19" s="103" t="inlineStr">
        <is>
          <t>Dorm 1</t>
        </is>
      </c>
      <c r="B19" s="177" t="n">
        <v>46082</v>
      </c>
      <c r="C19" s="103" t="inlineStr">
        <is>
          <t>Room 1-2</t>
        </is>
      </c>
      <c r="D19" s="126" t="n">
        <v>0</v>
      </c>
      <c r="E19" s="126" t="n">
        <v>0</v>
      </c>
      <c r="F19" s="127">
        <f>MAX(D19-E19,0)</f>
        <v/>
      </c>
      <c r="G19" s="130">
        <f>E19*GeneratorRate</f>
        <v/>
      </c>
      <c r="H19" s="130">
        <f>F19*GovernmentRate</f>
        <v/>
      </c>
      <c r="I19" s="130">
        <f>G19+H19</f>
        <v/>
      </c>
      <c r="J19" s="129">
        <f>IFERROR(I19/COUNTIFS('Client DB &amp; Bed Mgmt'!$A:$A,A19,'Client DB &amp; Bed Mgmt'!$B:$B,C19,'Client DB &amp; Bed Mgmt'!$D:$D,"&lt;&gt;"),0)</f>
        <v/>
      </c>
      <c r="K19" s="103" t="inlineStr">
        <is>
          <t>Dorm 1</t>
        </is>
      </c>
      <c r="L19" s="103" t="inlineStr">
        <is>
          <t>Room 1-2</t>
        </is>
      </c>
      <c r="M19" s="103">
        <f>COUNTIFS('Client DB &amp; Bed Mgmt'!$A:$A,$K19,'Client DB &amp; Bed Mgmt'!$B:$B,$L19,'Client DB &amp; Bed Mgmt'!$D:$D,"&lt;&gt;")</f>
        <v/>
      </c>
      <c r="N19" s="126" t="n">
        <v>0</v>
      </c>
      <c r="O19" s="126" t="n">
        <v>0</v>
      </c>
      <c r="P19" s="127">
        <f>MAX(N19-O19,0)</f>
        <v/>
      </c>
      <c r="Q19" s="130">
        <f>O19*GeneratorRate</f>
        <v/>
      </c>
      <c r="R19" s="130">
        <f>P19*GovernmentRate</f>
        <v/>
      </c>
      <c r="S19" s="130">
        <f>Q19+R19</f>
        <v/>
      </c>
      <c r="T19" s="130">
        <f>IF(M19=0,0,S19/M19)</f>
        <v/>
      </c>
      <c r="U19" s="180" t="n"/>
      <c r="V19" s="170" t="n"/>
      <c r="W19" s="170" t="n"/>
      <c r="X19" s="127" t="n"/>
      <c r="Y19" s="130" t="n"/>
      <c r="Z19" s="127" t="n"/>
      <c r="AA19" s="130" t="n"/>
      <c r="AB19" s="176" t="n"/>
      <c r="AC19" s="129" t="n"/>
      <c r="AD19" s="176" t="n"/>
      <c r="AE19" s="129" t="n"/>
    </row>
    <row r="20" ht="14.25" customHeight="1" s="83">
      <c r="A20" s="103" t="inlineStr">
        <is>
          <t>Dorm 1</t>
        </is>
      </c>
      <c r="B20" s="177" t="n">
        <v>46082</v>
      </c>
      <c r="C20" s="103" t="inlineStr">
        <is>
          <t>Room 1-3</t>
        </is>
      </c>
      <c r="D20" s="126" t="n">
        <v>0</v>
      </c>
      <c r="E20" s="126" t="n">
        <v>0</v>
      </c>
      <c r="F20" s="127">
        <f>MAX(D20-E20,0)</f>
        <v/>
      </c>
      <c r="G20" s="130">
        <f>E20*GeneratorRate</f>
        <v/>
      </c>
      <c r="H20" s="130">
        <f>F20*GovernmentRate</f>
        <v/>
      </c>
      <c r="I20" s="130">
        <f>G20+H20</f>
        <v/>
      </c>
      <c r="J20" s="129">
        <f>IFERROR(I20/COUNTIFS('Client DB &amp; Bed Mgmt'!$A:$A,A20,'Client DB &amp; Bed Mgmt'!$B:$B,C20,'Client DB &amp; Bed Mgmt'!$D:$D,"&lt;&gt;"),0)</f>
        <v/>
      </c>
      <c r="K20" s="103" t="inlineStr">
        <is>
          <t>Dorm 1</t>
        </is>
      </c>
      <c r="L20" s="103" t="inlineStr">
        <is>
          <t>Room 1-3</t>
        </is>
      </c>
      <c r="M20" s="103">
        <f>COUNTIFS('Client DB &amp; Bed Mgmt'!$A:$A,$K20,'Client DB &amp; Bed Mgmt'!$B:$B,$L20,'Client DB &amp; Bed Mgmt'!$D:$D,"&lt;&gt;")</f>
        <v/>
      </c>
      <c r="N20" s="126" t="n">
        <v>0</v>
      </c>
      <c r="O20" s="126" t="n">
        <v>0</v>
      </c>
      <c r="P20" s="127">
        <f>MAX(N20-O20,0)</f>
        <v/>
      </c>
      <c r="Q20" s="130">
        <f>O20*GeneratorRate</f>
        <v/>
      </c>
      <c r="R20" s="130">
        <f>P20*GovernmentRate</f>
        <v/>
      </c>
      <c r="S20" s="130">
        <f>Q20+R20</f>
        <v/>
      </c>
      <c r="T20" s="130">
        <f>IF(M20=0,0,S20/M20)</f>
        <v/>
      </c>
      <c r="U20" s="180" t="n"/>
      <c r="V20" s="170" t="n"/>
      <c r="W20" s="170" t="n"/>
      <c r="X20" s="127" t="n"/>
      <c r="Y20" s="130" t="n"/>
      <c r="Z20" s="127" t="n"/>
      <c r="AA20" s="130" t="n"/>
      <c r="AB20" s="176" t="n"/>
      <c r="AC20" s="129" t="n"/>
      <c r="AD20" s="176" t="n"/>
      <c r="AE20" s="129" t="n"/>
    </row>
    <row r="21" ht="14.25" customHeight="1" s="83">
      <c r="A21" s="103" t="inlineStr">
        <is>
          <t>Dorm 1</t>
        </is>
      </c>
      <c r="B21" s="177" t="n">
        <v>46082</v>
      </c>
      <c r="C21" s="103" t="inlineStr">
        <is>
          <t>Room 1-4</t>
        </is>
      </c>
      <c r="D21" s="126" t="n">
        <v>0</v>
      </c>
      <c r="E21" s="126" t="n">
        <v>0</v>
      </c>
      <c r="F21" s="127">
        <f>MAX(D21-E21,0)</f>
        <v/>
      </c>
      <c r="G21" s="130">
        <f>E21*GeneratorRate</f>
        <v/>
      </c>
      <c r="H21" s="130">
        <f>F21*GovernmentRate</f>
        <v/>
      </c>
      <c r="I21" s="130">
        <f>G21+H21</f>
        <v/>
      </c>
      <c r="J21" s="129">
        <f>IFERROR(I21/COUNTIFS('Client DB &amp; Bed Mgmt'!$A:$A,A21,'Client DB &amp; Bed Mgmt'!$B:$B,C21,'Client DB &amp; Bed Mgmt'!$D:$D,"&lt;&gt;"),0)</f>
        <v/>
      </c>
      <c r="K21" s="103" t="inlineStr">
        <is>
          <t>Dorm 1</t>
        </is>
      </c>
      <c r="L21" s="103" t="inlineStr">
        <is>
          <t>Room 1-4</t>
        </is>
      </c>
      <c r="M21" s="103">
        <f>COUNTIFS('Client DB &amp; Bed Mgmt'!$A:$A,$K21,'Client DB &amp; Bed Mgmt'!$B:$B,$L21,'Client DB &amp; Bed Mgmt'!$D:$D,"&lt;&gt;")</f>
        <v/>
      </c>
      <c r="N21" s="126" t="n">
        <v>0</v>
      </c>
      <c r="O21" s="126" t="n">
        <v>0</v>
      </c>
      <c r="P21" s="127">
        <f>MAX(N21-O21,0)</f>
        <v/>
      </c>
      <c r="Q21" s="130">
        <f>O21*GeneratorRate</f>
        <v/>
      </c>
      <c r="R21" s="130">
        <f>P21*GovernmentRate</f>
        <v/>
      </c>
      <c r="S21" s="130">
        <f>Q21+R21</f>
        <v/>
      </c>
      <c r="T21" s="130">
        <f>IF(M21=0,0,S21/M21)</f>
        <v/>
      </c>
      <c r="U21" s="180" t="n"/>
      <c r="V21" s="170" t="n"/>
      <c r="W21" s="170" t="n"/>
      <c r="X21" s="127" t="n"/>
      <c r="Y21" s="130" t="n"/>
      <c r="Z21" s="127" t="n"/>
      <c r="AA21" s="130" t="n"/>
      <c r="AB21" s="176" t="n"/>
      <c r="AC21" s="129" t="n"/>
      <c r="AD21" s="176" t="n"/>
      <c r="AE21" s="129" t="n"/>
    </row>
    <row r="22" ht="14.25" customHeight="1" s="83">
      <c r="A22" s="103" t="inlineStr">
        <is>
          <t>Dorm 1</t>
        </is>
      </c>
      <c r="B22" s="177" t="n">
        <v>46082</v>
      </c>
      <c r="C22" s="103" t="inlineStr">
        <is>
          <t>Room 1-5</t>
        </is>
      </c>
      <c r="D22" s="126" t="n">
        <v>0</v>
      </c>
      <c r="E22" s="126" t="n">
        <v>0</v>
      </c>
      <c r="F22" s="127">
        <f>MAX(D22-E22,0)</f>
        <v/>
      </c>
      <c r="G22" s="130">
        <f>E22*GeneratorRate</f>
        <v/>
      </c>
      <c r="H22" s="130">
        <f>F22*GovernmentRate</f>
        <v/>
      </c>
      <c r="I22" s="130">
        <f>G22+H22</f>
        <v/>
      </c>
      <c r="J22" s="129">
        <f>IFERROR(I22/COUNTIFS('Client DB &amp; Bed Mgmt'!$A:$A,A22,'Client DB &amp; Bed Mgmt'!$B:$B,C22,'Client DB &amp; Bed Mgmt'!$D:$D,"&lt;&gt;"),0)</f>
        <v/>
      </c>
      <c r="K22" s="103" t="inlineStr">
        <is>
          <t>Dorm 1</t>
        </is>
      </c>
      <c r="L22" s="103" t="inlineStr">
        <is>
          <t>Room 1-5</t>
        </is>
      </c>
      <c r="M22" s="103">
        <f>COUNTIFS('Client DB &amp; Bed Mgmt'!$A:$A,$K22,'Client DB &amp; Bed Mgmt'!$B:$B,$L22,'Client DB &amp; Bed Mgmt'!$D:$D,"&lt;&gt;")</f>
        <v/>
      </c>
      <c r="N22" s="126" t="n">
        <v>0</v>
      </c>
      <c r="O22" s="126" t="n">
        <v>0</v>
      </c>
      <c r="P22" s="127">
        <f>MAX(N22-O22,0)</f>
        <v/>
      </c>
      <c r="Q22" s="130">
        <f>O22*GeneratorRate</f>
        <v/>
      </c>
      <c r="R22" s="130">
        <f>P22*GovernmentRate</f>
        <v/>
      </c>
      <c r="S22" s="130">
        <f>Q22+R22</f>
        <v/>
      </c>
      <c r="T22" s="130">
        <f>IF(M22=0,0,S22/M22)</f>
        <v/>
      </c>
      <c r="U22" s="180" t="n"/>
      <c r="V22" s="170" t="n"/>
      <c r="W22" s="170" t="n"/>
      <c r="X22" s="127" t="n"/>
      <c r="Y22" s="130" t="n"/>
      <c r="Z22" s="127" t="n"/>
      <c r="AA22" s="130" t="n"/>
      <c r="AB22" s="176" t="n"/>
      <c r="AC22" s="129" t="n"/>
      <c r="AD22" s="176" t="n"/>
      <c r="AE22" s="129" t="n"/>
    </row>
    <row r="23" ht="14.25" customHeight="1" s="83">
      <c r="A23" s="103" t="inlineStr">
        <is>
          <t>Dorm 1</t>
        </is>
      </c>
      <c r="B23" s="177" t="n">
        <v>46082</v>
      </c>
      <c r="C23" s="103" t="inlineStr">
        <is>
          <t>Room 1-6</t>
        </is>
      </c>
      <c r="D23" s="126" t="n">
        <v>0</v>
      </c>
      <c r="E23" s="126" t="n">
        <v>0</v>
      </c>
      <c r="F23" s="127">
        <f>MAX(D23-E23,0)</f>
        <v/>
      </c>
      <c r="G23" s="130">
        <f>E23*GeneratorRate</f>
        <v/>
      </c>
      <c r="H23" s="130">
        <f>F23*GovernmentRate</f>
        <v/>
      </c>
      <c r="I23" s="130">
        <f>G23+H23</f>
        <v/>
      </c>
      <c r="J23" s="129">
        <f>IFERROR(I23/COUNTIFS('Client DB &amp; Bed Mgmt'!$A:$A,A23,'Client DB &amp; Bed Mgmt'!$B:$B,C23,'Client DB &amp; Bed Mgmt'!$D:$D,"&lt;&gt;"),0)</f>
        <v/>
      </c>
      <c r="K23" s="103" t="inlineStr">
        <is>
          <t>Dorm 1</t>
        </is>
      </c>
      <c r="L23" s="103" t="inlineStr">
        <is>
          <t>Room 1-6</t>
        </is>
      </c>
      <c r="M23" s="103">
        <f>COUNTIFS('Client DB &amp; Bed Mgmt'!$A:$A,$K23,'Client DB &amp; Bed Mgmt'!$B:$B,$L23,'Client DB &amp; Bed Mgmt'!$D:$D,"&lt;&gt;")</f>
        <v/>
      </c>
      <c r="N23" s="126" t="n">
        <v>0</v>
      </c>
      <c r="O23" s="126" t="n">
        <v>0</v>
      </c>
      <c r="P23" s="127">
        <f>MAX(N23-O23,0)</f>
        <v/>
      </c>
      <c r="Q23" s="130">
        <f>O23*GeneratorRate</f>
        <v/>
      </c>
      <c r="R23" s="130">
        <f>P23*GovernmentRate</f>
        <v/>
      </c>
      <c r="S23" s="130">
        <f>Q23+R23</f>
        <v/>
      </c>
      <c r="T23" s="130">
        <f>IF(M23=0,0,S23/M23)</f>
        <v/>
      </c>
      <c r="U23" s="180" t="n"/>
      <c r="V23" s="170" t="n"/>
      <c r="W23" s="170" t="n"/>
      <c r="X23" s="127" t="n"/>
      <c r="Y23" s="130" t="n"/>
      <c r="Z23" s="127" t="n"/>
      <c r="AA23" s="130" t="n"/>
      <c r="AB23" s="176" t="n"/>
      <c r="AC23" s="129" t="n"/>
      <c r="AD23" s="176" t="n"/>
      <c r="AE23" s="129" t="n"/>
    </row>
    <row r="24" ht="14.25" customHeight="1" s="83">
      <c r="A24" s="103" t="inlineStr">
        <is>
          <t>Dorm 1</t>
        </is>
      </c>
      <c r="B24" s="177" t="n">
        <v>46113</v>
      </c>
      <c r="C24" s="103" t="inlineStr">
        <is>
          <t>Room 1-1</t>
        </is>
      </c>
      <c r="D24" s="126" t="n">
        <v>0</v>
      </c>
      <c r="E24" s="126" t="n">
        <v>0</v>
      </c>
      <c r="F24" s="127">
        <f>MAX(D24-E24,0)</f>
        <v/>
      </c>
      <c r="G24" s="130">
        <f>E24*GeneratorRate</f>
        <v/>
      </c>
      <c r="H24" s="130">
        <f>F24*GovernmentRate</f>
        <v/>
      </c>
      <c r="I24" s="130">
        <f>G24+H24</f>
        <v/>
      </c>
      <c r="J24" s="129">
        <f>IFERROR(I24/COUNTIFS('Client DB &amp; Bed Mgmt'!$A:$A,A24,'Client DB &amp; Bed Mgmt'!$B:$B,C24,'Client DB &amp; Bed Mgmt'!$D:$D,"&lt;&gt;"),0)</f>
        <v/>
      </c>
      <c r="K24" s="103" t="inlineStr">
        <is>
          <t>Dorm 1</t>
        </is>
      </c>
      <c r="L24" s="103" t="inlineStr">
        <is>
          <t>Room 1-1</t>
        </is>
      </c>
      <c r="M24" s="103">
        <f>COUNTIFS('Client DB &amp; Bed Mgmt'!$A:$A,$K24,'Client DB &amp; Bed Mgmt'!$B:$B,$L24,'Client DB &amp; Bed Mgmt'!$D:$D,"&lt;&gt;")</f>
        <v/>
      </c>
      <c r="N24" s="126" t="n">
        <v>500</v>
      </c>
      <c r="O24" s="126" t="n">
        <v>0</v>
      </c>
      <c r="P24" s="127">
        <f>MAX(N24-O24,0)</f>
        <v/>
      </c>
      <c r="Q24" s="130">
        <f>O24*GeneratorRate</f>
        <v/>
      </c>
      <c r="R24" s="130">
        <f>P24*GovernmentRate</f>
        <v/>
      </c>
      <c r="S24" s="130">
        <f>Q24+R24</f>
        <v/>
      </c>
      <c r="T24" s="130">
        <f>IF(M24=0,0,S24/M24)</f>
        <v/>
      </c>
      <c r="U24" s="176" t="n"/>
      <c r="V24" s="129" t="n"/>
      <c r="W24" s="127" t="n"/>
      <c r="X24" s="130" t="n"/>
      <c r="Y24" s="178" t="n"/>
      <c r="Z24" s="129" t="n"/>
      <c r="AA24" s="129" t="n"/>
      <c r="AB24" s="176" t="n"/>
      <c r="AC24" s="129" t="n"/>
      <c r="AD24" s="176" t="n"/>
      <c r="AE24" s="129" t="n"/>
    </row>
    <row r="25" ht="14.25" customHeight="1" s="83">
      <c r="A25" s="103" t="inlineStr">
        <is>
          <t>Dorm 1</t>
        </is>
      </c>
      <c r="B25" s="177" t="n">
        <v>46113</v>
      </c>
      <c r="C25" s="103" t="inlineStr">
        <is>
          <t>Room 1-2</t>
        </is>
      </c>
      <c r="D25" s="126" t="n">
        <v>0</v>
      </c>
      <c r="E25" s="126" t="n">
        <v>0</v>
      </c>
      <c r="F25" s="127">
        <f>MAX(D25-E25,0)</f>
        <v/>
      </c>
      <c r="G25" s="130">
        <f>E25*GeneratorRate</f>
        <v/>
      </c>
      <c r="H25" s="130">
        <f>F25*GovernmentRate</f>
        <v/>
      </c>
      <c r="I25" s="130">
        <f>G25+H25</f>
        <v/>
      </c>
      <c r="J25" s="129">
        <f>IFERROR(I25/COUNTIFS('Client DB &amp; Bed Mgmt'!$A:$A,A25,'Client DB &amp; Bed Mgmt'!$B:$B,C25,'Client DB &amp; Bed Mgmt'!$D:$D,"&lt;&gt;"),0)</f>
        <v/>
      </c>
      <c r="K25" s="103" t="inlineStr">
        <is>
          <t>Dorm 1</t>
        </is>
      </c>
      <c r="L25" s="103" t="inlineStr">
        <is>
          <t>Room 1-2</t>
        </is>
      </c>
      <c r="M25" s="103">
        <f>COUNTIFS('Client DB &amp; Bed Mgmt'!$A:$A,$K25,'Client DB &amp; Bed Mgmt'!$B:$B,$L25,'Client DB &amp; Bed Mgmt'!$D:$D,"&lt;&gt;")</f>
        <v/>
      </c>
      <c r="N25" s="126" t="n">
        <v>0</v>
      </c>
      <c r="O25" s="126" t="n">
        <v>0</v>
      </c>
      <c r="P25" s="127">
        <f>MAX(N25-O25,0)</f>
        <v/>
      </c>
      <c r="Q25" s="130">
        <f>O25*GeneratorRate</f>
        <v/>
      </c>
      <c r="R25" s="130">
        <f>P25*GovernmentRate</f>
        <v/>
      </c>
      <c r="S25" s="130">
        <f>Q25+R25</f>
        <v/>
      </c>
      <c r="T25" s="130">
        <f>IF(M25=0,0,S25/M25)</f>
        <v/>
      </c>
      <c r="U25" s="176" t="n"/>
      <c r="V25" s="129" t="n"/>
      <c r="W25" s="127" t="n"/>
      <c r="X25" s="130" t="n"/>
      <c r="Y25" s="178" t="n"/>
      <c r="Z25" s="129" t="n"/>
      <c r="AA25" s="129" t="n"/>
      <c r="AB25" s="176" t="n"/>
      <c r="AC25" s="129" t="n"/>
      <c r="AD25" s="176" t="n"/>
      <c r="AE25" s="129" t="n"/>
    </row>
    <row r="26" ht="14.25" customHeight="1" s="83">
      <c r="A26" s="103" t="inlineStr">
        <is>
          <t>Dorm 1</t>
        </is>
      </c>
      <c r="B26" s="177" t="n">
        <v>46113</v>
      </c>
      <c r="C26" s="103" t="inlineStr">
        <is>
          <t>Room 1-3</t>
        </is>
      </c>
      <c r="D26" s="126" t="n">
        <v>0</v>
      </c>
      <c r="E26" s="126" t="n">
        <v>200</v>
      </c>
      <c r="F26" s="127">
        <f>MAX(D26-E26,0)</f>
        <v/>
      </c>
      <c r="G26" s="130">
        <f>E26*GeneratorRate</f>
        <v/>
      </c>
      <c r="H26" s="130">
        <f>F26*GovernmentRate</f>
        <v/>
      </c>
      <c r="I26" s="130">
        <f>G26+H26</f>
        <v/>
      </c>
      <c r="J26" s="129">
        <f>IFERROR(I26/COUNTIFS('Client DB &amp; Bed Mgmt'!$A:$A,A26,'Client DB &amp; Bed Mgmt'!$B:$B,C26,'Client DB &amp; Bed Mgmt'!$D:$D,"&lt;&gt;"),0)</f>
        <v/>
      </c>
      <c r="K26" s="103" t="inlineStr">
        <is>
          <t>Dorm 1</t>
        </is>
      </c>
      <c r="L26" s="103" t="inlineStr">
        <is>
          <t>Room 1-3</t>
        </is>
      </c>
      <c r="M26" s="103">
        <f>COUNTIFS('Client DB &amp; Bed Mgmt'!$A:$A,$K26,'Client DB &amp; Bed Mgmt'!$B:$B,$L26,'Client DB &amp; Bed Mgmt'!$D:$D,"&lt;&gt;")</f>
        <v/>
      </c>
      <c r="N26" s="126" t="n">
        <v>0</v>
      </c>
      <c r="O26" s="126" t="n">
        <v>0</v>
      </c>
      <c r="P26" s="127">
        <f>MAX(N26-O26,0)</f>
        <v/>
      </c>
      <c r="Q26" s="130">
        <f>O26*GeneratorRate</f>
        <v/>
      </c>
      <c r="R26" s="130">
        <f>P26*GovernmentRate</f>
        <v/>
      </c>
      <c r="S26" s="130">
        <f>Q26+R26</f>
        <v/>
      </c>
      <c r="T26" s="130">
        <f>IF(M26=0,0,S26/M26)</f>
        <v/>
      </c>
      <c r="U26" s="176" t="n"/>
      <c r="V26" s="129" t="n"/>
      <c r="W26" s="127" t="n"/>
      <c r="X26" s="130" t="n"/>
      <c r="Y26" s="178" t="n"/>
      <c r="Z26" s="129" t="n"/>
      <c r="AA26" s="129" t="n"/>
      <c r="AB26" s="176" t="n"/>
      <c r="AC26" s="129" t="n"/>
      <c r="AD26" s="176" t="n"/>
      <c r="AE26" s="129" t="n"/>
    </row>
    <row r="27" ht="14.25" customHeight="1" s="83">
      <c r="A27" s="103" t="inlineStr">
        <is>
          <t>Dorm 1</t>
        </is>
      </c>
      <c r="B27" s="177" t="n">
        <v>46113</v>
      </c>
      <c r="C27" s="103" t="inlineStr">
        <is>
          <t>Room 1-4</t>
        </is>
      </c>
      <c r="D27" s="126" t="n">
        <v>0</v>
      </c>
      <c r="E27" s="126" t="n">
        <v>0</v>
      </c>
      <c r="F27" s="127">
        <f>MAX(D27-E27,0)</f>
        <v/>
      </c>
      <c r="G27" s="130">
        <f>E27*GeneratorRate</f>
        <v/>
      </c>
      <c r="H27" s="130">
        <f>F27*GovernmentRate</f>
        <v/>
      </c>
      <c r="I27" s="130">
        <f>G27+H27</f>
        <v/>
      </c>
      <c r="J27" s="129">
        <f>IFERROR(I27/COUNTIFS('Client DB &amp; Bed Mgmt'!$A:$A,A27,'Client DB &amp; Bed Mgmt'!$B:$B,C27,'Client DB &amp; Bed Mgmt'!$D:$D,"&lt;&gt;"),0)</f>
        <v/>
      </c>
      <c r="K27" s="103" t="inlineStr">
        <is>
          <t>Dorm 1</t>
        </is>
      </c>
      <c r="L27" s="103" t="inlineStr">
        <is>
          <t>Room 1-4</t>
        </is>
      </c>
      <c r="M27" s="103">
        <f>COUNTIFS('Client DB &amp; Bed Mgmt'!$A:$A,$K27,'Client DB &amp; Bed Mgmt'!$B:$B,$L27,'Client DB &amp; Bed Mgmt'!$D:$D,"&lt;&gt;")</f>
        <v/>
      </c>
      <c r="N27" s="126" t="n">
        <v>0</v>
      </c>
      <c r="O27" s="126" t="n">
        <v>0</v>
      </c>
      <c r="P27" s="127">
        <f>MAX(N27-O27,0)</f>
        <v/>
      </c>
      <c r="Q27" s="130">
        <f>O27*GeneratorRate</f>
        <v/>
      </c>
      <c r="R27" s="130">
        <f>P27*GovernmentRate</f>
        <v/>
      </c>
      <c r="S27" s="130">
        <f>Q27+R27</f>
        <v/>
      </c>
      <c r="T27" s="130">
        <f>IF(M27=0,0,S27/M27)</f>
        <v/>
      </c>
      <c r="U27" s="176" t="n"/>
      <c r="V27" s="129" t="n"/>
      <c r="W27" s="127" t="n"/>
      <c r="X27" s="130" t="n"/>
      <c r="Y27" s="178" t="n"/>
      <c r="Z27" s="129" t="n"/>
      <c r="AA27" s="129" t="n"/>
      <c r="AB27" s="176" t="n"/>
      <c r="AC27" s="129" t="n"/>
      <c r="AD27" s="176" t="n"/>
      <c r="AE27" s="129" t="n"/>
    </row>
    <row r="28" ht="14.25" customHeight="1" s="83">
      <c r="A28" s="103" t="inlineStr">
        <is>
          <t>Dorm 1</t>
        </is>
      </c>
      <c r="B28" s="177" t="n">
        <v>46113</v>
      </c>
      <c r="C28" s="103" t="inlineStr">
        <is>
          <t>Room 1-5</t>
        </is>
      </c>
      <c r="D28" s="126" t="n">
        <v>0</v>
      </c>
      <c r="E28" s="126" t="n">
        <v>0</v>
      </c>
      <c r="F28" s="127">
        <f>MAX(D28-E28,0)</f>
        <v/>
      </c>
      <c r="G28" s="130">
        <f>E28*GeneratorRate</f>
        <v/>
      </c>
      <c r="H28" s="130">
        <f>F28*GovernmentRate</f>
        <v/>
      </c>
      <c r="I28" s="130">
        <f>G28+H28</f>
        <v/>
      </c>
      <c r="J28" s="129">
        <f>IFERROR(I28/COUNTIFS('Client DB &amp; Bed Mgmt'!$A:$A,A28,'Client DB &amp; Bed Mgmt'!$B:$B,C28,'Client DB &amp; Bed Mgmt'!$D:$D,"&lt;&gt;"),0)</f>
        <v/>
      </c>
      <c r="K28" s="103" t="inlineStr">
        <is>
          <t>Dorm 1</t>
        </is>
      </c>
      <c r="L28" s="103" t="inlineStr">
        <is>
          <t>Room 1-5</t>
        </is>
      </c>
      <c r="M28" s="103">
        <f>COUNTIFS('Client DB &amp; Bed Mgmt'!$A:$A,$K28,'Client DB &amp; Bed Mgmt'!$B:$B,$L28,'Client DB &amp; Bed Mgmt'!$D:$D,"&lt;&gt;")</f>
        <v/>
      </c>
      <c r="N28" s="126" t="n">
        <v>0</v>
      </c>
      <c r="O28" s="126" t="n">
        <v>0</v>
      </c>
      <c r="P28" s="127">
        <f>MAX(N28-O28,0)</f>
        <v/>
      </c>
      <c r="Q28" s="130">
        <f>O28*GeneratorRate</f>
        <v/>
      </c>
      <c r="R28" s="130">
        <f>P28*GovernmentRate</f>
        <v/>
      </c>
      <c r="S28" s="130">
        <f>Q28+R28</f>
        <v/>
      </c>
      <c r="T28" s="130">
        <f>IF(M28=0,0,S28/M28)</f>
        <v/>
      </c>
      <c r="U28" s="176" t="n"/>
      <c r="V28" s="129" t="n"/>
      <c r="W28" s="127" t="n"/>
      <c r="X28" s="130" t="n"/>
      <c r="Y28" s="178" t="n"/>
      <c r="Z28" s="129" t="n"/>
      <c r="AA28" s="129" t="n"/>
      <c r="AB28" s="176" t="n"/>
      <c r="AC28" s="129" t="n"/>
      <c r="AD28" s="176" t="n"/>
      <c r="AE28" s="129" t="n"/>
    </row>
    <row r="29" ht="14.25" customHeight="1" s="83">
      <c r="A29" s="103" t="inlineStr">
        <is>
          <t>Dorm 1</t>
        </is>
      </c>
      <c r="B29" s="177" t="n">
        <v>46113</v>
      </c>
      <c r="C29" s="103" t="inlineStr">
        <is>
          <t>Room 1-6</t>
        </is>
      </c>
      <c r="D29" s="126" t="n">
        <v>0</v>
      </c>
      <c r="E29" s="126" t="n">
        <v>0</v>
      </c>
      <c r="F29" s="127">
        <f>MAX(D29-E29,0)</f>
        <v/>
      </c>
      <c r="G29" s="130">
        <f>E29*GeneratorRate</f>
        <v/>
      </c>
      <c r="H29" s="130">
        <f>F29*GovernmentRate</f>
        <v/>
      </c>
      <c r="I29" s="130">
        <f>G29+H29</f>
        <v/>
      </c>
      <c r="J29" s="129">
        <f>IFERROR(I29/COUNTIFS('Client DB &amp; Bed Mgmt'!$A:$A,A29,'Client DB &amp; Bed Mgmt'!$B:$B,C29,'Client DB &amp; Bed Mgmt'!$D:$D,"&lt;&gt;"),0)</f>
        <v/>
      </c>
      <c r="K29" s="103" t="inlineStr">
        <is>
          <t>Dorm 1</t>
        </is>
      </c>
      <c r="L29" s="103" t="inlineStr">
        <is>
          <t>Room 1-6</t>
        </is>
      </c>
      <c r="M29" s="103">
        <f>COUNTIFS('Client DB &amp; Bed Mgmt'!$A:$A,$K29,'Client DB &amp; Bed Mgmt'!$B:$B,$L29,'Client DB &amp; Bed Mgmt'!$D:$D,"&lt;&gt;")</f>
        <v/>
      </c>
      <c r="N29" s="126" t="n">
        <v>0</v>
      </c>
      <c r="O29" s="126" t="n">
        <v>0</v>
      </c>
      <c r="P29" s="127">
        <f>MAX(N29-O29,0)</f>
        <v/>
      </c>
      <c r="Q29" s="130">
        <f>O29*GeneratorRate</f>
        <v/>
      </c>
      <c r="R29" s="130">
        <f>P29*GovernmentRate</f>
        <v/>
      </c>
      <c r="S29" s="130">
        <f>Q29+R29</f>
        <v/>
      </c>
      <c r="T29" s="130">
        <f>IF(M29=0,0,S29/M29)</f>
        <v/>
      </c>
      <c r="U29" s="176" t="n"/>
      <c r="V29" s="129" t="n"/>
      <c r="W29" s="127" t="n"/>
      <c r="X29" s="130" t="n"/>
      <c r="Y29" s="178" t="n"/>
      <c r="Z29" s="129" t="n"/>
      <c r="AA29" s="129" t="n"/>
      <c r="AB29" s="176" t="n"/>
      <c r="AC29" s="129" t="n"/>
      <c r="AD29" s="176" t="n"/>
      <c r="AE29" s="129" t="n"/>
    </row>
    <row r="30" ht="14.25" customHeight="1" s="83">
      <c r="A30" s="103" t="inlineStr">
        <is>
          <t>Dorm 1</t>
        </is>
      </c>
      <c r="B30" s="177" t="n">
        <v>46143</v>
      </c>
      <c r="C30" s="103" t="inlineStr">
        <is>
          <t>Room 1-1</t>
        </is>
      </c>
      <c r="D30" s="126" t="n">
        <v>0</v>
      </c>
      <c r="E30" s="126" t="n">
        <v>0</v>
      </c>
      <c r="F30" s="127">
        <f>MAX(D30-E30,0)</f>
        <v/>
      </c>
      <c r="G30" s="130">
        <f>E30*GeneratorRate</f>
        <v/>
      </c>
      <c r="H30" s="130">
        <f>F30*GovernmentRate</f>
        <v/>
      </c>
      <c r="I30" s="130">
        <f>G30+H30</f>
        <v/>
      </c>
      <c r="J30" s="129">
        <f>IFERROR(I30/COUNTIFS('Client DB &amp; Bed Mgmt'!$A:$A,A30,'Client DB &amp; Bed Mgmt'!$B:$B,C30,'Client DB &amp; Bed Mgmt'!$D:$D,"&lt;&gt;"),0)</f>
        <v/>
      </c>
      <c r="K30" s="103" t="inlineStr">
        <is>
          <t>Dorm 1</t>
        </is>
      </c>
      <c r="L30" s="103" t="inlineStr">
        <is>
          <t>Room 1-1</t>
        </is>
      </c>
      <c r="M30" s="103">
        <f>COUNTIFS('Client DB &amp; Bed Mgmt'!$A:$A,$K30,'Client DB &amp; Bed Mgmt'!$B:$B,$L30,'Client DB &amp; Bed Mgmt'!$D:$D,"&lt;&gt;")</f>
        <v/>
      </c>
      <c r="N30" s="126" t="n">
        <v>0</v>
      </c>
      <c r="O30" s="126" t="n">
        <v>0</v>
      </c>
      <c r="P30" s="127">
        <f>MAX(N30-O30,0)</f>
        <v/>
      </c>
      <c r="Q30" s="130">
        <f>O30*GeneratorRate</f>
        <v/>
      </c>
      <c r="R30" s="130">
        <f>P30*GovernmentRate</f>
        <v/>
      </c>
      <c r="S30" s="130">
        <f>Q30+R30</f>
        <v/>
      </c>
      <c r="T30" s="130">
        <f>IF(M30=0,0,S30/M30)</f>
        <v/>
      </c>
      <c r="U30" s="176" t="n"/>
      <c r="V30" s="129" t="n"/>
      <c r="W30" s="127" t="n"/>
      <c r="X30" s="130" t="n"/>
      <c r="Y30" s="178" t="n"/>
      <c r="Z30" s="129" t="n"/>
      <c r="AA30" s="129" t="n"/>
      <c r="AB30" s="176" t="n"/>
      <c r="AC30" s="129" t="n"/>
      <c r="AD30" s="176" t="n"/>
      <c r="AE30" s="129" t="n"/>
    </row>
    <row r="31" ht="14.25" customHeight="1" s="83">
      <c r="A31" s="103" t="inlineStr">
        <is>
          <t>Dorm 1</t>
        </is>
      </c>
      <c r="B31" s="177" t="n">
        <v>46143</v>
      </c>
      <c r="C31" s="103" t="inlineStr">
        <is>
          <t>Room 1-2</t>
        </is>
      </c>
      <c r="D31" s="126" t="n">
        <v>0</v>
      </c>
      <c r="E31" s="126" t="n">
        <v>0</v>
      </c>
      <c r="F31" s="127">
        <f>MAX(D31-E31,0)</f>
        <v/>
      </c>
      <c r="G31" s="130">
        <f>E31*GeneratorRate</f>
        <v/>
      </c>
      <c r="H31" s="130">
        <f>F31*GovernmentRate</f>
        <v/>
      </c>
      <c r="I31" s="130">
        <f>G31+H31</f>
        <v/>
      </c>
      <c r="J31" s="129">
        <f>IFERROR(I31/COUNTIFS('Client DB &amp; Bed Mgmt'!$A:$A,A31,'Client DB &amp; Bed Mgmt'!$B:$B,C31,'Client DB &amp; Bed Mgmt'!$D:$D,"&lt;&gt;"),0)</f>
        <v/>
      </c>
      <c r="K31" s="103" t="inlineStr">
        <is>
          <t>Dorm 1</t>
        </is>
      </c>
      <c r="L31" s="103" t="inlineStr">
        <is>
          <t>Room 1-2</t>
        </is>
      </c>
      <c r="M31" s="103">
        <f>COUNTIFS('Client DB &amp; Bed Mgmt'!$A:$A,$K31,'Client DB &amp; Bed Mgmt'!$B:$B,$L31,'Client DB &amp; Bed Mgmt'!$D:$D,"&lt;&gt;")</f>
        <v/>
      </c>
      <c r="N31" s="126" t="n">
        <v>0</v>
      </c>
      <c r="O31" s="126" t="n">
        <v>0</v>
      </c>
      <c r="P31" s="127">
        <f>MAX(N31-O31,0)</f>
        <v/>
      </c>
      <c r="Q31" s="130">
        <f>O31*GeneratorRate</f>
        <v/>
      </c>
      <c r="R31" s="130">
        <f>P31*GovernmentRate</f>
        <v/>
      </c>
      <c r="S31" s="130">
        <f>Q31+R31</f>
        <v/>
      </c>
      <c r="T31" s="130">
        <f>IF(M31=0,0,S31/M31)</f>
        <v/>
      </c>
      <c r="U31" s="176" t="n"/>
      <c r="V31" s="129" t="n"/>
      <c r="W31" s="127" t="n"/>
      <c r="X31" s="130" t="n"/>
      <c r="Y31" s="178" t="n"/>
      <c r="Z31" s="129" t="n"/>
      <c r="AA31" s="129" t="n"/>
      <c r="AB31" s="176" t="n"/>
      <c r="AC31" s="129" t="n"/>
      <c r="AD31" s="176" t="n"/>
      <c r="AE31" s="129" t="n"/>
    </row>
    <row r="32" ht="14.25" customHeight="1" s="83">
      <c r="A32" s="103" t="inlineStr">
        <is>
          <t>Dorm 1</t>
        </is>
      </c>
      <c r="B32" s="177" t="n">
        <v>46143</v>
      </c>
      <c r="C32" s="103" t="inlineStr">
        <is>
          <t>Room 1-3</t>
        </is>
      </c>
      <c r="D32" s="126" t="n">
        <v>0</v>
      </c>
      <c r="E32" s="126" t="n">
        <v>0</v>
      </c>
      <c r="F32" s="127">
        <f>MAX(D32-E32,0)</f>
        <v/>
      </c>
      <c r="G32" s="130">
        <f>E32*GeneratorRate</f>
        <v/>
      </c>
      <c r="H32" s="130">
        <f>F32*GovernmentRate</f>
        <v/>
      </c>
      <c r="I32" s="130">
        <f>G32+H32</f>
        <v/>
      </c>
      <c r="J32" s="129">
        <f>IFERROR(I32/COUNTIFS('Client DB &amp; Bed Mgmt'!$A:$A,A32,'Client DB &amp; Bed Mgmt'!$B:$B,C32,'Client DB &amp; Bed Mgmt'!$D:$D,"&lt;&gt;"),0)</f>
        <v/>
      </c>
      <c r="K32" s="103" t="inlineStr">
        <is>
          <t>Dorm 1</t>
        </is>
      </c>
      <c r="L32" s="103" t="inlineStr">
        <is>
          <t>Room 1-3</t>
        </is>
      </c>
      <c r="M32" s="103">
        <f>COUNTIFS('Client DB &amp; Bed Mgmt'!$A:$A,$K32,'Client DB &amp; Bed Mgmt'!$B:$B,$L32,'Client DB &amp; Bed Mgmt'!$D:$D,"&lt;&gt;")</f>
        <v/>
      </c>
      <c r="N32" s="126" t="n">
        <v>0</v>
      </c>
      <c r="O32" s="126" t="n">
        <v>0</v>
      </c>
      <c r="P32" s="127">
        <f>MAX(N32-O32,0)</f>
        <v/>
      </c>
      <c r="Q32" s="130">
        <f>O32*GeneratorRate</f>
        <v/>
      </c>
      <c r="R32" s="130">
        <f>P32*GovernmentRate</f>
        <v/>
      </c>
      <c r="S32" s="130">
        <f>Q32+R32</f>
        <v/>
      </c>
      <c r="T32" s="130">
        <f>IF(M32=0,0,S32/M32)</f>
        <v/>
      </c>
      <c r="U32" s="176" t="n"/>
      <c r="V32" s="129" t="n"/>
      <c r="W32" s="127" t="n"/>
      <c r="X32" s="130" t="n"/>
      <c r="Y32" s="178" t="n"/>
      <c r="Z32" s="129" t="n"/>
      <c r="AA32" s="129" t="n"/>
      <c r="AB32" s="176" t="n"/>
      <c r="AC32" s="129" t="n"/>
      <c r="AD32" s="176" t="n"/>
      <c r="AE32" s="129" t="n"/>
    </row>
    <row r="33" ht="14.25" customHeight="1" s="83">
      <c r="A33" s="103" t="inlineStr">
        <is>
          <t>Dorm 1</t>
        </is>
      </c>
      <c r="B33" s="177" t="n">
        <v>46143</v>
      </c>
      <c r="C33" s="103" t="inlineStr">
        <is>
          <t>Room 1-4</t>
        </is>
      </c>
      <c r="D33" s="126" t="n">
        <v>0</v>
      </c>
      <c r="E33" s="126" t="n">
        <v>0</v>
      </c>
      <c r="F33" s="127">
        <f>MAX(D33-E33,0)</f>
        <v/>
      </c>
      <c r="G33" s="130">
        <f>E33*GeneratorRate</f>
        <v/>
      </c>
      <c r="H33" s="130">
        <f>F33*GovernmentRate</f>
        <v/>
      </c>
      <c r="I33" s="130">
        <f>G33+H33</f>
        <v/>
      </c>
      <c r="J33" s="129">
        <f>IFERROR(I33/COUNTIFS('Client DB &amp; Bed Mgmt'!$A:$A,A33,'Client DB &amp; Bed Mgmt'!$B:$B,C33,'Client DB &amp; Bed Mgmt'!$D:$D,"&lt;&gt;"),0)</f>
        <v/>
      </c>
      <c r="K33" s="103" t="inlineStr">
        <is>
          <t>Dorm 1</t>
        </is>
      </c>
      <c r="L33" s="103" t="inlineStr">
        <is>
          <t>Room 1-4</t>
        </is>
      </c>
      <c r="M33" s="103">
        <f>COUNTIFS('Client DB &amp; Bed Mgmt'!$A:$A,$K33,'Client DB &amp; Bed Mgmt'!$B:$B,$L33,'Client DB &amp; Bed Mgmt'!$D:$D,"&lt;&gt;")</f>
        <v/>
      </c>
      <c r="N33" s="126" t="n">
        <v>0</v>
      </c>
      <c r="O33" s="126" t="n">
        <v>0</v>
      </c>
      <c r="P33" s="127">
        <f>MAX(N33-O33,0)</f>
        <v/>
      </c>
      <c r="Q33" s="130">
        <f>O33*GeneratorRate</f>
        <v/>
      </c>
      <c r="R33" s="130">
        <f>P33*GovernmentRate</f>
        <v/>
      </c>
      <c r="S33" s="130">
        <f>Q33+R33</f>
        <v/>
      </c>
      <c r="T33" s="130">
        <f>IF(M33=0,0,S33/M33)</f>
        <v/>
      </c>
      <c r="U33" s="176" t="n"/>
      <c r="V33" s="129" t="n"/>
      <c r="W33" s="127" t="n"/>
      <c r="X33" s="130" t="n"/>
      <c r="Y33" s="178" t="n"/>
      <c r="Z33" s="129" t="n"/>
      <c r="AA33" s="129" t="n"/>
      <c r="AB33" s="176" t="n"/>
      <c r="AC33" s="129" t="n"/>
      <c r="AD33" s="176" t="n"/>
      <c r="AE33" s="129" t="n"/>
    </row>
    <row r="34" ht="14.25" customHeight="1" s="83">
      <c r="A34" s="103" t="inlineStr">
        <is>
          <t>Dorm 1</t>
        </is>
      </c>
      <c r="B34" s="177" t="n">
        <v>46143</v>
      </c>
      <c r="C34" s="103" t="inlineStr">
        <is>
          <t>Room 1-5</t>
        </is>
      </c>
      <c r="D34" s="126" t="n">
        <v>0</v>
      </c>
      <c r="E34" s="126" t="n">
        <v>0</v>
      </c>
      <c r="F34" s="127">
        <f>MAX(D34-E34,0)</f>
        <v/>
      </c>
      <c r="G34" s="130">
        <f>E34*GeneratorRate</f>
        <v/>
      </c>
      <c r="H34" s="130">
        <f>F34*GovernmentRate</f>
        <v/>
      </c>
      <c r="I34" s="130">
        <f>G34+H34</f>
        <v/>
      </c>
      <c r="J34" s="129">
        <f>IFERROR(I34/COUNTIFS('Client DB &amp; Bed Mgmt'!$A:$A,A34,'Client DB &amp; Bed Mgmt'!$B:$B,C34,'Client DB &amp; Bed Mgmt'!$D:$D,"&lt;&gt;"),0)</f>
        <v/>
      </c>
      <c r="K34" s="103" t="inlineStr">
        <is>
          <t>Dorm 1</t>
        </is>
      </c>
      <c r="L34" s="103" t="inlineStr">
        <is>
          <t>Room 1-5</t>
        </is>
      </c>
      <c r="M34" s="103">
        <f>COUNTIFS('Client DB &amp; Bed Mgmt'!$A:$A,$K34,'Client DB &amp; Bed Mgmt'!$B:$B,$L34,'Client DB &amp; Bed Mgmt'!$D:$D,"&lt;&gt;")</f>
        <v/>
      </c>
      <c r="N34" s="126" t="n">
        <v>0</v>
      </c>
      <c r="O34" s="126" t="n">
        <v>0</v>
      </c>
      <c r="P34" s="127">
        <f>MAX(N34-O34,0)</f>
        <v/>
      </c>
      <c r="Q34" s="130">
        <f>O34*GeneratorRate</f>
        <v/>
      </c>
      <c r="R34" s="130">
        <f>P34*GovernmentRate</f>
        <v/>
      </c>
      <c r="S34" s="130">
        <f>Q34+R34</f>
        <v/>
      </c>
      <c r="T34" s="130">
        <f>IF(M34=0,0,S34/M34)</f>
        <v/>
      </c>
      <c r="U34" s="176" t="n"/>
      <c r="V34" s="129" t="n"/>
      <c r="W34" s="127" t="n"/>
      <c r="X34" s="130" t="n"/>
      <c r="Y34" s="178" t="n"/>
      <c r="Z34" s="129" t="n"/>
      <c r="AA34" s="129" t="n"/>
      <c r="AB34" s="176" t="n"/>
      <c r="AC34" s="129" t="n"/>
      <c r="AD34" s="176" t="n"/>
      <c r="AE34" s="129" t="n"/>
    </row>
    <row r="35" ht="14.25" customHeight="1" s="83">
      <c r="A35" s="103" t="inlineStr">
        <is>
          <t>Dorm 1</t>
        </is>
      </c>
      <c r="B35" s="177" t="n">
        <v>46143</v>
      </c>
      <c r="C35" s="103" t="inlineStr">
        <is>
          <t>Room 1-6</t>
        </is>
      </c>
      <c r="D35" s="126" t="n">
        <v>0</v>
      </c>
      <c r="E35" s="126" t="n">
        <v>0</v>
      </c>
      <c r="F35" s="127">
        <f>MAX(D35-E35,0)</f>
        <v/>
      </c>
      <c r="G35" s="130">
        <f>E35*GeneratorRate</f>
        <v/>
      </c>
      <c r="H35" s="130">
        <f>F35*GovernmentRate</f>
        <v/>
      </c>
      <c r="I35" s="130">
        <f>G35+H35</f>
        <v/>
      </c>
      <c r="J35" s="129">
        <f>IFERROR(I35/COUNTIFS('Client DB &amp; Bed Mgmt'!$A:$A,A35,'Client DB &amp; Bed Mgmt'!$B:$B,C35,'Client DB &amp; Bed Mgmt'!$D:$D,"&lt;&gt;"),0)</f>
        <v/>
      </c>
      <c r="K35" s="103" t="inlineStr">
        <is>
          <t>Dorm 1</t>
        </is>
      </c>
      <c r="L35" s="103" t="inlineStr">
        <is>
          <t>Room 1-6</t>
        </is>
      </c>
      <c r="M35" s="103">
        <f>COUNTIFS('Client DB &amp; Bed Mgmt'!$A:$A,$K35,'Client DB &amp; Bed Mgmt'!$B:$B,$L35,'Client DB &amp; Bed Mgmt'!$D:$D,"&lt;&gt;")</f>
        <v/>
      </c>
      <c r="N35" s="126" t="n">
        <v>0</v>
      </c>
      <c r="O35" s="126" t="n">
        <v>0</v>
      </c>
      <c r="P35" s="127">
        <f>MAX(N35-O35,0)</f>
        <v/>
      </c>
      <c r="Q35" s="130">
        <f>O35*GeneratorRate</f>
        <v/>
      </c>
      <c r="R35" s="130">
        <f>P35*GovernmentRate</f>
        <v/>
      </c>
      <c r="S35" s="130">
        <f>Q35+R35</f>
        <v/>
      </c>
      <c r="T35" s="130">
        <f>IF(M35=0,0,S35/M35)</f>
        <v/>
      </c>
      <c r="U35" s="176" t="n"/>
      <c r="V35" s="129" t="n"/>
      <c r="W35" s="127" t="n"/>
      <c r="X35" s="130" t="n"/>
      <c r="Y35" s="178" t="n"/>
      <c r="Z35" s="129" t="n"/>
      <c r="AA35" s="129" t="n"/>
      <c r="AB35" s="176" t="n"/>
      <c r="AC35" s="129" t="n"/>
      <c r="AD35" s="176" t="n"/>
      <c r="AE35" s="129" t="n"/>
    </row>
    <row r="36" ht="14.25" customHeight="1" s="83">
      <c r="A36" s="103" t="inlineStr">
        <is>
          <t>Dorm 1</t>
        </is>
      </c>
      <c r="B36" s="177" t="n">
        <v>46174</v>
      </c>
      <c r="C36" s="103" t="inlineStr">
        <is>
          <t>Room 1-1</t>
        </is>
      </c>
      <c r="D36" s="126" t="n">
        <v>0</v>
      </c>
      <c r="E36" s="126" t="n">
        <v>0</v>
      </c>
      <c r="F36" s="127">
        <f>MAX(D36-E36,0)</f>
        <v/>
      </c>
      <c r="G36" s="130">
        <f>E36*GeneratorRate</f>
        <v/>
      </c>
      <c r="H36" s="130">
        <f>F36*GovernmentRate</f>
        <v/>
      </c>
      <c r="I36" s="130">
        <f>G36+H36</f>
        <v/>
      </c>
      <c r="J36" s="129">
        <f>IFERROR(I36/COUNTIFS('Client DB &amp; Bed Mgmt'!$A:$A,A36,'Client DB &amp; Bed Mgmt'!$B:$B,C36,'Client DB &amp; Bed Mgmt'!$D:$D,"&lt;&gt;"),0)</f>
        <v/>
      </c>
      <c r="K36" s="103" t="inlineStr">
        <is>
          <t>Dorm 1</t>
        </is>
      </c>
      <c r="L36" s="103" t="inlineStr">
        <is>
          <t>Room 1-1</t>
        </is>
      </c>
      <c r="M36" s="103">
        <f>COUNTIFS('Client DB &amp; Bed Mgmt'!$A:$A,$K36,'Client DB &amp; Bed Mgmt'!$B:$B,$L36,'Client DB &amp; Bed Mgmt'!$D:$D,"&lt;&gt;")</f>
        <v/>
      </c>
      <c r="N36" s="126" t="n">
        <v>0</v>
      </c>
      <c r="O36" s="126" t="n">
        <v>0</v>
      </c>
      <c r="P36" s="127">
        <f>MAX(N36-O36,0)</f>
        <v/>
      </c>
      <c r="Q36" s="130">
        <f>O36*GeneratorRate</f>
        <v/>
      </c>
      <c r="R36" s="130">
        <f>P36*GovernmentRate</f>
        <v/>
      </c>
      <c r="S36" s="130">
        <f>Q36+R36</f>
        <v/>
      </c>
      <c r="T36" s="130">
        <f>IF(M36=0,0,S36/M36)</f>
        <v/>
      </c>
      <c r="U36" s="176" t="n"/>
      <c r="V36" s="129" t="n"/>
      <c r="W36" s="127" t="n"/>
      <c r="X36" s="130" t="n"/>
      <c r="Y36" s="178" t="n"/>
      <c r="Z36" s="129" t="n"/>
      <c r="AA36" s="129" t="n"/>
      <c r="AB36" s="176" t="n"/>
      <c r="AC36" s="129" t="n"/>
      <c r="AD36" s="176" t="n"/>
      <c r="AE36" s="129" t="n"/>
    </row>
    <row r="37" ht="14.25" customHeight="1" s="83">
      <c r="A37" s="103" t="inlineStr">
        <is>
          <t>Dorm 1</t>
        </is>
      </c>
      <c r="B37" s="177" t="n">
        <v>46174</v>
      </c>
      <c r="C37" s="103" t="inlineStr">
        <is>
          <t>Room 1-2</t>
        </is>
      </c>
      <c r="D37" s="126" t="n">
        <v>0</v>
      </c>
      <c r="E37" s="126" t="n">
        <v>0</v>
      </c>
      <c r="F37" s="127">
        <f>MAX(D37-E37,0)</f>
        <v/>
      </c>
      <c r="G37" s="130">
        <f>E37*GeneratorRate</f>
        <v/>
      </c>
      <c r="H37" s="130">
        <f>F37*GovernmentRate</f>
        <v/>
      </c>
      <c r="I37" s="130">
        <f>G37+H37</f>
        <v/>
      </c>
      <c r="J37" s="129">
        <f>IFERROR(I37/COUNTIFS('Client DB &amp; Bed Mgmt'!$A:$A,A37,'Client DB &amp; Bed Mgmt'!$B:$B,C37,'Client DB &amp; Bed Mgmt'!$D:$D,"&lt;&gt;"),0)</f>
        <v/>
      </c>
      <c r="K37" s="103" t="inlineStr">
        <is>
          <t>Dorm 1</t>
        </is>
      </c>
      <c r="L37" s="103" t="inlineStr">
        <is>
          <t>Room 1-2</t>
        </is>
      </c>
      <c r="M37" s="103">
        <f>COUNTIFS('Client DB &amp; Bed Mgmt'!$A:$A,$K37,'Client DB &amp; Bed Mgmt'!$B:$B,$L37,'Client DB &amp; Bed Mgmt'!$D:$D,"&lt;&gt;")</f>
        <v/>
      </c>
      <c r="N37" s="126" t="n">
        <v>0</v>
      </c>
      <c r="O37" s="126" t="n">
        <v>0</v>
      </c>
      <c r="P37" s="127">
        <f>MAX(N37-O37,0)</f>
        <v/>
      </c>
      <c r="Q37" s="130">
        <f>O37*GeneratorRate</f>
        <v/>
      </c>
      <c r="R37" s="130">
        <f>P37*GovernmentRate</f>
        <v/>
      </c>
      <c r="S37" s="130">
        <f>Q37+R37</f>
        <v/>
      </c>
      <c r="T37" s="130">
        <f>IF(M37=0,0,S37/M37)</f>
        <v/>
      </c>
      <c r="U37" s="176" t="n"/>
      <c r="V37" s="129" t="n"/>
      <c r="W37" s="127" t="n"/>
      <c r="X37" s="130" t="n"/>
      <c r="Y37" s="178" t="n"/>
      <c r="Z37" s="129" t="n"/>
      <c r="AA37" s="129" t="n"/>
      <c r="AB37" s="176" t="n"/>
      <c r="AC37" s="129" t="n"/>
      <c r="AD37" s="176" t="n"/>
      <c r="AE37" s="129" t="n"/>
    </row>
    <row r="38" ht="14.25" customHeight="1" s="83">
      <c r="A38" s="103" t="inlineStr">
        <is>
          <t>Dorm 1</t>
        </is>
      </c>
      <c r="B38" s="177" t="n">
        <v>46174</v>
      </c>
      <c r="C38" s="103" t="inlineStr">
        <is>
          <t>Room 1-3</t>
        </is>
      </c>
      <c r="D38" s="126" t="n">
        <v>0</v>
      </c>
      <c r="E38" s="126" t="n">
        <v>0</v>
      </c>
      <c r="F38" s="127">
        <f>MAX(D38-E38,0)</f>
        <v/>
      </c>
      <c r="G38" s="130">
        <f>E38*GeneratorRate</f>
        <v/>
      </c>
      <c r="H38" s="130">
        <f>F38*GovernmentRate</f>
        <v/>
      </c>
      <c r="I38" s="130">
        <f>G38+H38</f>
        <v/>
      </c>
      <c r="J38" s="129">
        <f>IFERROR(I38/COUNTIFS('Client DB &amp; Bed Mgmt'!$A:$A,A38,'Client DB &amp; Bed Mgmt'!$B:$B,C38,'Client DB &amp; Bed Mgmt'!$D:$D,"&lt;&gt;"),0)</f>
        <v/>
      </c>
      <c r="K38" s="103" t="inlineStr">
        <is>
          <t>Dorm 1</t>
        </is>
      </c>
      <c r="L38" s="103" t="inlineStr">
        <is>
          <t>Room 1-3</t>
        </is>
      </c>
      <c r="M38" s="103">
        <f>COUNTIFS('Client DB &amp; Bed Mgmt'!$A:$A,$K38,'Client DB &amp; Bed Mgmt'!$B:$B,$L38,'Client DB &amp; Bed Mgmt'!$D:$D,"&lt;&gt;")</f>
        <v/>
      </c>
      <c r="N38" s="126" t="n">
        <v>0</v>
      </c>
      <c r="O38" s="126" t="n">
        <v>0</v>
      </c>
      <c r="P38" s="127">
        <f>MAX(N38-O38,0)</f>
        <v/>
      </c>
      <c r="Q38" s="130">
        <f>O38*GeneratorRate</f>
        <v/>
      </c>
      <c r="R38" s="130">
        <f>P38*GovernmentRate</f>
        <v/>
      </c>
      <c r="S38" s="130">
        <f>Q38+R38</f>
        <v/>
      </c>
      <c r="T38" s="130">
        <f>IF(M38=0,0,S38/M38)</f>
        <v/>
      </c>
      <c r="U38" s="176" t="n"/>
      <c r="V38" s="129" t="n"/>
      <c r="W38" s="127" t="n"/>
      <c r="X38" s="130" t="n"/>
      <c r="Y38" s="178" t="n"/>
      <c r="Z38" s="129" t="n"/>
      <c r="AA38" s="129" t="n"/>
      <c r="AB38" s="176" t="n"/>
      <c r="AC38" s="129" t="n"/>
      <c r="AD38" s="176" t="n"/>
      <c r="AE38" s="129" t="n"/>
    </row>
    <row r="39" ht="14.25" customHeight="1" s="83">
      <c r="A39" s="103" t="inlineStr">
        <is>
          <t>Dorm 1</t>
        </is>
      </c>
      <c r="B39" s="177" t="n">
        <v>46174</v>
      </c>
      <c r="C39" s="103" t="inlineStr">
        <is>
          <t>Room 1-4</t>
        </is>
      </c>
      <c r="D39" s="126" t="n">
        <v>0</v>
      </c>
      <c r="E39" s="126" t="n">
        <v>0</v>
      </c>
      <c r="F39" s="127">
        <f>MAX(D39-E39,0)</f>
        <v/>
      </c>
      <c r="G39" s="130">
        <f>E39*GeneratorRate</f>
        <v/>
      </c>
      <c r="H39" s="130">
        <f>F39*GovernmentRate</f>
        <v/>
      </c>
      <c r="I39" s="130">
        <f>G39+H39</f>
        <v/>
      </c>
      <c r="J39" s="129">
        <f>IFERROR(I39/COUNTIFS('Client DB &amp; Bed Mgmt'!$A:$A,A39,'Client DB &amp; Bed Mgmt'!$B:$B,C39,'Client DB &amp; Bed Mgmt'!$D:$D,"&lt;&gt;"),0)</f>
        <v/>
      </c>
      <c r="K39" s="103" t="inlineStr">
        <is>
          <t>Dorm 1</t>
        </is>
      </c>
      <c r="L39" s="103" t="inlineStr">
        <is>
          <t>Room 1-4</t>
        </is>
      </c>
      <c r="M39" s="103">
        <f>COUNTIFS('Client DB &amp; Bed Mgmt'!$A:$A,$K39,'Client DB &amp; Bed Mgmt'!$B:$B,$L39,'Client DB &amp; Bed Mgmt'!$D:$D,"&lt;&gt;")</f>
        <v/>
      </c>
      <c r="N39" s="126" t="n">
        <v>0</v>
      </c>
      <c r="O39" s="126" t="n">
        <v>0</v>
      </c>
      <c r="P39" s="127">
        <f>MAX(N39-O39,0)</f>
        <v/>
      </c>
      <c r="Q39" s="130">
        <f>O39*GeneratorRate</f>
        <v/>
      </c>
      <c r="R39" s="130">
        <f>P39*GovernmentRate</f>
        <v/>
      </c>
      <c r="S39" s="130">
        <f>Q39+R39</f>
        <v/>
      </c>
      <c r="T39" s="130">
        <f>IF(M39=0,0,S39/M39)</f>
        <v/>
      </c>
      <c r="U39" s="176" t="n"/>
      <c r="V39" s="129" t="n"/>
      <c r="W39" s="127" t="n"/>
      <c r="X39" s="130" t="n"/>
      <c r="Y39" s="178" t="n"/>
      <c r="Z39" s="129" t="n"/>
      <c r="AA39" s="129" t="n"/>
      <c r="AB39" s="176" t="n"/>
      <c r="AC39" s="129" t="n"/>
      <c r="AD39" s="176" t="n"/>
      <c r="AE39" s="129" t="n"/>
    </row>
    <row r="40" ht="14.25" customHeight="1" s="83">
      <c r="A40" s="103" t="inlineStr">
        <is>
          <t>Dorm 1</t>
        </is>
      </c>
      <c r="B40" s="177" t="n">
        <v>46174</v>
      </c>
      <c r="C40" s="103" t="inlineStr">
        <is>
          <t>Room 1-5</t>
        </is>
      </c>
      <c r="D40" s="126" t="n">
        <v>0</v>
      </c>
      <c r="E40" s="126" t="n">
        <v>0</v>
      </c>
      <c r="F40" s="127">
        <f>MAX(D40-E40,0)</f>
        <v/>
      </c>
      <c r="G40" s="130">
        <f>E40*GeneratorRate</f>
        <v/>
      </c>
      <c r="H40" s="130">
        <f>F40*GovernmentRate</f>
        <v/>
      </c>
      <c r="I40" s="130">
        <f>G40+H40</f>
        <v/>
      </c>
      <c r="J40" s="129">
        <f>IFERROR(I40/COUNTIFS('Client DB &amp; Bed Mgmt'!$A:$A,A40,'Client DB &amp; Bed Mgmt'!$B:$B,C40,'Client DB &amp; Bed Mgmt'!$D:$D,"&lt;&gt;"),0)</f>
        <v/>
      </c>
      <c r="K40" s="103" t="inlineStr">
        <is>
          <t>Dorm 1</t>
        </is>
      </c>
      <c r="L40" s="103" t="inlineStr">
        <is>
          <t>Room 1-5</t>
        </is>
      </c>
      <c r="M40" s="103">
        <f>COUNTIFS('Client DB &amp; Bed Mgmt'!$A:$A,$K40,'Client DB &amp; Bed Mgmt'!$B:$B,$L40,'Client DB &amp; Bed Mgmt'!$D:$D,"&lt;&gt;")</f>
        <v/>
      </c>
      <c r="N40" s="126" t="n">
        <v>0</v>
      </c>
      <c r="O40" s="126" t="n">
        <v>0</v>
      </c>
      <c r="P40" s="127">
        <f>MAX(N40-O40,0)</f>
        <v/>
      </c>
      <c r="Q40" s="130">
        <f>O40*GeneratorRate</f>
        <v/>
      </c>
      <c r="R40" s="130">
        <f>P40*GovernmentRate</f>
        <v/>
      </c>
      <c r="S40" s="130">
        <f>Q40+R40</f>
        <v/>
      </c>
      <c r="T40" s="130">
        <f>IF(M40=0,0,S40/M40)</f>
        <v/>
      </c>
      <c r="U40" s="176" t="n"/>
      <c r="V40" s="129" t="n"/>
      <c r="W40" s="127" t="n"/>
      <c r="X40" s="130" t="n"/>
      <c r="Y40" s="178" t="n"/>
      <c r="Z40" s="129" t="n"/>
      <c r="AA40" s="129" t="n"/>
      <c r="AB40" s="176" t="n"/>
      <c r="AC40" s="129" t="n"/>
      <c r="AD40" s="176" t="n"/>
      <c r="AE40" s="129" t="n"/>
    </row>
    <row r="41" ht="14.25" customHeight="1" s="83">
      <c r="A41" s="103" t="inlineStr">
        <is>
          <t>Dorm 1</t>
        </is>
      </c>
      <c r="B41" s="177" t="n">
        <v>46174</v>
      </c>
      <c r="C41" s="103" t="inlineStr">
        <is>
          <t>Room 1-6</t>
        </is>
      </c>
      <c r="D41" s="126" t="n">
        <v>0</v>
      </c>
      <c r="E41" s="126" t="n">
        <v>0</v>
      </c>
      <c r="F41" s="127">
        <f>MAX(D41-E41,0)</f>
        <v/>
      </c>
      <c r="G41" s="130">
        <f>E41*GeneratorRate</f>
        <v/>
      </c>
      <c r="H41" s="130">
        <f>F41*GovernmentRate</f>
        <v/>
      </c>
      <c r="I41" s="130">
        <f>G41+H41</f>
        <v/>
      </c>
      <c r="J41" s="129">
        <f>IFERROR(I41/COUNTIFS('Client DB &amp; Bed Mgmt'!$A:$A,A41,'Client DB &amp; Bed Mgmt'!$B:$B,C41,'Client DB &amp; Bed Mgmt'!$D:$D,"&lt;&gt;"),0)</f>
        <v/>
      </c>
      <c r="K41" s="103" t="inlineStr">
        <is>
          <t>Dorm 1</t>
        </is>
      </c>
      <c r="L41" s="103" t="inlineStr">
        <is>
          <t>Room 1-6</t>
        </is>
      </c>
      <c r="M41" s="103">
        <f>COUNTIFS('Client DB &amp; Bed Mgmt'!$A:$A,$K41,'Client DB &amp; Bed Mgmt'!$B:$B,$L41,'Client DB &amp; Bed Mgmt'!$D:$D,"&lt;&gt;")</f>
        <v/>
      </c>
      <c r="N41" s="126" t="n">
        <v>0</v>
      </c>
      <c r="O41" s="126" t="n">
        <v>0</v>
      </c>
      <c r="P41" s="127">
        <f>MAX(N41-O41,0)</f>
        <v/>
      </c>
      <c r="Q41" s="130">
        <f>O41*GeneratorRate</f>
        <v/>
      </c>
      <c r="R41" s="130">
        <f>P41*GovernmentRate</f>
        <v/>
      </c>
      <c r="S41" s="130">
        <f>Q41+R41</f>
        <v/>
      </c>
      <c r="T41" s="130">
        <f>IF(M41=0,0,S41/M41)</f>
        <v/>
      </c>
      <c r="U41" s="176" t="n"/>
      <c r="V41" s="129" t="n"/>
      <c r="W41" s="127" t="n"/>
      <c r="X41" s="130" t="n"/>
      <c r="Y41" s="178" t="n"/>
      <c r="Z41" s="129" t="n"/>
      <c r="AA41" s="129" t="n"/>
      <c r="AB41" s="176" t="n"/>
      <c r="AC41" s="129" t="n"/>
      <c r="AD41" s="176" t="n"/>
      <c r="AE41" s="129" t="n"/>
    </row>
    <row r="42" ht="14.25" customHeight="1" s="83">
      <c r="A42" s="103" t="inlineStr">
        <is>
          <t>Dorm 1</t>
        </is>
      </c>
      <c r="B42" s="177" t="n">
        <v>46204</v>
      </c>
      <c r="C42" s="103" t="inlineStr">
        <is>
          <t>Room 1-1</t>
        </is>
      </c>
      <c r="D42" s="126" t="n">
        <v>0</v>
      </c>
      <c r="E42" s="126" t="n">
        <v>0</v>
      </c>
      <c r="F42" s="127">
        <f>MAX(D42-E42,0)</f>
        <v/>
      </c>
      <c r="G42" s="130">
        <f>E42*GeneratorRate</f>
        <v/>
      </c>
      <c r="H42" s="130">
        <f>F42*GovernmentRate</f>
        <v/>
      </c>
      <c r="I42" s="130">
        <f>G42+H42</f>
        <v/>
      </c>
      <c r="J42" s="129">
        <f>IFERROR(I42/COUNTIFS('Client DB &amp; Bed Mgmt'!$A:$A,A42,'Client DB &amp; Bed Mgmt'!$B:$B,C42,'Client DB &amp; Bed Mgmt'!$D:$D,"&lt;&gt;"),0)</f>
        <v/>
      </c>
      <c r="K42" s="103" t="inlineStr">
        <is>
          <t>Dorm 1</t>
        </is>
      </c>
      <c r="L42" s="103" t="inlineStr">
        <is>
          <t>Room 1-1</t>
        </is>
      </c>
      <c r="M42" s="103">
        <f>COUNTIFS('Client DB &amp; Bed Mgmt'!$A:$A,$K42,'Client DB &amp; Bed Mgmt'!$B:$B,$L42,'Client DB &amp; Bed Mgmt'!$D:$D,"&lt;&gt;")</f>
        <v/>
      </c>
      <c r="N42" s="126" t="n"/>
      <c r="O42" s="126" t="n"/>
      <c r="P42" s="127">
        <f>IF(N42="","",MAX(N42-O42,0))</f>
        <v/>
      </c>
      <c r="Q42" s="130">
        <f>IF(O42="","",O42*GeneratorRate)</f>
        <v/>
      </c>
      <c r="R42" s="130">
        <f>IF(P42="","",P42*GovernmentRate)</f>
        <v/>
      </c>
      <c r="S42" s="130">
        <f>IF(N42="","",Q42+R42)</f>
        <v/>
      </c>
      <c r="T42" s="130">
        <f>IF(M42=0,0,S42/M42)</f>
        <v/>
      </c>
      <c r="U42" s="176" t="n"/>
      <c r="V42" s="129" t="n"/>
      <c r="W42" s="127" t="n"/>
      <c r="X42" s="130" t="n"/>
      <c r="Y42" s="178" t="n"/>
      <c r="Z42" s="129" t="n"/>
      <c r="AA42" s="129" t="n"/>
      <c r="AB42" s="176" t="n"/>
      <c r="AC42" s="129" t="n"/>
      <c r="AD42" s="176" t="n"/>
      <c r="AE42" s="129" t="n"/>
    </row>
    <row r="43" ht="14.25" customHeight="1" s="83">
      <c r="A43" s="103" t="inlineStr">
        <is>
          <t>Dorm 1</t>
        </is>
      </c>
      <c r="B43" s="177" t="n">
        <v>46204</v>
      </c>
      <c r="C43" s="103" t="inlineStr">
        <is>
          <t>Room 1-2</t>
        </is>
      </c>
      <c r="D43" s="126" t="n">
        <v>0</v>
      </c>
      <c r="E43" s="126" t="n">
        <v>0</v>
      </c>
      <c r="F43" s="127">
        <f>MAX(D43-E43,0)</f>
        <v/>
      </c>
      <c r="G43" s="130">
        <f>E43*GeneratorRate</f>
        <v/>
      </c>
      <c r="H43" s="130">
        <f>F43*GovernmentRate</f>
        <v/>
      </c>
      <c r="I43" s="130">
        <f>G43+H43</f>
        <v/>
      </c>
      <c r="J43" s="129">
        <f>IFERROR(I43/COUNTIFS('Client DB &amp; Bed Mgmt'!$A:$A,A43,'Client DB &amp; Bed Mgmt'!$B:$B,C43,'Client DB &amp; Bed Mgmt'!$D:$D,"&lt;&gt;"),0)</f>
        <v/>
      </c>
      <c r="K43" s="103" t="inlineStr">
        <is>
          <t>Dorm 1</t>
        </is>
      </c>
      <c r="L43" s="103" t="inlineStr">
        <is>
          <t>Room 1-2</t>
        </is>
      </c>
      <c r="M43" s="103">
        <f>COUNTIFS('Client DB &amp; Bed Mgmt'!$A:$A,$K43,'Client DB &amp; Bed Mgmt'!$B:$B,$L43,'Client DB &amp; Bed Mgmt'!$D:$D,"&lt;&gt;")</f>
        <v/>
      </c>
      <c r="N43" s="126" t="n"/>
      <c r="O43" s="126" t="n"/>
      <c r="P43" s="127">
        <f>IF(N43="","",MAX(N43-O43,0))</f>
        <v/>
      </c>
      <c r="Q43" s="130">
        <f>IF(O43="","",O43*GeneratorRate)</f>
        <v/>
      </c>
      <c r="R43" s="130">
        <f>IF(P43="","",P43*GovernmentRate)</f>
        <v/>
      </c>
      <c r="S43" s="130">
        <f>IF(N43="","",Q43+R43)</f>
        <v/>
      </c>
      <c r="T43" s="130">
        <f>IF(M43=0,0,S43/M43)</f>
        <v/>
      </c>
      <c r="U43" s="176" t="n"/>
      <c r="V43" s="129" t="n"/>
      <c r="W43" s="127" t="n"/>
      <c r="X43" s="130" t="n"/>
      <c r="Y43" s="178" t="n"/>
      <c r="Z43" s="129" t="n"/>
      <c r="AA43" s="129" t="n"/>
      <c r="AB43" s="176" t="n"/>
      <c r="AC43" s="129" t="n"/>
      <c r="AD43" s="176" t="n"/>
      <c r="AE43" s="129" t="n"/>
    </row>
    <row r="44" ht="14.25" customHeight="1" s="83">
      <c r="A44" s="103" t="inlineStr">
        <is>
          <t>Dorm 1</t>
        </is>
      </c>
      <c r="B44" s="177" t="n">
        <v>46204</v>
      </c>
      <c r="C44" s="103" t="inlineStr">
        <is>
          <t>Room 1-3</t>
        </is>
      </c>
      <c r="D44" s="126" t="n">
        <v>0</v>
      </c>
      <c r="E44" s="126" t="n">
        <v>0</v>
      </c>
      <c r="F44" s="127">
        <f>MAX(D44-E44,0)</f>
        <v/>
      </c>
      <c r="G44" s="130">
        <f>E44*GeneratorRate</f>
        <v/>
      </c>
      <c r="H44" s="130">
        <f>F44*GovernmentRate</f>
        <v/>
      </c>
      <c r="I44" s="130">
        <f>G44+H44</f>
        <v/>
      </c>
      <c r="J44" s="129">
        <f>IFERROR(I44/COUNTIFS('Client DB &amp; Bed Mgmt'!$A:$A,A44,'Client DB &amp; Bed Mgmt'!$B:$B,C44,'Client DB &amp; Bed Mgmt'!$D:$D,"&lt;&gt;"),0)</f>
        <v/>
      </c>
      <c r="K44" s="103" t="inlineStr">
        <is>
          <t>Dorm 1</t>
        </is>
      </c>
      <c r="L44" s="103" t="inlineStr">
        <is>
          <t>Room 1-3</t>
        </is>
      </c>
      <c r="M44" s="103">
        <f>COUNTIFS('Client DB &amp; Bed Mgmt'!$A:$A,$K44,'Client DB &amp; Bed Mgmt'!$B:$B,$L44,'Client DB &amp; Bed Mgmt'!$D:$D,"&lt;&gt;")</f>
        <v/>
      </c>
      <c r="N44" s="126" t="n"/>
      <c r="O44" s="126" t="n"/>
      <c r="P44" s="127">
        <f>IF(N44="","",MAX(N44-O44,0))</f>
        <v/>
      </c>
      <c r="Q44" s="130">
        <f>IF(O44="","",O44*GeneratorRate)</f>
        <v/>
      </c>
      <c r="R44" s="130">
        <f>IF(P44="","",P44*GovernmentRate)</f>
        <v/>
      </c>
      <c r="S44" s="130">
        <f>IF(N44="","",Q44+R44)</f>
        <v/>
      </c>
      <c r="T44" s="130">
        <f>IF(M44=0,0,S44/M44)</f>
        <v/>
      </c>
      <c r="U44" s="176" t="n"/>
      <c r="V44" s="129" t="n"/>
      <c r="W44" s="127" t="n"/>
      <c r="X44" s="130" t="n"/>
      <c r="Y44" s="178" t="n"/>
      <c r="Z44" s="129" t="n"/>
      <c r="AA44" s="129" t="n"/>
      <c r="AB44" s="176" t="n"/>
      <c r="AC44" s="129" t="n"/>
      <c r="AD44" s="176" t="n"/>
      <c r="AE44" s="129" t="n"/>
    </row>
    <row r="45" ht="14.25" customHeight="1" s="83">
      <c r="A45" s="103" t="inlineStr">
        <is>
          <t>Dorm 1</t>
        </is>
      </c>
      <c r="B45" s="177" t="n">
        <v>46204</v>
      </c>
      <c r="C45" s="103" t="inlineStr">
        <is>
          <t>Room 1-4</t>
        </is>
      </c>
      <c r="D45" s="126" t="n">
        <v>0</v>
      </c>
      <c r="E45" s="126" t="n">
        <v>0</v>
      </c>
      <c r="F45" s="127">
        <f>MAX(D45-E45,0)</f>
        <v/>
      </c>
      <c r="G45" s="130">
        <f>E45*GeneratorRate</f>
        <v/>
      </c>
      <c r="H45" s="130">
        <f>F45*GovernmentRate</f>
        <v/>
      </c>
      <c r="I45" s="130">
        <f>G45+H45</f>
        <v/>
      </c>
      <c r="J45" s="129">
        <f>IFERROR(I45/COUNTIFS('Client DB &amp; Bed Mgmt'!$A:$A,A45,'Client DB &amp; Bed Mgmt'!$B:$B,C45,'Client DB &amp; Bed Mgmt'!$D:$D,"&lt;&gt;"),0)</f>
        <v/>
      </c>
      <c r="K45" s="103" t="inlineStr">
        <is>
          <t>Dorm 1</t>
        </is>
      </c>
      <c r="L45" s="103" t="inlineStr">
        <is>
          <t>Room 1-4</t>
        </is>
      </c>
      <c r="M45" s="103">
        <f>COUNTIFS('Client DB &amp; Bed Mgmt'!$A:$A,$K45,'Client DB &amp; Bed Mgmt'!$B:$B,$L45,'Client DB &amp; Bed Mgmt'!$D:$D,"&lt;&gt;")</f>
        <v/>
      </c>
      <c r="N45" s="126" t="n"/>
      <c r="O45" s="126" t="n"/>
      <c r="P45" s="127">
        <f>IF(N45="","",MAX(N45-O45,0))</f>
        <v/>
      </c>
      <c r="Q45" s="130">
        <f>IF(O45="","",O45*GeneratorRate)</f>
        <v/>
      </c>
      <c r="R45" s="130">
        <f>IF(P45="","",P45*GovernmentRate)</f>
        <v/>
      </c>
      <c r="S45" s="130">
        <f>IF(N45="","",Q45+R45)</f>
        <v/>
      </c>
      <c r="T45" s="130">
        <f>IF(M45=0,0,S45/M45)</f>
        <v/>
      </c>
      <c r="U45" s="176" t="n"/>
      <c r="V45" s="129" t="n"/>
      <c r="W45" s="127" t="n"/>
      <c r="X45" s="130" t="n"/>
      <c r="Y45" s="178" t="n"/>
      <c r="Z45" s="129" t="n"/>
      <c r="AA45" s="129" t="n"/>
      <c r="AB45" s="176" t="n"/>
      <c r="AC45" s="129" t="n"/>
      <c r="AD45" s="176" t="n"/>
      <c r="AE45" s="129" t="n"/>
    </row>
    <row r="46" ht="14.25" customHeight="1" s="83">
      <c r="A46" s="103" t="inlineStr">
        <is>
          <t>Dorm 1</t>
        </is>
      </c>
      <c r="B46" s="177" t="n">
        <v>46204</v>
      </c>
      <c r="C46" s="103" t="inlineStr">
        <is>
          <t>Room 1-5</t>
        </is>
      </c>
      <c r="D46" s="126" t="n">
        <v>0</v>
      </c>
      <c r="E46" s="126" t="n">
        <v>0</v>
      </c>
      <c r="F46" s="127">
        <f>MAX(D46-E46,0)</f>
        <v/>
      </c>
      <c r="G46" s="130">
        <f>E46*GeneratorRate</f>
        <v/>
      </c>
      <c r="H46" s="130">
        <f>F46*GovernmentRate</f>
        <v/>
      </c>
      <c r="I46" s="130">
        <f>G46+H46</f>
        <v/>
      </c>
      <c r="J46" s="129">
        <f>IFERROR(I46/COUNTIFS('Client DB &amp; Bed Mgmt'!$A:$A,A46,'Client DB &amp; Bed Mgmt'!$B:$B,C46,'Client DB &amp; Bed Mgmt'!$D:$D,"&lt;&gt;"),0)</f>
        <v/>
      </c>
      <c r="K46" s="103" t="inlineStr">
        <is>
          <t>Dorm 1</t>
        </is>
      </c>
      <c r="L46" s="103" t="inlineStr">
        <is>
          <t>Room 1-5</t>
        </is>
      </c>
      <c r="M46" s="103">
        <f>COUNTIFS('Client DB &amp; Bed Mgmt'!$A:$A,$K46,'Client DB &amp; Bed Mgmt'!$B:$B,$L46,'Client DB &amp; Bed Mgmt'!$D:$D,"&lt;&gt;")</f>
        <v/>
      </c>
      <c r="N46" s="126" t="n"/>
      <c r="O46" s="126" t="n"/>
      <c r="P46" s="127">
        <f>IF(N46="","",MAX(N46-O46,0))</f>
        <v/>
      </c>
      <c r="Q46" s="130">
        <f>IF(O46="","",O46*GeneratorRate)</f>
        <v/>
      </c>
      <c r="R46" s="130">
        <f>IF(P46="","",P46*GovernmentRate)</f>
        <v/>
      </c>
      <c r="S46" s="130">
        <f>IF(N46="","",Q46+R46)</f>
        <v/>
      </c>
      <c r="T46" s="130">
        <f>IF(M46=0,0,S46/M46)</f>
        <v/>
      </c>
      <c r="U46" s="176" t="n"/>
      <c r="V46" s="129" t="n"/>
      <c r="W46" s="127" t="n"/>
      <c r="X46" s="130" t="n"/>
      <c r="Y46" s="178" t="n"/>
      <c r="Z46" s="129" t="n"/>
      <c r="AA46" s="129" t="n"/>
      <c r="AB46" s="176" t="n"/>
      <c r="AC46" s="129" t="n"/>
      <c r="AD46" s="176" t="n"/>
      <c r="AE46" s="129" t="n"/>
    </row>
    <row r="47" ht="14.25" customHeight="1" s="83">
      <c r="A47" s="103" t="inlineStr">
        <is>
          <t>Dorm 1</t>
        </is>
      </c>
      <c r="B47" s="177" t="n">
        <v>46204</v>
      </c>
      <c r="C47" s="103" t="inlineStr">
        <is>
          <t>Room 1-6</t>
        </is>
      </c>
      <c r="D47" s="126" t="n">
        <v>0</v>
      </c>
      <c r="E47" s="126" t="n">
        <v>0</v>
      </c>
      <c r="F47" s="127">
        <f>MAX(D47-E47,0)</f>
        <v/>
      </c>
      <c r="G47" s="130">
        <f>E47*GeneratorRate</f>
        <v/>
      </c>
      <c r="H47" s="130">
        <f>F47*GovernmentRate</f>
        <v/>
      </c>
      <c r="I47" s="130">
        <f>G47+H47</f>
        <v/>
      </c>
      <c r="J47" s="129">
        <f>IFERROR(I47/COUNTIFS('Client DB &amp; Bed Mgmt'!$A:$A,A47,'Client DB &amp; Bed Mgmt'!$B:$B,C47,'Client DB &amp; Bed Mgmt'!$D:$D,"&lt;&gt;"),0)</f>
        <v/>
      </c>
      <c r="K47" s="103" t="inlineStr">
        <is>
          <t>Dorm 1</t>
        </is>
      </c>
      <c r="L47" s="103" t="inlineStr">
        <is>
          <t>Room 1-6</t>
        </is>
      </c>
      <c r="M47" s="103">
        <f>COUNTIFS('Client DB &amp; Bed Mgmt'!$A:$A,$K47,'Client DB &amp; Bed Mgmt'!$B:$B,$L47,'Client DB &amp; Bed Mgmt'!$D:$D,"&lt;&gt;")</f>
        <v/>
      </c>
      <c r="N47" s="126" t="n"/>
      <c r="O47" s="126" t="n"/>
      <c r="P47" s="127">
        <f>IF(N47="","",MAX(N47-O47,0))</f>
        <v/>
      </c>
      <c r="Q47" s="130">
        <f>IF(O47="","",O47*GeneratorRate)</f>
        <v/>
      </c>
      <c r="R47" s="130">
        <f>IF(P47="","",P47*GovernmentRate)</f>
        <v/>
      </c>
      <c r="S47" s="130">
        <f>IF(N47="","",Q47+R47)</f>
        <v/>
      </c>
      <c r="T47" s="130">
        <f>IF(M47=0,0,S47/M47)</f>
        <v/>
      </c>
      <c r="U47" s="176" t="n"/>
      <c r="V47" s="129" t="n"/>
      <c r="W47" s="127" t="n"/>
      <c r="X47" s="130" t="n"/>
      <c r="Y47" s="178" t="n"/>
      <c r="Z47" s="129" t="n"/>
      <c r="AA47" s="129" t="n"/>
      <c r="AB47" s="176" t="n"/>
      <c r="AC47" s="129" t="n"/>
      <c r="AD47" s="176" t="n"/>
      <c r="AE47" s="129" t="n"/>
    </row>
    <row r="48" ht="14.25" customHeight="1" s="83">
      <c r="A48" s="103" t="inlineStr">
        <is>
          <t>Dorm 1</t>
        </is>
      </c>
      <c r="B48" s="177" t="n">
        <v>46235</v>
      </c>
      <c r="C48" s="103" t="inlineStr">
        <is>
          <t>Room 1-1</t>
        </is>
      </c>
      <c r="D48" s="126" t="n">
        <v>0</v>
      </c>
      <c r="E48" s="126" t="n">
        <v>0</v>
      </c>
      <c r="F48" s="127">
        <f>MAX(D48-E48,0)</f>
        <v/>
      </c>
      <c r="G48" s="130">
        <f>E48*GeneratorRate</f>
        <v/>
      </c>
      <c r="H48" s="130">
        <f>F48*GovernmentRate</f>
        <v/>
      </c>
      <c r="I48" s="130">
        <f>G48+H48</f>
        <v/>
      </c>
      <c r="J48" s="129">
        <f>IFERROR(I48/COUNTIFS('Client DB &amp; Bed Mgmt'!$A:$A,A48,'Client DB &amp; Bed Mgmt'!$B:$B,C48,'Client DB &amp; Bed Mgmt'!$D:$D,"&lt;&gt;"),0)</f>
        <v/>
      </c>
      <c r="K48" s="103" t="inlineStr">
        <is>
          <t>Dorm 1</t>
        </is>
      </c>
      <c r="L48" s="103" t="inlineStr">
        <is>
          <t>Room 1-1</t>
        </is>
      </c>
      <c r="M48" s="103">
        <f>COUNTIFS('Client DB &amp; Bed Mgmt'!$A:$A,$K48,'Client DB &amp; Bed Mgmt'!$B:$B,$L48,'Client DB &amp; Bed Mgmt'!$D:$D,"&lt;&gt;")</f>
        <v/>
      </c>
      <c r="N48" s="126" t="n"/>
      <c r="O48" s="126" t="n"/>
      <c r="P48" s="127">
        <f>IF(N48="","",MAX(N48-O48,0))</f>
        <v/>
      </c>
      <c r="Q48" s="130">
        <f>IF(O48="","",O48*GeneratorRate)</f>
        <v/>
      </c>
      <c r="R48" s="130">
        <f>IF(P48="","",P48*GovernmentRate)</f>
        <v/>
      </c>
      <c r="S48" s="130">
        <f>IF(N48="","",Q48+R48)</f>
        <v/>
      </c>
      <c r="T48" s="130">
        <f>IF(M48=0,0,S48/M48)</f>
        <v/>
      </c>
      <c r="U48" s="176" t="n"/>
      <c r="V48" s="129" t="n"/>
      <c r="W48" s="127" t="n"/>
      <c r="X48" s="130" t="n"/>
      <c r="Y48" s="178" t="n"/>
      <c r="Z48" s="129" t="n"/>
      <c r="AA48" s="129" t="n"/>
      <c r="AB48" s="176" t="n"/>
      <c r="AC48" s="129" t="n"/>
      <c r="AD48" s="176" t="n"/>
      <c r="AE48" s="129" t="n"/>
    </row>
    <row r="49" ht="14.25" customHeight="1" s="83">
      <c r="A49" s="103" t="inlineStr">
        <is>
          <t>Dorm 1</t>
        </is>
      </c>
      <c r="B49" s="177" t="n">
        <v>46235</v>
      </c>
      <c r="C49" s="103" t="inlineStr">
        <is>
          <t>Room 1-2</t>
        </is>
      </c>
      <c r="D49" s="126" t="n">
        <v>0</v>
      </c>
      <c r="E49" s="126" t="n">
        <v>0</v>
      </c>
      <c r="F49" s="127">
        <f>MAX(D49-E49,0)</f>
        <v/>
      </c>
      <c r="G49" s="130">
        <f>E49*GeneratorRate</f>
        <v/>
      </c>
      <c r="H49" s="130">
        <f>F49*GovernmentRate</f>
        <v/>
      </c>
      <c r="I49" s="130">
        <f>G49+H49</f>
        <v/>
      </c>
      <c r="J49" s="129">
        <f>IFERROR(I49/COUNTIFS('Client DB &amp; Bed Mgmt'!$A:$A,A49,'Client DB &amp; Bed Mgmt'!$B:$B,C49,'Client DB &amp; Bed Mgmt'!$D:$D,"&lt;&gt;"),0)</f>
        <v/>
      </c>
      <c r="K49" s="103" t="inlineStr">
        <is>
          <t>Dorm 1</t>
        </is>
      </c>
      <c r="L49" s="103" t="inlineStr">
        <is>
          <t>Room 1-2</t>
        </is>
      </c>
      <c r="M49" s="103">
        <f>COUNTIFS('Client DB &amp; Bed Mgmt'!$A:$A,$K49,'Client DB &amp; Bed Mgmt'!$B:$B,$L49,'Client DB &amp; Bed Mgmt'!$D:$D,"&lt;&gt;")</f>
        <v/>
      </c>
      <c r="N49" s="126" t="n"/>
      <c r="O49" s="126" t="n"/>
      <c r="P49" s="127">
        <f>IF(N49="","",MAX(N49-O49,0))</f>
        <v/>
      </c>
      <c r="Q49" s="130">
        <f>IF(O49="","",O49*GeneratorRate)</f>
        <v/>
      </c>
      <c r="R49" s="130">
        <f>IF(P49="","",P49*GovernmentRate)</f>
        <v/>
      </c>
      <c r="S49" s="130">
        <f>IF(N49="","",Q49+R49)</f>
        <v/>
      </c>
      <c r="T49" s="130">
        <f>IF(M49=0,0,S49/M49)</f>
        <v/>
      </c>
      <c r="U49" s="176" t="n"/>
      <c r="V49" s="129" t="n"/>
      <c r="W49" s="127" t="n"/>
      <c r="X49" s="130" t="n"/>
      <c r="Y49" s="178" t="n"/>
      <c r="Z49" s="129" t="n"/>
      <c r="AA49" s="129" t="n"/>
      <c r="AB49" s="176" t="n"/>
      <c r="AC49" s="129" t="n"/>
      <c r="AD49" s="176" t="n"/>
      <c r="AE49" s="129" t="n"/>
    </row>
    <row r="50" ht="14.25" customHeight="1" s="83">
      <c r="A50" s="103" t="inlineStr">
        <is>
          <t>Dorm 1</t>
        </is>
      </c>
      <c r="B50" s="177" t="n">
        <v>46235</v>
      </c>
      <c r="C50" s="103" t="inlineStr">
        <is>
          <t>Room 1-3</t>
        </is>
      </c>
      <c r="D50" s="126" t="n">
        <v>0</v>
      </c>
      <c r="E50" s="126" t="n">
        <v>0</v>
      </c>
      <c r="F50" s="127">
        <f>MAX(D50-E50,0)</f>
        <v/>
      </c>
      <c r="G50" s="130">
        <f>E50*GeneratorRate</f>
        <v/>
      </c>
      <c r="H50" s="130">
        <f>F50*GovernmentRate</f>
        <v/>
      </c>
      <c r="I50" s="130">
        <f>G50+H50</f>
        <v/>
      </c>
      <c r="J50" s="129">
        <f>IFERROR(I50/COUNTIFS('Client DB &amp; Bed Mgmt'!$A:$A,A50,'Client DB &amp; Bed Mgmt'!$B:$B,C50,'Client DB &amp; Bed Mgmt'!$D:$D,"&lt;&gt;"),0)</f>
        <v/>
      </c>
      <c r="K50" s="103" t="inlineStr">
        <is>
          <t>Dorm 1</t>
        </is>
      </c>
      <c r="L50" s="103" t="inlineStr">
        <is>
          <t>Room 1-3</t>
        </is>
      </c>
      <c r="M50" s="103">
        <f>COUNTIFS('Client DB &amp; Bed Mgmt'!$A:$A,$K50,'Client DB &amp; Bed Mgmt'!$B:$B,$L50,'Client DB &amp; Bed Mgmt'!$D:$D,"&lt;&gt;")</f>
        <v/>
      </c>
      <c r="N50" s="126" t="n"/>
      <c r="O50" s="126" t="n"/>
      <c r="P50" s="127">
        <f>IF(N50="","",MAX(N50-O50,0))</f>
        <v/>
      </c>
      <c r="Q50" s="130">
        <f>IF(O50="","",O50*GeneratorRate)</f>
        <v/>
      </c>
      <c r="R50" s="130">
        <f>IF(P50="","",P50*GovernmentRate)</f>
        <v/>
      </c>
      <c r="S50" s="130">
        <f>IF(N50="","",Q50+R50)</f>
        <v/>
      </c>
      <c r="T50" s="130">
        <f>IF(M50=0,0,S50/M50)</f>
        <v/>
      </c>
      <c r="U50" s="176" t="n"/>
      <c r="V50" s="129" t="n"/>
      <c r="W50" s="127" t="n"/>
      <c r="X50" s="130" t="n"/>
      <c r="Y50" s="178" t="n"/>
      <c r="Z50" s="129" t="n"/>
      <c r="AA50" s="129" t="n"/>
      <c r="AB50" s="176" t="n"/>
      <c r="AC50" s="129" t="n"/>
      <c r="AD50" s="176" t="n"/>
      <c r="AE50" s="129" t="n"/>
    </row>
    <row r="51" ht="14.25" customHeight="1" s="83">
      <c r="A51" s="103" t="inlineStr">
        <is>
          <t>Dorm 1</t>
        </is>
      </c>
      <c r="B51" s="177" t="n">
        <v>46235</v>
      </c>
      <c r="C51" s="103" t="inlineStr">
        <is>
          <t>Room 1-4</t>
        </is>
      </c>
      <c r="D51" s="126" t="n">
        <v>0</v>
      </c>
      <c r="E51" s="126" t="n">
        <v>0</v>
      </c>
      <c r="F51" s="127">
        <f>MAX(D51-E51,0)</f>
        <v/>
      </c>
      <c r="G51" s="130">
        <f>E51*GeneratorRate</f>
        <v/>
      </c>
      <c r="H51" s="130">
        <f>F51*GovernmentRate</f>
        <v/>
      </c>
      <c r="I51" s="130">
        <f>G51+H51</f>
        <v/>
      </c>
      <c r="J51" s="129">
        <f>IFERROR(I51/COUNTIFS('Client DB &amp; Bed Mgmt'!$A:$A,A51,'Client DB &amp; Bed Mgmt'!$B:$B,C51,'Client DB &amp; Bed Mgmt'!$D:$D,"&lt;&gt;"),0)</f>
        <v/>
      </c>
      <c r="K51" s="103" t="inlineStr">
        <is>
          <t>Dorm 1</t>
        </is>
      </c>
      <c r="L51" s="103" t="inlineStr">
        <is>
          <t>Room 1-4</t>
        </is>
      </c>
      <c r="M51" s="103">
        <f>COUNTIFS('Client DB &amp; Bed Mgmt'!$A:$A,$K51,'Client DB &amp; Bed Mgmt'!$B:$B,$L51,'Client DB &amp; Bed Mgmt'!$D:$D,"&lt;&gt;")</f>
        <v/>
      </c>
      <c r="N51" s="126" t="n"/>
      <c r="O51" s="126" t="n"/>
      <c r="P51" s="127">
        <f>IF(N51="","",MAX(N51-O51,0))</f>
        <v/>
      </c>
      <c r="Q51" s="130">
        <f>IF(O51="","",O51*GeneratorRate)</f>
        <v/>
      </c>
      <c r="R51" s="130">
        <f>IF(P51="","",P51*GovernmentRate)</f>
        <v/>
      </c>
      <c r="S51" s="130">
        <f>IF(N51="","",Q51+R51)</f>
        <v/>
      </c>
      <c r="T51" s="130">
        <f>IF(M51=0,0,S51/M51)</f>
        <v/>
      </c>
      <c r="U51" s="176" t="n"/>
      <c r="V51" s="129" t="n"/>
      <c r="W51" s="127" t="n"/>
      <c r="X51" s="130" t="n"/>
      <c r="Y51" s="178" t="n"/>
      <c r="Z51" s="129" t="n"/>
      <c r="AA51" s="129" t="n"/>
      <c r="AB51" s="176" t="n"/>
      <c r="AC51" s="129" t="n"/>
      <c r="AD51" s="176" t="n"/>
      <c r="AE51" s="129" t="n"/>
    </row>
    <row r="52" ht="14.25" customHeight="1" s="83">
      <c r="A52" s="103" t="inlineStr">
        <is>
          <t>Dorm 1</t>
        </is>
      </c>
      <c r="B52" s="177" t="n">
        <v>46235</v>
      </c>
      <c r="C52" s="103" t="inlineStr">
        <is>
          <t>Room 1-5</t>
        </is>
      </c>
      <c r="D52" s="126" t="n">
        <v>0</v>
      </c>
      <c r="E52" s="126" t="n">
        <v>0</v>
      </c>
      <c r="F52" s="127">
        <f>MAX(D52-E52,0)</f>
        <v/>
      </c>
      <c r="G52" s="130">
        <f>E52*GeneratorRate</f>
        <v/>
      </c>
      <c r="H52" s="130">
        <f>F52*GovernmentRate</f>
        <v/>
      </c>
      <c r="I52" s="130">
        <f>G52+H52</f>
        <v/>
      </c>
      <c r="J52" s="129">
        <f>IFERROR(I52/COUNTIFS('Client DB &amp; Bed Mgmt'!$A:$A,A52,'Client DB &amp; Bed Mgmt'!$B:$B,C52,'Client DB &amp; Bed Mgmt'!$D:$D,"&lt;&gt;"),0)</f>
        <v/>
      </c>
      <c r="K52" s="103" t="inlineStr">
        <is>
          <t>Dorm 1</t>
        </is>
      </c>
      <c r="L52" s="103" t="inlineStr">
        <is>
          <t>Room 1-5</t>
        </is>
      </c>
      <c r="M52" s="103">
        <f>COUNTIFS('Client DB &amp; Bed Mgmt'!$A:$A,$K52,'Client DB &amp; Bed Mgmt'!$B:$B,$L52,'Client DB &amp; Bed Mgmt'!$D:$D,"&lt;&gt;")</f>
        <v/>
      </c>
      <c r="N52" s="126" t="n"/>
      <c r="O52" s="126" t="n"/>
      <c r="P52" s="127">
        <f>IF(N52="","",MAX(N52-O52,0))</f>
        <v/>
      </c>
      <c r="Q52" s="130">
        <f>IF(O52="","",O52*GeneratorRate)</f>
        <v/>
      </c>
      <c r="R52" s="130">
        <f>IF(P52="","",P52*GovernmentRate)</f>
        <v/>
      </c>
      <c r="S52" s="130">
        <f>IF(N52="","",Q52+R52)</f>
        <v/>
      </c>
      <c r="T52" s="130">
        <f>IF(M52=0,0,S52/M52)</f>
        <v/>
      </c>
      <c r="U52" s="176" t="n"/>
      <c r="V52" s="129" t="n"/>
      <c r="W52" s="127" t="n"/>
      <c r="X52" s="130" t="n"/>
      <c r="Y52" s="178" t="n"/>
      <c r="Z52" s="129" t="n"/>
      <c r="AA52" s="129" t="n"/>
      <c r="AB52" s="176" t="n"/>
      <c r="AC52" s="129" t="n"/>
      <c r="AD52" s="176" t="n"/>
      <c r="AE52" s="129" t="n"/>
    </row>
    <row r="53" ht="14.25" customHeight="1" s="83">
      <c r="A53" s="103" t="inlineStr">
        <is>
          <t>Dorm 1</t>
        </is>
      </c>
      <c r="B53" s="177" t="n">
        <v>46235</v>
      </c>
      <c r="C53" s="103" t="inlineStr">
        <is>
          <t>Room 1-6</t>
        </is>
      </c>
      <c r="D53" s="126" t="n">
        <v>0</v>
      </c>
      <c r="E53" s="126" t="n">
        <v>0</v>
      </c>
      <c r="F53" s="127">
        <f>MAX(D53-E53,0)</f>
        <v/>
      </c>
      <c r="G53" s="130">
        <f>E53*GeneratorRate</f>
        <v/>
      </c>
      <c r="H53" s="130">
        <f>F53*GovernmentRate</f>
        <v/>
      </c>
      <c r="I53" s="130">
        <f>G53+H53</f>
        <v/>
      </c>
      <c r="J53" s="129">
        <f>IFERROR(I53/COUNTIFS('Client DB &amp; Bed Mgmt'!$A:$A,A53,'Client DB &amp; Bed Mgmt'!$B:$B,C53,'Client DB &amp; Bed Mgmt'!$D:$D,"&lt;&gt;"),0)</f>
        <v/>
      </c>
      <c r="K53" s="103" t="inlineStr">
        <is>
          <t>Dorm 1</t>
        </is>
      </c>
      <c r="L53" s="103" t="inlineStr">
        <is>
          <t>Room 1-6</t>
        </is>
      </c>
      <c r="M53" s="103">
        <f>COUNTIFS('Client DB &amp; Bed Mgmt'!$A:$A,$K53,'Client DB &amp; Bed Mgmt'!$B:$B,$L53,'Client DB &amp; Bed Mgmt'!$D:$D,"&lt;&gt;")</f>
        <v/>
      </c>
      <c r="N53" s="126" t="n"/>
      <c r="O53" s="126" t="n"/>
      <c r="P53" s="127">
        <f>IF(N53="","",MAX(N53-O53,0))</f>
        <v/>
      </c>
      <c r="Q53" s="130">
        <f>IF(O53="","",O53*GeneratorRate)</f>
        <v/>
      </c>
      <c r="R53" s="130">
        <f>IF(P53="","",P53*GovernmentRate)</f>
        <v/>
      </c>
      <c r="S53" s="130">
        <f>IF(N53="","",Q53+R53)</f>
        <v/>
      </c>
      <c r="T53" s="130">
        <f>IF(M53=0,0,S53/M53)</f>
        <v/>
      </c>
      <c r="U53" s="176" t="n"/>
      <c r="V53" s="129" t="n"/>
      <c r="W53" s="127" t="n"/>
      <c r="X53" s="130" t="n"/>
      <c r="Y53" s="178" t="n"/>
      <c r="Z53" s="129" t="n"/>
      <c r="AA53" s="129" t="n"/>
      <c r="AB53" s="176" t="n"/>
      <c r="AC53" s="129" t="n"/>
      <c r="AD53" s="176" t="n"/>
      <c r="AE53" s="129" t="n"/>
    </row>
    <row r="54" ht="14.25" customHeight="1" s="83">
      <c r="A54" s="103" t="inlineStr">
        <is>
          <t>Dorm 1</t>
        </is>
      </c>
      <c r="B54" s="177" t="n">
        <v>46266</v>
      </c>
      <c r="C54" s="103" t="inlineStr">
        <is>
          <t>Room 1-1</t>
        </is>
      </c>
      <c r="D54" s="126" t="n">
        <v>0</v>
      </c>
      <c r="E54" s="126" t="n">
        <v>0</v>
      </c>
      <c r="F54" s="127">
        <f>MAX(D54-E54,0)</f>
        <v/>
      </c>
      <c r="G54" s="130">
        <f>E54*GeneratorRate</f>
        <v/>
      </c>
      <c r="H54" s="130">
        <f>F54*GovernmentRate</f>
        <v/>
      </c>
      <c r="I54" s="130">
        <f>G54+H54</f>
        <v/>
      </c>
      <c r="J54" s="129">
        <f>IFERROR(I54/COUNTIFS('Client DB &amp; Bed Mgmt'!$A:$A,A54,'Client DB &amp; Bed Mgmt'!$B:$B,C54,'Client DB &amp; Bed Mgmt'!$D:$D,"&lt;&gt;"),0)</f>
        <v/>
      </c>
      <c r="K54" s="103" t="inlineStr">
        <is>
          <t>Dorm 1</t>
        </is>
      </c>
      <c r="L54" s="103" t="inlineStr">
        <is>
          <t>Room 1-1</t>
        </is>
      </c>
      <c r="M54" s="103">
        <f>COUNTIFS('Client DB &amp; Bed Mgmt'!$A:$A,$K54,'Client DB &amp; Bed Mgmt'!$B:$B,$L54,'Client DB &amp; Bed Mgmt'!$D:$D,"&lt;&gt;")</f>
        <v/>
      </c>
      <c r="N54" s="126" t="n"/>
      <c r="O54" s="126" t="n"/>
      <c r="P54" s="127">
        <f>IF(N54="","",MAX(N54-O54,0))</f>
        <v/>
      </c>
      <c r="Q54" s="130">
        <f>IF(O54="","",O54*GeneratorRate)</f>
        <v/>
      </c>
      <c r="R54" s="130">
        <f>IF(P54="","",P54*GovernmentRate)</f>
        <v/>
      </c>
      <c r="S54" s="130">
        <f>IF(N54="","",Q54+R54)</f>
        <v/>
      </c>
      <c r="T54" s="130">
        <f>IF(M54=0,0,S54/M54)</f>
        <v/>
      </c>
      <c r="U54" s="176" t="n"/>
      <c r="V54" s="129" t="n"/>
      <c r="W54" s="127" t="n"/>
      <c r="X54" s="130" t="n"/>
      <c r="Y54" s="178" t="n"/>
      <c r="Z54" s="129" t="n"/>
      <c r="AA54" s="129" t="n"/>
      <c r="AB54" s="176" t="n"/>
      <c r="AC54" s="129" t="n"/>
      <c r="AD54" s="176" t="n"/>
      <c r="AE54" s="129" t="n"/>
    </row>
    <row r="55" ht="14.25" customHeight="1" s="83">
      <c r="A55" s="103" t="inlineStr">
        <is>
          <t>Dorm 1</t>
        </is>
      </c>
      <c r="B55" s="177" t="n">
        <v>46266</v>
      </c>
      <c r="C55" s="103" t="inlineStr">
        <is>
          <t>Room 1-2</t>
        </is>
      </c>
      <c r="D55" s="126" t="n">
        <v>0</v>
      </c>
      <c r="E55" s="126" t="n">
        <v>0</v>
      </c>
      <c r="F55" s="127">
        <f>MAX(D55-E55,0)</f>
        <v/>
      </c>
      <c r="G55" s="130">
        <f>E55*GeneratorRate</f>
        <v/>
      </c>
      <c r="H55" s="130">
        <f>F55*GovernmentRate</f>
        <v/>
      </c>
      <c r="I55" s="130">
        <f>G55+H55</f>
        <v/>
      </c>
      <c r="J55" s="129">
        <f>IFERROR(I55/COUNTIFS('Client DB &amp; Bed Mgmt'!$A:$A,A55,'Client DB &amp; Bed Mgmt'!$B:$B,C55,'Client DB &amp; Bed Mgmt'!$D:$D,"&lt;&gt;"),0)</f>
        <v/>
      </c>
      <c r="K55" s="103" t="inlineStr">
        <is>
          <t>Dorm 1</t>
        </is>
      </c>
      <c r="L55" s="103" t="inlineStr">
        <is>
          <t>Room 1-2</t>
        </is>
      </c>
      <c r="M55" s="103">
        <f>COUNTIFS('Client DB &amp; Bed Mgmt'!$A:$A,$K55,'Client DB &amp; Bed Mgmt'!$B:$B,$L55,'Client DB &amp; Bed Mgmt'!$D:$D,"&lt;&gt;")</f>
        <v/>
      </c>
      <c r="N55" s="126" t="n"/>
      <c r="O55" s="126" t="n"/>
      <c r="P55" s="127">
        <f>IF(N55="","",MAX(N55-O55,0))</f>
        <v/>
      </c>
      <c r="Q55" s="130">
        <f>IF(O55="","",O55*GeneratorRate)</f>
        <v/>
      </c>
      <c r="R55" s="130">
        <f>IF(P55="","",P55*GovernmentRate)</f>
        <v/>
      </c>
      <c r="S55" s="130">
        <f>IF(N55="","",Q55+R55)</f>
        <v/>
      </c>
      <c r="T55" s="130">
        <f>IF(M55=0,0,S55/M55)</f>
        <v/>
      </c>
      <c r="U55" s="176" t="n"/>
      <c r="V55" s="129" t="n"/>
      <c r="W55" s="127" t="n"/>
      <c r="X55" s="130" t="n"/>
      <c r="Y55" s="178" t="n"/>
      <c r="Z55" s="129" t="n"/>
      <c r="AA55" s="129" t="n"/>
      <c r="AB55" s="176" t="n"/>
      <c r="AC55" s="129" t="n"/>
      <c r="AD55" s="176" t="n"/>
      <c r="AE55" s="129" t="n"/>
    </row>
    <row r="56" ht="14.25" customHeight="1" s="83">
      <c r="A56" s="103" t="inlineStr">
        <is>
          <t>Dorm 1</t>
        </is>
      </c>
      <c r="B56" s="177" t="n">
        <v>46266</v>
      </c>
      <c r="C56" s="103" t="inlineStr">
        <is>
          <t>Room 1-3</t>
        </is>
      </c>
      <c r="D56" s="126" t="n">
        <v>0</v>
      </c>
      <c r="E56" s="126" t="n">
        <v>0</v>
      </c>
      <c r="F56" s="127">
        <f>MAX(D56-E56,0)</f>
        <v/>
      </c>
      <c r="G56" s="130">
        <f>E56*GeneratorRate</f>
        <v/>
      </c>
      <c r="H56" s="130">
        <f>F56*GovernmentRate</f>
        <v/>
      </c>
      <c r="I56" s="130">
        <f>G56+H56</f>
        <v/>
      </c>
      <c r="J56" s="129">
        <f>IFERROR(I56/COUNTIFS('Client DB &amp; Bed Mgmt'!$A:$A,A56,'Client DB &amp; Bed Mgmt'!$B:$B,C56,'Client DB &amp; Bed Mgmt'!$D:$D,"&lt;&gt;"),0)</f>
        <v/>
      </c>
      <c r="K56" s="103" t="inlineStr">
        <is>
          <t>Dorm 1</t>
        </is>
      </c>
      <c r="L56" s="103" t="inlineStr">
        <is>
          <t>Room 1-3</t>
        </is>
      </c>
      <c r="M56" s="103">
        <f>COUNTIFS('Client DB &amp; Bed Mgmt'!$A:$A,$K56,'Client DB &amp; Bed Mgmt'!$B:$B,$L56,'Client DB &amp; Bed Mgmt'!$D:$D,"&lt;&gt;")</f>
        <v/>
      </c>
      <c r="N56" s="126" t="n"/>
      <c r="O56" s="126" t="n"/>
      <c r="P56" s="127">
        <f>IF(N56="","",MAX(N56-O56,0))</f>
        <v/>
      </c>
      <c r="Q56" s="130">
        <f>IF(O56="","",O56*GeneratorRate)</f>
        <v/>
      </c>
      <c r="R56" s="130">
        <f>IF(P56="","",P56*GovernmentRate)</f>
        <v/>
      </c>
      <c r="S56" s="130">
        <f>IF(N56="","",Q56+R56)</f>
        <v/>
      </c>
      <c r="T56" s="130">
        <f>IF(M56=0,0,S56/M56)</f>
        <v/>
      </c>
      <c r="U56" s="176" t="n"/>
      <c r="V56" s="129" t="n"/>
      <c r="W56" s="127" t="n"/>
      <c r="X56" s="130" t="n"/>
      <c r="Y56" s="178" t="n"/>
      <c r="Z56" s="129" t="n"/>
      <c r="AA56" s="129" t="n"/>
      <c r="AB56" s="176" t="n"/>
      <c r="AC56" s="129" t="n"/>
      <c r="AD56" s="176" t="n"/>
      <c r="AE56" s="129" t="n"/>
    </row>
    <row r="57" ht="14.25" customHeight="1" s="83">
      <c r="A57" s="103" t="inlineStr">
        <is>
          <t>Dorm 1</t>
        </is>
      </c>
      <c r="B57" s="177" t="n">
        <v>46266</v>
      </c>
      <c r="C57" s="103" t="inlineStr">
        <is>
          <t>Room 1-4</t>
        </is>
      </c>
      <c r="D57" s="126" t="n">
        <v>0</v>
      </c>
      <c r="E57" s="126" t="n">
        <v>0</v>
      </c>
      <c r="F57" s="127">
        <f>MAX(D57-E57,0)</f>
        <v/>
      </c>
      <c r="G57" s="130">
        <f>E57*GeneratorRate</f>
        <v/>
      </c>
      <c r="H57" s="130">
        <f>F57*GovernmentRate</f>
        <v/>
      </c>
      <c r="I57" s="130">
        <f>G57+H57</f>
        <v/>
      </c>
      <c r="J57" s="129">
        <f>IFERROR(I57/COUNTIFS('Client DB &amp; Bed Mgmt'!$A:$A,A57,'Client DB &amp; Bed Mgmt'!$B:$B,C57,'Client DB &amp; Bed Mgmt'!$D:$D,"&lt;&gt;"),0)</f>
        <v/>
      </c>
      <c r="K57" s="103" t="inlineStr">
        <is>
          <t>Dorm 1</t>
        </is>
      </c>
      <c r="L57" s="103" t="inlineStr">
        <is>
          <t>Room 1-4</t>
        </is>
      </c>
      <c r="M57" s="103">
        <f>COUNTIFS('Client DB &amp; Bed Mgmt'!$A:$A,$K57,'Client DB &amp; Bed Mgmt'!$B:$B,$L57,'Client DB &amp; Bed Mgmt'!$D:$D,"&lt;&gt;")</f>
        <v/>
      </c>
      <c r="N57" s="126" t="n"/>
      <c r="O57" s="126" t="n"/>
      <c r="P57" s="127">
        <f>IF(N57="","",MAX(N57-O57,0))</f>
        <v/>
      </c>
      <c r="Q57" s="130">
        <f>IF(O57="","",O57*GeneratorRate)</f>
        <v/>
      </c>
      <c r="R57" s="130">
        <f>IF(P57="","",P57*GovernmentRate)</f>
        <v/>
      </c>
      <c r="S57" s="130">
        <f>IF(N57="","",Q57+R57)</f>
        <v/>
      </c>
      <c r="T57" s="130">
        <f>IF(M57=0,0,S57/M57)</f>
        <v/>
      </c>
      <c r="U57" s="176" t="n"/>
      <c r="V57" s="129" t="n"/>
      <c r="W57" s="127" t="n"/>
      <c r="X57" s="130" t="n"/>
      <c r="Y57" s="178" t="n"/>
      <c r="Z57" s="129" t="n"/>
      <c r="AA57" s="129" t="n"/>
      <c r="AB57" s="176" t="n"/>
      <c r="AC57" s="129" t="n"/>
      <c r="AD57" s="176" t="n"/>
      <c r="AE57" s="129" t="n"/>
    </row>
    <row r="58" ht="14.25" customHeight="1" s="83">
      <c r="A58" s="103" t="inlineStr">
        <is>
          <t>Dorm 1</t>
        </is>
      </c>
      <c r="B58" s="177" t="n">
        <v>46266</v>
      </c>
      <c r="C58" s="103" t="inlineStr">
        <is>
          <t>Room 1-5</t>
        </is>
      </c>
      <c r="D58" s="126" t="n">
        <v>0</v>
      </c>
      <c r="E58" s="126" t="n">
        <v>0</v>
      </c>
      <c r="F58" s="127">
        <f>MAX(D58-E58,0)</f>
        <v/>
      </c>
      <c r="G58" s="130">
        <f>E58*GeneratorRate</f>
        <v/>
      </c>
      <c r="H58" s="130">
        <f>F58*GovernmentRate</f>
        <v/>
      </c>
      <c r="I58" s="130">
        <f>G58+H58</f>
        <v/>
      </c>
      <c r="J58" s="129">
        <f>IFERROR(I58/COUNTIFS('Client DB &amp; Bed Mgmt'!$A:$A,A58,'Client DB &amp; Bed Mgmt'!$B:$B,C58,'Client DB &amp; Bed Mgmt'!$D:$D,"&lt;&gt;"),0)</f>
        <v/>
      </c>
      <c r="K58" s="103" t="inlineStr">
        <is>
          <t>Dorm 1</t>
        </is>
      </c>
      <c r="L58" s="103" t="inlineStr">
        <is>
          <t>Room 1-5</t>
        </is>
      </c>
      <c r="M58" s="103">
        <f>COUNTIFS('Client DB &amp; Bed Mgmt'!$A:$A,$K58,'Client DB &amp; Bed Mgmt'!$B:$B,$L58,'Client DB &amp; Bed Mgmt'!$D:$D,"&lt;&gt;")</f>
        <v/>
      </c>
      <c r="N58" s="126" t="n"/>
      <c r="O58" s="126" t="n"/>
      <c r="P58" s="127">
        <f>IF(N58="","",MAX(N58-O58,0))</f>
        <v/>
      </c>
      <c r="Q58" s="130">
        <f>IF(O58="","",O58*GeneratorRate)</f>
        <v/>
      </c>
      <c r="R58" s="130">
        <f>IF(P58="","",P58*GovernmentRate)</f>
        <v/>
      </c>
      <c r="S58" s="130">
        <f>IF(N58="","",Q58+R58)</f>
        <v/>
      </c>
      <c r="T58" s="130">
        <f>IF(M58=0,0,S58/M58)</f>
        <v/>
      </c>
      <c r="U58" s="176" t="n"/>
      <c r="V58" s="129" t="n"/>
      <c r="W58" s="127" t="n"/>
      <c r="X58" s="130" t="n"/>
      <c r="Y58" s="178" t="n"/>
      <c r="Z58" s="129" t="n"/>
      <c r="AA58" s="129" t="n"/>
      <c r="AB58" s="176" t="n"/>
      <c r="AC58" s="129" t="n"/>
      <c r="AD58" s="176" t="n"/>
      <c r="AE58" s="129" t="n"/>
    </row>
    <row r="59" ht="14.25" customHeight="1" s="83">
      <c r="A59" s="103" t="inlineStr">
        <is>
          <t>Dorm 1</t>
        </is>
      </c>
      <c r="B59" s="177" t="n">
        <v>46266</v>
      </c>
      <c r="C59" s="103" t="inlineStr">
        <is>
          <t>Room 1-6</t>
        </is>
      </c>
      <c r="D59" s="126" t="n">
        <v>0</v>
      </c>
      <c r="E59" s="126" t="n">
        <v>0</v>
      </c>
      <c r="F59" s="127">
        <f>MAX(D59-E59,0)</f>
        <v/>
      </c>
      <c r="G59" s="130">
        <f>E59*GeneratorRate</f>
        <v/>
      </c>
      <c r="H59" s="130">
        <f>F59*GovernmentRate</f>
        <v/>
      </c>
      <c r="I59" s="130">
        <f>G59+H59</f>
        <v/>
      </c>
      <c r="J59" s="129">
        <f>IFERROR(I59/COUNTIFS('Client DB &amp; Bed Mgmt'!$A:$A,A59,'Client DB &amp; Bed Mgmt'!$B:$B,C59,'Client DB &amp; Bed Mgmt'!$D:$D,"&lt;&gt;"),0)</f>
        <v/>
      </c>
      <c r="K59" s="103" t="inlineStr">
        <is>
          <t>Dorm 1</t>
        </is>
      </c>
      <c r="L59" s="103" t="inlineStr">
        <is>
          <t>Room 1-6</t>
        </is>
      </c>
      <c r="M59" s="103">
        <f>COUNTIFS('Client DB &amp; Bed Mgmt'!$A:$A,$K59,'Client DB &amp; Bed Mgmt'!$B:$B,$L59,'Client DB &amp; Bed Mgmt'!$D:$D,"&lt;&gt;")</f>
        <v/>
      </c>
      <c r="N59" s="126" t="n"/>
      <c r="O59" s="126" t="n"/>
      <c r="P59" s="127">
        <f>IF(N59="","",MAX(N59-O59,0))</f>
        <v/>
      </c>
      <c r="Q59" s="130">
        <f>IF(O59="","",O59*GeneratorRate)</f>
        <v/>
      </c>
      <c r="R59" s="130">
        <f>IF(P59="","",P59*GovernmentRate)</f>
        <v/>
      </c>
      <c r="S59" s="130">
        <f>IF(N59="","",Q59+R59)</f>
        <v/>
      </c>
      <c r="T59" s="130">
        <f>IF(M59=0,0,S59/M59)</f>
        <v/>
      </c>
      <c r="U59" s="176" t="n"/>
      <c r="V59" s="129" t="n"/>
      <c r="W59" s="127" t="n"/>
      <c r="X59" s="130" t="n"/>
      <c r="Y59" s="178" t="n"/>
      <c r="Z59" s="129" t="n"/>
      <c r="AA59" s="129" t="n"/>
      <c r="AB59" s="176" t="n"/>
      <c r="AC59" s="129" t="n"/>
      <c r="AD59" s="176" t="n"/>
      <c r="AE59" s="129" t="n"/>
    </row>
    <row r="60" ht="14.25" customHeight="1" s="83">
      <c r="A60" s="103" t="inlineStr">
        <is>
          <t>Dorm 1</t>
        </is>
      </c>
      <c r="B60" s="177" t="n">
        <v>46296</v>
      </c>
      <c r="C60" s="103" t="inlineStr">
        <is>
          <t>Room 1-1</t>
        </is>
      </c>
      <c r="D60" s="126" t="n">
        <v>0</v>
      </c>
      <c r="E60" s="126" t="n">
        <v>0</v>
      </c>
      <c r="F60" s="127">
        <f>MAX(D60-E60,0)</f>
        <v/>
      </c>
      <c r="G60" s="130">
        <f>E60*GeneratorRate</f>
        <v/>
      </c>
      <c r="H60" s="130">
        <f>F60*GovernmentRate</f>
        <v/>
      </c>
      <c r="I60" s="130">
        <f>G60+H60</f>
        <v/>
      </c>
      <c r="J60" s="129">
        <f>IFERROR(I60/COUNTIFS('Client DB &amp; Bed Mgmt'!$A:$A,A60,'Client DB &amp; Bed Mgmt'!$B:$B,C60,'Client DB &amp; Bed Mgmt'!$D:$D,"&lt;&gt;"),0)</f>
        <v/>
      </c>
      <c r="K60" s="103" t="inlineStr">
        <is>
          <t>Dorm 1</t>
        </is>
      </c>
      <c r="L60" s="103" t="inlineStr">
        <is>
          <t>Room 1-1</t>
        </is>
      </c>
      <c r="M60" s="103">
        <f>COUNTIFS('Client DB &amp; Bed Mgmt'!$A:$A,$K60,'Client DB &amp; Bed Mgmt'!$B:$B,$L60,'Client DB &amp; Bed Mgmt'!$D:$D,"&lt;&gt;")</f>
        <v/>
      </c>
      <c r="N60" s="126" t="n"/>
      <c r="O60" s="126" t="n"/>
      <c r="P60" s="127">
        <f>IF(N60="","",MAX(N60-O60,0))</f>
        <v/>
      </c>
      <c r="Q60" s="130">
        <f>IF(O60="","",O60*GeneratorRate)</f>
        <v/>
      </c>
      <c r="R60" s="130">
        <f>IF(P60="","",P60*GovernmentRate)</f>
        <v/>
      </c>
      <c r="S60" s="130">
        <f>IF(N60="","",Q60+R60)</f>
        <v/>
      </c>
      <c r="T60" s="130">
        <f>IF(M60=0,0,S60/M60)</f>
        <v/>
      </c>
      <c r="U60" s="176" t="n"/>
      <c r="V60" s="129" t="n"/>
      <c r="W60" s="127" t="n"/>
      <c r="X60" s="130" t="n"/>
      <c r="Y60" s="178" t="n"/>
      <c r="Z60" s="129" t="n"/>
      <c r="AA60" s="129" t="n"/>
      <c r="AB60" s="176" t="n"/>
      <c r="AC60" s="129" t="n"/>
      <c r="AD60" s="176" t="n"/>
      <c r="AE60" s="129" t="n"/>
    </row>
    <row r="61" ht="14.25" customHeight="1" s="83">
      <c r="A61" s="103" t="inlineStr">
        <is>
          <t>Dorm 1</t>
        </is>
      </c>
      <c r="B61" s="177" t="n">
        <v>46296</v>
      </c>
      <c r="C61" s="103" t="inlineStr">
        <is>
          <t>Room 1-2</t>
        </is>
      </c>
      <c r="D61" s="126" t="n">
        <v>0</v>
      </c>
      <c r="E61" s="126" t="n">
        <v>0</v>
      </c>
      <c r="F61" s="127">
        <f>MAX(D61-E61,0)</f>
        <v/>
      </c>
      <c r="G61" s="130">
        <f>E61*GeneratorRate</f>
        <v/>
      </c>
      <c r="H61" s="130">
        <f>F61*GovernmentRate</f>
        <v/>
      </c>
      <c r="I61" s="130">
        <f>G61+H61</f>
        <v/>
      </c>
      <c r="J61" s="129">
        <f>IFERROR(I61/COUNTIFS('Client DB &amp; Bed Mgmt'!$A:$A,A61,'Client DB &amp; Bed Mgmt'!$B:$B,C61,'Client DB &amp; Bed Mgmt'!$D:$D,"&lt;&gt;"),0)</f>
        <v/>
      </c>
      <c r="K61" s="103" t="inlineStr">
        <is>
          <t>Dorm 1</t>
        </is>
      </c>
      <c r="L61" s="103" t="inlineStr">
        <is>
          <t>Room 1-2</t>
        </is>
      </c>
      <c r="M61" s="103">
        <f>COUNTIFS('Client DB &amp; Bed Mgmt'!$A:$A,$K61,'Client DB &amp; Bed Mgmt'!$B:$B,$L61,'Client DB &amp; Bed Mgmt'!$D:$D,"&lt;&gt;")</f>
        <v/>
      </c>
      <c r="N61" s="126" t="n"/>
      <c r="O61" s="126" t="n"/>
      <c r="P61" s="127">
        <f>IF(N61="","",MAX(N61-O61,0))</f>
        <v/>
      </c>
      <c r="Q61" s="130">
        <f>IF(O61="","",O61*GeneratorRate)</f>
        <v/>
      </c>
      <c r="R61" s="130">
        <f>IF(P61="","",P61*GovernmentRate)</f>
        <v/>
      </c>
      <c r="S61" s="130">
        <f>IF(N61="","",Q61+R61)</f>
        <v/>
      </c>
      <c r="T61" s="130">
        <f>IF(M61=0,0,S61/M61)</f>
        <v/>
      </c>
      <c r="U61" s="176" t="n"/>
      <c r="V61" s="129" t="n"/>
      <c r="W61" s="127" t="n"/>
      <c r="X61" s="130" t="n"/>
      <c r="Y61" s="178" t="n"/>
      <c r="Z61" s="129" t="n"/>
      <c r="AA61" s="129" t="n"/>
      <c r="AB61" s="176" t="n"/>
      <c r="AC61" s="129" t="n"/>
      <c r="AD61" s="176" t="n"/>
      <c r="AE61" s="129" t="n"/>
    </row>
    <row r="62" ht="14.25" customHeight="1" s="83">
      <c r="A62" s="103" t="inlineStr">
        <is>
          <t>Dorm 1</t>
        </is>
      </c>
      <c r="B62" s="177" t="n">
        <v>46296</v>
      </c>
      <c r="C62" s="103" t="inlineStr">
        <is>
          <t>Room 1-3</t>
        </is>
      </c>
      <c r="D62" s="126" t="n">
        <v>0</v>
      </c>
      <c r="E62" s="126" t="n">
        <v>0</v>
      </c>
      <c r="F62" s="127">
        <f>MAX(D62-E62,0)</f>
        <v/>
      </c>
      <c r="G62" s="130">
        <f>E62*GeneratorRate</f>
        <v/>
      </c>
      <c r="H62" s="130">
        <f>F62*GovernmentRate</f>
        <v/>
      </c>
      <c r="I62" s="130">
        <f>G62+H62</f>
        <v/>
      </c>
      <c r="J62" s="129">
        <f>IFERROR(I62/COUNTIFS('Client DB &amp; Bed Mgmt'!$A:$A,A62,'Client DB &amp; Bed Mgmt'!$B:$B,C62,'Client DB &amp; Bed Mgmt'!$D:$D,"&lt;&gt;"),0)</f>
        <v/>
      </c>
      <c r="K62" s="103" t="inlineStr">
        <is>
          <t>Dorm 1</t>
        </is>
      </c>
      <c r="L62" s="103" t="inlineStr">
        <is>
          <t>Room 1-3</t>
        </is>
      </c>
      <c r="M62" s="103">
        <f>COUNTIFS('Client DB &amp; Bed Mgmt'!$A:$A,$K62,'Client DB &amp; Bed Mgmt'!$B:$B,$L62,'Client DB &amp; Bed Mgmt'!$D:$D,"&lt;&gt;")</f>
        <v/>
      </c>
      <c r="N62" s="126" t="n"/>
      <c r="O62" s="126" t="n"/>
      <c r="P62" s="127">
        <f>IF(N62="","",MAX(N62-O62,0))</f>
        <v/>
      </c>
      <c r="Q62" s="130">
        <f>IF(O62="","",O62*GeneratorRate)</f>
        <v/>
      </c>
      <c r="R62" s="130">
        <f>IF(P62="","",P62*GovernmentRate)</f>
        <v/>
      </c>
      <c r="S62" s="130">
        <f>IF(N62="","",Q62+R62)</f>
        <v/>
      </c>
      <c r="T62" s="130">
        <f>IF(M62=0,0,S62/M62)</f>
        <v/>
      </c>
      <c r="U62" s="176" t="n"/>
      <c r="V62" s="129" t="n"/>
      <c r="W62" s="127" t="n"/>
      <c r="X62" s="130" t="n"/>
      <c r="Y62" s="178" t="n"/>
      <c r="Z62" s="129" t="n"/>
      <c r="AA62" s="129" t="n"/>
      <c r="AB62" s="176" t="n"/>
      <c r="AC62" s="129" t="n"/>
      <c r="AD62" s="176" t="n"/>
      <c r="AE62" s="129" t="n"/>
    </row>
    <row r="63" ht="14.25" customHeight="1" s="83">
      <c r="A63" s="103" t="inlineStr">
        <is>
          <t>Dorm 1</t>
        </is>
      </c>
      <c r="B63" s="177" t="n">
        <v>46296</v>
      </c>
      <c r="C63" s="103" t="inlineStr">
        <is>
          <t>Room 1-4</t>
        </is>
      </c>
      <c r="D63" s="126" t="n">
        <v>0</v>
      </c>
      <c r="E63" s="126" t="n">
        <v>0</v>
      </c>
      <c r="F63" s="127">
        <f>MAX(D63-E63,0)</f>
        <v/>
      </c>
      <c r="G63" s="130">
        <f>E63*GeneratorRate</f>
        <v/>
      </c>
      <c r="H63" s="130">
        <f>F63*GovernmentRate</f>
        <v/>
      </c>
      <c r="I63" s="130">
        <f>G63+H63</f>
        <v/>
      </c>
      <c r="J63" s="129">
        <f>IFERROR(I63/COUNTIFS('Client DB &amp; Bed Mgmt'!$A:$A,A63,'Client DB &amp; Bed Mgmt'!$B:$B,C63,'Client DB &amp; Bed Mgmt'!$D:$D,"&lt;&gt;"),0)</f>
        <v/>
      </c>
      <c r="K63" s="103" t="inlineStr">
        <is>
          <t>Dorm 1</t>
        </is>
      </c>
      <c r="L63" s="103" t="inlineStr">
        <is>
          <t>Room 1-4</t>
        </is>
      </c>
      <c r="M63" s="103">
        <f>COUNTIFS('Client DB &amp; Bed Mgmt'!$A:$A,$K63,'Client DB &amp; Bed Mgmt'!$B:$B,$L63,'Client DB &amp; Bed Mgmt'!$D:$D,"&lt;&gt;")</f>
        <v/>
      </c>
      <c r="N63" s="126" t="n"/>
      <c r="O63" s="126" t="n"/>
      <c r="P63" s="127">
        <f>IF(N63="","",MAX(N63-O63,0))</f>
        <v/>
      </c>
      <c r="Q63" s="130">
        <f>IF(O63="","",O63*GeneratorRate)</f>
        <v/>
      </c>
      <c r="R63" s="130">
        <f>IF(P63="","",P63*GovernmentRate)</f>
        <v/>
      </c>
      <c r="S63" s="130">
        <f>IF(N63="","",Q63+R63)</f>
        <v/>
      </c>
      <c r="T63" s="130">
        <f>IF(M63=0,0,S63/M63)</f>
        <v/>
      </c>
      <c r="U63" s="176" t="n"/>
      <c r="V63" s="129" t="n"/>
      <c r="W63" s="127" t="n"/>
      <c r="X63" s="130" t="n"/>
      <c r="Y63" s="178" t="n"/>
      <c r="Z63" s="129" t="n"/>
      <c r="AA63" s="129" t="n"/>
      <c r="AB63" s="176" t="n"/>
      <c r="AC63" s="129" t="n"/>
      <c r="AD63" s="176" t="n"/>
      <c r="AE63" s="129" t="n"/>
    </row>
    <row r="64" ht="14.25" customHeight="1" s="83">
      <c r="A64" s="103" t="inlineStr">
        <is>
          <t>Dorm 1</t>
        </is>
      </c>
      <c r="B64" s="177" t="n">
        <v>46296</v>
      </c>
      <c r="C64" s="103" t="inlineStr">
        <is>
          <t>Room 1-5</t>
        </is>
      </c>
      <c r="D64" s="126" t="n">
        <v>0</v>
      </c>
      <c r="E64" s="126" t="n">
        <v>0</v>
      </c>
      <c r="F64" s="127">
        <f>MAX(D64-E64,0)</f>
        <v/>
      </c>
      <c r="G64" s="130">
        <f>E64*GeneratorRate</f>
        <v/>
      </c>
      <c r="H64" s="130">
        <f>F64*GovernmentRate</f>
        <v/>
      </c>
      <c r="I64" s="130">
        <f>G64+H64</f>
        <v/>
      </c>
      <c r="J64" s="129">
        <f>IFERROR(I64/COUNTIFS('Client DB &amp; Bed Mgmt'!$A:$A,A64,'Client DB &amp; Bed Mgmt'!$B:$B,C64,'Client DB &amp; Bed Mgmt'!$D:$D,"&lt;&gt;"),0)</f>
        <v/>
      </c>
      <c r="K64" s="103" t="inlineStr">
        <is>
          <t>Dorm 1</t>
        </is>
      </c>
      <c r="L64" s="103" t="inlineStr">
        <is>
          <t>Room 1-5</t>
        </is>
      </c>
      <c r="M64" s="103">
        <f>COUNTIFS('Client DB &amp; Bed Mgmt'!$A:$A,$K64,'Client DB &amp; Bed Mgmt'!$B:$B,$L64,'Client DB &amp; Bed Mgmt'!$D:$D,"&lt;&gt;")</f>
        <v/>
      </c>
      <c r="N64" s="126" t="n"/>
      <c r="O64" s="126" t="n"/>
      <c r="P64" s="127">
        <f>IF(N64="","",MAX(N64-O64,0))</f>
        <v/>
      </c>
      <c r="Q64" s="130">
        <f>IF(O64="","",O64*GeneratorRate)</f>
        <v/>
      </c>
      <c r="R64" s="130">
        <f>IF(P64="","",P64*GovernmentRate)</f>
        <v/>
      </c>
      <c r="S64" s="130">
        <f>IF(N64="","",Q64+R64)</f>
        <v/>
      </c>
      <c r="T64" s="130">
        <f>IF(M64=0,0,S64/M64)</f>
        <v/>
      </c>
      <c r="U64" s="176" t="n"/>
      <c r="V64" s="129" t="n"/>
      <c r="W64" s="127" t="n"/>
      <c r="X64" s="130" t="n"/>
      <c r="Y64" s="178" t="n"/>
      <c r="Z64" s="129" t="n"/>
      <c r="AA64" s="129" t="n"/>
      <c r="AB64" s="176" t="n"/>
      <c r="AC64" s="129" t="n"/>
      <c r="AD64" s="176" t="n"/>
      <c r="AE64" s="129" t="n"/>
    </row>
    <row r="65" ht="14.25" customHeight="1" s="83">
      <c r="A65" s="103" t="inlineStr">
        <is>
          <t>Dorm 1</t>
        </is>
      </c>
      <c r="B65" s="177" t="n">
        <v>46296</v>
      </c>
      <c r="C65" s="103" t="inlineStr">
        <is>
          <t>Room 1-6</t>
        </is>
      </c>
      <c r="D65" s="126" t="n">
        <v>0</v>
      </c>
      <c r="E65" s="126" t="n">
        <v>0</v>
      </c>
      <c r="F65" s="127">
        <f>MAX(D65-E65,0)</f>
        <v/>
      </c>
      <c r="G65" s="130">
        <f>E65*GeneratorRate</f>
        <v/>
      </c>
      <c r="H65" s="130">
        <f>F65*GovernmentRate</f>
        <v/>
      </c>
      <c r="I65" s="130">
        <f>G65+H65</f>
        <v/>
      </c>
      <c r="J65" s="129">
        <f>IFERROR(I65/COUNTIFS('Client DB &amp; Bed Mgmt'!$A:$A,A65,'Client DB &amp; Bed Mgmt'!$B:$B,C65,'Client DB &amp; Bed Mgmt'!$D:$D,"&lt;&gt;"),0)</f>
        <v/>
      </c>
      <c r="K65" s="103" t="inlineStr">
        <is>
          <t>Dorm 1</t>
        </is>
      </c>
      <c r="L65" s="103" t="inlineStr">
        <is>
          <t>Room 1-6</t>
        </is>
      </c>
      <c r="M65" s="103">
        <f>COUNTIFS('Client DB &amp; Bed Mgmt'!$A:$A,$K65,'Client DB &amp; Bed Mgmt'!$B:$B,$L65,'Client DB &amp; Bed Mgmt'!$D:$D,"&lt;&gt;")</f>
        <v/>
      </c>
      <c r="N65" s="126" t="n"/>
      <c r="O65" s="126" t="n"/>
      <c r="P65" s="127">
        <f>IF(N65="","",MAX(N65-O65,0))</f>
        <v/>
      </c>
      <c r="Q65" s="130">
        <f>IF(O65="","",O65*GeneratorRate)</f>
        <v/>
      </c>
      <c r="R65" s="130">
        <f>IF(P65="","",P65*GovernmentRate)</f>
        <v/>
      </c>
      <c r="S65" s="130">
        <f>IF(N65="","",Q65+R65)</f>
        <v/>
      </c>
      <c r="T65" s="130">
        <f>IF(M65=0,0,S65/M65)</f>
        <v/>
      </c>
      <c r="U65" s="176" t="n"/>
      <c r="V65" s="129" t="n"/>
      <c r="W65" s="127" t="n"/>
      <c r="X65" s="130" t="n"/>
      <c r="Y65" s="178" t="n"/>
      <c r="Z65" s="129" t="n"/>
      <c r="AA65" s="129" t="n"/>
      <c r="AB65" s="176" t="n"/>
      <c r="AC65" s="129" t="n"/>
      <c r="AD65" s="176" t="n"/>
      <c r="AE65" s="129" t="n"/>
    </row>
    <row r="66" ht="14.25" customHeight="1" s="83">
      <c r="A66" s="103" t="inlineStr">
        <is>
          <t>Dorm 1</t>
        </is>
      </c>
      <c r="B66" s="177" t="n">
        <v>46327</v>
      </c>
      <c r="C66" s="103" t="inlineStr">
        <is>
          <t>Room 1-1</t>
        </is>
      </c>
      <c r="D66" s="126" t="n">
        <v>0</v>
      </c>
      <c r="E66" s="126" t="n">
        <v>0</v>
      </c>
      <c r="F66" s="127">
        <f>MAX(D66-E66,0)</f>
        <v/>
      </c>
      <c r="G66" s="130">
        <f>E66*GeneratorRate</f>
        <v/>
      </c>
      <c r="H66" s="130">
        <f>F66*GovernmentRate</f>
        <v/>
      </c>
      <c r="I66" s="130">
        <f>G66+H66</f>
        <v/>
      </c>
      <c r="J66" s="129">
        <f>IFERROR(I66/COUNTIFS('Client DB &amp; Bed Mgmt'!$A:$A,A66,'Client DB &amp; Bed Mgmt'!$B:$B,C66,'Client DB &amp; Bed Mgmt'!$D:$D,"&lt;&gt;"),0)</f>
        <v/>
      </c>
      <c r="K66" s="103" t="inlineStr">
        <is>
          <t>Dorm 1</t>
        </is>
      </c>
      <c r="L66" s="103" t="inlineStr">
        <is>
          <t>Room 1-1</t>
        </is>
      </c>
      <c r="M66" s="103">
        <f>COUNTIFS('Client DB &amp; Bed Mgmt'!$A:$A,$K66,'Client DB &amp; Bed Mgmt'!$B:$B,$L66,'Client DB &amp; Bed Mgmt'!$D:$D,"&lt;&gt;")</f>
        <v/>
      </c>
      <c r="N66" s="126" t="n"/>
      <c r="O66" s="126" t="n"/>
      <c r="P66" s="127">
        <f>IF(N66="","",MAX(N66-O66,0))</f>
        <v/>
      </c>
      <c r="Q66" s="130">
        <f>IF(O66="","",O66*GeneratorRate)</f>
        <v/>
      </c>
      <c r="R66" s="130">
        <f>IF(P66="","",P66*GovernmentRate)</f>
        <v/>
      </c>
      <c r="S66" s="130">
        <f>IF(N66="","",Q66+R66)</f>
        <v/>
      </c>
      <c r="T66" s="130">
        <f>IF(M66=0,0,S66/M66)</f>
        <v/>
      </c>
      <c r="U66" s="176" t="n"/>
      <c r="V66" s="129" t="n"/>
      <c r="W66" s="127" t="n"/>
      <c r="X66" s="130" t="n"/>
      <c r="Y66" s="178" t="n"/>
      <c r="Z66" s="129" t="n"/>
      <c r="AA66" s="129" t="n"/>
      <c r="AB66" s="176" t="n"/>
      <c r="AC66" s="129" t="n"/>
      <c r="AD66" s="176" t="n"/>
      <c r="AE66" s="129" t="n"/>
    </row>
    <row r="67" ht="14.25" customHeight="1" s="83">
      <c r="A67" s="103" t="inlineStr">
        <is>
          <t>Dorm 1</t>
        </is>
      </c>
      <c r="B67" s="177" t="n">
        <v>46327</v>
      </c>
      <c r="C67" s="103" t="inlineStr">
        <is>
          <t>Room 1-2</t>
        </is>
      </c>
      <c r="D67" s="126" t="n">
        <v>0</v>
      </c>
      <c r="E67" s="126" t="n">
        <v>0</v>
      </c>
      <c r="F67" s="127">
        <f>MAX(D67-E67,0)</f>
        <v/>
      </c>
      <c r="G67" s="130">
        <f>E67*GeneratorRate</f>
        <v/>
      </c>
      <c r="H67" s="130">
        <f>F67*GovernmentRate</f>
        <v/>
      </c>
      <c r="I67" s="130">
        <f>G67+H67</f>
        <v/>
      </c>
      <c r="J67" s="129">
        <f>IFERROR(I67/COUNTIFS('Client DB &amp; Bed Mgmt'!$A:$A,A67,'Client DB &amp; Bed Mgmt'!$B:$B,C67,'Client DB &amp; Bed Mgmt'!$D:$D,"&lt;&gt;"),0)</f>
        <v/>
      </c>
      <c r="K67" s="103" t="inlineStr">
        <is>
          <t>Dorm 1</t>
        </is>
      </c>
      <c r="L67" s="103" t="inlineStr">
        <is>
          <t>Room 1-2</t>
        </is>
      </c>
      <c r="M67" s="103">
        <f>COUNTIFS('Client DB &amp; Bed Mgmt'!$A:$A,$K67,'Client DB &amp; Bed Mgmt'!$B:$B,$L67,'Client DB &amp; Bed Mgmt'!$D:$D,"&lt;&gt;")</f>
        <v/>
      </c>
      <c r="N67" s="126" t="n"/>
      <c r="O67" s="126" t="n"/>
      <c r="P67" s="127">
        <f>IF(N67="","",MAX(N67-O67,0))</f>
        <v/>
      </c>
      <c r="Q67" s="130">
        <f>IF(O67="","",O67*GeneratorRate)</f>
        <v/>
      </c>
      <c r="R67" s="130">
        <f>IF(P67="","",P67*GovernmentRate)</f>
        <v/>
      </c>
      <c r="S67" s="130">
        <f>IF(N67="","",Q67+R67)</f>
        <v/>
      </c>
      <c r="T67" s="130">
        <f>IF(M67=0,0,S67/M67)</f>
        <v/>
      </c>
      <c r="U67" s="176" t="n"/>
      <c r="V67" s="129" t="n"/>
      <c r="W67" s="127" t="n"/>
      <c r="X67" s="130" t="n"/>
      <c r="Y67" s="178" t="n"/>
      <c r="Z67" s="129" t="n"/>
      <c r="AA67" s="129" t="n"/>
      <c r="AB67" s="176" t="n"/>
      <c r="AC67" s="129" t="n"/>
      <c r="AD67" s="176" t="n"/>
      <c r="AE67" s="129" t="n"/>
    </row>
    <row r="68" ht="14.25" customHeight="1" s="83">
      <c r="A68" s="103" t="inlineStr">
        <is>
          <t>Dorm 1</t>
        </is>
      </c>
      <c r="B68" s="177" t="n">
        <v>46327</v>
      </c>
      <c r="C68" s="103" t="inlineStr">
        <is>
          <t>Room 1-3</t>
        </is>
      </c>
      <c r="D68" s="126" t="n">
        <v>0</v>
      </c>
      <c r="E68" s="126" t="n">
        <v>0</v>
      </c>
      <c r="F68" s="127">
        <f>MAX(D68-E68,0)</f>
        <v/>
      </c>
      <c r="G68" s="130">
        <f>E68*GeneratorRate</f>
        <v/>
      </c>
      <c r="H68" s="130">
        <f>F68*GovernmentRate</f>
        <v/>
      </c>
      <c r="I68" s="130">
        <f>G68+H68</f>
        <v/>
      </c>
      <c r="J68" s="129">
        <f>IFERROR(I68/COUNTIFS('Client DB &amp; Bed Mgmt'!$A:$A,A68,'Client DB &amp; Bed Mgmt'!$B:$B,C68,'Client DB &amp; Bed Mgmt'!$D:$D,"&lt;&gt;"),0)</f>
        <v/>
      </c>
      <c r="K68" s="103" t="inlineStr">
        <is>
          <t>Dorm 1</t>
        </is>
      </c>
      <c r="L68" s="103" t="inlineStr">
        <is>
          <t>Room 1-3</t>
        </is>
      </c>
      <c r="M68" s="103">
        <f>COUNTIFS('Client DB &amp; Bed Mgmt'!$A:$A,$K68,'Client DB &amp; Bed Mgmt'!$B:$B,$L68,'Client DB &amp; Bed Mgmt'!$D:$D,"&lt;&gt;")</f>
        <v/>
      </c>
      <c r="N68" s="126" t="n"/>
      <c r="O68" s="126" t="n"/>
      <c r="P68" s="127">
        <f>IF(N68="","",MAX(N68-O68,0))</f>
        <v/>
      </c>
      <c r="Q68" s="130">
        <f>IF(O68="","",O68*GeneratorRate)</f>
        <v/>
      </c>
      <c r="R68" s="130">
        <f>IF(P68="","",P68*GovernmentRate)</f>
        <v/>
      </c>
      <c r="S68" s="130">
        <f>IF(N68="","",Q68+R68)</f>
        <v/>
      </c>
      <c r="T68" s="130">
        <f>IF(M68=0,0,S68/M68)</f>
        <v/>
      </c>
      <c r="U68" s="176" t="n"/>
      <c r="V68" s="129" t="n"/>
      <c r="W68" s="127" t="n"/>
      <c r="X68" s="130" t="n"/>
      <c r="Y68" s="178" t="n"/>
      <c r="Z68" s="129" t="n"/>
      <c r="AA68" s="129" t="n"/>
      <c r="AB68" s="176" t="n"/>
      <c r="AC68" s="129" t="n"/>
      <c r="AD68" s="176" t="n"/>
      <c r="AE68" s="129" t="n"/>
    </row>
    <row r="69" ht="14.25" customHeight="1" s="83">
      <c r="A69" s="103" t="inlineStr">
        <is>
          <t>Dorm 1</t>
        </is>
      </c>
      <c r="B69" s="177" t="n">
        <v>46327</v>
      </c>
      <c r="C69" s="103" t="inlineStr">
        <is>
          <t>Room 1-4</t>
        </is>
      </c>
      <c r="D69" s="126" t="n">
        <v>0</v>
      </c>
      <c r="E69" s="126" t="n">
        <v>0</v>
      </c>
      <c r="F69" s="127">
        <f>MAX(D69-E69,0)</f>
        <v/>
      </c>
      <c r="G69" s="130">
        <f>E69*GeneratorRate</f>
        <v/>
      </c>
      <c r="H69" s="130">
        <f>F69*GovernmentRate</f>
        <v/>
      </c>
      <c r="I69" s="130">
        <f>G69+H69</f>
        <v/>
      </c>
      <c r="J69" s="129">
        <f>IFERROR(I69/COUNTIFS('Client DB &amp; Bed Mgmt'!$A:$A,A69,'Client DB &amp; Bed Mgmt'!$B:$B,C69,'Client DB &amp; Bed Mgmt'!$D:$D,"&lt;&gt;"),0)</f>
        <v/>
      </c>
      <c r="K69" s="103" t="inlineStr">
        <is>
          <t>Dorm 1</t>
        </is>
      </c>
      <c r="L69" s="103" t="inlineStr">
        <is>
          <t>Room 1-4</t>
        </is>
      </c>
      <c r="M69" s="103">
        <f>COUNTIFS('Client DB &amp; Bed Mgmt'!$A:$A,$K69,'Client DB &amp; Bed Mgmt'!$B:$B,$L69,'Client DB &amp; Bed Mgmt'!$D:$D,"&lt;&gt;")</f>
        <v/>
      </c>
      <c r="N69" s="126" t="n"/>
      <c r="O69" s="126" t="n"/>
      <c r="P69" s="127">
        <f>IF(N69="","",MAX(N69-O69,0))</f>
        <v/>
      </c>
      <c r="Q69" s="130">
        <f>IF(O69="","",O69*GeneratorRate)</f>
        <v/>
      </c>
      <c r="R69" s="130">
        <f>IF(P69="","",P69*GovernmentRate)</f>
        <v/>
      </c>
      <c r="S69" s="130">
        <f>IF(N69="","",Q69+R69)</f>
        <v/>
      </c>
      <c r="T69" s="130">
        <f>IF(M69=0,0,S69/M69)</f>
        <v/>
      </c>
      <c r="U69" s="176" t="n"/>
      <c r="V69" s="129" t="n"/>
      <c r="W69" s="127" t="n"/>
      <c r="X69" s="130" t="n"/>
      <c r="Y69" s="178" t="n"/>
      <c r="Z69" s="129" t="n"/>
      <c r="AA69" s="129" t="n"/>
      <c r="AB69" s="176" t="n"/>
      <c r="AC69" s="129" t="n"/>
      <c r="AD69" s="176" t="n"/>
      <c r="AE69" s="129" t="n"/>
    </row>
    <row r="70" ht="14.25" customHeight="1" s="83">
      <c r="A70" s="103" t="inlineStr">
        <is>
          <t>Dorm 1</t>
        </is>
      </c>
      <c r="B70" s="177" t="n">
        <v>46327</v>
      </c>
      <c r="C70" s="103" t="inlineStr">
        <is>
          <t>Room 1-5</t>
        </is>
      </c>
      <c r="D70" s="126" t="n">
        <v>0</v>
      </c>
      <c r="E70" s="126" t="n">
        <v>0</v>
      </c>
      <c r="F70" s="127">
        <f>MAX(D70-E70,0)</f>
        <v/>
      </c>
      <c r="G70" s="130">
        <f>E70*GeneratorRate</f>
        <v/>
      </c>
      <c r="H70" s="130">
        <f>F70*GovernmentRate</f>
        <v/>
      </c>
      <c r="I70" s="130">
        <f>G70+H70</f>
        <v/>
      </c>
      <c r="J70" s="129">
        <f>IFERROR(I70/COUNTIFS('Client DB &amp; Bed Mgmt'!$A:$A,A70,'Client DB &amp; Bed Mgmt'!$B:$B,C70,'Client DB &amp; Bed Mgmt'!$D:$D,"&lt;&gt;"),0)</f>
        <v/>
      </c>
      <c r="K70" s="103" t="inlineStr">
        <is>
          <t>Dorm 1</t>
        </is>
      </c>
      <c r="L70" s="103" t="inlineStr">
        <is>
          <t>Room 1-5</t>
        </is>
      </c>
      <c r="M70" s="103">
        <f>COUNTIFS('Client DB &amp; Bed Mgmt'!$A:$A,$K70,'Client DB &amp; Bed Mgmt'!$B:$B,$L70,'Client DB &amp; Bed Mgmt'!$D:$D,"&lt;&gt;")</f>
        <v/>
      </c>
      <c r="N70" s="126" t="n"/>
      <c r="O70" s="126" t="n"/>
      <c r="P70" s="127">
        <f>IF(N70="","",MAX(N70-O70,0))</f>
        <v/>
      </c>
      <c r="Q70" s="130">
        <f>IF(O70="","",O70*GeneratorRate)</f>
        <v/>
      </c>
      <c r="R70" s="130">
        <f>IF(P70="","",P70*GovernmentRate)</f>
        <v/>
      </c>
      <c r="S70" s="130">
        <f>IF(N70="","",Q70+R70)</f>
        <v/>
      </c>
      <c r="T70" s="130">
        <f>IF(M70=0,0,S70/M70)</f>
        <v/>
      </c>
      <c r="U70" s="176" t="n"/>
      <c r="V70" s="129" t="n"/>
      <c r="W70" s="127" t="n"/>
      <c r="X70" s="130" t="n"/>
      <c r="Y70" s="178" t="n"/>
      <c r="Z70" s="129" t="n"/>
      <c r="AA70" s="129" t="n"/>
      <c r="AB70" s="176" t="n"/>
      <c r="AC70" s="129" t="n"/>
      <c r="AD70" s="176" t="n"/>
      <c r="AE70" s="129" t="n"/>
    </row>
    <row r="71" ht="14.25" customHeight="1" s="83">
      <c r="A71" s="103" t="inlineStr">
        <is>
          <t>Dorm 1</t>
        </is>
      </c>
      <c r="B71" s="177" t="n">
        <v>46327</v>
      </c>
      <c r="C71" s="103" t="inlineStr">
        <is>
          <t>Room 1-6</t>
        </is>
      </c>
      <c r="D71" s="126" t="n">
        <v>0</v>
      </c>
      <c r="E71" s="126" t="n">
        <v>0</v>
      </c>
      <c r="F71" s="127">
        <f>MAX(D71-E71,0)</f>
        <v/>
      </c>
      <c r="G71" s="130">
        <f>E71*GeneratorRate</f>
        <v/>
      </c>
      <c r="H71" s="130">
        <f>F71*GovernmentRate</f>
        <v/>
      </c>
      <c r="I71" s="130">
        <f>G71+H71</f>
        <v/>
      </c>
      <c r="J71" s="129">
        <f>IFERROR(I71/COUNTIFS('Client DB &amp; Bed Mgmt'!$A:$A,A71,'Client DB &amp; Bed Mgmt'!$B:$B,C71,'Client DB &amp; Bed Mgmt'!$D:$D,"&lt;&gt;"),0)</f>
        <v/>
      </c>
      <c r="K71" s="103" t="inlineStr">
        <is>
          <t>Dorm 1</t>
        </is>
      </c>
      <c r="L71" s="103" t="inlineStr">
        <is>
          <t>Room 1-6</t>
        </is>
      </c>
      <c r="M71" s="103">
        <f>COUNTIFS('Client DB &amp; Bed Mgmt'!$A:$A,$K71,'Client DB &amp; Bed Mgmt'!$B:$B,$L71,'Client DB &amp; Bed Mgmt'!$D:$D,"&lt;&gt;")</f>
        <v/>
      </c>
      <c r="N71" s="126" t="n"/>
      <c r="O71" s="126" t="n"/>
      <c r="P71" s="127">
        <f>IF(N71="","",MAX(N71-O71,0))</f>
        <v/>
      </c>
      <c r="Q71" s="130">
        <f>IF(O71="","",O71*GeneratorRate)</f>
        <v/>
      </c>
      <c r="R71" s="130">
        <f>IF(P71="","",P71*GovernmentRate)</f>
        <v/>
      </c>
      <c r="S71" s="130">
        <f>IF(N71="","",Q71+R71)</f>
        <v/>
      </c>
      <c r="T71" s="130">
        <f>IF(M71=0,0,S71/M71)</f>
        <v/>
      </c>
      <c r="U71" s="176" t="n"/>
      <c r="V71" s="129" t="n"/>
      <c r="W71" s="127" t="n"/>
      <c r="X71" s="130" t="n"/>
      <c r="Y71" s="178" t="n"/>
      <c r="Z71" s="129" t="n"/>
      <c r="AA71" s="129" t="n"/>
      <c r="AB71" s="176" t="n"/>
      <c r="AC71" s="129" t="n"/>
      <c r="AD71" s="176" t="n"/>
      <c r="AE71" s="129" t="n"/>
    </row>
    <row r="72" ht="14.25" customHeight="1" s="83">
      <c r="A72" s="103" t="inlineStr">
        <is>
          <t>Dorm 1</t>
        </is>
      </c>
      <c r="B72" s="177" t="n">
        <v>46357</v>
      </c>
      <c r="C72" s="103" t="inlineStr">
        <is>
          <t>Room 1-1</t>
        </is>
      </c>
      <c r="D72" s="126" t="n">
        <v>0</v>
      </c>
      <c r="E72" s="126" t="n">
        <v>0</v>
      </c>
      <c r="F72" s="127">
        <f>MAX(D72-E72,0)</f>
        <v/>
      </c>
      <c r="G72" s="130">
        <f>E72*GeneratorRate</f>
        <v/>
      </c>
      <c r="H72" s="130">
        <f>F72*GovernmentRate</f>
        <v/>
      </c>
      <c r="I72" s="130">
        <f>G72+H72</f>
        <v/>
      </c>
      <c r="J72" s="129">
        <f>IFERROR(I72/COUNTIFS('Client DB &amp; Bed Mgmt'!$A:$A,A72,'Client DB &amp; Bed Mgmt'!$B:$B,C72,'Client DB &amp; Bed Mgmt'!$D:$D,"&lt;&gt;"),0)</f>
        <v/>
      </c>
      <c r="K72" s="103" t="inlineStr">
        <is>
          <t>Dorm 1</t>
        </is>
      </c>
      <c r="L72" s="103" t="inlineStr">
        <is>
          <t>Room 1-1</t>
        </is>
      </c>
      <c r="M72" s="103">
        <f>COUNTIFS('Client DB &amp; Bed Mgmt'!$A:$A,$K72,'Client DB &amp; Bed Mgmt'!$B:$B,$L72,'Client DB &amp; Bed Mgmt'!$D:$D,"&lt;&gt;")</f>
        <v/>
      </c>
      <c r="N72" s="126" t="n"/>
      <c r="O72" s="126" t="n"/>
      <c r="P72" s="127">
        <f>IF(N72="","",MAX(N72-O72,0))</f>
        <v/>
      </c>
      <c r="Q72" s="130">
        <f>IF(O72="","",O72*GeneratorRate)</f>
        <v/>
      </c>
      <c r="R72" s="130">
        <f>IF(P72="","",P72*GovernmentRate)</f>
        <v/>
      </c>
      <c r="S72" s="130">
        <f>IF(N72="","",Q72+R72)</f>
        <v/>
      </c>
      <c r="T72" s="130">
        <f>IF(M72=0,0,S72/M72)</f>
        <v/>
      </c>
      <c r="U72" s="176" t="n"/>
      <c r="V72" s="129" t="n"/>
      <c r="W72" s="127" t="n"/>
      <c r="X72" s="130" t="n"/>
      <c r="Y72" s="178" t="n"/>
      <c r="Z72" s="129" t="n"/>
      <c r="AA72" s="129" t="n"/>
      <c r="AB72" s="176" t="n"/>
      <c r="AC72" s="129" t="n"/>
      <c r="AD72" s="176" t="n"/>
      <c r="AE72" s="129" t="n"/>
    </row>
    <row r="73" ht="14.25" customHeight="1" s="83">
      <c r="A73" s="103" t="inlineStr">
        <is>
          <t>Dorm 1</t>
        </is>
      </c>
      <c r="B73" s="177" t="n">
        <v>46357</v>
      </c>
      <c r="C73" s="103" t="inlineStr">
        <is>
          <t>Room 1-2</t>
        </is>
      </c>
      <c r="D73" s="126" t="n">
        <v>0</v>
      </c>
      <c r="E73" s="126" t="n">
        <v>0</v>
      </c>
      <c r="F73" s="127">
        <f>MAX(D73-E73,0)</f>
        <v/>
      </c>
      <c r="G73" s="130">
        <f>E73*GeneratorRate</f>
        <v/>
      </c>
      <c r="H73" s="130">
        <f>F73*GovernmentRate</f>
        <v/>
      </c>
      <c r="I73" s="130">
        <f>G73+H73</f>
        <v/>
      </c>
      <c r="J73" s="129">
        <f>IFERROR(I73/COUNTIFS('Client DB &amp; Bed Mgmt'!$A:$A,A73,'Client DB &amp; Bed Mgmt'!$B:$B,C73,'Client DB &amp; Bed Mgmt'!$D:$D,"&lt;&gt;"),0)</f>
        <v/>
      </c>
      <c r="K73" s="103" t="inlineStr">
        <is>
          <t>Dorm 1</t>
        </is>
      </c>
      <c r="L73" s="103" t="inlineStr">
        <is>
          <t>Room 1-2</t>
        </is>
      </c>
      <c r="M73" s="103">
        <f>COUNTIFS('Client DB &amp; Bed Mgmt'!$A:$A,$K73,'Client DB &amp; Bed Mgmt'!$B:$B,$L73,'Client DB &amp; Bed Mgmt'!$D:$D,"&lt;&gt;")</f>
        <v/>
      </c>
      <c r="N73" s="126" t="n"/>
      <c r="O73" s="126" t="n"/>
      <c r="P73" s="127">
        <f>IF(N73="","",MAX(N73-O73,0))</f>
        <v/>
      </c>
      <c r="Q73" s="130">
        <f>IF(O73="","",O73*GeneratorRate)</f>
        <v/>
      </c>
      <c r="R73" s="130">
        <f>IF(P73="","",P73*GovernmentRate)</f>
        <v/>
      </c>
      <c r="S73" s="130">
        <f>IF(N73="","",Q73+R73)</f>
        <v/>
      </c>
      <c r="T73" s="130">
        <f>IF(M73=0,0,S73/M73)</f>
        <v/>
      </c>
      <c r="U73" s="176" t="n"/>
      <c r="V73" s="129" t="n"/>
      <c r="W73" s="127" t="n"/>
      <c r="X73" s="130" t="n"/>
      <c r="Y73" s="178" t="n"/>
      <c r="Z73" s="129" t="n"/>
      <c r="AA73" s="129" t="n"/>
      <c r="AB73" s="176" t="n"/>
      <c r="AC73" s="129" t="n"/>
      <c r="AD73" s="176" t="n"/>
      <c r="AE73" s="129" t="n"/>
    </row>
    <row r="74" ht="14.25" customHeight="1" s="83">
      <c r="A74" s="103" t="inlineStr">
        <is>
          <t>Dorm 1</t>
        </is>
      </c>
      <c r="B74" s="177" t="n">
        <v>46357</v>
      </c>
      <c r="C74" s="103" t="inlineStr">
        <is>
          <t>Room 1-3</t>
        </is>
      </c>
      <c r="D74" s="126" t="n">
        <v>0</v>
      </c>
      <c r="E74" s="126" t="n">
        <v>0</v>
      </c>
      <c r="F74" s="127">
        <f>MAX(D74-E74,0)</f>
        <v/>
      </c>
      <c r="G74" s="130">
        <f>E74*GeneratorRate</f>
        <v/>
      </c>
      <c r="H74" s="130">
        <f>F74*GovernmentRate</f>
        <v/>
      </c>
      <c r="I74" s="130">
        <f>G74+H74</f>
        <v/>
      </c>
      <c r="J74" s="129">
        <f>IFERROR(I74/COUNTIFS('Client DB &amp; Bed Mgmt'!$A:$A,A74,'Client DB &amp; Bed Mgmt'!$B:$B,C74,'Client DB &amp; Bed Mgmt'!$D:$D,"&lt;&gt;"),0)</f>
        <v/>
      </c>
      <c r="K74" s="103" t="inlineStr">
        <is>
          <t>Dorm 1</t>
        </is>
      </c>
      <c r="L74" s="103" t="inlineStr">
        <is>
          <t>Room 1-3</t>
        </is>
      </c>
      <c r="M74" s="103">
        <f>COUNTIFS('Client DB &amp; Bed Mgmt'!$A:$A,$K74,'Client DB &amp; Bed Mgmt'!$B:$B,$L74,'Client DB &amp; Bed Mgmt'!$D:$D,"&lt;&gt;")</f>
        <v/>
      </c>
      <c r="N74" s="126" t="n"/>
      <c r="O74" s="126" t="n"/>
      <c r="P74" s="127">
        <f>IF(N74="","",MAX(N74-O74,0))</f>
        <v/>
      </c>
      <c r="Q74" s="130">
        <f>IF(O74="","",O74*GeneratorRate)</f>
        <v/>
      </c>
      <c r="R74" s="130">
        <f>IF(P74="","",P74*GovernmentRate)</f>
        <v/>
      </c>
      <c r="S74" s="130">
        <f>IF(N74="","",Q74+R74)</f>
        <v/>
      </c>
      <c r="T74" s="130">
        <f>IF(M74=0,0,S74/M74)</f>
        <v/>
      </c>
      <c r="U74" s="176" t="n"/>
      <c r="V74" s="129" t="n"/>
      <c r="W74" s="127" t="n"/>
      <c r="X74" s="130" t="n"/>
      <c r="Y74" s="178" t="n"/>
      <c r="Z74" s="129" t="n"/>
      <c r="AA74" s="129" t="n"/>
      <c r="AB74" s="176" t="n"/>
      <c r="AC74" s="129" t="n"/>
      <c r="AD74" s="176" t="n"/>
      <c r="AE74" s="129" t="n"/>
    </row>
    <row r="75" ht="14.25" customHeight="1" s="83">
      <c r="A75" s="103" t="inlineStr">
        <is>
          <t>Dorm 1</t>
        </is>
      </c>
      <c r="B75" s="177" t="n">
        <v>46357</v>
      </c>
      <c r="C75" s="103" t="inlineStr">
        <is>
          <t>Room 1-4</t>
        </is>
      </c>
      <c r="D75" s="126" t="n">
        <v>0</v>
      </c>
      <c r="E75" s="126" t="n">
        <v>0</v>
      </c>
      <c r="F75" s="127">
        <f>MAX(D75-E75,0)</f>
        <v/>
      </c>
      <c r="G75" s="130">
        <f>E75*GeneratorRate</f>
        <v/>
      </c>
      <c r="H75" s="130">
        <f>F75*GovernmentRate</f>
        <v/>
      </c>
      <c r="I75" s="130">
        <f>G75+H75</f>
        <v/>
      </c>
      <c r="J75" s="129">
        <f>IFERROR(I75/COUNTIFS('Client DB &amp; Bed Mgmt'!$A:$A,A75,'Client DB &amp; Bed Mgmt'!$B:$B,C75,'Client DB &amp; Bed Mgmt'!$D:$D,"&lt;&gt;"),0)</f>
        <v/>
      </c>
      <c r="K75" s="103" t="inlineStr">
        <is>
          <t>Dorm 1</t>
        </is>
      </c>
      <c r="L75" s="103" t="inlineStr">
        <is>
          <t>Room 1-4</t>
        </is>
      </c>
      <c r="M75" s="103">
        <f>COUNTIFS('Client DB &amp; Bed Mgmt'!$A:$A,$K75,'Client DB &amp; Bed Mgmt'!$B:$B,$L75,'Client DB &amp; Bed Mgmt'!$D:$D,"&lt;&gt;")</f>
        <v/>
      </c>
      <c r="N75" s="126" t="n"/>
      <c r="O75" s="126" t="n"/>
      <c r="P75" s="127">
        <f>IF(N75="","",MAX(N75-O75,0))</f>
        <v/>
      </c>
      <c r="Q75" s="130">
        <f>IF(O75="","",O75*GeneratorRate)</f>
        <v/>
      </c>
      <c r="R75" s="130">
        <f>IF(P75="","",P75*GovernmentRate)</f>
        <v/>
      </c>
      <c r="S75" s="130">
        <f>IF(N75="","",Q75+R75)</f>
        <v/>
      </c>
      <c r="T75" s="130">
        <f>IF(M75=0,0,S75/M75)</f>
        <v/>
      </c>
      <c r="U75" s="176" t="n"/>
      <c r="V75" s="129" t="n"/>
      <c r="W75" s="127" t="n"/>
      <c r="X75" s="130" t="n"/>
      <c r="Y75" s="178" t="n"/>
      <c r="Z75" s="129" t="n"/>
      <c r="AA75" s="129" t="n"/>
      <c r="AB75" s="176" t="n"/>
      <c r="AC75" s="129" t="n"/>
      <c r="AD75" s="176" t="n"/>
      <c r="AE75" s="129" t="n"/>
    </row>
    <row r="76" ht="14.25" customHeight="1" s="83">
      <c r="A76" s="103" t="inlineStr">
        <is>
          <t>Dorm 1</t>
        </is>
      </c>
      <c r="B76" s="177" t="n">
        <v>46357</v>
      </c>
      <c r="C76" s="103" t="inlineStr">
        <is>
          <t>Room 1-5</t>
        </is>
      </c>
      <c r="D76" s="126" t="n">
        <v>0</v>
      </c>
      <c r="E76" s="126" t="n">
        <v>0</v>
      </c>
      <c r="F76" s="127">
        <f>MAX(D76-E76,0)</f>
        <v/>
      </c>
      <c r="G76" s="130">
        <f>E76*GeneratorRate</f>
        <v/>
      </c>
      <c r="H76" s="130">
        <f>F76*GovernmentRate</f>
        <v/>
      </c>
      <c r="I76" s="130">
        <f>G76+H76</f>
        <v/>
      </c>
      <c r="J76" s="129">
        <f>IFERROR(I76/COUNTIFS('Client DB &amp; Bed Mgmt'!$A:$A,A76,'Client DB &amp; Bed Mgmt'!$B:$B,C76,'Client DB &amp; Bed Mgmt'!$D:$D,"&lt;&gt;"),0)</f>
        <v/>
      </c>
      <c r="K76" s="103" t="inlineStr">
        <is>
          <t>Dorm 1</t>
        </is>
      </c>
      <c r="L76" s="103" t="inlineStr">
        <is>
          <t>Room 1-5</t>
        </is>
      </c>
      <c r="M76" s="103">
        <f>COUNTIFS('Client DB &amp; Bed Mgmt'!$A:$A,$K76,'Client DB &amp; Bed Mgmt'!$B:$B,$L76,'Client DB &amp; Bed Mgmt'!$D:$D,"&lt;&gt;")</f>
        <v/>
      </c>
      <c r="N76" s="126" t="n"/>
      <c r="O76" s="126" t="n"/>
      <c r="P76" s="127">
        <f>IF(N76="","",MAX(N76-O76,0))</f>
        <v/>
      </c>
      <c r="Q76" s="130">
        <f>IF(O76="","",O76*GeneratorRate)</f>
        <v/>
      </c>
      <c r="R76" s="130">
        <f>IF(P76="","",P76*GovernmentRate)</f>
        <v/>
      </c>
      <c r="S76" s="130">
        <f>IF(N76="","",Q76+R76)</f>
        <v/>
      </c>
      <c r="T76" s="130">
        <f>IF(M76=0,0,S76/M76)</f>
        <v/>
      </c>
      <c r="U76" s="176" t="n"/>
      <c r="V76" s="129" t="n"/>
      <c r="W76" s="127" t="n"/>
      <c r="X76" s="130" t="n"/>
      <c r="Y76" s="178" t="n"/>
      <c r="Z76" s="129" t="n"/>
      <c r="AA76" s="129" t="n"/>
      <c r="AB76" s="176" t="n"/>
      <c r="AC76" s="129" t="n"/>
      <c r="AD76" s="176" t="n"/>
      <c r="AE76" s="129" t="n"/>
    </row>
    <row r="77" ht="14.25" customHeight="1" s="83">
      <c r="A77" s="103" t="inlineStr">
        <is>
          <t>Dorm 1</t>
        </is>
      </c>
      <c r="B77" s="177" t="n">
        <v>46357</v>
      </c>
      <c r="C77" s="103" t="inlineStr">
        <is>
          <t>Room 1-6</t>
        </is>
      </c>
      <c r="D77" s="126" t="n">
        <v>0</v>
      </c>
      <c r="E77" s="126" t="n">
        <v>0</v>
      </c>
      <c r="F77" s="127">
        <f>MAX(D77-E77,0)</f>
        <v/>
      </c>
      <c r="G77" s="130">
        <f>E77*GeneratorRate</f>
        <v/>
      </c>
      <c r="H77" s="130">
        <f>F77*GovernmentRate</f>
        <v/>
      </c>
      <c r="I77" s="130">
        <f>G77+H77</f>
        <v/>
      </c>
      <c r="J77" s="129">
        <f>IFERROR(I77/COUNTIFS('Client DB &amp; Bed Mgmt'!$A:$A,A77,'Client DB &amp; Bed Mgmt'!$B:$B,C77,'Client DB &amp; Bed Mgmt'!$D:$D,"&lt;&gt;"),0)</f>
        <v/>
      </c>
      <c r="K77" s="103" t="inlineStr">
        <is>
          <t>Dorm 1</t>
        </is>
      </c>
      <c r="L77" s="103" t="inlineStr">
        <is>
          <t>Room 1-6</t>
        </is>
      </c>
      <c r="M77" s="103">
        <f>COUNTIFS('Client DB &amp; Bed Mgmt'!$A:$A,$K77,'Client DB &amp; Bed Mgmt'!$B:$B,$L77,'Client DB &amp; Bed Mgmt'!$D:$D,"&lt;&gt;")</f>
        <v/>
      </c>
      <c r="N77" s="126" t="n"/>
      <c r="O77" s="126" t="n"/>
      <c r="P77" s="127">
        <f>IF(N77="","",MAX(N77-O77,0))</f>
        <v/>
      </c>
      <c r="Q77" s="130">
        <f>IF(O77="","",O77*GeneratorRate)</f>
        <v/>
      </c>
      <c r="R77" s="130">
        <f>IF(P77="","",P77*GovernmentRate)</f>
        <v/>
      </c>
      <c r="S77" s="130">
        <f>IF(N77="","",Q77+R77)</f>
        <v/>
      </c>
      <c r="T77" s="130">
        <f>IF(M77=0,0,S77/M77)</f>
        <v/>
      </c>
      <c r="U77" s="176" t="n"/>
      <c r="V77" s="129" t="n"/>
      <c r="W77" s="127" t="n"/>
      <c r="X77" s="130" t="n"/>
      <c r="Y77" s="178" t="n"/>
      <c r="Z77" s="129" t="n"/>
      <c r="AA77" s="129" t="n"/>
      <c r="AB77" s="176" t="n"/>
      <c r="AC77" s="129" t="n"/>
      <c r="AD77" s="176" t="n"/>
      <c r="AE77" s="129" t="n"/>
    </row>
    <row r="78" hidden="1" ht="14.25" customHeight="1" s="83">
      <c r="A78" s="103" t="inlineStr">
        <is>
          <t>Dorm 2</t>
        </is>
      </c>
      <c r="B78" s="177" t="n">
        <v>46023</v>
      </c>
      <c r="C78" s="103" t="inlineStr">
        <is>
          <t>Room 2-1</t>
        </is>
      </c>
      <c r="D78" s="126" t="n">
        <v>0</v>
      </c>
      <c r="E78" s="126" t="n">
        <v>0</v>
      </c>
      <c r="F78" s="127">
        <f>MAX(D78-E78,0)</f>
        <v/>
      </c>
      <c r="G78" s="130">
        <f>E78*GeneratorRate</f>
        <v/>
      </c>
      <c r="H78" s="130">
        <f>F78*GovernmentRate</f>
        <v/>
      </c>
      <c r="I78" s="130">
        <f>G78+H78</f>
        <v/>
      </c>
      <c r="J78" s="129">
        <f>IFERROR(I78/COUNTIFS('Client DB &amp; Bed Mgmt'!$A:$A,A78,'Client DB &amp; Bed Mgmt'!$B:$B,C78,'Client DB &amp; Bed Mgmt'!$D:$D,"&lt;&gt;"),0)</f>
        <v/>
      </c>
      <c r="K78" s="103" t="inlineStr">
        <is>
          <t>Dorm 2</t>
        </is>
      </c>
      <c r="L78" s="103" t="inlineStr">
        <is>
          <t>Room 2-1</t>
        </is>
      </c>
      <c r="M78" s="103">
        <f>COUNTIFS('Client DB &amp; Bed Mgmt'!$A:$A,$K78,'Client DB &amp; Bed Mgmt'!$B:$B,$L78,'Client DB &amp; Bed Mgmt'!$D:$D,"&lt;&gt;")</f>
        <v/>
      </c>
      <c r="N78" s="126" t="n"/>
      <c r="O78" s="126" t="n"/>
      <c r="P78" s="127">
        <f>IF(N78="","",MAX(N78-O78,0))</f>
        <v/>
      </c>
      <c r="Q78" s="130">
        <f>IF(O78="","",O78*GeneratorRate)</f>
        <v/>
      </c>
      <c r="R78" s="130">
        <f>IF(P78="","",P78*GovernmentRate)</f>
        <v/>
      </c>
      <c r="S78" s="130">
        <f>IF(N78="","",Q78+R78)</f>
        <v/>
      </c>
      <c r="T78" s="130">
        <f>IF(M78=0,0,S78/M78)</f>
        <v/>
      </c>
      <c r="U78" s="176" t="n"/>
      <c r="V78" s="129" t="n"/>
      <c r="W78" s="127" t="n"/>
      <c r="X78" s="130" t="n"/>
      <c r="Y78" s="178" t="n"/>
      <c r="Z78" s="129" t="n"/>
      <c r="AA78" s="129" t="n"/>
      <c r="AB78" s="176" t="n"/>
      <c r="AC78" s="129" t="n"/>
      <c r="AD78" s="176" t="n"/>
      <c r="AE78" s="129" t="n"/>
    </row>
    <row r="79" hidden="1" ht="14.25" customHeight="1" s="83">
      <c r="A79" s="103" t="inlineStr">
        <is>
          <t>Dorm 2</t>
        </is>
      </c>
      <c r="B79" s="177" t="n">
        <v>46023</v>
      </c>
      <c r="C79" s="103" t="inlineStr">
        <is>
          <t>Room 2-2</t>
        </is>
      </c>
      <c r="D79" s="126" t="n">
        <v>0</v>
      </c>
      <c r="E79" s="126" t="n">
        <v>0</v>
      </c>
      <c r="F79" s="127">
        <f>MAX(D79-E79,0)</f>
        <v/>
      </c>
      <c r="G79" s="130">
        <f>E79*GeneratorRate</f>
        <v/>
      </c>
      <c r="H79" s="130">
        <f>F79*GovernmentRate</f>
        <v/>
      </c>
      <c r="I79" s="130">
        <f>G79+H79</f>
        <v/>
      </c>
      <c r="J79" s="129">
        <f>IFERROR(I79/COUNTIFS('Client DB &amp; Bed Mgmt'!$A:$A,A79,'Client DB &amp; Bed Mgmt'!$B:$B,C79,'Client DB &amp; Bed Mgmt'!$D:$D,"&lt;&gt;"),0)</f>
        <v/>
      </c>
      <c r="K79" s="103" t="inlineStr">
        <is>
          <t>Dorm 2</t>
        </is>
      </c>
      <c r="L79" s="103" t="inlineStr">
        <is>
          <t>Room 2-2</t>
        </is>
      </c>
      <c r="M79" s="103">
        <f>COUNTIFS('Client DB &amp; Bed Mgmt'!$A:$A,$K79,'Client DB &amp; Bed Mgmt'!$B:$B,$L79,'Client DB &amp; Bed Mgmt'!$D:$D,"&lt;&gt;")</f>
        <v/>
      </c>
      <c r="N79" s="126" t="n"/>
      <c r="O79" s="126" t="n"/>
      <c r="P79" s="127">
        <f>IF(N79="","",MAX(N79-O79,0))</f>
        <v/>
      </c>
      <c r="Q79" s="130">
        <f>IF(O79="","",O79*GeneratorRate)</f>
        <v/>
      </c>
      <c r="R79" s="130">
        <f>IF(P79="","",P79*GovernmentRate)</f>
        <v/>
      </c>
      <c r="S79" s="130">
        <f>IF(N79="","",Q79+R79)</f>
        <v/>
      </c>
      <c r="T79" s="130">
        <f>IF(M79=0,0,S79/M79)</f>
        <v/>
      </c>
      <c r="U79" s="176" t="n"/>
      <c r="V79" s="129" t="n"/>
      <c r="W79" s="127" t="n"/>
      <c r="X79" s="130" t="n"/>
      <c r="Y79" s="178" t="n"/>
      <c r="Z79" s="129" t="n"/>
      <c r="AA79" s="129" t="n"/>
      <c r="AB79" s="176" t="n"/>
      <c r="AC79" s="129" t="n"/>
      <c r="AD79" s="176" t="n"/>
      <c r="AE79" s="129" t="n"/>
    </row>
    <row r="80" hidden="1" ht="14.25" customHeight="1" s="83">
      <c r="A80" s="103" t="inlineStr">
        <is>
          <t>Dorm 2</t>
        </is>
      </c>
      <c r="B80" s="177" t="n">
        <v>46023</v>
      </c>
      <c r="C80" s="103" t="inlineStr">
        <is>
          <t>Room 2-3</t>
        </is>
      </c>
      <c r="D80" s="126" t="n">
        <v>0</v>
      </c>
      <c r="E80" s="126" t="n">
        <v>0</v>
      </c>
      <c r="F80" s="127">
        <f>MAX(D80-E80,0)</f>
        <v/>
      </c>
      <c r="G80" s="130">
        <f>E80*GeneratorRate</f>
        <v/>
      </c>
      <c r="H80" s="130">
        <f>F80*GovernmentRate</f>
        <v/>
      </c>
      <c r="I80" s="130">
        <f>G80+H80</f>
        <v/>
      </c>
      <c r="J80" s="129">
        <f>IFERROR(I80/COUNTIFS('Client DB &amp; Bed Mgmt'!$A:$A,A80,'Client DB &amp; Bed Mgmt'!$B:$B,C80,'Client DB &amp; Bed Mgmt'!$D:$D,"&lt;&gt;"),0)</f>
        <v/>
      </c>
      <c r="K80" s="103" t="inlineStr">
        <is>
          <t>Dorm 2</t>
        </is>
      </c>
      <c r="L80" s="103" t="inlineStr">
        <is>
          <t>Room 2-3</t>
        </is>
      </c>
      <c r="M80" s="103">
        <f>COUNTIFS('Client DB &amp; Bed Mgmt'!$A:$A,$K80,'Client DB &amp; Bed Mgmt'!$B:$B,$L80,'Client DB &amp; Bed Mgmt'!$D:$D,"&lt;&gt;")</f>
        <v/>
      </c>
      <c r="N80" s="126" t="n"/>
      <c r="O80" s="126" t="n"/>
      <c r="P80" s="127">
        <f>IF(N80="","",MAX(N80-O80,0))</f>
        <v/>
      </c>
      <c r="Q80" s="130">
        <f>IF(O80="","",O80*GeneratorRate)</f>
        <v/>
      </c>
      <c r="R80" s="130">
        <f>IF(P80="","",P80*GovernmentRate)</f>
        <v/>
      </c>
      <c r="S80" s="130">
        <f>IF(N80="","",Q80+R80)</f>
        <v/>
      </c>
      <c r="T80" s="130">
        <f>IF(M80=0,0,S80/M80)</f>
        <v/>
      </c>
      <c r="U80" s="176" t="n"/>
      <c r="V80" s="129" t="n"/>
      <c r="W80" s="127" t="n"/>
      <c r="X80" s="130" t="n"/>
      <c r="Y80" s="178" t="n"/>
      <c r="Z80" s="129" t="n"/>
      <c r="AA80" s="129" t="n"/>
      <c r="AB80" s="176" t="n"/>
      <c r="AC80" s="129" t="n"/>
      <c r="AD80" s="176" t="n"/>
      <c r="AE80" s="129" t="n"/>
    </row>
    <row r="81" hidden="1" ht="14.25" customHeight="1" s="83">
      <c r="A81" s="103" t="inlineStr">
        <is>
          <t>Dorm 2</t>
        </is>
      </c>
      <c r="B81" s="177" t="n">
        <v>46023</v>
      </c>
      <c r="C81" s="103" t="inlineStr">
        <is>
          <t>Room 2-4</t>
        </is>
      </c>
      <c r="D81" s="126" t="n">
        <v>0</v>
      </c>
      <c r="E81" s="126" t="n">
        <v>0</v>
      </c>
      <c r="F81" s="127">
        <f>MAX(D81-E81,0)</f>
        <v/>
      </c>
      <c r="G81" s="130">
        <f>E81*GeneratorRate</f>
        <v/>
      </c>
      <c r="H81" s="130">
        <f>F81*GovernmentRate</f>
        <v/>
      </c>
      <c r="I81" s="130">
        <f>G81+H81</f>
        <v/>
      </c>
      <c r="J81" s="129">
        <f>IFERROR(I81/COUNTIFS('Client DB &amp; Bed Mgmt'!$A:$A,A81,'Client DB &amp; Bed Mgmt'!$B:$B,C81,'Client DB &amp; Bed Mgmt'!$D:$D,"&lt;&gt;"),0)</f>
        <v/>
      </c>
      <c r="K81" s="103" t="inlineStr">
        <is>
          <t>Dorm 2</t>
        </is>
      </c>
      <c r="L81" s="103" t="inlineStr">
        <is>
          <t>Room 2-4</t>
        </is>
      </c>
      <c r="M81" s="103">
        <f>COUNTIFS('Client DB &amp; Bed Mgmt'!$A:$A,$K81,'Client DB &amp; Bed Mgmt'!$B:$B,$L81,'Client DB &amp; Bed Mgmt'!$D:$D,"&lt;&gt;")</f>
        <v/>
      </c>
      <c r="N81" s="126" t="n"/>
      <c r="O81" s="126" t="n"/>
      <c r="P81" s="127">
        <f>IF(N81="","",MAX(N81-O81,0))</f>
        <v/>
      </c>
      <c r="Q81" s="130">
        <f>IF(O81="","",O81*GeneratorRate)</f>
        <v/>
      </c>
      <c r="R81" s="130">
        <f>IF(P81="","",P81*GovernmentRate)</f>
        <v/>
      </c>
      <c r="S81" s="130">
        <f>IF(N81="","",Q81+R81)</f>
        <v/>
      </c>
      <c r="T81" s="130">
        <f>IF(M81=0,0,S81/M81)</f>
        <v/>
      </c>
      <c r="U81" s="176" t="n"/>
      <c r="V81" s="129" t="n"/>
      <c r="W81" s="127" t="n"/>
      <c r="X81" s="130" t="n"/>
      <c r="Y81" s="178" t="n"/>
      <c r="Z81" s="129" t="n"/>
      <c r="AA81" s="129" t="n"/>
      <c r="AB81" s="176" t="n"/>
      <c r="AC81" s="129" t="n"/>
      <c r="AD81" s="176" t="n"/>
      <c r="AE81" s="129" t="n"/>
    </row>
    <row r="82" hidden="1" ht="14.25" customHeight="1" s="83">
      <c r="A82" s="103" t="inlineStr">
        <is>
          <t>Dorm 2</t>
        </is>
      </c>
      <c r="B82" s="177" t="n">
        <v>46023</v>
      </c>
      <c r="C82" s="103" t="inlineStr">
        <is>
          <t>Room 2-5</t>
        </is>
      </c>
      <c r="D82" s="126" t="n">
        <v>0</v>
      </c>
      <c r="E82" s="126" t="n">
        <v>0</v>
      </c>
      <c r="F82" s="127">
        <f>MAX(D82-E82,0)</f>
        <v/>
      </c>
      <c r="G82" s="130">
        <f>E82*GeneratorRate</f>
        <v/>
      </c>
      <c r="H82" s="130">
        <f>F82*GovernmentRate</f>
        <v/>
      </c>
      <c r="I82" s="130">
        <f>G82+H82</f>
        <v/>
      </c>
      <c r="J82" s="129">
        <f>IFERROR(I82/COUNTIFS('Client DB &amp; Bed Mgmt'!$A:$A,A82,'Client DB &amp; Bed Mgmt'!$B:$B,C82,'Client DB &amp; Bed Mgmt'!$D:$D,"&lt;&gt;"),0)</f>
        <v/>
      </c>
      <c r="K82" s="103" t="inlineStr">
        <is>
          <t>Dorm 2</t>
        </is>
      </c>
      <c r="L82" s="103" t="inlineStr">
        <is>
          <t>Room 2-5</t>
        </is>
      </c>
      <c r="M82" s="103">
        <f>COUNTIFS('Client DB &amp; Bed Mgmt'!$A:$A,$K82,'Client DB &amp; Bed Mgmt'!$B:$B,$L82,'Client DB &amp; Bed Mgmt'!$D:$D,"&lt;&gt;")</f>
        <v/>
      </c>
      <c r="N82" s="126" t="n"/>
      <c r="O82" s="126" t="n"/>
      <c r="P82" s="127">
        <f>IF(N82="","",MAX(N82-O82,0))</f>
        <v/>
      </c>
      <c r="Q82" s="130">
        <f>IF(O82="","",O82*GeneratorRate)</f>
        <v/>
      </c>
      <c r="R82" s="130">
        <f>IF(P82="","",P82*GovernmentRate)</f>
        <v/>
      </c>
      <c r="S82" s="130">
        <f>IF(N82="","",Q82+R82)</f>
        <v/>
      </c>
      <c r="T82" s="130">
        <f>IF(M82=0,0,S82/M82)</f>
        <v/>
      </c>
      <c r="U82" s="176" t="n"/>
      <c r="V82" s="129" t="n"/>
      <c r="W82" s="127" t="n"/>
      <c r="X82" s="130" t="n"/>
      <c r="Y82" s="178" t="n"/>
      <c r="Z82" s="129" t="n"/>
      <c r="AA82" s="129" t="n"/>
      <c r="AB82" s="176" t="n"/>
      <c r="AC82" s="129" t="n"/>
      <c r="AD82" s="176" t="n"/>
      <c r="AE82" s="129" t="n"/>
    </row>
    <row r="83" hidden="1" ht="14.25" customHeight="1" s="83">
      <c r="A83" s="103" t="inlineStr">
        <is>
          <t>Dorm 2</t>
        </is>
      </c>
      <c r="B83" s="177" t="n">
        <v>46023</v>
      </c>
      <c r="C83" s="103" t="inlineStr">
        <is>
          <t>Room 2-6</t>
        </is>
      </c>
      <c r="D83" s="126" t="n">
        <v>0</v>
      </c>
      <c r="E83" s="126" t="n">
        <v>0</v>
      </c>
      <c r="F83" s="127">
        <f>MAX(D83-E83,0)</f>
        <v/>
      </c>
      <c r="G83" s="130">
        <f>E83*GeneratorRate</f>
        <v/>
      </c>
      <c r="H83" s="130">
        <f>F83*GovernmentRate</f>
        <v/>
      </c>
      <c r="I83" s="130">
        <f>G83+H83</f>
        <v/>
      </c>
      <c r="J83" s="129">
        <f>IFERROR(I83/COUNTIFS('Client DB &amp; Bed Mgmt'!$A:$A,A83,'Client DB &amp; Bed Mgmt'!$B:$B,C83,'Client DB &amp; Bed Mgmt'!$D:$D,"&lt;&gt;"),0)</f>
        <v/>
      </c>
      <c r="K83" s="103" t="inlineStr">
        <is>
          <t>Dorm 2</t>
        </is>
      </c>
      <c r="L83" s="103" t="inlineStr">
        <is>
          <t>Room 2-6</t>
        </is>
      </c>
      <c r="M83" s="103">
        <f>COUNTIFS('Client DB &amp; Bed Mgmt'!$A:$A,$K83,'Client DB &amp; Bed Mgmt'!$B:$B,$L83,'Client DB &amp; Bed Mgmt'!$D:$D,"&lt;&gt;")</f>
        <v/>
      </c>
      <c r="N83" s="126" t="n"/>
      <c r="O83" s="126" t="n"/>
      <c r="P83" s="127">
        <f>IF(N83="","",MAX(N83-O83,0))</f>
        <v/>
      </c>
      <c r="Q83" s="130">
        <f>IF(O83="","",O83*GeneratorRate)</f>
        <v/>
      </c>
      <c r="R83" s="130">
        <f>IF(P83="","",P83*GovernmentRate)</f>
        <v/>
      </c>
      <c r="S83" s="130">
        <f>IF(N83="","",Q83+R83)</f>
        <v/>
      </c>
      <c r="T83" s="130">
        <f>IF(M83=0,0,S83/M83)</f>
        <v/>
      </c>
      <c r="U83" s="176" t="n"/>
      <c r="V83" s="129" t="n"/>
      <c r="W83" s="127" t="n"/>
      <c r="X83" s="130" t="n"/>
      <c r="Y83" s="178" t="n"/>
      <c r="Z83" s="129" t="n"/>
      <c r="AA83" s="129" t="n"/>
      <c r="AB83" s="176" t="n"/>
      <c r="AC83" s="129" t="n"/>
      <c r="AD83" s="176" t="n"/>
      <c r="AE83" s="129" t="n"/>
    </row>
    <row r="84" hidden="1" ht="14.25" customHeight="1" s="83">
      <c r="A84" s="103" t="inlineStr">
        <is>
          <t>Dorm 2</t>
        </is>
      </c>
      <c r="B84" s="177" t="n">
        <v>46054</v>
      </c>
      <c r="C84" s="103" t="inlineStr">
        <is>
          <t>Room 2-1</t>
        </is>
      </c>
      <c r="D84" s="126" t="n">
        <v>0</v>
      </c>
      <c r="E84" s="126" t="n">
        <v>0</v>
      </c>
      <c r="F84" s="127">
        <f>MAX(D84-E84,0)</f>
        <v/>
      </c>
      <c r="G84" s="130">
        <f>E84*GeneratorRate</f>
        <v/>
      </c>
      <c r="H84" s="130">
        <f>F84*GovernmentRate</f>
        <v/>
      </c>
      <c r="I84" s="130">
        <f>G84+H84</f>
        <v/>
      </c>
      <c r="J84" s="129">
        <f>IFERROR(I84/COUNTIFS('Client DB &amp; Bed Mgmt'!$A:$A,A84,'Client DB &amp; Bed Mgmt'!$B:$B,C84,'Client DB &amp; Bed Mgmt'!$D:$D,"&lt;&gt;"),0)</f>
        <v/>
      </c>
      <c r="K84" s="103" t="inlineStr">
        <is>
          <t>Dorm 2</t>
        </is>
      </c>
      <c r="L84" s="103" t="inlineStr">
        <is>
          <t>Room 2-1</t>
        </is>
      </c>
      <c r="M84" s="103">
        <f>COUNTIFS('Client DB &amp; Bed Mgmt'!$A:$A,$K84,'Client DB &amp; Bed Mgmt'!$B:$B,$L84,'Client DB &amp; Bed Mgmt'!$D:$D,"&lt;&gt;")</f>
        <v/>
      </c>
      <c r="N84" s="126" t="n"/>
      <c r="O84" s="126" t="n"/>
      <c r="P84" s="127">
        <f>IF(N84="","",MAX(N84-O84,0))</f>
        <v/>
      </c>
      <c r="Q84" s="130">
        <f>IF(O84="","",O84*GeneratorRate)</f>
        <v/>
      </c>
      <c r="R84" s="130">
        <f>IF(P84="","",P84*GovernmentRate)</f>
        <v/>
      </c>
      <c r="S84" s="130">
        <f>IF(N84="","",Q84+R84)</f>
        <v/>
      </c>
      <c r="T84" s="130">
        <f>IF(M84=0,0,S84/M84)</f>
        <v/>
      </c>
      <c r="U84" s="176" t="n"/>
      <c r="V84" s="129" t="n"/>
      <c r="W84" s="127" t="n"/>
      <c r="X84" s="130" t="n"/>
      <c r="Y84" s="178" t="n"/>
      <c r="Z84" s="129" t="n"/>
      <c r="AA84" s="129" t="n"/>
      <c r="AB84" s="176" t="n"/>
      <c r="AC84" s="129" t="n"/>
      <c r="AD84" s="176" t="n"/>
      <c r="AE84" s="129" t="n"/>
    </row>
    <row r="85" hidden="1" ht="14.25" customHeight="1" s="83">
      <c r="A85" s="103" t="inlineStr">
        <is>
          <t>Dorm 2</t>
        </is>
      </c>
      <c r="B85" s="177" t="n">
        <v>46054</v>
      </c>
      <c r="C85" s="103" t="inlineStr">
        <is>
          <t>Room 2-2</t>
        </is>
      </c>
      <c r="D85" s="126" t="n">
        <v>0</v>
      </c>
      <c r="E85" s="126" t="n">
        <v>1000</v>
      </c>
      <c r="F85" s="127">
        <f>MAX(D85-E85,0)</f>
        <v/>
      </c>
      <c r="G85" s="130">
        <f>E85*GeneratorRate</f>
        <v/>
      </c>
      <c r="H85" s="130">
        <f>F85*GovernmentRate</f>
        <v/>
      </c>
      <c r="I85" s="130">
        <f>G85+H85</f>
        <v/>
      </c>
      <c r="J85" s="129">
        <f>IFERROR(I85/COUNTIFS('Client DB &amp; Bed Mgmt'!$A:$A,A85,'Client DB &amp; Bed Mgmt'!$B:$B,C85,'Client DB &amp; Bed Mgmt'!$D:$D,"&lt;&gt;"),0)</f>
        <v/>
      </c>
      <c r="K85" s="103" t="inlineStr">
        <is>
          <t>Dorm 2</t>
        </is>
      </c>
      <c r="L85" s="103" t="inlineStr">
        <is>
          <t>Room 2-2</t>
        </is>
      </c>
      <c r="M85" s="103">
        <f>COUNTIFS('Client DB &amp; Bed Mgmt'!$A:$A,$K85,'Client DB &amp; Bed Mgmt'!$B:$B,$L85,'Client DB &amp; Bed Mgmt'!$D:$D,"&lt;&gt;")</f>
        <v/>
      </c>
      <c r="N85" s="126" t="n"/>
      <c r="O85" s="126" t="n"/>
      <c r="P85" s="127">
        <f>IF(N85="","",MAX(N85-O85,0))</f>
        <v/>
      </c>
      <c r="Q85" s="130">
        <f>IF(O85="","",O85*GeneratorRate)</f>
        <v/>
      </c>
      <c r="R85" s="130">
        <f>IF(P85="","",P85*GovernmentRate)</f>
        <v/>
      </c>
      <c r="S85" s="130">
        <f>IF(N85="","",Q85+R85)</f>
        <v/>
      </c>
      <c r="T85" s="130">
        <f>IF(M85=0,0,S85/M85)</f>
        <v/>
      </c>
      <c r="U85" s="176" t="n"/>
      <c r="V85" s="129" t="n"/>
      <c r="W85" s="127" t="n"/>
      <c r="X85" s="130" t="n"/>
      <c r="Y85" s="178" t="n"/>
      <c r="Z85" s="129" t="n"/>
      <c r="AA85" s="129" t="n"/>
      <c r="AB85" s="176" t="n"/>
      <c r="AC85" s="129" t="n"/>
      <c r="AD85" s="176" t="n"/>
      <c r="AE85" s="129" t="n"/>
    </row>
    <row r="86" hidden="1" ht="14.25" customHeight="1" s="83">
      <c r="A86" s="103" t="inlineStr">
        <is>
          <t>Dorm 2</t>
        </is>
      </c>
      <c r="B86" s="177" t="n">
        <v>46054</v>
      </c>
      <c r="C86" s="103" t="inlineStr">
        <is>
          <t>Room 2-3</t>
        </is>
      </c>
      <c r="D86" s="126" t="n">
        <v>0</v>
      </c>
      <c r="E86" s="126" t="n">
        <v>0</v>
      </c>
      <c r="F86" s="127">
        <f>MAX(D86-E86,0)</f>
        <v/>
      </c>
      <c r="G86" s="130">
        <f>E86*GeneratorRate</f>
        <v/>
      </c>
      <c r="H86" s="130">
        <f>F86*GovernmentRate</f>
        <v/>
      </c>
      <c r="I86" s="130">
        <f>G86+H86</f>
        <v/>
      </c>
      <c r="J86" s="129">
        <f>IFERROR(I86/COUNTIFS('Client DB &amp; Bed Mgmt'!$A:$A,A86,'Client DB &amp; Bed Mgmt'!$B:$B,C86,'Client DB &amp; Bed Mgmt'!$D:$D,"&lt;&gt;"),0)</f>
        <v/>
      </c>
      <c r="K86" s="103" t="inlineStr">
        <is>
          <t>Dorm 2</t>
        </is>
      </c>
      <c r="L86" s="103" t="inlineStr">
        <is>
          <t>Room 2-3</t>
        </is>
      </c>
      <c r="M86" s="103">
        <f>COUNTIFS('Client DB &amp; Bed Mgmt'!$A:$A,$K86,'Client DB &amp; Bed Mgmt'!$B:$B,$L86,'Client DB &amp; Bed Mgmt'!$D:$D,"&lt;&gt;")</f>
        <v/>
      </c>
      <c r="N86" s="126" t="n"/>
      <c r="O86" s="126" t="n"/>
      <c r="P86" s="127">
        <f>IF(N86="","",MAX(N86-O86,0))</f>
        <v/>
      </c>
      <c r="Q86" s="130">
        <f>IF(O86="","",O86*GeneratorRate)</f>
        <v/>
      </c>
      <c r="R86" s="130">
        <f>IF(P86="","",P86*GovernmentRate)</f>
        <v/>
      </c>
      <c r="S86" s="130">
        <f>IF(N86="","",Q86+R86)</f>
        <v/>
      </c>
      <c r="T86" s="130">
        <f>IF(M86=0,0,S86/M86)</f>
        <v/>
      </c>
      <c r="U86" s="176" t="n"/>
      <c r="V86" s="129" t="n"/>
      <c r="W86" s="127" t="n"/>
      <c r="X86" s="130" t="n"/>
      <c r="Y86" s="178" t="n"/>
      <c r="Z86" s="129" t="n"/>
      <c r="AA86" s="129" t="n"/>
      <c r="AB86" s="176" t="n"/>
      <c r="AC86" s="129" t="n"/>
      <c r="AD86" s="176" t="n"/>
      <c r="AE86" s="129" t="n"/>
    </row>
    <row r="87" hidden="1" ht="14.25" customHeight="1" s="83">
      <c r="A87" s="103" t="inlineStr">
        <is>
          <t>Dorm 2</t>
        </is>
      </c>
      <c r="B87" s="177" t="n">
        <v>46054</v>
      </c>
      <c r="C87" s="103" t="inlineStr">
        <is>
          <t>Room 2-4</t>
        </is>
      </c>
      <c r="D87" s="126" t="n">
        <v>0</v>
      </c>
      <c r="E87" s="126" t="n">
        <v>0</v>
      </c>
      <c r="F87" s="127">
        <f>MAX(D87-E87,0)</f>
        <v/>
      </c>
      <c r="G87" s="130">
        <f>E87*GeneratorRate</f>
        <v/>
      </c>
      <c r="H87" s="130">
        <f>F87*GovernmentRate</f>
        <v/>
      </c>
      <c r="I87" s="130">
        <f>G87+H87</f>
        <v/>
      </c>
      <c r="J87" s="129">
        <f>IFERROR(I87/COUNTIFS('Client DB &amp; Bed Mgmt'!$A:$A,A87,'Client DB &amp; Bed Mgmt'!$B:$B,C87,'Client DB &amp; Bed Mgmt'!$D:$D,"&lt;&gt;"),0)</f>
        <v/>
      </c>
      <c r="K87" s="103" t="inlineStr">
        <is>
          <t>Dorm 2</t>
        </is>
      </c>
      <c r="L87" s="103" t="inlineStr">
        <is>
          <t>Room 2-4</t>
        </is>
      </c>
      <c r="M87" s="103">
        <f>COUNTIFS('Client DB &amp; Bed Mgmt'!$A:$A,$K87,'Client DB &amp; Bed Mgmt'!$B:$B,$L87,'Client DB &amp; Bed Mgmt'!$D:$D,"&lt;&gt;")</f>
        <v/>
      </c>
      <c r="N87" s="126" t="n"/>
      <c r="O87" s="126" t="n"/>
      <c r="P87" s="127">
        <f>IF(N87="","",MAX(N87-O87,0))</f>
        <v/>
      </c>
      <c r="Q87" s="130">
        <f>IF(O87="","",O87*GeneratorRate)</f>
        <v/>
      </c>
      <c r="R87" s="130">
        <f>IF(P87="","",P87*GovernmentRate)</f>
        <v/>
      </c>
      <c r="S87" s="130">
        <f>IF(N87="","",Q87+R87)</f>
        <v/>
      </c>
      <c r="T87" s="130">
        <f>IF(M87=0,0,S87/M87)</f>
        <v/>
      </c>
      <c r="U87" s="176" t="n"/>
      <c r="V87" s="129" t="n"/>
      <c r="W87" s="127" t="n"/>
      <c r="X87" s="130" t="n"/>
      <c r="Y87" s="178" t="n"/>
      <c r="Z87" s="129" t="n"/>
      <c r="AA87" s="129" t="n"/>
      <c r="AB87" s="176" t="n"/>
      <c r="AC87" s="129" t="n"/>
      <c r="AD87" s="176" t="n"/>
      <c r="AE87" s="129" t="n"/>
    </row>
    <row r="88" hidden="1" ht="14.25" customHeight="1" s="83">
      <c r="A88" s="103" t="inlineStr">
        <is>
          <t>Dorm 2</t>
        </is>
      </c>
      <c r="B88" s="177" t="n">
        <v>46054</v>
      </c>
      <c r="C88" s="103" t="inlineStr">
        <is>
          <t>Room 2-5</t>
        </is>
      </c>
      <c r="D88" s="126" t="n">
        <v>0</v>
      </c>
      <c r="E88" s="126" t="n">
        <v>0</v>
      </c>
      <c r="F88" s="127">
        <f>MAX(D88-E88,0)</f>
        <v/>
      </c>
      <c r="G88" s="130">
        <f>E88*GeneratorRate</f>
        <v/>
      </c>
      <c r="H88" s="130">
        <f>F88*GovernmentRate</f>
        <v/>
      </c>
      <c r="I88" s="130">
        <f>G88+H88</f>
        <v/>
      </c>
      <c r="J88" s="129">
        <f>IFERROR(I88/COUNTIFS('Client DB &amp; Bed Mgmt'!$A:$A,A88,'Client DB &amp; Bed Mgmt'!$B:$B,C88,'Client DB &amp; Bed Mgmt'!$D:$D,"&lt;&gt;"),0)</f>
        <v/>
      </c>
      <c r="K88" s="103" t="inlineStr">
        <is>
          <t>Dorm 2</t>
        </is>
      </c>
      <c r="L88" s="103" t="inlineStr">
        <is>
          <t>Room 2-5</t>
        </is>
      </c>
      <c r="M88" s="103">
        <f>COUNTIFS('Client DB &amp; Bed Mgmt'!$A:$A,$K88,'Client DB &amp; Bed Mgmt'!$B:$B,$L88,'Client DB &amp; Bed Mgmt'!$D:$D,"&lt;&gt;")</f>
        <v/>
      </c>
      <c r="N88" s="126" t="n"/>
      <c r="O88" s="126" t="n"/>
      <c r="P88" s="127">
        <f>IF(N88="","",MAX(N88-O88,0))</f>
        <v/>
      </c>
      <c r="Q88" s="130">
        <f>IF(O88="","",O88*GeneratorRate)</f>
        <v/>
      </c>
      <c r="R88" s="130">
        <f>IF(P88="","",P88*GovernmentRate)</f>
        <v/>
      </c>
      <c r="S88" s="130">
        <f>IF(N88="","",Q88+R88)</f>
        <v/>
      </c>
      <c r="T88" s="130">
        <f>IF(M88=0,0,S88/M88)</f>
        <v/>
      </c>
      <c r="U88" s="176" t="n"/>
      <c r="V88" s="129" t="n"/>
      <c r="W88" s="127" t="n"/>
      <c r="X88" s="130" t="n"/>
      <c r="Y88" s="178" t="n"/>
      <c r="Z88" s="129" t="n"/>
      <c r="AA88" s="129" t="n"/>
      <c r="AB88" s="176" t="n"/>
      <c r="AC88" s="129" t="n"/>
      <c r="AD88" s="176" t="n"/>
      <c r="AE88" s="129" t="n"/>
    </row>
    <row r="89" hidden="1" ht="14.25" customHeight="1" s="83">
      <c r="A89" s="103" t="inlineStr">
        <is>
          <t>Dorm 2</t>
        </is>
      </c>
      <c r="B89" s="177" t="n">
        <v>46054</v>
      </c>
      <c r="C89" s="103" t="inlineStr">
        <is>
          <t>Room 2-6</t>
        </is>
      </c>
      <c r="D89" s="126" t="n">
        <v>0</v>
      </c>
      <c r="E89" s="126" t="n">
        <v>0</v>
      </c>
      <c r="F89" s="127">
        <f>MAX(D89-E89,0)</f>
        <v/>
      </c>
      <c r="G89" s="130">
        <f>E89*GeneratorRate</f>
        <v/>
      </c>
      <c r="H89" s="130">
        <f>F89*GovernmentRate</f>
        <v/>
      </c>
      <c r="I89" s="130">
        <f>G89+H89</f>
        <v/>
      </c>
      <c r="J89" s="129">
        <f>IFERROR(I89/COUNTIFS('Client DB &amp; Bed Mgmt'!$A:$A,A89,'Client DB &amp; Bed Mgmt'!$B:$B,C89,'Client DB &amp; Bed Mgmt'!$D:$D,"&lt;&gt;"),0)</f>
        <v/>
      </c>
      <c r="K89" s="103" t="inlineStr">
        <is>
          <t>Dorm 2</t>
        </is>
      </c>
      <c r="L89" s="103" t="inlineStr">
        <is>
          <t>Room 2-6</t>
        </is>
      </c>
      <c r="M89" s="103">
        <f>COUNTIFS('Client DB &amp; Bed Mgmt'!$A:$A,$K89,'Client DB &amp; Bed Mgmt'!$B:$B,$L89,'Client DB &amp; Bed Mgmt'!$D:$D,"&lt;&gt;")</f>
        <v/>
      </c>
      <c r="N89" s="126" t="n"/>
      <c r="O89" s="126" t="n"/>
      <c r="P89" s="127">
        <f>IF(N89="","",MAX(N89-O89,0))</f>
        <v/>
      </c>
      <c r="Q89" s="130">
        <f>IF(O89="","",O89*GeneratorRate)</f>
        <v/>
      </c>
      <c r="R89" s="130">
        <f>IF(P89="","",P89*GovernmentRate)</f>
        <v/>
      </c>
      <c r="S89" s="130">
        <f>IF(N89="","",Q89+R89)</f>
        <v/>
      </c>
      <c r="T89" s="130">
        <f>IF(M89=0,0,S89/M89)</f>
        <v/>
      </c>
      <c r="U89" s="176" t="n"/>
      <c r="V89" s="129" t="n"/>
      <c r="W89" s="127" t="n"/>
      <c r="X89" s="130" t="n"/>
      <c r="Y89" s="178" t="n"/>
      <c r="Z89" s="129" t="n"/>
      <c r="AA89" s="129" t="n"/>
      <c r="AB89" s="176" t="n"/>
      <c r="AC89" s="129" t="n"/>
      <c r="AD89" s="176" t="n"/>
      <c r="AE89" s="129" t="n"/>
    </row>
    <row r="90" hidden="1" ht="14.25" customHeight="1" s="83">
      <c r="A90" s="103" t="inlineStr">
        <is>
          <t>Dorm 2</t>
        </is>
      </c>
      <c r="B90" s="177" t="n">
        <v>46082</v>
      </c>
      <c r="C90" s="103" t="inlineStr">
        <is>
          <t>Room 2-1</t>
        </is>
      </c>
      <c r="D90" s="126" t="n">
        <v>0</v>
      </c>
      <c r="E90" s="126" t="n">
        <v>0</v>
      </c>
      <c r="F90" s="127">
        <f>MAX(D90-E90,0)</f>
        <v/>
      </c>
      <c r="G90" s="130">
        <f>E90*GeneratorRate</f>
        <v/>
      </c>
      <c r="H90" s="130">
        <f>F90*GovernmentRate</f>
        <v/>
      </c>
      <c r="I90" s="130">
        <f>G90+H90</f>
        <v/>
      </c>
      <c r="J90" s="129">
        <f>IFERROR(I90/COUNTIFS('Client DB &amp; Bed Mgmt'!$A:$A,A90,'Client DB &amp; Bed Mgmt'!$B:$B,C90,'Client DB &amp; Bed Mgmt'!$D:$D,"&lt;&gt;"),0)</f>
        <v/>
      </c>
      <c r="K90" s="103" t="inlineStr">
        <is>
          <t>Dorm 2</t>
        </is>
      </c>
      <c r="L90" s="103" t="inlineStr">
        <is>
          <t>Room 2-1</t>
        </is>
      </c>
      <c r="M90" s="103">
        <f>COUNTIFS('Client DB &amp; Bed Mgmt'!$A:$A,$K90,'Client DB &amp; Bed Mgmt'!$B:$B,$L90,'Client DB &amp; Bed Mgmt'!$D:$D,"&lt;&gt;")</f>
        <v/>
      </c>
      <c r="N90" s="126" t="n"/>
      <c r="O90" s="126" t="n"/>
      <c r="P90" s="127">
        <f>IF(N90="","",MAX(N90-O90,0))</f>
        <v/>
      </c>
      <c r="Q90" s="130">
        <f>IF(O90="","",O90*GeneratorRate)</f>
        <v/>
      </c>
      <c r="R90" s="130">
        <f>IF(P90="","",P90*GovernmentRate)</f>
        <v/>
      </c>
      <c r="S90" s="130">
        <f>IF(N90="","",Q90+R90)</f>
        <v/>
      </c>
      <c r="T90" s="130">
        <f>IF(M90=0,0,S90/M90)</f>
        <v/>
      </c>
      <c r="U90" s="176" t="n"/>
      <c r="V90" s="129" t="n"/>
      <c r="W90" s="127" t="n"/>
      <c r="X90" s="130" t="n"/>
      <c r="Y90" s="178" t="n"/>
      <c r="Z90" s="129" t="n"/>
      <c r="AA90" s="129" t="n"/>
      <c r="AB90" s="176" t="n"/>
      <c r="AC90" s="129" t="n"/>
      <c r="AD90" s="176" t="n"/>
      <c r="AE90" s="129" t="n"/>
    </row>
    <row r="91" hidden="1" ht="14.25" customHeight="1" s="83">
      <c r="A91" s="103" t="inlineStr">
        <is>
          <t>Dorm 2</t>
        </is>
      </c>
      <c r="B91" s="177" t="n">
        <v>46082</v>
      </c>
      <c r="C91" s="103" t="inlineStr">
        <is>
          <t>Room 2-2</t>
        </is>
      </c>
      <c r="D91" s="126" t="n">
        <v>0</v>
      </c>
      <c r="E91" s="126" t="n">
        <v>0</v>
      </c>
      <c r="F91" s="127">
        <f>MAX(D91-E91,0)</f>
        <v/>
      </c>
      <c r="G91" s="130">
        <f>E91*GeneratorRate</f>
        <v/>
      </c>
      <c r="H91" s="130">
        <f>F91*GovernmentRate</f>
        <v/>
      </c>
      <c r="I91" s="130">
        <f>G91+H91</f>
        <v/>
      </c>
      <c r="J91" s="129">
        <f>IFERROR(I91/COUNTIFS('Client DB &amp; Bed Mgmt'!$A:$A,A91,'Client DB &amp; Bed Mgmt'!$B:$B,C91,'Client DB &amp; Bed Mgmt'!$D:$D,"&lt;&gt;"),0)</f>
        <v/>
      </c>
      <c r="K91" s="103" t="inlineStr">
        <is>
          <t>Dorm 2</t>
        </is>
      </c>
      <c r="L91" s="103" t="inlineStr">
        <is>
          <t>Room 2-2</t>
        </is>
      </c>
      <c r="M91" s="103">
        <f>COUNTIFS('Client DB &amp; Bed Mgmt'!$A:$A,$K91,'Client DB &amp; Bed Mgmt'!$B:$B,$L91,'Client DB &amp; Bed Mgmt'!$D:$D,"&lt;&gt;")</f>
        <v/>
      </c>
      <c r="N91" s="126" t="n"/>
      <c r="O91" s="126" t="n"/>
      <c r="P91" s="127">
        <f>IF(N91="","",MAX(N91-O91,0))</f>
        <v/>
      </c>
      <c r="Q91" s="130">
        <f>IF(O91="","",O91*GeneratorRate)</f>
        <v/>
      </c>
      <c r="R91" s="130">
        <f>IF(P91="","",P91*GovernmentRate)</f>
        <v/>
      </c>
      <c r="S91" s="130">
        <f>IF(N91="","",Q91+R91)</f>
        <v/>
      </c>
      <c r="T91" s="130">
        <f>IF(M91=0,0,S91/M91)</f>
        <v/>
      </c>
      <c r="U91" s="176" t="n"/>
      <c r="V91" s="129" t="n"/>
      <c r="W91" s="127" t="n"/>
      <c r="X91" s="130" t="n"/>
      <c r="Y91" s="178" t="n"/>
      <c r="Z91" s="129" t="n"/>
      <c r="AA91" s="129" t="n"/>
      <c r="AB91" s="176" t="n"/>
      <c r="AC91" s="129" t="n"/>
      <c r="AD91" s="176" t="n"/>
      <c r="AE91" s="129" t="n"/>
    </row>
    <row r="92" hidden="1" ht="14.25" customHeight="1" s="83">
      <c r="A92" s="103" t="inlineStr">
        <is>
          <t>Dorm 2</t>
        </is>
      </c>
      <c r="B92" s="177" t="n">
        <v>46082</v>
      </c>
      <c r="C92" s="103" t="inlineStr">
        <is>
          <t>Room 2-3</t>
        </is>
      </c>
      <c r="D92" s="126" t="n">
        <v>0</v>
      </c>
      <c r="E92" s="126" t="n">
        <v>0</v>
      </c>
      <c r="F92" s="127">
        <f>MAX(D92-E92,0)</f>
        <v/>
      </c>
      <c r="G92" s="130">
        <f>E92*GeneratorRate</f>
        <v/>
      </c>
      <c r="H92" s="130">
        <f>F92*GovernmentRate</f>
        <v/>
      </c>
      <c r="I92" s="130">
        <f>G92+H92</f>
        <v/>
      </c>
      <c r="J92" s="129">
        <f>IFERROR(I92/COUNTIFS('Client DB &amp; Bed Mgmt'!$A:$A,A92,'Client DB &amp; Bed Mgmt'!$B:$B,C92,'Client DB &amp; Bed Mgmt'!$D:$D,"&lt;&gt;"),0)</f>
        <v/>
      </c>
      <c r="K92" s="103" t="inlineStr">
        <is>
          <t>Dorm 2</t>
        </is>
      </c>
      <c r="L92" s="103" t="inlineStr">
        <is>
          <t>Room 2-3</t>
        </is>
      </c>
      <c r="M92" s="103">
        <f>COUNTIFS('Client DB &amp; Bed Mgmt'!$A:$A,$K92,'Client DB &amp; Bed Mgmt'!$B:$B,$L92,'Client DB &amp; Bed Mgmt'!$D:$D,"&lt;&gt;")</f>
        <v/>
      </c>
      <c r="N92" s="126" t="n"/>
      <c r="O92" s="126" t="n"/>
      <c r="P92" s="127">
        <f>IF(N92="","",MAX(N92-O92,0))</f>
        <v/>
      </c>
      <c r="Q92" s="130">
        <f>IF(O92="","",O92*GeneratorRate)</f>
        <v/>
      </c>
      <c r="R92" s="130">
        <f>IF(P92="","",P92*GovernmentRate)</f>
        <v/>
      </c>
      <c r="S92" s="130">
        <f>IF(N92="","",Q92+R92)</f>
        <v/>
      </c>
      <c r="T92" s="130">
        <f>IF(M92=0,0,S92/M92)</f>
        <v/>
      </c>
      <c r="U92" s="176" t="n"/>
      <c r="V92" s="129" t="n"/>
      <c r="W92" s="127" t="n"/>
      <c r="X92" s="130" t="n"/>
      <c r="Y92" s="178" t="n"/>
      <c r="Z92" s="129" t="n"/>
      <c r="AA92" s="129" t="n"/>
      <c r="AB92" s="176" t="n"/>
      <c r="AC92" s="129" t="n"/>
      <c r="AD92" s="176" t="n"/>
      <c r="AE92" s="129" t="n"/>
    </row>
    <row r="93" hidden="1" ht="14.25" customHeight="1" s="83">
      <c r="A93" s="103" t="inlineStr">
        <is>
          <t>Dorm 2</t>
        </is>
      </c>
      <c r="B93" s="177" t="n">
        <v>46082</v>
      </c>
      <c r="C93" s="103" t="inlineStr">
        <is>
          <t>Room 2-4</t>
        </is>
      </c>
      <c r="D93" s="126" t="n">
        <v>0</v>
      </c>
      <c r="E93" s="126" t="n">
        <v>0</v>
      </c>
      <c r="F93" s="127">
        <f>MAX(D93-E93,0)</f>
        <v/>
      </c>
      <c r="G93" s="130">
        <f>E93*GeneratorRate</f>
        <v/>
      </c>
      <c r="H93" s="130">
        <f>F93*GovernmentRate</f>
        <v/>
      </c>
      <c r="I93" s="130">
        <f>G93+H93</f>
        <v/>
      </c>
      <c r="J93" s="129">
        <f>IFERROR(I93/COUNTIFS('Client DB &amp; Bed Mgmt'!$A:$A,A93,'Client DB &amp; Bed Mgmt'!$B:$B,C93,'Client DB &amp; Bed Mgmt'!$D:$D,"&lt;&gt;"),0)</f>
        <v/>
      </c>
      <c r="K93" s="103" t="inlineStr">
        <is>
          <t>Dorm 2</t>
        </is>
      </c>
      <c r="L93" s="103" t="inlineStr">
        <is>
          <t>Room 2-4</t>
        </is>
      </c>
      <c r="M93" s="103">
        <f>COUNTIFS('Client DB &amp; Bed Mgmt'!$A:$A,$K93,'Client DB &amp; Bed Mgmt'!$B:$B,$L93,'Client DB &amp; Bed Mgmt'!$D:$D,"&lt;&gt;")</f>
        <v/>
      </c>
      <c r="N93" s="126" t="n"/>
      <c r="O93" s="126" t="n"/>
      <c r="P93" s="127">
        <f>IF(N93="","",MAX(N93-O93,0))</f>
        <v/>
      </c>
      <c r="Q93" s="130">
        <f>IF(O93="","",O93*GeneratorRate)</f>
        <v/>
      </c>
      <c r="R93" s="130">
        <f>IF(P93="","",P93*GovernmentRate)</f>
        <v/>
      </c>
      <c r="S93" s="130">
        <f>IF(N93="","",Q93+R93)</f>
        <v/>
      </c>
      <c r="T93" s="130">
        <f>IF(M93=0,0,S93/M93)</f>
        <v/>
      </c>
      <c r="U93" s="176" t="n"/>
      <c r="V93" s="129" t="n"/>
      <c r="W93" s="127" t="n"/>
      <c r="X93" s="130" t="n"/>
      <c r="Y93" s="178" t="n"/>
      <c r="Z93" s="129" t="n"/>
      <c r="AA93" s="129" t="n"/>
      <c r="AB93" s="176" t="n"/>
      <c r="AC93" s="129" t="n"/>
      <c r="AD93" s="176" t="n"/>
      <c r="AE93" s="129" t="n"/>
    </row>
    <row r="94" hidden="1" ht="14.25" customHeight="1" s="83">
      <c r="A94" s="103" t="inlineStr">
        <is>
          <t>Dorm 2</t>
        </is>
      </c>
      <c r="B94" s="177" t="n">
        <v>46082</v>
      </c>
      <c r="C94" s="103" t="inlineStr">
        <is>
          <t>Room 2-5</t>
        </is>
      </c>
      <c r="D94" s="126" t="n">
        <v>0</v>
      </c>
      <c r="E94" s="126" t="n">
        <v>0</v>
      </c>
      <c r="F94" s="127">
        <f>MAX(D94-E94,0)</f>
        <v/>
      </c>
      <c r="G94" s="130">
        <f>E94*GeneratorRate</f>
        <v/>
      </c>
      <c r="H94" s="130">
        <f>F94*GovernmentRate</f>
        <v/>
      </c>
      <c r="I94" s="130">
        <f>G94+H94</f>
        <v/>
      </c>
      <c r="J94" s="129">
        <f>IFERROR(I94/COUNTIFS('Client DB &amp; Bed Mgmt'!$A:$A,A94,'Client DB &amp; Bed Mgmt'!$B:$B,C94,'Client DB &amp; Bed Mgmt'!$D:$D,"&lt;&gt;"),0)</f>
        <v/>
      </c>
      <c r="K94" s="103" t="inlineStr">
        <is>
          <t>Dorm 2</t>
        </is>
      </c>
      <c r="L94" s="103" t="inlineStr">
        <is>
          <t>Room 2-5</t>
        </is>
      </c>
      <c r="M94" s="103">
        <f>COUNTIFS('Client DB &amp; Bed Mgmt'!$A:$A,$K94,'Client DB &amp; Bed Mgmt'!$B:$B,$L94,'Client DB &amp; Bed Mgmt'!$D:$D,"&lt;&gt;")</f>
        <v/>
      </c>
      <c r="N94" s="126" t="n"/>
      <c r="O94" s="126" t="n"/>
      <c r="P94" s="127">
        <f>IF(N94="","",MAX(N94-O94,0))</f>
        <v/>
      </c>
      <c r="Q94" s="130">
        <f>IF(O94="","",O94*GeneratorRate)</f>
        <v/>
      </c>
      <c r="R94" s="130">
        <f>IF(P94="","",P94*GovernmentRate)</f>
        <v/>
      </c>
      <c r="S94" s="130">
        <f>IF(N94="","",Q94+R94)</f>
        <v/>
      </c>
      <c r="T94" s="130">
        <f>IF(M94=0,0,S94/M94)</f>
        <v/>
      </c>
      <c r="U94" s="176" t="n"/>
      <c r="V94" s="129" t="n"/>
      <c r="W94" s="127" t="n"/>
      <c r="X94" s="130" t="n"/>
      <c r="Y94" s="178" t="n"/>
      <c r="Z94" s="129" t="n"/>
      <c r="AA94" s="129" t="n"/>
      <c r="AB94" s="176" t="n"/>
      <c r="AC94" s="129" t="n"/>
      <c r="AD94" s="176" t="n"/>
      <c r="AE94" s="129" t="n"/>
    </row>
    <row r="95" hidden="1" ht="14.25" customHeight="1" s="83">
      <c r="A95" s="103" t="inlineStr">
        <is>
          <t>Dorm 2</t>
        </is>
      </c>
      <c r="B95" s="177" t="n">
        <v>46082</v>
      </c>
      <c r="C95" s="103" t="inlineStr">
        <is>
          <t>Room 2-6</t>
        </is>
      </c>
      <c r="D95" s="126" t="n">
        <v>0</v>
      </c>
      <c r="E95" s="126" t="n">
        <v>0</v>
      </c>
      <c r="F95" s="127">
        <f>MAX(D95-E95,0)</f>
        <v/>
      </c>
      <c r="G95" s="130">
        <f>E95*GeneratorRate</f>
        <v/>
      </c>
      <c r="H95" s="130">
        <f>F95*GovernmentRate</f>
        <v/>
      </c>
      <c r="I95" s="130">
        <f>G95+H95</f>
        <v/>
      </c>
      <c r="J95" s="129">
        <f>IFERROR(I95/COUNTIFS('Client DB &amp; Bed Mgmt'!$A:$A,A95,'Client DB &amp; Bed Mgmt'!$B:$B,C95,'Client DB &amp; Bed Mgmt'!$D:$D,"&lt;&gt;"),0)</f>
        <v/>
      </c>
      <c r="K95" s="103" t="inlineStr">
        <is>
          <t>Dorm 2</t>
        </is>
      </c>
      <c r="L95" s="103" t="inlineStr">
        <is>
          <t>Room 2-6</t>
        </is>
      </c>
      <c r="M95" s="103">
        <f>COUNTIFS('Client DB &amp; Bed Mgmt'!$A:$A,$K95,'Client DB &amp; Bed Mgmt'!$B:$B,$L95,'Client DB &amp; Bed Mgmt'!$D:$D,"&lt;&gt;")</f>
        <v/>
      </c>
      <c r="N95" s="126" t="n"/>
      <c r="O95" s="126" t="n"/>
      <c r="P95" s="127">
        <f>IF(N95="","",MAX(N95-O95,0))</f>
        <v/>
      </c>
      <c r="Q95" s="130">
        <f>IF(O95="","",O95*GeneratorRate)</f>
        <v/>
      </c>
      <c r="R95" s="130">
        <f>IF(P95="","",P95*GovernmentRate)</f>
        <v/>
      </c>
      <c r="S95" s="130">
        <f>IF(N95="","",Q95+R95)</f>
        <v/>
      </c>
      <c r="T95" s="130">
        <f>IF(M95=0,0,S95/M95)</f>
        <v/>
      </c>
      <c r="U95" s="176" t="n"/>
      <c r="V95" s="129" t="n"/>
      <c r="W95" s="127" t="n"/>
      <c r="X95" s="130" t="n"/>
      <c r="Y95" s="178" t="n"/>
      <c r="Z95" s="129" t="n"/>
      <c r="AA95" s="129" t="n"/>
      <c r="AB95" s="176" t="n"/>
      <c r="AC95" s="129" t="n"/>
      <c r="AD95" s="176" t="n"/>
      <c r="AE95" s="129" t="n"/>
    </row>
    <row r="96" hidden="1" ht="14.25" customHeight="1" s="83">
      <c r="A96" s="103" t="inlineStr">
        <is>
          <t>Dorm 2</t>
        </is>
      </c>
      <c r="B96" s="177" t="n">
        <v>46113</v>
      </c>
      <c r="C96" s="103" t="inlineStr">
        <is>
          <t>Room 2-1</t>
        </is>
      </c>
      <c r="D96" s="126" t="n">
        <v>0</v>
      </c>
      <c r="E96" s="126" t="n">
        <v>0</v>
      </c>
      <c r="F96" s="127">
        <f>MAX(D96-E96,0)</f>
        <v/>
      </c>
      <c r="G96" s="130">
        <f>E96*GeneratorRate</f>
        <v/>
      </c>
      <c r="H96" s="130">
        <f>F96*GovernmentRate</f>
        <v/>
      </c>
      <c r="I96" s="130">
        <f>G96+H96</f>
        <v/>
      </c>
      <c r="J96" s="129">
        <f>IFERROR(I96/COUNTIFS('Client DB &amp; Bed Mgmt'!$A:$A,A96,'Client DB &amp; Bed Mgmt'!$B:$B,C96,'Client DB &amp; Bed Mgmt'!$D:$D,"&lt;&gt;"),0)</f>
        <v/>
      </c>
      <c r="K96" s="103" t="inlineStr">
        <is>
          <t>Dorm 2</t>
        </is>
      </c>
      <c r="L96" s="103" t="inlineStr">
        <is>
          <t>Room 2-1</t>
        </is>
      </c>
      <c r="M96" s="103">
        <f>COUNTIFS('Client DB &amp; Bed Mgmt'!$A:$A,$K96,'Client DB &amp; Bed Mgmt'!$B:$B,$L96,'Client DB &amp; Bed Mgmt'!$D:$D,"&lt;&gt;")</f>
        <v/>
      </c>
      <c r="N96" s="126" t="n"/>
      <c r="O96" s="126" t="n"/>
      <c r="P96" s="127">
        <f>IF(N96="","",MAX(N96-O96,0))</f>
        <v/>
      </c>
      <c r="Q96" s="130">
        <f>IF(O96="","",O96*GeneratorRate)</f>
        <v/>
      </c>
      <c r="R96" s="130">
        <f>IF(P96="","",P96*GovernmentRate)</f>
        <v/>
      </c>
      <c r="S96" s="130">
        <f>IF(N96="","",Q96+R96)</f>
        <v/>
      </c>
      <c r="T96" s="130">
        <f>IF(M96=0,0,S96/M96)</f>
        <v/>
      </c>
      <c r="U96" s="176" t="n"/>
      <c r="V96" s="129" t="n"/>
      <c r="W96" s="127" t="n"/>
      <c r="X96" s="130" t="n"/>
      <c r="Y96" s="178" t="n"/>
      <c r="Z96" s="129" t="n"/>
      <c r="AA96" s="129" t="n"/>
      <c r="AB96" s="176" t="n"/>
      <c r="AC96" s="129" t="n"/>
      <c r="AD96" s="176" t="n"/>
      <c r="AE96" s="129" t="n"/>
    </row>
    <row r="97" hidden="1" ht="14.25" customHeight="1" s="83">
      <c r="A97" s="103" t="inlineStr">
        <is>
          <t>Dorm 2</t>
        </is>
      </c>
      <c r="B97" s="177" t="n">
        <v>46113</v>
      </c>
      <c r="C97" s="103" t="inlineStr">
        <is>
          <t>Room 2-2</t>
        </is>
      </c>
      <c r="D97" s="126" t="n">
        <v>0</v>
      </c>
      <c r="E97" s="126" t="n">
        <v>0</v>
      </c>
      <c r="F97" s="127">
        <f>MAX(D97-E97,0)</f>
        <v/>
      </c>
      <c r="G97" s="130">
        <f>E97*GeneratorRate</f>
        <v/>
      </c>
      <c r="H97" s="130">
        <f>F97*GovernmentRate</f>
        <v/>
      </c>
      <c r="I97" s="130">
        <f>G97+H97</f>
        <v/>
      </c>
      <c r="J97" s="129">
        <f>IFERROR(I97/COUNTIFS('Client DB &amp; Bed Mgmt'!$A:$A,A97,'Client DB &amp; Bed Mgmt'!$B:$B,C97,'Client DB &amp; Bed Mgmt'!$D:$D,"&lt;&gt;"),0)</f>
        <v/>
      </c>
      <c r="K97" s="103" t="inlineStr">
        <is>
          <t>Dorm 2</t>
        </is>
      </c>
      <c r="L97" s="103" t="inlineStr">
        <is>
          <t>Room 2-2</t>
        </is>
      </c>
      <c r="M97" s="103">
        <f>COUNTIFS('Client DB &amp; Bed Mgmt'!$A:$A,$K97,'Client DB &amp; Bed Mgmt'!$B:$B,$L97,'Client DB &amp; Bed Mgmt'!$D:$D,"&lt;&gt;")</f>
        <v/>
      </c>
      <c r="N97" s="126" t="n"/>
      <c r="O97" s="126" t="n"/>
      <c r="P97" s="127">
        <f>IF(N97="","",MAX(N97-O97,0))</f>
        <v/>
      </c>
      <c r="Q97" s="130">
        <f>IF(O97="","",O97*GeneratorRate)</f>
        <v/>
      </c>
      <c r="R97" s="130">
        <f>IF(P97="","",P97*GovernmentRate)</f>
        <v/>
      </c>
      <c r="S97" s="130">
        <f>IF(N97="","",Q97+R97)</f>
        <v/>
      </c>
      <c r="T97" s="130">
        <f>IF(M97=0,0,S97/M97)</f>
        <v/>
      </c>
      <c r="U97" s="176" t="n"/>
      <c r="V97" s="129" t="n"/>
      <c r="W97" s="127" t="n"/>
      <c r="X97" s="130" t="n"/>
      <c r="Y97" s="178" t="n"/>
      <c r="Z97" s="129" t="n"/>
      <c r="AA97" s="129" t="n"/>
      <c r="AB97" s="176" t="n"/>
      <c r="AC97" s="129" t="n"/>
      <c r="AD97" s="176" t="n"/>
      <c r="AE97" s="129" t="n"/>
    </row>
    <row r="98" hidden="1" ht="14.25" customHeight="1" s="83">
      <c r="A98" s="103" t="inlineStr">
        <is>
          <t>Dorm 2</t>
        </is>
      </c>
      <c r="B98" s="177" t="n">
        <v>46113</v>
      </c>
      <c r="C98" s="103" t="inlineStr">
        <is>
          <t>Room 2-3</t>
        </is>
      </c>
      <c r="D98" s="126" t="n">
        <v>0</v>
      </c>
      <c r="E98" s="126" t="n">
        <v>0</v>
      </c>
      <c r="F98" s="127">
        <f>MAX(D98-E98,0)</f>
        <v/>
      </c>
      <c r="G98" s="130">
        <f>E98*GeneratorRate</f>
        <v/>
      </c>
      <c r="H98" s="130">
        <f>F98*GovernmentRate</f>
        <v/>
      </c>
      <c r="I98" s="130">
        <f>G98+H98</f>
        <v/>
      </c>
      <c r="J98" s="129">
        <f>IFERROR(I98/COUNTIFS('Client DB &amp; Bed Mgmt'!$A:$A,A98,'Client DB &amp; Bed Mgmt'!$B:$B,C98,'Client DB &amp; Bed Mgmt'!$D:$D,"&lt;&gt;"),0)</f>
        <v/>
      </c>
      <c r="K98" s="103" t="inlineStr">
        <is>
          <t>Dorm 2</t>
        </is>
      </c>
      <c r="L98" s="103" t="inlineStr">
        <is>
          <t>Room 2-3</t>
        </is>
      </c>
      <c r="M98" s="103">
        <f>COUNTIFS('Client DB &amp; Bed Mgmt'!$A:$A,$K98,'Client DB &amp; Bed Mgmt'!$B:$B,$L98,'Client DB &amp; Bed Mgmt'!$D:$D,"&lt;&gt;")</f>
        <v/>
      </c>
      <c r="N98" s="126" t="n"/>
      <c r="O98" s="126" t="n"/>
      <c r="P98" s="127">
        <f>IF(N98="","",MAX(N98-O98,0))</f>
        <v/>
      </c>
      <c r="Q98" s="130">
        <f>IF(O98="","",O98*GeneratorRate)</f>
        <v/>
      </c>
      <c r="R98" s="130">
        <f>IF(P98="","",P98*GovernmentRate)</f>
        <v/>
      </c>
      <c r="S98" s="130">
        <f>IF(N98="","",Q98+R98)</f>
        <v/>
      </c>
      <c r="T98" s="130">
        <f>IF(M98=0,0,S98/M98)</f>
        <v/>
      </c>
      <c r="U98" s="176" t="n"/>
      <c r="V98" s="129" t="n"/>
      <c r="W98" s="127" t="n"/>
      <c r="X98" s="130" t="n"/>
      <c r="Y98" s="178" t="n"/>
      <c r="Z98" s="129" t="n"/>
      <c r="AA98" s="129" t="n"/>
      <c r="AB98" s="176" t="n"/>
      <c r="AC98" s="129" t="n"/>
      <c r="AD98" s="176" t="n"/>
      <c r="AE98" s="129" t="n"/>
    </row>
    <row r="99" hidden="1" ht="14.25" customHeight="1" s="83">
      <c r="A99" s="103" t="inlineStr">
        <is>
          <t>Dorm 2</t>
        </is>
      </c>
      <c r="B99" s="177" t="n">
        <v>46113</v>
      </c>
      <c r="C99" s="103" t="inlineStr">
        <is>
          <t>Room 2-4</t>
        </is>
      </c>
      <c r="D99" s="126" t="n">
        <v>0</v>
      </c>
      <c r="E99" s="126" t="n">
        <v>0</v>
      </c>
      <c r="F99" s="127">
        <f>MAX(D99-E99,0)</f>
        <v/>
      </c>
      <c r="G99" s="130">
        <f>E99*GeneratorRate</f>
        <v/>
      </c>
      <c r="H99" s="130">
        <f>F99*GovernmentRate</f>
        <v/>
      </c>
      <c r="I99" s="130">
        <f>G99+H99</f>
        <v/>
      </c>
      <c r="J99" s="129">
        <f>IFERROR(I99/COUNTIFS('Client DB &amp; Bed Mgmt'!$A:$A,A99,'Client DB &amp; Bed Mgmt'!$B:$B,C99,'Client DB &amp; Bed Mgmt'!$D:$D,"&lt;&gt;"),0)</f>
        <v/>
      </c>
      <c r="K99" s="103" t="inlineStr">
        <is>
          <t>Dorm 2</t>
        </is>
      </c>
      <c r="L99" s="103" t="inlineStr">
        <is>
          <t>Room 2-4</t>
        </is>
      </c>
      <c r="M99" s="103">
        <f>COUNTIFS('Client DB &amp; Bed Mgmt'!$A:$A,$K99,'Client DB &amp; Bed Mgmt'!$B:$B,$L99,'Client DB &amp; Bed Mgmt'!$D:$D,"&lt;&gt;")</f>
        <v/>
      </c>
      <c r="N99" s="126" t="n"/>
      <c r="O99" s="126" t="n"/>
      <c r="P99" s="127">
        <f>IF(N99="","",MAX(N99-O99,0))</f>
        <v/>
      </c>
      <c r="Q99" s="130">
        <f>IF(O99="","",O99*GeneratorRate)</f>
        <v/>
      </c>
      <c r="R99" s="130">
        <f>IF(P99="","",P99*GovernmentRate)</f>
        <v/>
      </c>
      <c r="S99" s="130">
        <f>IF(N99="","",Q99+R99)</f>
        <v/>
      </c>
      <c r="T99" s="130">
        <f>IF(M99=0,0,S99/M99)</f>
        <v/>
      </c>
      <c r="U99" s="176" t="n"/>
      <c r="V99" s="129" t="n"/>
      <c r="W99" s="127" t="n"/>
      <c r="X99" s="130" t="n"/>
      <c r="Y99" s="178" t="n"/>
      <c r="Z99" s="129" t="n"/>
      <c r="AA99" s="129" t="n"/>
      <c r="AB99" s="176" t="n"/>
      <c r="AC99" s="129" t="n"/>
      <c r="AD99" s="176" t="n"/>
      <c r="AE99" s="129" t="n"/>
    </row>
    <row r="100" hidden="1" ht="14.25" customHeight="1" s="83">
      <c r="A100" s="103" t="inlineStr">
        <is>
          <t>Dorm 2</t>
        </is>
      </c>
      <c r="B100" s="177" t="n">
        <v>46113</v>
      </c>
      <c r="C100" s="103" t="inlineStr">
        <is>
          <t>Room 2-5</t>
        </is>
      </c>
      <c r="D100" s="126" t="n">
        <v>0</v>
      </c>
      <c r="E100" s="126" t="n">
        <v>0</v>
      </c>
      <c r="F100" s="127">
        <f>MAX(D100-E100,0)</f>
        <v/>
      </c>
      <c r="G100" s="130">
        <f>E100*GeneratorRate</f>
        <v/>
      </c>
      <c r="H100" s="130">
        <f>F100*GovernmentRate</f>
        <v/>
      </c>
      <c r="I100" s="130">
        <f>G100+H100</f>
        <v/>
      </c>
      <c r="J100" s="129">
        <f>IFERROR(I100/COUNTIFS('Client DB &amp; Bed Mgmt'!$A:$A,A100,'Client DB &amp; Bed Mgmt'!$B:$B,C100,'Client DB &amp; Bed Mgmt'!$D:$D,"&lt;&gt;"),0)</f>
        <v/>
      </c>
      <c r="K100" s="103" t="inlineStr">
        <is>
          <t>Dorm 2</t>
        </is>
      </c>
      <c r="L100" s="103" t="inlineStr">
        <is>
          <t>Room 2-5</t>
        </is>
      </c>
      <c r="M100" s="103">
        <f>COUNTIFS('Client DB &amp; Bed Mgmt'!$A:$A,$K100,'Client DB &amp; Bed Mgmt'!$B:$B,$L100,'Client DB &amp; Bed Mgmt'!$D:$D,"&lt;&gt;")</f>
        <v/>
      </c>
      <c r="N100" s="126" t="n"/>
      <c r="O100" s="126" t="n"/>
      <c r="P100" s="127">
        <f>IF(N100="","",MAX(N100-O100,0))</f>
        <v/>
      </c>
      <c r="Q100" s="130">
        <f>IF(O100="","",O100*GeneratorRate)</f>
        <v/>
      </c>
      <c r="R100" s="130">
        <f>IF(P100="","",P100*GovernmentRate)</f>
        <v/>
      </c>
      <c r="S100" s="130">
        <f>IF(N100="","",Q100+R100)</f>
        <v/>
      </c>
      <c r="T100" s="130">
        <f>IF(M100=0,0,S100/M100)</f>
        <v/>
      </c>
      <c r="U100" s="176" t="n"/>
      <c r="V100" s="129" t="n"/>
      <c r="W100" s="127" t="n"/>
      <c r="X100" s="130" t="n"/>
      <c r="Y100" s="178" t="n"/>
      <c r="Z100" s="129" t="n"/>
      <c r="AA100" s="129" t="n"/>
      <c r="AB100" s="176" t="n"/>
      <c r="AC100" s="129" t="n"/>
      <c r="AD100" s="176" t="n"/>
      <c r="AE100" s="129" t="n"/>
    </row>
    <row r="101" hidden="1" ht="14.25" customHeight="1" s="83">
      <c r="A101" s="103" t="inlineStr">
        <is>
          <t>Dorm 2</t>
        </is>
      </c>
      <c r="B101" s="177" t="n">
        <v>46113</v>
      </c>
      <c r="C101" s="103" t="inlineStr">
        <is>
          <t>Room 2-6</t>
        </is>
      </c>
      <c r="D101" s="126" t="n">
        <v>0</v>
      </c>
      <c r="E101" s="126" t="n">
        <v>0</v>
      </c>
      <c r="F101" s="127">
        <f>MAX(D101-E101,0)</f>
        <v/>
      </c>
      <c r="G101" s="130">
        <f>E101*GeneratorRate</f>
        <v/>
      </c>
      <c r="H101" s="130">
        <f>F101*GovernmentRate</f>
        <v/>
      </c>
      <c r="I101" s="130">
        <f>G101+H101</f>
        <v/>
      </c>
      <c r="J101" s="129">
        <f>IFERROR(I101/COUNTIFS('Client DB &amp; Bed Mgmt'!$A:$A,A101,'Client DB &amp; Bed Mgmt'!$B:$B,C101,'Client DB &amp; Bed Mgmt'!$D:$D,"&lt;&gt;"),0)</f>
        <v/>
      </c>
      <c r="K101" s="103" t="inlineStr">
        <is>
          <t>Dorm 2</t>
        </is>
      </c>
      <c r="L101" s="103" t="inlineStr">
        <is>
          <t>Room 2-6</t>
        </is>
      </c>
      <c r="M101" s="103">
        <f>COUNTIFS('Client DB &amp; Bed Mgmt'!$A:$A,$K101,'Client DB &amp; Bed Mgmt'!$B:$B,$L101,'Client DB &amp; Bed Mgmt'!$D:$D,"&lt;&gt;")</f>
        <v/>
      </c>
      <c r="N101" s="126" t="n"/>
      <c r="O101" s="126" t="n"/>
      <c r="P101" s="127">
        <f>IF(N101="","",MAX(N101-O101,0))</f>
        <v/>
      </c>
      <c r="Q101" s="130">
        <f>IF(O101="","",O101*GeneratorRate)</f>
        <v/>
      </c>
      <c r="R101" s="130">
        <f>IF(P101="","",P101*GovernmentRate)</f>
        <v/>
      </c>
      <c r="S101" s="130">
        <f>IF(N101="","",Q101+R101)</f>
        <v/>
      </c>
      <c r="T101" s="130">
        <f>IF(M101=0,0,S101/M101)</f>
        <v/>
      </c>
      <c r="U101" s="176" t="n"/>
      <c r="V101" s="129" t="n"/>
      <c r="W101" s="127" t="n"/>
      <c r="X101" s="130" t="n"/>
      <c r="Y101" s="178" t="n"/>
      <c r="Z101" s="129" t="n"/>
      <c r="AA101" s="129" t="n"/>
      <c r="AB101" s="176" t="n"/>
      <c r="AC101" s="129" t="n"/>
      <c r="AD101" s="176" t="n"/>
      <c r="AE101" s="129" t="n"/>
    </row>
    <row r="102" hidden="1" ht="14.25" customHeight="1" s="83">
      <c r="A102" s="103" t="inlineStr">
        <is>
          <t>Dorm 2</t>
        </is>
      </c>
      <c r="B102" s="177" t="n">
        <v>46143</v>
      </c>
      <c r="C102" s="103" t="inlineStr">
        <is>
          <t>Room 2-1</t>
        </is>
      </c>
      <c r="D102" s="126" t="n">
        <v>700</v>
      </c>
      <c r="E102" s="126" t="n">
        <v>0</v>
      </c>
      <c r="F102" s="127">
        <f>MAX(D102-E102,0)</f>
        <v/>
      </c>
      <c r="G102" s="130">
        <f>E102*GeneratorRate</f>
        <v/>
      </c>
      <c r="H102" s="130">
        <f>F102*GovernmentRate</f>
        <v/>
      </c>
      <c r="I102" s="130">
        <f>G102+H102</f>
        <v/>
      </c>
      <c r="J102" s="129">
        <f>IFERROR(I102/COUNTIFS('Client DB &amp; Bed Mgmt'!$A:$A,A102,'Client DB &amp; Bed Mgmt'!$B:$B,C102,'Client DB &amp; Bed Mgmt'!$D:$D,"&lt;&gt;"),0)</f>
        <v/>
      </c>
      <c r="K102" s="103" t="inlineStr">
        <is>
          <t>Dorm 2</t>
        </is>
      </c>
      <c r="L102" s="103" t="inlineStr">
        <is>
          <t>Room 2-1</t>
        </is>
      </c>
      <c r="M102" s="103">
        <f>COUNTIFS('Client DB &amp; Bed Mgmt'!$A:$A,$K102,'Client DB &amp; Bed Mgmt'!$B:$B,$L102,'Client DB &amp; Bed Mgmt'!$D:$D,"&lt;&gt;")</f>
        <v/>
      </c>
      <c r="N102" s="126" t="n"/>
      <c r="O102" s="126" t="n"/>
      <c r="P102" s="127">
        <f>IF(N102="","",MAX(N102-O102,0))</f>
        <v/>
      </c>
      <c r="Q102" s="130">
        <f>IF(O102="","",O102*GeneratorRate)</f>
        <v/>
      </c>
      <c r="R102" s="130">
        <f>IF(P102="","",P102*GovernmentRate)</f>
        <v/>
      </c>
      <c r="S102" s="130">
        <f>IF(N102="","",Q102+R102)</f>
        <v/>
      </c>
      <c r="T102" s="130">
        <f>IF(M102=0,0,S102/M102)</f>
        <v/>
      </c>
      <c r="U102" s="176" t="n"/>
      <c r="V102" s="129" t="n"/>
      <c r="W102" s="127" t="n"/>
      <c r="X102" s="130" t="n"/>
      <c r="Y102" s="178" t="n"/>
      <c r="Z102" s="129" t="n"/>
      <c r="AA102" s="129" t="n"/>
      <c r="AB102" s="176" t="n"/>
      <c r="AC102" s="129" t="n"/>
      <c r="AD102" s="176" t="n"/>
      <c r="AE102" s="129" t="n"/>
    </row>
    <row r="103" hidden="1" ht="14.25" customHeight="1" s="83">
      <c r="A103" s="103" t="inlineStr">
        <is>
          <t>Dorm 2</t>
        </is>
      </c>
      <c r="B103" s="177" t="n">
        <v>46143</v>
      </c>
      <c r="C103" s="103" t="inlineStr">
        <is>
          <t>Room 2-2</t>
        </is>
      </c>
      <c r="D103" s="126" t="n">
        <v>0</v>
      </c>
      <c r="E103" s="126" t="n">
        <v>0</v>
      </c>
      <c r="F103" s="127">
        <f>MAX(D103-E103,0)</f>
        <v/>
      </c>
      <c r="G103" s="130">
        <f>E103*GeneratorRate</f>
        <v/>
      </c>
      <c r="H103" s="130">
        <f>F103*GovernmentRate</f>
        <v/>
      </c>
      <c r="I103" s="130">
        <f>G103+H103</f>
        <v/>
      </c>
      <c r="J103" s="129">
        <f>IFERROR(I103/COUNTIFS('Client DB &amp; Bed Mgmt'!$A:$A,A103,'Client DB &amp; Bed Mgmt'!$B:$B,C103,'Client DB &amp; Bed Mgmt'!$D:$D,"&lt;&gt;"),0)</f>
        <v/>
      </c>
      <c r="K103" s="103" t="inlineStr">
        <is>
          <t>Dorm 2</t>
        </is>
      </c>
      <c r="L103" s="103" t="inlineStr">
        <is>
          <t>Room 2-2</t>
        </is>
      </c>
      <c r="M103" s="103">
        <f>COUNTIFS('Client DB &amp; Bed Mgmt'!$A:$A,$K103,'Client DB &amp; Bed Mgmt'!$B:$B,$L103,'Client DB &amp; Bed Mgmt'!$D:$D,"&lt;&gt;")</f>
        <v/>
      </c>
      <c r="N103" s="126" t="n"/>
      <c r="O103" s="126" t="n"/>
      <c r="P103" s="127">
        <f>IF(N103="","",MAX(N103-O103,0))</f>
        <v/>
      </c>
      <c r="Q103" s="130">
        <f>IF(O103="","",O103*GeneratorRate)</f>
        <v/>
      </c>
      <c r="R103" s="130">
        <f>IF(P103="","",P103*GovernmentRate)</f>
        <v/>
      </c>
      <c r="S103" s="130">
        <f>IF(N103="","",Q103+R103)</f>
        <v/>
      </c>
      <c r="T103" s="130">
        <f>IF(M103=0,0,S103/M103)</f>
        <v/>
      </c>
      <c r="U103" s="176" t="n"/>
      <c r="V103" s="129" t="n"/>
      <c r="W103" s="127" t="n"/>
      <c r="X103" s="130" t="n"/>
      <c r="Y103" s="178" t="n"/>
      <c r="Z103" s="129" t="n"/>
      <c r="AA103" s="129" t="n"/>
      <c r="AB103" s="176" t="n"/>
      <c r="AC103" s="129" t="n"/>
      <c r="AD103" s="176" t="n"/>
      <c r="AE103" s="129" t="n"/>
    </row>
    <row r="104" hidden="1" ht="14.25" customHeight="1" s="83">
      <c r="A104" s="103" t="inlineStr">
        <is>
          <t>Dorm 2</t>
        </is>
      </c>
      <c r="B104" s="177" t="n">
        <v>46143</v>
      </c>
      <c r="C104" s="103" t="inlineStr">
        <is>
          <t>Room 2-3</t>
        </is>
      </c>
      <c r="D104" s="126" t="n">
        <v>0</v>
      </c>
      <c r="E104" s="126" t="n">
        <v>0</v>
      </c>
      <c r="F104" s="127">
        <f>MAX(D104-E104,0)</f>
        <v/>
      </c>
      <c r="G104" s="130">
        <f>E104*GeneratorRate</f>
        <v/>
      </c>
      <c r="H104" s="130">
        <f>F104*GovernmentRate</f>
        <v/>
      </c>
      <c r="I104" s="130">
        <f>G104+H104</f>
        <v/>
      </c>
      <c r="J104" s="129">
        <f>IFERROR(I104/COUNTIFS('Client DB &amp; Bed Mgmt'!$A:$A,A104,'Client DB &amp; Bed Mgmt'!$B:$B,C104,'Client DB &amp; Bed Mgmt'!$D:$D,"&lt;&gt;"),0)</f>
        <v/>
      </c>
      <c r="K104" s="103" t="inlineStr">
        <is>
          <t>Dorm 2</t>
        </is>
      </c>
      <c r="L104" s="103" t="inlineStr">
        <is>
          <t>Room 2-3</t>
        </is>
      </c>
      <c r="M104" s="103">
        <f>COUNTIFS('Client DB &amp; Bed Mgmt'!$A:$A,$K104,'Client DB &amp; Bed Mgmt'!$B:$B,$L104,'Client DB &amp; Bed Mgmt'!$D:$D,"&lt;&gt;")</f>
        <v/>
      </c>
      <c r="N104" s="126" t="n"/>
      <c r="O104" s="126" t="n"/>
      <c r="P104" s="127">
        <f>IF(N104="","",MAX(N104-O104,0))</f>
        <v/>
      </c>
      <c r="Q104" s="130">
        <f>IF(O104="","",O104*GeneratorRate)</f>
        <v/>
      </c>
      <c r="R104" s="130">
        <f>IF(P104="","",P104*GovernmentRate)</f>
        <v/>
      </c>
      <c r="S104" s="130">
        <f>IF(N104="","",Q104+R104)</f>
        <v/>
      </c>
      <c r="T104" s="130">
        <f>IF(M104=0,0,S104/M104)</f>
        <v/>
      </c>
      <c r="U104" s="176" t="n"/>
      <c r="V104" s="129" t="n"/>
      <c r="W104" s="127" t="n"/>
      <c r="X104" s="130" t="n"/>
      <c r="Y104" s="178" t="n"/>
      <c r="Z104" s="129" t="n"/>
      <c r="AA104" s="129" t="n"/>
      <c r="AB104" s="176" t="n"/>
      <c r="AC104" s="129" t="n"/>
      <c r="AD104" s="176" t="n"/>
      <c r="AE104" s="129" t="n"/>
    </row>
    <row r="105" hidden="1" ht="14.25" customHeight="1" s="83">
      <c r="A105" s="103" t="inlineStr">
        <is>
          <t>Dorm 2</t>
        </is>
      </c>
      <c r="B105" s="177" t="n">
        <v>46143</v>
      </c>
      <c r="C105" s="103" t="inlineStr">
        <is>
          <t>Room 2-4</t>
        </is>
      </c>
      <c r="D105" s="126" t="n">
        <v>0</v>
      </c>
      <c r="E105" s="126" t="n">
        <v>0</v>
      </c>
      <c r="F105" s="127">
        <f>MAX(D105-E105,0)</f>
        <v/>
      </c>
      <c r="G105" s="130">
        <f>E105*GeneratorRate</f>
        <v/>
      </c>
      <c r="H105" s="130">
        <f>F105*GovernmentRate</f>
        <v/>
      </c>
      <c r="I105" s="130">
        <f>G105+H105</f>
        <v/>
      </c>
      <c r="J105" s="129">
        <f>IFERROR(I105/COUNTIFS('Client DB &amp; Bed Mgmt'!$A:$A,A105,'Client DB &amp; Bed Mgmt'!$B:$B,C105,'Client DB &amp; Bed Mgmt'!$D:$D,"&lt;&gt;"),0)</f>
        <v/>
      </c>
      <c r="K105" s="103" t="inlineStr">
        <is>
          <t>Dorm 2</t>
        </is>
      </c>
      <c r="L105" s="103" t="inlineStr">
        <is>
          <t>Room 2-4</t>
        </is>
      </c>
      <c r="M105" s="103">
        <f>COUNTIFS('Client DB &amp; Bed Mgmt'!$A:$A,$K105,'Client DB &amp; Bed Mgmt'!$B:$B,$L105,'Client DB &amp; Bed Mgmt'!$D:$D,"&lt;&gt;")</f>
        <v/>
      </c>
      <c r="N105" s="126" t="n"/>
      <c r="O105" s="126" t="n"/>
      <c r="P105" s="127">
        <f>IF(N105="","",MAX(N105-O105,0))</f>
        <v/>
      </c>
      <c r="Q105" s="130">
        <f>IF(O105="","",O105*GeneratorRate)</f>
        <v/>
      </c>
      <c r="R105" s="130">
        <f>IF(P105="","",P105*GovernmentRate)</f>
        <v/>
      </c>
      <c r="S105" s="130">
        <f>IF(N105="","",Q105+R105)</f>
        <v/>
      </c>
      <c r="T105" s="130">
        <f>IF(M105=0,0,S105/M105)</f>
        <v/>
      </c>
      <c r="U105" s="176" t="n"/>
      <c r="V105" s="129" t="n"/>
      <c r="W105" s="127" t="n"/>
      <c r="X105" s="130" t="n"/>
      <c r="Y105" s="178" t="n"/>
      <c r="Z105" s="129" t="n"/>
      <c r="AA105" s="129" t="n"/>
      <c r="AB105" s="176" t="n"/>
      <c r="AC105" s="129" t="n"/>
      <c r="AD105" s="176" t="n"/>
      <c r="AE105" s="129" t="n"/>
    </row>
    <row r="106" hidden="1" ht="14.25" customHeight="1" s="83">
      <c r="A106" s="103" t="inlineStr">
        <is>
          <t>Dorm 2</t>
        </is>
      </c>
      <c r="B106" s="177" t="n">
        <v>46143</v>
      </c>
      <c r="C106" s="103" t="inlineStr">
        <is>
          <t>Room 2-5</t>
        </is>
      </c>
      <c r="D106" s="126" t="n">
        <v>0</v>
      </c>
      <c r="E106" s="126" t="n">
        <v>0</v>
      </c>
      <c r="F106" s="127">
        <f>MAX(D106-E106,0)</f>
        <v/>
      </c>
      <c r="G106" s="130">
        <f>E106*GeneratorRate</f>
        <v/>
      </c>
      <c r="H106" s="130">
        <f>F106*GovernmentRate</f>
        <v/>
      </c>
      <c r="I106" s="130">
        <f>G106+H106</f>
        <v/>
      </c>
      <c r="J106" s="129">
        <f>IFERROR(I106/COUNTIFS('Client DB &amp; Bed Mgmt'!$A:$A,A106,'Client DB &amp; Bed Mgmt'!$B:$B,C106,'Client DB &amp; Bed Mgmt'!$D:$D,"&lt;&gt;"),0)</f>
        <v/>
      </c>
      <c r="K106" s="103" t="inlineStr">
        <is>
          <t>Dorm 2</t>
        </is>
      </c>
      <c r="L106" s="103" t="inlineStr">
        <is>
          <t>Room 2-5</t>
        </is>
      </c>
      <c r="M106" s="103">
        <f>COUNTIFS('Client DB &amp; Bed Mgmt'!$A:$A,$K106,'Client DB &amp; Bed Mgmt'!$B:$B,$L106,'Client DB &amp; Bed Mgmt'!$D:$D,"&lt;&gt;")</f>
        <v/>
      </c>
      <c r="N106" s="126" t="n"/>
      <c r="O106" s="126" t="n"/>
      <c r="P106" s="127">
        <f>IF(N106="","",MAX(N106-O106,0))</f>
        <v/>
      </c>
      <c r="Q106" s="130">
        <f>IF(O106="","",O106*GeneratorRate)</f>
        <v/>
      </c>
      <c r="R106" s="130">
        <f>IF(P106="","",P106*GovernmentRate)</f>
        <v/>
      </c>
      <c r="S106" s="130">
        <f>IF(N106="","",Q106+R106)</f>
        <v/>
      </c>
      <c r="T106" s="130">
        <f>IF(M106=0,0,S106/M106)</f>
        <v/>
      </c>
      <c r="U106" s="176" t="n"/>
      <c r="V106" s="129" t="n"/>
      <c r="W106" s="127" t="n"/>
      <c r="X106" s="130" t="n"/>
      <c r="Y106" s="178" t="n"/>
      <c r="Z106" s="129" t="n"/>
      <c r="AA106" s="129" t="n"/>
      <c r="AB106" s="176" t="n"/>
      <c r="AC106" s="129" t="n"/>
      <c r="AD106" s="176" t="n"/>
      <c r="AE106" s="129" t="n"/>
    </row>
    <row r="107" hidden="1" ht="14.25" customHeight="1" s="83">
      <c r="A107" s="103" t="inlineStr">
        <is>
          <t>Dorm 2</t>
        </is>
      </c>
      <c r="B107" s="177" t="n">
        <v>46143</v>
      </c>
      <c r="C107" s="103" t="inlineStr">
        <is>
          <t>Room 2-6</t>
        </is>
      </c>
      <c r="D107" s="126" t="n">
        <v>0</v>
      </c>
      <c r="E107" s="126" t="n">
        <v>0</v>
      </c>
      <c r="F107" s="127">
        <f>MAX(D107-E107,0)</f>
        <v/>
      </c>
      <c r="G107" s="130">
        <f>E107*GeneratorRate</f>
        <v/>
      </c>
      <c r="H107" s="130">
        <f>F107*GovernmentRate</f>
        <v/>
      </c>
      <c r="I107" s="130">
        <f>G107+H107</f>
        <v/>
      </c>
      <c r="J107" s="129">
        <f>IFERROR(I107/COUNTIFS('Client DB &amp; Bed Mgmt'!$A:$A,A107,'Client DB &amp; Bed Mgmt'!$B:$B,C107,'Client DB &amp; Bed Mgmt'!$D:$D,"&lt;&gt;"),0)</f>
        <v/>
      </c>
      <c r="K107" s="103" t="inlineStr">
        <is>
          <t>Dorm 2</t>
        </is>
      </c>
      <c r="L107" s="103" t="inlineStr">
        <is>
          <t>Room 2-6</t>
        </is>
      </c>
      <c r="M107" s="103">
        <f>COUNTIFS('Client DB &amp; Bed Mgmt'!$A:$A,$K107,'Client DB &amp; Bed Mgmt'!$B:$B,$L107,'Client DB &amp; Bed Mgmt'!$D:$D,"&lt;&gt;")</f>
        <v/>
      </c>
      <c r="N107" s="126" t="n"/>
      <c r="O107" s="126" t="n"/>
      <c r="P107" s="127">
        <f>IF(N107="","",MAX(N107-O107,0))</f>
        <v/>
      </c>
      <c r="Q107" s="130">
        <f>IF(O107="","",O107*GeneratorRate)</f>
        <v/>
      </c>
      <c r="R107" s="130">
        <f>IF(P107="","",P107*GovernmentRate)</f>
        <v/>
      </c>
      <c r="S107" s="130">
        <f>IF(N107="","",Q107+R107)</f>
        <v/>
      </c>
      <c r="T107" s="130">
        <f>IF(M107=0,0,S107/M107)</f>
        <v/>
      </c>
      <c r="U107" s="176" t="n"/>
      <c r="V107" s="129" t="n"/>
      <c r="W107" s="127" t="n"/>
      <c r="X107" s="130" t="n"/>
      <c r="Y107" s="178" t="n"/>
      <c r="Z107" s="129" t="n"/>
      <c r="AA107" s="129" t="n"/>
      <c r="AB107" s="176" t="n"/>
      <c r="AC107" s="129" t="n"/>
      <c r="AD107" s="176" t="n"/>
      <c r="AE107" s="129" t="n"/>
    </row>
    <row r="108" hidden="1" ht="14.25" customHeight="1" s="83">
      <c r="A108" s="103" t="inlineStr">
        <is>
          <t>Dorm 2</t>
        </is>
      </c>
      <c r="B108" s="177" t="n">
        <v>46174</v>
      </c>
      <c r="C108" s="103" t="inlineStr">
        <is>
          <t>Room 2-1</t>
        </is>
      </c>
      <c r="D108" s="126" t="n">
        <v>0</v>
      </c>
      <c r="E108" s="126" t="n">
        <v>0</v>
      </c>
      <c r="F108" s="127">
        <f>MAX(D108-E108,0)</f>
        <v/>
      </c>
      <c r="G108" s="130">
        <f>E108*GeneratorRate</f>
        <v/>
      </c>
      <c r="H108" s="130">
        <f>F108*GovernmentRate</f>
        <v/>
      </c>
      <c r="I108" s="130">
        <f>G108+H108</f>
        <v/>
      </c>
      <c r="J108" s="129">
        <f>IFERROR(I108/COUNTIFS('Client DB &amp; Bed Mgmt'!$A:$A,A108,'Client DB &amp; Bed Mgmt'!$B:$B,C108,'Client DB &amp; Bed Mgmt'!$D:$D,"&lt;&gt;"),0)</f>
        <v/>
      </c>
      <c r="K108" s="103" t="inlineStr">
        <is>
          <t>Dorm 2</t>
        </is>
      </c>
      <c r="L108" s="103" t="inlineStr">
        <is>
          <t>Room 2-1</t>
        </is>
      </c>
      <c r="M108" s="103">
        <f>COUNTIFS('Client DB &amp; Bed Mgmt'!$A:$A,$K108,'Client DB &amp; Bed Mgmt'!$B:$B,$L108,'Client DB &amp; Bed Mgmt'!$D:$D,"&lt;&gt;")</f>
        <v/>
      </c>
      <c r="N108" s="126" t="n"/>
      <c r="O108" s="126" t="n"/>
      <c r="P108" s="127">
        <f>IF(N108="","",MAX(N108-O108,0))</f>
        <v/>
      </c>
      <c r="Q108" s="130">
        <f>IF(O108="","",O108*GeneratorRate)</f>
        <v/>
      </c>
      <c r="R108" s="130">
        <f>IF(P108="","",P108*GovernmentRate)</f>
        <v/>
      </c>
      <c r="S108" s="130">
        <f>IF(N108="","",Q108+R108)</f>
        <v/>
      </c>
      <c r="T108" s="130">
        <f>IF(M108=0,0,S108/M108)</f>
        <v/>
      </c>
      <c r="U108" s="176" t="n"/>
      <c r="V108" s="129" t="n"/>
      <c r="W108" s="127" t="n"/>
      <c r="X108" s="130" t="n"/>
      <c r="Y108" s="178" t="n"/>
      <c r="Z108" s="129" t="n"/>
      <c r="AA108" s="129" t="n"/>
      <c r="AB108" s="176" t="n"/>
      <c r="AC108" s="129" t="n"/>
      <c r="AD108" s="176" t="n"/>
      <c r="AE108" s="129" t="n"/>
    </row>
    <row r="109" hidden="1" ht="14.25" customHeight="1" s="83">
      <c r="A109" s="103" t="inlineStr">
        <is>
          <t>Dorm 2</t>
        </is>
      </c>
      <c r="B109" s="177" t="n">
        <v>46174</v>
      </c>
      <c r="C109" s="103" t="inlineStr">
        <is>
          <t>Room 2-2</t>
        </is>
      </c>
      <c r="D109" s="126" t="n">
        <v>0</v>
      </c>
      <c r="E109" s="126" t="n">
        <v>0</v>
      </c>
      <c r="F109" s="127">
        <f>MAX(D109-E109,0)</f>
        <v/>
      </c>
      <c r="G109" s="130">
        <f>E109*GeneratorRate</f>
        <v/>
      </c>
      <c r="H109" s="130">
        <f>F109*GovernmentRate</f>
        <v/>
      </c>
      <c r="I109" s="130">
        <f>G109+H109</f>
        <v/>
      </c>
      <c r="J109" s="129">
        <f>IFERROR(I109/COUNTIFS('Client DB &amp; Bed Mgmt'!$A:$A,A109,'Client DB &amp; Bed Mgmt'!$B:$B,C109,'Client DB &amp; Bed Mgmt'!$D:$D,"&lt;&gt;"),0)</f>
        <v/>
      </c>
      <c r="K109" s="103" t="inlineStr">
        <is>
          <t>Dorm 2</t>
        </is>
      </c>
      <c r="L109" s="103" t="inlineStr">
        <is>
          <t>Room 2-2</t>
        </is>
      </c>
      <c r="M109" s="103">
        <f>COUNTIFS('Client DB &amp; Bed Mgmt'!$A:$A,$K109,'Client DB &amp; Bed Mgmt'!$B:$B,$L109,'Client DB &amp; Bed Mgmt'!$D:$D,"&lt;&gt;")</f>
        <v/>
      </c>
      <c r="N109" s="126" t="n"/>
      <c r="O109" s="126" t="n"/>
      <c r="P109" s="127">
        <f>IF(N109="","",MAX(N109-O109,0))</f>
        <v/>
      </c>
      <c r="Q109" s="130">
        <f>IF(O109="","",O109*GeneratorRate)</f>
        <v/>
      </c>
      <c r="R109" s="130">
        <f>IF(P109="","",P109*GovernmentRate)</f>
        <v/>
      </c>
      <c r="S109" s="130">
        <f>IF(N109="","",Q109+R109)</f>
        <v/>
      </c>
      <c r="T109" s="130">
        <f>IF(M109=0,0,S109/M109)</f>
        <v/>
      </c>
      <c r="U109" s="176" t="n"/>
      <c r="V109" s="129" t="n"/>
      <c r="W109" s="127" t="n"/>
      <c r="X109" s="130" t="n"/>
      <c r="Y109" s="178" t="n"/>
      <c r="Z109" s="129" t="n"/>
      <c r="AA109" s="129" t="n"/>
      <c r="AB109" s="176" t="n"/>
      <c r="AC109" s="129" t="n"/>
      <c r="AD109" s="176" t="n"/>
      <c r="AE109" s="129" t="n"/>
    </row>
    <row r="110" hidden="1" ht="14.25" customHeight="1" s="83">
      <c r="A110" s="103" t="inlineStr">
        <is>
          <t>Dorm 2</t>
        </is>
      </c>
      <c r="B110" s="177" t="n">
        <v>46174</v>
      </c>
      <c r="C110" s="103" t="inlineStr">
        <is>
          <t>Room 2-3</t>
        </is>
      </c>
      <c r="D110" s="126" t="n">
        <v>0</v>
      </c>
      <c r="E110" s="126" t="n">
        <v>0</v>
      </c>
      <c r="F110" s="127">
        <f>MAX(D110-E110,0)</f>
        <v/>
      </c>
      <c r="G110" s="130">
        <f>E110*GeneratorRate</f>
        <v/>
      </c>
      <c r="H110" s="130">
        <f>F110*GovernmentRate</f>
        <v/>
      </c>
      <c r="I110" s="130">
        <f>G110+H110</f>
        <v/>
      </c>
      <c r="J110" s="129">
        <f>IFERROR(I110/COUNTIFS('Client DB &amp; Bed Mgmt'!$A:$A,A110,'Client DB &amp; Bed Mgmt'!$B:$B,C110,'Client DB &amp; Bed Mgmt'!$D:$D,"&lt;&gt;"),0)</f>
        <v/>
      </c>
      <c r="K110" s="103" t="inlineStr">
        <is>
          <t>Dorm 2</t>
        </is>
      </c>
      <c r="L110" s="103" t="inlineStr">
        <is>
          <t>Room 2-3</t>
        </is>
      </c>
      <c r="M110" s="103">
        <f>COUNTIFS('Client DB &amp; Bed Mgmt'!$A:$A,$K110,'Client DB &amp; Bed Mgmt'!$B:$B,$L110,'Client DB &amp; Bed Mgmt'!$D:$D,"&lt;&gt;")</f>
        <v/>
      </c>
      <c r="N110" s="126" t="n"/>
      <c r="O110" s="126" t="n"/>
      <c r="P110" s="127">
        <f>IF(N110="","",MAX(N110-O110,0))</f>
        <v/>
      </c>
      <c r="Q110" s="130">
        <f>IF(O110="","",O110*GeneratorRate)</f>
        <v/>
      </c>
      <c r="R110" s="130">
        <f>IF(P110="","",P110*GovernmentRate)</f>
        <v/>
      </c>
      <c r="S110" s="130">
        <f>IF(N110="","",Q110+R110)</f>
        <v/>
      </c>
      <c r="T110" s="130">
        <f>IF(M110=0,0,S110/M110)</f>
        <v/>
      </c>
      <c r="U110" s="176" t="n"/>
      <c r="V110" s="129" t="n"/>
      <c r="W110" s="127" t="n"/>
      <c r="X110" s="130" t="n"/>
      <c r="Y110" s="178" t="n"/>
      <c r="Z110" s="129" t="n"/>
      <c r="AA110" s="129" t="n"/>
      <c r="AB110" s="176" t="n"/>
      <c r="AC110" s="129" t="n"/>
      <c r="AD110" s="176" t="n"/>
      <c r="AE110" s="129" t="n"/>
    </row>
    <row r="111" hidden="1" ht="14.25" customHeight="1" s="83">
      <c r="A111" s="103" t="inlineStr">
        <is>
          <t>Dorm 2</t>
        </is>
      </c>
      <c r="B111" s="177" t="n">
        <v>46174</v>
      </c>
      <c r="C111" s="103" t="inlineStr">
        <is>
          <t>Room 2-4</t>
        </is>
      </c>
      <c r="D111" s="126" t="n">
        <v>0</v>
      </c>
      <c r="E111" s="126" t="n">
        <v>0</v>
      </c>
      <c r="F111" s="127">
        <f>MAX(D111-E111,0)</f>
        <v/>
      </c>
      <c r="G111" s="130">
        <f>E111*GeneratorRate</f>
        <v/>
      </c>
      <c r="H111" s="130">
        <f>F111*GovernmentRate</f>
        <v/>
      </c>
      <c r="I111" s="130">
        <f>G111+H111</f>
        <v/>
      </c>
      <c r="J111" s="129">
        <f>IFERROR(I111/COUNTIFS('Client DB &amp; Bed Mgmt'!$A:$A,A111,'Client DB &amp; Bed Mgmt'!$B:$B,C111,'Client DB &amp; Bed Mgmt'!$D:$D,"&lt;&gt;"),0)</f>
        <v/>
      </c>
      <c r="K111" s="103" t="inlineStr">
        <is>
          <t>Dorm 2</t>
        </is>
      </c>
      <c r="L111" s="103" t="inlineStr">
        <is>
          <t>Room 2-4</t>
        </is>
      </c>
      <c r="M111" s="103">
        <f>COUNTIFS('Client DB &amp; Bed Mgmt'!$A:$A,$K111,'Client DB &amp; Bed Mgmt'!$B:$B,$L111,'Client DB &amp; Bed Mgmt'!$D:$D,"&lt;&gt;")</f>
        <v/>
      </c>
      <c r="N111" s="126" t="n"/>
      <c r="O111" s="126" t="n"/>
      <c r="P111" s="127">
        <f>IF(N111="","",MAX(N111-O111,0))</f>
        <v/>
      </c>
      <c r="Q111" s="130">
        <f>IF(O111="","",O111*GeneratorRate)</f>
        <v/>
      </c>
      <c r="R111" s="130">
        <f>IF(P111="","",P111*GovernmentRate)</f>
        <v/>
      </c>
      <c r="S111" s="130">
        <f>IF(N111="","",Q111+R111)</f>
        <v/>
      </c>
      <c r="T111" s="130">
        <f>IF(M111=0,0,S111/M111)</f>
        <v/>
      </c>
      <c r="U111" s="176" t="n"/>
      <c r="V111" s="129" t="n"/>
      <c r="W111" s="127" t="n"/>
      <c r="X111" s="130" t="n"/>
      <c r="Y111" s="178" t="n"/>
      <c r="Z111" s="129" t="n"/>
      <c r="AA111" s="129" t="n"/>
      <c r="AB111" s="176" t="n"/>
      <c r="AC111" s="129" t="n"/>
      <c r="AD111" s="176" t="n"/>
      <c r="AE111" s="129" t="n"/>
    </row>
    <row r="112" hidden="1" ht="14.25" customHeight="1" s="83">
      <c r="A112" s="103" t="inlineStr">
        <is>
          <t>Dorm 2</t>
        </is>
      </c>
      <c r="B112" s="177" t="n">
        <v>46174</v>
      </c>
      <c r="C112" s="103" t="inlineStr">
        <is>
          <t>Room 2-5</t>
        </is>
      </c>
      <c r="D112" s="126" t="n">
        <v>0</v>
      </c>
      <c r="E112" s="126" t="n">
        <v>0</v>
      </c>
      <c r="F112" s="127">
        <f>MAX(D112-E112,0)</f>
        <v/>
      </c>
      <c r="G112" s="130">
        <f>E112*GeneratorRate</f>
        <v/>
      </c>
      <c r="H112" s="130">
        <f>F112*GovernmentRate</f>
        <v/>
      </c>
      <c r="I112" s="130">
        <f>G112+H112</f>
        <v/>
      </c>
      <c r="J112" s="129">
        <f>IFERROR(I112/COUNTIFS('Client DB &amp; Bed Mgmt'!$A:$A,A112,'Client DB &amp; Bed Mgmt'!$B:$B,C112,'Client DB &amp; Bed Mgmt'!$D:$D,"&lt;&gt;"),0)</f>
        <v/>
      </c>
      <c r="K112" s="103" t="inlineStr">
        <is>
          <t>Dorm 2</t>
        </is>
      </c>
      <c r="L112" s="103" t="inlineStr">
        <is>
          <t>Room 2-5</t>
        </is>
      </c>
      <c r="M112" s="103">
        <f>COUNTIFS('Client DB &amp; Bed Mgmt'!$A:$A,$K112,'Client DB &amp; Bed Mgmt'!$B:$B,$L112,'Client DB &amp; Bed Mgmt'!$D:$D,"&lt;&gt;")</f>
        <v/>
      </c>
      <c r="N112" s="126" t="n"/>
      <c r="O112" s="126" t="n"/>
      <c r="P112" s="127">
        <f>IF(N112="","",MAX(N112-O112,0))</f>
        <v/>
      </c>
      <c r="Q112" s="130">
        <f>IF(O112="","",O112*GeneratorRate)</f>
        <v/>
      </c>
      <c r="R112" s="130">
        <f>IF(P112="","",P112*GovernmentRate)</f>
        <v/>
      </c>
      <c r="S112" s="130">
        <f>IF(N112="","",Q112+R112)</f>
        <v/>
      </c>
      <c r="T112" s="130">
        <f>IF(M112=0,0,S112/M112)</f>
        <v/>
      </c>
      <c r="U112" s="176" t="n"/>
      <c r="V112" s="129" t="n"/>
      <c r="W112" s="127" t="n"/>
      <c r="X112" s="130" t="n"/>
      <c r="Y112" s="178" t="n"/>
      <c r="Z112" s="129" t="n"/>
      <c r="AA112" s="129" t="n"/>
      <c r="AB112" s="176" t="n"/>
      <c r="AC112" s="129" t="n"/>
      <c r="AD112" s="176" t="n"/>
      <c r="AE112" s="129" t="n"/>
    </row>
    <row r="113" hidden="1" ht="14.25" customHeight="1" s="83">
      <c r="A113" s="103" t="inlineStr">
        <is>
          <t>Dorm 2</t>
        </is>
      </c>
      <c r="B113" s="177" t="n">
        <v>46174</v>
      </c>
      <c r="C113" s="103" t="inlineStr">
        <is>
          <t>Room 2-6</t>
        </is>
      </c>
      <c r="D113" s="126" t="n">
        <v>0</v>
      </c>
      <c r="E113" s="126" t="n">
        <v>0</v>
      </c>
      <c r="F113" s="127">
        <f>MAX(D113-E113,0)</f>
        <v/>
      </c>
      <c r="G113" s="130">
        <f>E113*GeneratorRate</f>
        <v/>
      </c>
      <c r="H113" s="130">
        <f>F113*GovernmentRate</f>
        <v/>
      </c>
      <c r="I113" s="130">
        <f>G113+H113</f>
        <v/>
      </c>
      <c r="J113" s="129">
        <f>IFERROR(I113/COUNTIFS('Client DB &amp; Bed Mgmt'!$A:$A,A113,'Client DB &amp; Bed Mgmt'!$B:$B,C113,'Client DB &amp; Bed Mgmt'!$D:$D,"&lt;&gt;"),0)</f>
        <v/>
      </c>
      <c r="K113" s="103" t="inlineStr">
        <is>
          <t>Dorm 2</t>
        </is>
      </c>
      <c r="L113" s="103" t="inlineStr">
        <is>
          <t>Room 2-6</t>
        </is>
      </c>
      <c r="M113" s="103">
        <f>COUNTIFS('Client DB &amp; Bed Mgmt'!$A:$A,$K113,'Client DB &amp; Bed Mgmt'!$B:$B,$L113,'Client DB &amp; Bed Mgmt'!$D:$D,"&lt;&gt;")</f>
        <v/>
      </c>
      <c r="N113" s="126" t="n"/>
      <c r="O113" s="126" t="n"/>
      <c r="P113" s="127">
        <f>IF(N113="","",MAX(N113-O113,0))</f>
        <v/>
      </c>
      <c r="Q113" s="130">
        <f>IF(O113="","",O113*GeneratorRate)</f>
        <v/>
      </c>
      <c r="R113" s="130">
        <f>IF(P113="","",P113*GovernmentRate)</f>
        <v/>
      </c>
      <c r="S113" s="130">
        <f>IF(N113="","",Q113+R113)</f>
        <v/>
      </c>
      <c r="T113" s="130">
        <f>IF(M113=0,0,S113/M113)</f>
        <v/>
      </c>
      <c r="U113" s="176" t="n"/>
      <c r="V113" s="129" t="n"/>
      <c r="W113" s="127" t="n"/>
      <c r="X113" s="130" t="n"/>
      <c r="Y113" s="178" t="n"/>
      <c r="Z113" s="129" t="n"/>
      <c r="AA113" s="129" t="n"/>
      <c r="AB113" s="176" t="n"/>
      <c r="AC113" s="129" t="n"/>
      <c r="AD113" s="176" t="n"/>
      <c r="AE113" s="129" t="n"/>
    </row>
    <row r="114" hidden="1" ht="14.25" customHeight="1" s="83">
      <c r="A114" s="103" t="inlineStr">
        <is>
          <t>Dorm 2</t>
        </is>
      </c>
      <c r="B114" s="177" t="n">
        <v>46204</v>
      </c>
      <c r="C114" s="103" t="inlineStr">
        <is>
          <t>Room 2-1</t>
        </is>
      </c>
      <c r="D114" s="126" t="n">
        <v>0</v>
      </c>
      <c r="E114" s="126" t="n">
        <v>0</v>
      </c>
      <c r="F114" s="127">
        <f>MAX(D114-E114,0)</f>
        <v/>
      </c>
      <c r="G114" s="130">
        <f>E114*GeneratorRate</f>
        <v/>
      </c>
      <c r="H114" s="130">
        <f>F114*GovernmentRate</f>
        <v/>
      </c>
      <c r="I114" s="130">
        <f>G114+H114</f>
        <v/>
      </c>
      <c r="J114" s="129">
        <f>IFERROR(I114/COUNTIFS('Client DB &amp; Bed Mgmt'!$A:$A,A114,'Client DB &amp; Bed Mgmt'!$B:$B,C114,'Client DB &amp; Bed Mgmt'!$D:$D,"&lt;&gt;"),0)</f>
        <v/>
      </c>
      <c r="K114" s="103" t="inlineStr">
        <is>
          <t>Dorm 2</t>
        </is>
      </c>
      <c r="L114" s="103" t="inlineStr">
        <is>
          <t>Room 2-1</t>
        </is>
      </c>
      <c r="M114" s="103">
        <f>COUNTIFS('Client DB &amp; Bed Mgmt'!$A:$A,$K114,'Client DB &amp; Bed Mgmt'!$B:$B,$L114,'Client DB &amp; Bed Mgmt'!$D:$D,"&lt;&gt;")</f>
        <v/>
      </c>
      <c r="N114" s="126" t="n"/>
      <c r="O114" s="126" t="n"/>
      <c r="P114" s="127">
        <f>IF(N114="","",MAX(N114-O114,0))</f>
        <v/>
      </c>
      <c r="Q114" s="130">
        <f>IF(O114="","",O114*GeneratorRate)</f>
        <v/>
      </c>
      <c r="R114" s="130">
        <f>IF(P114="","",P114*GovernmentRate)</f>
        <v/>
      </c>
      <c r="S114" s="130">
        <f>IF(N114="","",Q114+R114)</f>
        <v/>
      </c>
      <c r="T114" s="130">
        <f>IF(M114=0,0,S114/M114)</f>
        <v/>
      </c>
      <c r="U114" s="176" t="n"/>
      <c r="V114" s="129" t="n"/>
      <c r="W114" s="127" t="n"/>
      <c r="X114" s="130" t="n"/>
      <c r="Y114" s="178" t="n"/>
      <c r="Z114" s="129" t="n"/>
      <c r="AA114" s="129" t="n"/>
      <c r="AB114" s="176" t="n"/>
      <c r="AC114" s="129" t="n"/>
      <c r="AD114" s="176" t="n"/>
      <c r="AE114" s="129" t="n"/>
    </row>
    <row r="115" hidden="1" ht="14.25" customHeight="1" s="83">
      <c r="A115" s="103" t="inlineStr">
        <is>
          <t>Dorm 2</t>
        </is>
      </c>
      <c r="B115" s="177" t="n">
        <v>46204</v>
      </c>
      <c r="C115" s="103" t="inlineStr">
        <is>
          <t>Room 2-2</t>
        </is>
      </c>
      <c r="D115" s="126" t="n">
        <v>0</v>
      </c>
      <c r="E115" s="126" t="n">
        <v>0</v>
      </c>
      <c r="F115" s="127">
        <f>MAX(D115-E115,0)</f>
        <v/>
      </c>
      <c r="G115" s="130">
        <f>E115*GeneratorRate</f>
        <v/>
      </c>
      <c r="H115" s="130">
        <f>F115*GovernmentRate</f>
        <v/>
      </c>
      <c r="I115" s="130">
        <f>G115+H115</f>
        <v/>
      </c>
      <c r="J115" s="129">
        <f>IFERROR(I115/COUNTIFS('Client DB &amp; Bed Mgmt'!$A:$A,A115,'Client DB &amp; Bed Mgmt'!$B:$B,C115,'Client DB &amp; Bed Mgmt'!$D:$D,"&lt;&gt;"),0)</f>
        <v/>
      </c>
      <c r="K115" s="103" t="inlineStr">
        <is>
          <t>Dorm 2</t>
        </is>
      </c>
      <c r="L115" s="103" t="inlineStr">
        <is>
          <t>Room 2-2</t>
        </is>
      </c>
      <c r="M115" s="103">
        <f>COUNTIFS('Client DB &amp; Bed Mgmt'!$A:$A,$K115,'Client DB &amp; Bed Mgmt'!$B:$B,$L115,'Client DB &amp; Bed Mgmt'!$D:$D,"&lt;&gt;")</f>
        <v/>
      </c>
      <c r="N115" s="126" t="n"/>
      <c r="O115" s="126" t="n"/>
      <c r="P115" s="127">
        <f>IF(N115="","",MAX(N115-O115,0))</f>
        <v/>
      </c>
      <c r="Q115" s="130">
        <f>IF(O115="","",O115*GeneratorRate)</f>
        <v/>
      </c>
      <c r="R115" s="130">
        <f>IF(P115="","",P115*GovernmentRate)</f>
        <v/>
      </c>
      <c r="S115" s="130">
        <f>IF(N115="","",Q115+R115)</f>
        <v/>
      </c>
      <c r="T115" s="130">
        <f>IF(M115=0,0,S115/M115)</f>
        <v/>
      </c>
      <c r="U115" s="176" t="n"/>
      <c r="V115" s="129" t="n"/>
      <c r="W115" s="127" t="n"/>
      <c r="X115" s="130" t="n"/>
      <c r="Y115" s="178" t="n"/>
      <c r="Z115" s="129" t="n"/>
      <c r="AA115" s="129" t="n"/>
      <c r="AB115" s="176" t="n"/>
      <c r="AC115" s="129" t="n"/>
      <c r="AD115" s="176" t="n"/>
      <c r="AE115" s="129" t="n"/>
    </row>
    <row r="116" hidden="1" ht="14.25" customHeight="1" s="83">
      <c r="A116" s="103" t="inlineStr">
        <is>
          <t>Dorm 2</t>
        </is>
      </c>
      <c r="B116" s="177" t="n">
        <v>46204</v>
      </c>
      <c r="C116" s="103" t="inlineStr">
        <is>
          <t>Room 2-3</t>
        </is>
      </c>
      <c r="D116" s="126" t="n">
        <v>0</v>
      </c>
      <c r="E116" s="126" t="n">
        <v>0</v>
      </c>
      <c r="F116" s="127">
        <f>MAX(D116-E116,0)</f>
        <v/>
      </c>
      <c r="G116" s="130">
        <f>E116*GeneratorRate</f>
        <v/>
      </c>
      <c r="H116" s="130">
        <f>F116*GovernmentRate</f>
        <v/>
      </c>
      <c r="I116" s="130">
        <f>G116+H116</f>
        <v/>
      </c>
      <c r="J116" s="129">
        <f>IFERROR(I116/COUNTIFS('Client DB &amp; Bed Mgmt'!$A:$A,A116,'Client DB &amp; Bed Mgmt'!$B:$B,C116,'Client DB &amp; Bed Mgmt'!$D:$D,"&lt;&gt;"),0)</f>
        <v/>
      </c>
      <c r="K116" s="103" t="inlineStr">
        <is>
          <t>Dorm 2</t>
        </is>
      </c>
      <c r="L116" s="103" t="inlineStr">
        <is>
          <t>Room 2-3</t>
        </is>
      </c>
      <c r="M116" s="103">
        <f>COUNTIFS('Client DB &amp; Bed Mgmt'!$A:$A,$K116,'Client DB &amp; Bed Mgmt'!$B:$B,$L116,'Client DB &amp; Bed Mgmt'!$D:$D,"&lt;&gt;")</f>
        <v/>
      </c>
      <c r="N116" s="126" t="n"/>
      <c r="O116" s="126" t="n"/>
      <c r="P116" s="127">
        <f>IF(N116="","",MAX(N116-O116,0))</f>
        <v/>
      </c>
      <c r="Q116" s="130">
        <f>IF(O116="","",O116*GeneratorRate)</f>
        <v/>
      </c>
      <c r="R116" s="130">
        <f>IF(P116="","",P116*GovernmentRate)</f>
        <v/>
      </c>
      <c r="S116" s="130">
        <f>IF(N116="","",Q116+R116)</f>
        <v/>
      </c>
      <c r="T116" s="130">
        <f>IF(M116=0,0,S116/M116)</f>
        <v/>
      </c>
      <c r="U116" s="176" t="n"/>
      <c r="V116" s="129" t="n"/>
      <c r="W116" s="127" t="n"/>
      <c r="X116" s="130" t="n"/>
      <c r="Y116" s="178" t="n"/>
      <c r="Z116" s="129" t="n"/>
      <c r="AA116" s="129" t="n"/>
      <c r="AB116" s="176" t="n"/>
      <c r="AC116" s="129" t="n"/>
      <c r="AD116" s="176" t="n"/>
      <c r="AE116" s="129" t="n"/>
    </row>
    <row r="117" hidden="1" ht="14.25" customHeight="1" s="83">
      <c r="A117" s="103" t="inlineStr">
        <is>
          <t>Dorm 2</t>
        </is>
      </c>
      <c r="B117" s="177" t="n">
        <v>46204</v>
      </c>
      <c r="C117" s="103" t="inlineStr">
        <is>
          <t>Room 2-4</t>
        </is>
      </c>
      <c r="D117" s="126" t="n">
        <v>0</v>
      </c>
      <c r="E117" s="126" t="n">
        <v>0</v>
      </c>
      <c r="F117" s="127">
        <f>MAX(D117-E117,0)</f>
        <v/>
      </c>
      <c r="G117" s="130">
        <f>E117*GeneratorRate</f>
        <v/>
      </c>
      <c r="H117" s="130">
        <f>F117*GovernmentRate</f>
        <v/>
      </c>
      <c r="I117" s="130">
        <f>G117+H117</f>
        <v/>
      </c>
      <c r="J117" s="129">
        <f>IFERROR(I117/COUNTIFS('Client DB &amp; Bed Mgmt'!$A:$A,A117,'Client DB &amp; Bed Mgmt'!$B:$B,C117,'Client DB &amp; Bed Mgmt'!$D:$D,"&lt;&gt;"),0)</f>
        <v/>
      </c>
      <c r="K117" s="103" t="inlineStr">
        <is>
          <t>Dorm 2</t>
        </is>
      </c>
      <c r="L117" s="103" t="inlineStr">
        <is>
          <t>Room 2-4</t>
        </is>
      </c>
      <c r="M117" s="103">
        <f>COUNTIFS('Client DB &amp; Bed Mgmt'!$A:$A,$K117,'Client DB &amp; Bed Mgmt'!$B:$B,$L117,'Client DB &amp; Bed Mgmt'!$D:$D,"&lt;&gt;")</f>
        <v/>
      </c>
      <c r="N117" s="126" t="n"/>
      <c r="O117" s="126" t="n"/>
      <c r="P117" s="127">
        <f>IF(N117="","",MAX(N117-O117,0))</f>
        <v/>
      </c>
      <c r="Q117" s="130">
        <f>IF(O117="","",O117*GeneratorRate)</f>
        <v/>
      </c>
      <c r="R117" s="130">
        <f>IF(P117="","",P117*GovernmentRate)</f>
        <v/>
      </c>
      <c r="S117" s="130">
        <f>IF(N117="","",Q117+R117)</f>
        <v/>
      </c>
      <c r="T117" s="130">
        <f>IF(M117=0,0,S117/M117)</f>
        <v/>
      </c>
      <c r="U117" s="176" t="n"/>
      <c r="V117" s="129" t="n"/>
      <c r="W117" s="127" t="n"/>
      <c r="X117" s="130" t="n"/>
      <c r="Y117" s="178" t="n"/>
      <c r="Z117" s="129" t="n"/>
      <c r="AA117" s="129" t="n"/>
      <c r="AB117" s="176" t="n"/>
      <c r="AC117" s="129" t="n"/>
      <c r="AD117" s="176" t="n"/>
      <c r="AE117" s="129" t="n"/>
    </row>
    <row r="118" hidden="1" ht="14.25" customHeight="1" s="83">
      <c r="A118" s="103" t="inlineStr">
        <is>
          <t>Dorm 2</t>
        </is>
      </c>
      <c r="B118" s="177" t="n">
        <v>46204</v>
      </c>
      <c r="C118" s="103" t="inlineStr">
        <is>
          <t>Room 2-5</t>
        </is>
      </c>
      <c r="D118" s="126" t="n">
        <v>0</v>
      </c>
      <c r="E118" s="126" t="n">
        <v>0</v>
      </c>
      <c r="F118" s="127">
        <f>MAX(D118-E118,0)</f>
        <v/>
      </c>
      <c r="G118" s="130">
        <f>E118*GeneratorRate</f>
        <v/>
      </c>
      <c r="H118" s="130">
        <f>F118*GovernmentRate</f>
        <v/>
      </c>
      <c r="I118" s="130">
        <f>G118+H118</f>
        <v/>
      </c>
      <c r="J118" s="129">
        <f>IFERROR(I118/COUNTIFS('Client DB &amp; Bed Mgmt'!$A:$A,A118,'Client DB &amp; Bed Mgmt'!$B:$B,C118,'Client DB &amp; Bed Mgmt'!$D:$D,"&lt;&gt;"),0)</f>
        <v/>
      </c>
      <c r="K118" s="103" t="inlineStr">
        <is>
          <t>Dorm 2</t>
        </is>
      </c>
      <c r="L118" s="103" t="inlineStr">
        <is>
          <t>Room 2-5</t>
        </is>
      </c>
      <c r="M118" s="103">
        <f>COUNTIFS('Client DB &amp; Bed Mgmt'!$A:$A,$K118,'Client DB &amp; Bed Mgmt'!$B:$B,$L118,'Client DB &amp; Bed Mgmt'!$D:$D,"&lt;&gt;")</f>
        <v/>
      </c>
      <c r="N118" s="126" t="n"/>
      <c r="O118" s="126" t="n"/>
      <c r="P118" s="127">
        <f>IF(N118="","",MAX(N118-O118,0))</f>
        <v/>
      </c>
      <c r="Q118" s="130">
        <f>IF(O118="","",O118*GeneratorRate)</f>
        <v/>
      </c>
      <c r="R118" s="130">
        <f>IF(P118="","",P118*GovernmentRate)</f>
        <v/>
      </c>
      <c r="S118" s="130">
        <f>IF(N118="","",Q118+R118)</f>
        <v/>
      </c>
      <c r="T118" s="130">
        <f>IF(M118=0,0,S118/M118)</f>
        <v/>
      </c>
      <c r="U118" s="176" t="n"/>
      <c r="V118" s="129" t="n"/>
      <c r="W118" s="127" t="n"/>
      <c r="X118" s="130" t="n"/>
      <c r="Y118" s="178" t="n"/>
      <c r="Z118" s="129" t="n"/>
      <c r="AA118" s="129" t="n"/>
      <c r="AB118" s="176" t="n"/>
      <c r="AC118" s="129" t="n"/>
      <c r="AD118" s="176" t="n"/>
      <c r="AE118" s="129" t="n"/>
    </row>
    <row r="119" hidden="1" ht="14.25" customHeight="1" s="83">
      <c r="A119" s="103" t="inlineStr">
        <is>
          <t>Dorm 2</t>
        </is>
      </c>
      <c r="B119" s="177" t="n">
        <v>46204</v>
      </c>
      <c r="C119" s="103" t="inlineStr">
        <is>
          <t>Room 2-6</t>
        </is>
      </c>
      <c r="D119" s="126" t="n">
        <v>0</v>
      </c>
      <c r="E119" s="126" t="n">
        <v>0</v>
      </c>
      <c r="F119" s="127">
        <f>MAX(D119-E119,0)</f>
        <v/>
      </c>
      <c r="G119" s="130">
        <f>E119*GeneratorRate</f>
        <v/>
      </c>
      <c r="H119" s="130">
        <f>F119*GovernmentRate</f>
        <v/>
      </c>
      <c r="I119" s="130">
        <f>G119+H119</f>
        <v/>
      </c>
      <c r="J119" s="129">
        <f>IFERROR(I119/COUNTIFS('Client DB &amp; Bed Mgmt'!$A:$A,A119,'Client DB &amp; Bed Mgmt'!$B:$B,C119,'Client DB &amp; Bed Mgmt'!$D:$D,"&lt;&gt;"),0)</f>
        <v/>
      </c>
      <c r="K119" s="103" t="inlineStr">
        <is>
          <t>Dorm 2</t>
        </is>
      </c>
      <c r="L119" s="103" t="inlineStr">
        <is>
          <t>Room 2-6</t>
        </is>
      </c>
      <c r="M119" s="103">
        <f>COUNTIFS('Client DB &amp; Bed Mgmt'!$A:$A,$K119,'Client DB &amp; Bed Mgmt'!$B:$B,$L119,'Client DB &amp; Bed Mgmt'!$D:$D,"&lt;&gt;")</f>
        <v/>
      </c>
      <c r="N119" s="126" t="n"/>
      <c r="O119" s="126" t="n"/>
      <c r="P119" s="127">
        <f>IF(N119="","",MAX(N119-O119,0))</f>
        <v/>
      </c>
      <c r="Q119" s="130">
        <f>IF(O119="","",O119*GeneratorRate)</f>
        <v/>
      </c>
      <c r="R119" s="130">
        <f>IF(P119="","",P119*GovernmentRate)</f>
        <v/>
      </c>
      <c r="S119" s="130">
        <f>IF(N119="","",Q119+R119)</f>
        <v/>
      </c>
      <c r="T119" s="130">
        <f>IF(M119=0,0,S119/M119)</f>
        <v/>
      </c>
      <c r="U119" s="176" t="n"/>
      <c r="V119" s="129" t="n"/>
      <c r="W119" s="127" t="n"/>
      <c r="X119" s="130" t="n"/>
      <c r="Y119" s="178" t="n"/>
      <c r="Z119" s="129" t="n"/>
      <c r="AA119" s="129" t="n"/>
      <c r="AB119" s="176" t="n"/>
      <c r="AC119" s="129" t="n"/>
      <c r="AD119" s="176" t="n"/>
      <c r="AE119" s="129" t="n"/>
    </row>
    <row r="120" hidden="1" ht="14.25" customHeight="1" s="83">
      <c r="A120" s="103" t="inlineStr">
        <is>
          <t>Dorm 2</t>
        </is>
      </c>
      <c r="B120" s="177" t="n">
        <v>46235</v>
      </c>
      <c r="C120" s="103" t="inlineStr">
        <is>
          <t>Room 2-1</t>
        </is>
      </c>
      <c r="D120" s="126" t="n">
        <v>0</v>
      </c>
      <c r="E120" s="126" t="n">
        <v>0</v>
      </c>
      <c r="F120" s="127">
        <f>MAX(D120-E120,0)</f>
        <v/>
      </c>
      <c r="G120" s="130">
        <f>E120*GeneratorRate</f>
        <v/>
      </c>
      <c r="H120" s="130">
        <f>F120*GovernmentRate</f>
        <v/>
      </c>
      <c r="I120" s="130">
        <f>G120+H120</f>
        <v/>
      </c>
      <c r="J120" s="129">
        <f>IFERROR(I120/COUNTIFS('Client DB &amp; Bed Mgmt'!$A:$A,A120,'Client DB &amp; Bed Mgmt'!$B:$B,C120,'Client DB &amp; Bed Mgmt'!$D:$D,"&lt;&gt;"),0)</f>
        <v/>
      </c>
      <c r="K120" s="103" t="inlineStr">
        <is>
          <t>Dorm 2</t>
        </is>
      </c>
      <c r="L120" s="103" t="inlineStr">
        <is>
          <t>Room 2-1</t>
        </is>
      </c>
      <c r="M120" s="103">
        <f>COUNTIFS('Client DB &amp; Bed Mgmt'!$A:$A,$K120,'Client DB &amp; Bed Mgmt'!$B:$B,$L120,'Client DB &amp; Bed Mgmt'!$D:$D,"&lt;&gt;")</f>
        <v/>
      </c>
      <c r="N120" s="126" t="n"/>
      <c r="O120" s="126" t="n"/>
      <c r="P120" s="127">
        <f>IF(N120="","",MAX(N120-O120,0))</f>
        <v/>
      </c>
      <c r="Q120" s="130">
        <f>IF(O120="","",O120*GeneratorRate)</f>
        <v/>
      </c>
      <c r="R120" s="130">
        <f>IF(P120="","",P120*GovernmentRate)</f>
        <v/>
      </c>
      <c r="S120" s="130">
        <f>IF(N120="","",Q120+R120)</f>
        <v/>
      </c>
      <c r="T120" s="130">
        <f>IF(M120=0,0,S120/M120)</f>
        <v/>
      </c>
      <c r="U120" s="176" t="n"/>
      <c r="V120" s="129" t="n"/>
      <c r="W120" s="127" t="n"/>
      <c r="X120" s="130" t="n"/>
      <c r="Y120" s="178" t="n"/>
      <c r="Z120" s="129" t="n"/>
      <c r="AA120" s="129" t="n"/>
      <c r="AB120" s="176" t="n"/>
      <c r="AC120" s="129" t="n"/>
      <c r="AD120" s="176" t="n"/>
      <c r="AE120" s="129" t="n"/>
    </row>
    <row r="121" hidden="1" ht="14.25" customHeight="1" s="83">
      <c r="A121" s="103" t="inlineStr">
        <is>
          <t>Dorm 2</t>
        </is>
      </c>
      <c r="B121" s="177" t="n">
        <v>46235</v>
      </c>
      <c r="C121" s="103" t="inlineStr">
        <is>
          <t>Room 2-2</t>
        </is>
      </c>
      <c r="D121" s="126" t="n">
        <v>0</v>
      </c>
      <c r="E121" s="126" t="n">
        <v>0</v>
      </c>
      <c r="F121" s="127">
        <f>MAX(D121-E121,0)</f>
        <v/>
      </c>
      <c r="G121" s="130">
        <f>E121*GeneratorRate</f>
        <v/>
      </c>
      <c r="H121" s="130">
        <f>F121*GovernmentRate</f>
        <v/>
      </c>
      <c r="I121" s="130">
        <f>G121+H121</f>
        <v/>
      </c>
      <c r="J121" s="129">
        <f>IFERROR(I121/COUNTIFS('Client DB &amp; Bed Mgmt'!$A:$A,A121,'Client DB &amp; Bed Mgmt'!$B:$B,C121,'Client DB &amp; Bed Mgmt'!$D:$D,"&lt;&gt;"),0)</f>
        <v/>
      </c>
      <c r="K121" s="103" t="inlineStr">
        <is>
          <t>Dorm 2</t>
        </is>
      </c>
      <c r="L121" s="103" t="inlineStr">
        <is>
          <t>Room 2-2</t>
        </is>
      </c>
      <c r="M121" s="103">
        <f>COUNTIFS('Client DB &amp; Bed Mgmt'!$A:$A,$K121,'Client DB &amp; Bed Mgmt'!$B:$B,$L121,'Client DB &amp; Bed Mgmt'!$D:$D,"&lt;&gt;")</f>
        <v/>
      </c>
      <c r="N121" s="126" t="n"/>
      <c r="O121" s="126" t="n"/>
      <c r="P121" s="127">
        <f>IF(N121="","",MAX(N121-O121,0))</f>
        <v/>
      </c>
      <c r="Q121" s="130">
        <f>IF(O121="","",O121*GeneratorRate)</f>
        <v/>
      </c>
      <c r="R121" s="130">
        <f>IF(P121="","",P121*GovernmentRate)</f>
        <v/>
      </c>
      <c r="S121" s="130">
        <f>IF(N121="","",Q121+R121)</f>
        <v/>
      </c>
      <c r="T121" s="130">
        <f>IF(M121=0,0,S121/M121)</f>
        <v/>
      </c>
      <c r="U121" s="176" t="n"/>
      <c r="V121" s="129" t="n"/>
      <c r="W121" s="127" t="n"/>
      <c r="X121" s="130" t="n"/>
      <c r="Y121" s="178" t="n"/>
      <c r="Z121" s="129" t="n"/>
      <c r="AA121" s="129" t="n"/>
      <c r="AB121" s="176" t="n"/>
      <c r="AC121" s="129" t="n"/>
      <c r="AD121" s="176" t="n"/>
      <c r="AE121" s="129" t="n"/>
    </row>
    <row r="122" hidden="1" ht="14.25" customHeight="1" s="83">
      <c r="A122" s="103" t="inlineStr">
        <is>
          <t>Dorm 2</t>
        </is>
      </c>
      <c r="B122" s="177" t="n">
        <v>46235</v>
      </c>
      <c r="C122" s="103" t="inlineStr">
        <is>
          <t>Room 2-3</t>
        </is>
      </c>
      <c r="D122" s="126" t="n">
        <v>0</v>
      </c>
      <c r="E122" s="126" t="n">
        <v>0</v>
      </c>
      <c r="F122" s="127">
        <f>MAX(D122-E122,0)</f>
        <v/>
      </c>
      <c r="G122" s="130">
        <f>E122*GeneratorRate</f>
        <v/>
      </c>
      <c r="H122" s="130">
        <f>F122*GovernmentRate</f>
        <v/>
      </c>
      <c r="I122" s="130">
        <f>G122+H122</f>
        <v/>
      </c>
      <c r="J122" s="129">
        <f>IFERROR(I122/COUNTIFS('Client DB &amp; Bed Mgmt'!$A:$A,A122,'Client DB &amp; Bed Mgmt'!$B:$B,C122,'Client DB &amp; Bed Mgmt'!$D:$D,"&lt;&gt;"),0)</f>
        <v/>
      </c>
      <c r="K122" s="103" t="inlineStr">
        <is>
          <t>Dorm 2</t>
        </is>
      </c>
      <c r="L122" s="103" t="inlineStr">
        <is>
          <t>Room 2-3</t>
        </is>
      </c>
      <c r="M122" s="103">
        <f>COUNTIFS('Client DB &amp; Bed Mgmt'!$A:$A,$K122,'Client DB &amp; Bed Mgmt'!$B:$B,$L122,'Client DB &amp; Bed Mgmt'!$D:$D,"&lt;&gt;")</f>
        <v/>
      </c>
      <c r="N122" s="126" t="n"/>
      <c r="O122" s="126" t="n"/>
      <c r="P122" s="127">
        <f>IF(N122="","",MAX(N122-O122,0))</f>
        <v/>
      </c>
      <c r="Q122" s="130">
        <f>IF(O122="","",O122*GeneratorRate)</f>
        <v/>
      </c>
      <c r="R122" s="130">
        <f>IF(P122="","",P122*GovernmentRate)</f>
        <v/>
      </c>
      <c r="S122" s="130">
        <f>IF(N122="","",Q122+R122)</f>
        <v/>
      </c>
      <c r="T122" s="130">
        <f>IF(M122=0,0,S122/M122)</f>
        <v/>
      </c>
      <c r="U122" s="176" t="n"/>
      <c r="V122" s="129" t="n"/>
      <c r="W122" s="127" t="n"/>
      <c r="X122" s="130" t="n"/>
      <c r="Y122" s="178" t="n"/>
      <c r="Z122" s="129" t="n"/>
      <c r="AA122" s="129" t="n"/>
      <c r="AB122" s="176" t="n"/>
      <c r="AC122" s="129" t="n"/>
      <c r="AD122" s="176" t="n"/>
      <c r="AE122" s="129" t="n"/>
    </row>
    <row r="123" hidden="1" ht="14.25" customHeight="1" s="83">
      <c r="A123" s="103" t="inlineStr">
        <is>
          <t>Dorm 2</t>
        </is>
      </c>
      <c r="B123" s="177" t="n">
        <v>46235</v>
      </c>
      <c r="C123" s="103" t="inlineStr">
        <is>
          <t>Room 2-4</t>
        </is>
      </c>
      <c r="D123" s="126" t="n">
        <v>0</v>
      </c>
      <c r="E123" s="126" t="n">
        <v>0</v>
      </c>
      <c r="F123" s="127">
        <f>MAX(D123-E123,0)</f>
        <v/>
      </c>
      <c r="G123" s="130">
        <f>E123*GeneratorRate</f>
        <v/>
      </c>
      <c r="H123" s="130">
        <f>F123*GovernmentRate</f>
        <v/>
      </c>
      <c r="I123" s="130">
        <f>G123+H123</f>
        <v/>
      </c>
      <c r="J123" s="129">
        <f>IFERROR(I123/COUNTIFS('Client DB &amp; Bed Mgmt'!$A:$A,A123,'Client DB &amp; Bed Mgmt'!$B:$B,C123,'Client DB &amp; Bed Mgmt'!$D:$D,"&lt;&gt;"),0)</f>
        <v/>
      </c>
      <c r="K123" s="103" t="inlineStr">
        <is>
          <t>Dorm 2</t>
        </is>
      </c>
      <c r="L123" s="103" t="inlineStr">
        <is>
          <t>Room 2-4</t>
        </is>
      </c>
      <c r="M123" s="103">
        <f>COUNTIFS('Client DB &amp; Bed Mgmt'!$A:$A,$K123,'Client DB &amp; Bed Mgmt'!$B:$B,$L123,'Client DB &amp; Bed Mgmt'!$D:$D,"&lt;&gt;")</f>
        <v/>
      </c>
      <c r="N123" s="126" t="n"/>
      <c r="O123" s="126" t="n"/>
      <c r="P123" s="127">
        <f>IF(N123="","",MAX(N123-O123,0))</f>
        <v/>
      </c>
      <c r="Q123" s="130">
        <f>IF(O123="","",O123*GeneratorRate)</f>
        <v/>
      </c>
      <c r="R123" s="130">
        <f>IF(P123="","",P123*GovernmentRate)</f>
        <v/>
      </c>
      <c r="S123" s="130">
        <f>IF(N123="","",Q123+R123)</f>
        <v/>
      </c>
      <c r="T123" s="130">
        <f>IF(M123=0,0,S123/M123)</f>
        <v/>
      </c>
      <c r="U123" s="176" t="n"/>
      <c r="V123" s="129" t="n"/>
      <c r="W123" s="127" t="n"/>
      <c r="X123" s="130" t="n"/>
      <c r="Y123" s="178" t="n"/>
      <c r="Z123" s="129" t="n"/>
      <c r="AA123" s="129" t="n"/>
      <c r="AB123" s="176" t="n"/>
      <c r="AC123" s="129" t="n"/>
      <c r="AD123" s="176" t="n"/>
      <c r="AE123" s="129" t="n"/>
    </row>
    <row r="124" hidden="1" ht="14.25" customHeight="1" s="83">
      <c r="A124" s="103" t="inlineStr">
        <is>
          <t>Dorm 2</t>
        </is>
      </c>
      <c r="B124" s="177" t="n">
        <v>46235</v>
      </c>
      <c r="C124" s="103" t="inlineStr">
        <is>
          <t>Room 2-5</t>
        </is>
      </c>
      <c r="D124" s="126" t="n">
        <v>0</v>
      </c>
      <c r="E124" s="126" t="n">
        <v>0</v>
      </c>
      <c r="F124" s="127">
        <f>MAX(D124-E124,0)</f>
        <v/>
      </c>
      <c r="G124" s="130">
        <f>E124*GeneratorRate</f>
        <v/>
      </c>
      <c r="H124" s="130">
        <f>F124*GovernmentRate</f>
        <v/>
      </c>
      <c r="I124" s="130">
        <f>G124+H124</f>
        <v/>
      </c>
      <c r="J124" s="129">
        <f>IFERROR(I124/COUNTIFS('Client DB &amp; Bed Mgmt'!$A:$A,A124,'Client DB &amp; Bed Mgmt'!$B:$B,C124,'Client DB &amp; Bed Mgmt'!$D:$D,"&lt;&gt;"),0)</f>
        <v/>
      </c>
      <c r="K124" s="103" t="inlineStr">
        <is>
          <t>Dorm 2</t>
        </is>
      </c>
      <c r="L124" s="103" t="inlineStr">
        <is>
          <t>Room 2-5</t>
        </is>
      </c>
      <c r="M124" s="103">
        <f>COUNTIFS('Client DB &amp; Bed Mgmt'!$A:$A,$K124,'Client DB &amp; Bed Mgmt'!$B:$B,$L124,'Client DB &amp; Bed Mgmt'!$D:$D,"&lt;&gt;")</f>
        <v/>
      </c>
      <c r="N124" s="126" t="n"/>
      <c r="O124" s="126" t="n"/>
      <c r="P124" s="127">
        <f>IF(N124="","",MAX(N124-O124,0))</f>
        <v/>
      </c>
      <c r="Q124" s="130">
        <f>IF(O124="","",O124*GeneratorRate)</f>
        <v/>
      </c>
      <c r="R124" s="130">
        <f>IF(P124="","",P124*GovernmentRate)</f>
        <v/>
      </c>
      <c r="S124" s="130">
        <f>IF(N124="","",Q124+R124)</f>
        <v/>
      </c>
      <c r="T124" s="130">
        <f>IF(M124=0,0,S124/M124)</f>
        <v/>
      </c>
      <c r="U124" s="176" t="n"/>
      <c r="V124" s="129" t="n"/>
      <c r="W124" s="127" t="n"/>
      <c r="X124" s="130" t="n"/>
      <c r="Y124" s="178" t="n"/>
      <c r="Z124" s="129" t="n"/>
      <c r="AA124" s="129" t="n"/>
      <c r="AB124" s="176" t="n"/>
      <c r="AC124" s="129" t="n"/>
      <c r="AD124" s="176" t="n"/>
      <c r="AE124" s="129" t="n"/>
    </row>
    <row r="125" hidden="1" ht="14.25" customHeight="1" s="83">
      <c r="A125" s="103" t="inlineStr">
        <is>
          <t>Dorm 2</t>
        </is>
      </c>
      <c r="B125" s="177" t="n">
        <v>46235</v>
      </c>
      <c r="C125" s="103" t="inlineStr">
        <is>
          <t>Room 2-6</t>
        </is>
      </c>
      <c r="D125" s="126" t="n">
        <v>0</v>
      </c>
      <c r="E125" s="126" t="n">
        <v>0</v>
      </c>
      <c r="F125" s="127">
        <f>MAX(D125-E125,0)</f>
        <v/>
      </c>
      <c r="G125" s="130">
        <f>E125*GeneratorRate</f>
        <v/>
      </c>
      <c r="H125" s="130">
        <f>F125*GovernmentRate</f>
        <v/>
      </c>
      <c r="I125" s="130">
        <f>G125+H125</f>
        <v/>
      </c>
      <c r="J125" s="129">
        <f>IFERROR(I125/COUNTIFS('Client DB &amp; Bed Mgmt'!$A:$A,A125,'Client DB &amp; Bed Mgmt'!$B:$B,C125,'Client DB &amp; Bed Mgmt'!$D:$D,"&lt;&gt;"),0)</f>
        <v/>
      </c>
      <c r="K125" s="103" t="inlineStr">
        <is>
          <t>Dorm 2</t>
        </is>
      </c>
      <c r="L125" s="103" t="inlineStr">
        <is>
          <t>Room 2-6</t>
        </is>
      </c>
      <c r="M125" s="103">
        <f>COUNTIFS('Client DB &amp; Bed Mgmt'!$A:$A,$K125,'Client DB &amp; Bed Mgmt'!$B:$B,$L125,'Client DB &amp; Bed Mgmt'!$D:$D,"&lt;&gt;")</f>
        <v/>
      </c>
      <c r="N125" s="126" t="n"/>
      <c r="O125" s="126" t="n"/>
      <c r="P125" s="127">
        <f>IF(N125="","",MAX(N125-O125,0))</f>
        <v/>
      </c>
      <c r="Q125" s="130">
        <f>IF(O125="","",O125*GeneratorRate)</f>
        <v/>
      </c>
      <c r="R125" s="130">
        <f>IF(P125="","",P125*GovernmentRate)</f>
        <v/>
      </c>
      <c r="S125" s="130">
        <f>IF(N125="","",Q125+R125)</f>
        <v/>
      </c>
      <c r="T125" s="130">
        <f>IF(M125=0,0,S125/M125)</f>
        <v/>
      </c>
      <c r="U125" s="176" t="n"/>
      <c r="V125" s="129" t="n"/>
      <c r="W125" s="127" t="n"/>
      <c r="X125" s="130" t="n"/>
      <c r="Y125" s="178" t="n"/>
      <c r="Z125" s="129" t="n"/>
      <c r="AA125" s="129" t="n"/>
      <c r="AB125" s="176" t="n"/>
      <c r="AC125" s="129" t="n"/>
      <c r="AD125" s="176" t="n"/>
      <c r="AE125" s="129" t="n"/>
    </row>
    <row r="126" hidden="1" ht="14.25" customHeight="1" s="83">
      <c r="A126" s="103" t="inlineStr">
        <is>
          <t>Dorm 2</t>
        </is>
      </c>
      <c r="B126" s="177" t="n">
        <v>46266</v>
      </c>
      <c r="C126" s="103" t="inlineStr">
        <is>
          <t>Room 2-1</t>
        </is>
      </c>
      <c r="D126" s="126" t="n">
        <v>0</v>
      </c>
      <c r="E126" s="126" t="n">
        <v>0</v>
      </c>
      <c r="F126" s="127">
        <f>MAX(D126-E126,0)</f>
        <v/>
      </c>
      <c r="G126" s="130">
        <f>E126*GeneratorRate</f>
        <v/>
      </c>
      <c r="H126" s="130">
        <f>F126*GovernmentRate</f>
        <v/>
      </c>
      <c r="I126" s="130">
        <f>G126+H126</f>
        <v/>
      </c>
      <c r="J126" s="129">
        <f>IFERROR(I126/COUNTIFS('Client DB &amp; Bed Mgmt'!$A:$A,A126,'Client DB &amp; Bed Mgmt'!$B:$B,C126,'Client DB &amp; Bed Mgmt'!$D:$D,"&lt;&gt;"),0)</f>
        <v/>
      </c>
      <c r="K126" s="103" t="inlineStr">
        <is>
          <t>Dorm 2</t>
        </is>
      </c>
      <c r="L126" s="103" t="inlineStr">
        <is>
          <t>Room 2-1</t>
        </is>
      </c>
      <c r="M126" s="103">
        <f>COUNTIFS('Client DB &amp; Bed Mgmt'!$A:$A,$K126,'Client DB &amp; Bed Mgmt'!$B:$B,$L126,'Client DB &amp; Bed Mgmt'!$D:$D,"&lt;&gt;")</f>
        <v/>
      </c>
      <c r="N126" s="126" t="n"/>
      <c r="O126" s="126" t="n"/>
      <c r="P126" s="127">
        <f>IF(N126="","",MAX(N126-O126,0))</f>
        <v/>
      </c>
      <c r="Q126" s="130">
        <f>IF(O126="","",O126*GeneratorRate)</f>
        <v/>
      </c>
      <c r="R126" s="130">
        <f>IF(P126="","",P126*GovernmentRate)</f>
        <v/>
      </c>
      <c r="S126" s="130">
        <f>IF(N126="","",Q126+R126)</f>
        <v/>
      </c>
      <c r="T126" s="130">
        <f>IF(M126=0,0,S126/M126)</f>
        <v/>
      </c>
      <c r="U126" s="176" t="n"/>
      <c r="V126" s="129" t="n"/>
      <c r="W126" s="127" t="n"/>
      <c r="X126" s="130" t="n"/>
      <c r="Y126" s="178" t="n"/>
      <c r="Z126" s="129" t="n"/>
      <c r="AA126" s="129" t="n"/>
      <c r="AB126" s="176" t="n"/>
      <c r="AC126" s="129" t="n"/>
      <c r="AD126" s="176" t="n"/>
      <c r="AE126" s="129" t="n"/>
    </row>
    <row r="127" hidden="1" ht="14.25" customHeight="1" s="83">
      <c r="A127" s="103" t="inlineStr">
        <is>
          <t>Dorm 2</t>
        </is>
      </c>
      <c r="B127" s="177" t="n">
        <v>46266</v>
      </c>
      <c r="C127" s="103" t="inlineStr">
        <is>
          <t>Room 2-2</t>
        </is>
      </c>
      <c r="D127" s="126" t="n">
        <v>0</v>
      </c>
      <c r="E127" s="126" t="n">
        <v>0</v>
      </c>
      <c r="F127" s="127">
        <f>MAX(D127-E127,0)</f>
        <v/>
      </c>
      <c r="G127" s="130">
        <f>E127*GeneratorRate</f>
        <v/>
      </c>
      <c r="H127" s="130">
        <f>F127*GovernmentRate</f>
        <v/>
      </c>
      <c r="I127" s="130">
        <f>G127+H127</f>
        <v/>
      </c>
      <c r="J127" s="129">
        <f>IFERROR(I127/COUNTIFS('Client DB &amp; Bed Mgmt'!$A:$A,A127,'Client DB &amp; Bed Mgmt'!$B:$B,C127,'Client DB &amp; Bed Mgmt'!$D:$D,"&lt;&gt;"),0)</f>
        <v/>
      </c>
      <c r="K127" s="103" t="inlineStr">
        <is>
          <t>Dorm 2</t>
        </is>
      </c>
      <c r="L127" s="103" t="inlineStr">
        <is>
          <t>Room 2-2</t>
        </is>
      </c>
      <c r="M127" s="103">
        <f>COUNTIFS('Client DB &amp; Bed Mgmt'!$A:$A,$K127,'Client DB &amp; Bed Mgmt'!$B:$B,$L127,'Client DB &amp; Bed Mgmt'!$D:$D,"&lt;&gt;")</f>
        <v/>
      </c>
      <c r="N127" s="126" t="n"/>
      <c r="O127" s="126" t="n"/>
      <c r="P127" s="127">
        <f>IF(N127="","",MAX(N127-O127,0))</f>
        <v/>
      </c>
      <c r="Q127" s="130">
        <f>IF(O127="","",O127*GeneratorRate)</f>
        <v/>
      </c>
      <c r="R127" s="130">
        <f>IF(P127="","",P127*GovernmentRate)</f>
        <v/>
      </c>
      <c r="S127" s="130">
        <f>IF(N127="","",Q127+R127)</f>
        <v/>
      </c>
      <c r="T127" s="130">
        <f>IF(M127=0,0,S127/M127)</f>
        <v/>
      </c>
      <c r="U127" s="176" t="n"/>
      <c r="V127" s="129" t="n"/>
      <c r="W127" s="127" t="n"/>
      <c r="X127" s="130" t="n"/>
      <c r="Y127" s="178" t="n"/>
      <c r="Z127" s="129" t="n"/>
      <c r="AA127" s="129" t="n"/>
      <c r="AB127" s="176" t="n"/>
      <c r="AC127" s="129" t="n"/>
      <c r="AD127" s="176" t="n"/>
      <c r="AE127" s="129" t="n"/>
    </row>
    <row r="128" hidden="1" ht="14.25" customHeight="1" s="83">
      <c r="A128" s="103" t="inlineStr">
        <is>
          <t>Dorm 2</t>
        </is>
      </c>
      <c r="B128" s="177" t="n">
        <v>46266</v>
      </c>
      <c r="C128" s="103" t="inlineStr">
        <is>
          <t>Room 2-3</t>
        </is>
      </c>
      <c r="D128" s="126" t="n">
        <v>0</v>
      </c>
      <c r="E128" s="126" t="n">
        <v>0</v>
      </c>
      <c r="F128" s="127">
        <f>MAX(D128-E128,0)</f>
        <v/>
      </c>
      <c r="G128" s="130">
        <f>E128*GeneratorRate</f>
        <v/>
      </c>
      <c r="H128" s="130">
        <f>F128*GovernmentRate</f>
        <v/>
      </c>
      <c r="I128" s="130">
        <f>G128+H128</f>
        <v/>
      </c>
      <c r="J128" s="129">
        <f>IFERROR(I128/COUNTIFS('Client DB &amp; Bed Mgmt'!$A:$A,A128,'Client DB &amp; Bed Mgmt'!$B:$B,C128,'Client DB &amp; Bed Mgmt'!$D:$D,"&lt;&gt;"),0)</f>
        <v/>
      </c>
      <c r="K128" s="103" t="inlineStr">
        <is>
          <t>Dorm 2</t>
        </is>
      </c>
      <c r="L128" s="103" t="inlineStr">
        <is>
          <t>Room 2-3</t>
        </is>
      </c>
      <c r="M128" s="103">
        <f>COUNTIFS('Client DB &amp; Bed Mgmt'!$A:$A,$K128,'Client DB &amp; Bed Mgmt'!$B:$B,$L128,'Client DB &amp; Bed Mgmt'!$D:$D,"&lt;&gt;")</f>
        <v/>
      </c>
      <c r="N128" s="126" t="n"/>
      <c r="O128" s="126" t="n"/>
      <c r="P128" s="127">
        <f>IF(N128="","",MAX(N128-O128,0))</f>
        <v/>
      </c>
      <c r="Q128" s="130">
        <f>IF(O128="","",O128*GeneratorRate)</f>
        <v/>
      </c>
      <c r="R128" s="130">
        <f>IF(P128="","",P128*GovernmentRate)</f>
        <v/>
      </c>
      <c r="S128" s="130">
        <f>IF(N128="","",Q128+R128)</f>
        <v/>
      </c>
      <c r="T128" s="130">
        <f>IF(M128=0,0,S128/M128)</f>
        <v/>
      </c>
      <c r="U128" s="176" t="n"/>
      <c r="V128" s="129" t="n"/>
      <c r="W128" s="127" t="n"/>
      <c r="X128" s="130" t="n"/>
      <c r="Y128" s="178" t="n"/>
      <c r="Z128" s="129" t="n"/>
      <c r="AA128" s="129" t="n"/>
      <c r="AB128" s="176" t="n"/>
      <c r="AC128" s="129" t="n"/>
      <c r="AD128" s="176" t="n"/>
      <c r="AE128" s="129" t="n"/>
    </row>
    <row r="129" hidden="1" ht="14.25" customHeight="1" s="83">
      <c r="A129" s="103" t="inlineStr">
        <is>
          <t>Dorm 2</t>
        </is>
      </c>
      <c r="B129" s="177" t="n">
        <v>46266</v>
      </c>
      <c r="C129" s="103" t="inlineStr">
        <is>
          <t>Room 2-4</t>
        </is>
      </c>
      <c r="D129" s="126" t="n">
        <v>0</v>
      </c>
      <c r="E129" s="126" t="n">
        <v>0</v>
      </c>
      <c r="F129" s="127">
        <f>MAX(D129-E129,0)</f>
        <v/>
      </c>
      <c r="G129" s="130">
        <f>E129*GeneratorRate</f>
        <v/>
      </c>
      <c r="H129" s="130">
        <f>F129*GovernmentRate</f>
        <v/>
      </c>
      <c r="I129" s="130">
        <f>G129+H129</f>
        <v/>
      </c>
      <c r="J129" s="129">
        <f>IFERROR(I129/COUNTIFS('Client DB &amp; Bed Mgmt'!$A:$A,A129,'Client DB &amp; Bed Mgmt'!$B:$B,C129,'Client DB &amp; Bed Mgmt'!$D:$D,"&lt;&gt;"),0)</f>
        <v/>
      </c>
      <c r="K129" s="103" t="inlineStr">
        <is>
          <t>Dorm 2</t>
        </is>
      </c>
      <c r="L129" s="103" t="inlineStr">
        <is>
          <t>Room 2-4</t>
        </is>
      </c>
      <c r="M129" s="103">
        <f>COUNTIFS('Client DB &amp; Bed Mgmt'!$A:$A,$K129,'Client DB &amp; Bed Mgmt'!$B:$B,$L129,'Client DB &amp; Bed Mgmt'!$D:$D,"&lt;&gt;")</f>
        <v/>
      </c>
      <c r="N129" s="126" t="n"/>
      <c r="O129" s="126" t="n"/>
      <c r="P129" s="127">
        <f>IF(N129="","",MAX(N129-O129,0))</f>
        <v/>
      </c>
      <c r="Q129" s="130">
        <f>IF(O129="","",O129*GeneratorRate)</f>
        <v/>
      </c>
      <c r="R129" s="130">
        <f>IF(P129="","",P129*GovernmentRate)</f>
        <v/>
      </c>
      <c r="S129" s="130">
        <f>IF(N129="","",Q129+R129)</f>
        <v/>
      </c>
      <c r="T129" s="130">
        <f>IF(M129=0,0,S129/M129)</f>
        <v/>
      </c>
      <c r="U129" s="176" t="n"/>
      <c r="V129" s="129" t="n"/>
      <c r="W129" s="127" t="n"/>
      <c r="X129" s="130" t="n"/>
      <c r="Y129" s="178" t="n"/>
      <c r="Z129" s="129" t="n"/>
      <c r="AA129" s="129" t="n"/>
      <c r="AB129" s="176" t="n"/>
      <c r="AC129" s="129" t="n"/>
      <c r="AD129" s="176" t="n"/>
      <c r="AE129" s="129" t="n"/>
    </row>
    <row r="130" hidden="1" ht="14.25" customHeight="1" s="83">
      <c r="A130" s="103" t="inlineStr">
        <is>
          <t>Dorm 2</t>
        </is>
      </c>
      <c r="B130" s="177" t="n">
        <v>46266</v>
      </c>
      <c r="C130" s="103" t="inlineStr">
        <is>
          <t>Room 2-5</t>
        </is>
      </c>
      <c r="D130" s="126" t="n">
        <v>0</v>
      </c>
      <c r="E130" s="126" t="n">
        <v>0</v>
      </c>
      <c r="F130" s="127">
        <f>MAX(D130-E130,0)</f>
        <v/>
      </c>
      <c r="G130" s="130">
        <f>E130*GeneratorRate</f>
        <v/>
      </c>
      <c r="H130" s="130">
        <f>F130*GovernmentRate</f>
        <v/>
      </c>
      <c r="I130" s="130">
        <f>G130+H130</f>
        <v/>
      </c>
      <c r="J130" s="129">
        <f>IFERROR(I130/COUNTIFS('Client DB &amp; Bed Mgmt'!$A:$A,A130,'Client DB &amp; Bed Mgmt'!$B:$B,C130,'Client DB &amp; Bed Mgmt'!$D:$D,"&lt;&gt;"),0)</f>
        <v/>
      </c>
      <c r="K130" s="103" t="inlineStr">
        <is>
          <t>Dorm 2</t>
        </is>
      </c>
      <c r="L130" s="103" t="inlineStr">
        <is>
          <t>Room 2-5</t>
        </is>
      </c>
      <c r="M130" s="103">
        <f>COUNTIFS('Client DB &amp; Bed Mgmt'!$A:$A,$K130,'Client DB &amp; Bed Mgmt'!$B:$B,$L130,'Client DB &amp; Bed Mgmt'!$D:$D,"&lt;&gt;")</f>
        <v/>
      </c>
      <c r="N130" s="126" t="n"/>
      <c r="O130" s="126" t="n"/>
      <c r="P130" s="127">
        <f>IF(N130="","",MAX(N130-O130,0))</f>
        <v/>
      </c>
      <c r="Q130" s="130">
        <f>IF(O130="","",O130*GeneratorRate)</f>
        <v/>
      </c>
      <c r="R130" s="130">
        <f>IF(P130="","",P130*GovernmentRate)</f>
        <v/>
      </c>
      <c r="S130" s="130">
        <f>IF(N130="","",Q130+R130)</f>
        <v/>
      </c>
      <c r="T130" s="130">
        <f>IF(M130=0,0,S130/M130)</f>
        <v/>
      </c>
      <c r="U130" s="176" t="n"/>
      <c r="V130" s="129" t="n"/>
      <c r="W130" s="127" t="n"/>
      <c r="X130" s="130" t="n"/>
      <c r="Y130" s="178" t="n"/>
      <c r="Z130" s="129" t="n"/>
      <c r="AA130" s="129" t="n"/>
      <c r="AB130" s="176" t="n"/>
      <c r="AC130" s="129" t="n"/>
      <c r="AD130" s="176" t="n"/>
      <c r="AE130" s="129" t="n"/>
    </row>
    <row r="131" hidden="1" ht="14.25" customHeight="1" s="83">
      <c r="A131" s="103" t="inlineStr">
        <is>
          <t>Dorm 2</t>
        </is>
      </c>
      <c r="B131" s="177" t="n">
        <v>46266</v>
      </c>
      <c r="C131" s="103" t="inlineStr">
        <is>
          <t>Room 2-6</t>
        </is>
      </c>
      <c r="D131" s="126" t="n">
        <v>0</v>
      </c>
      <c r="E131" s="126" t="n">
        <v>0</v>
      </c>
      <c r="F131" s="127">
        <f>MAX(D131-E131,0)</f>
        <v/>
      </c>
      <c r="G131" s="130">
        <f>E131*GeneratorRate</f>
        <v/>
      </c>
      <c r="H131" s="130">
        <f>F131*GovernmentRate</f>
        <v/>
      </c>
      <c r="I131" s="130">
        <f>G131+H131</f>
        <v/>
      </c>
      <c r="J131" s="129">
        <f>IFERROR(I131/COUNTIFS('Client DB &amp; Bed Mgmt'!$A:$A,A131,'Client DB &amp; Bed Mgmt'!$B:$B,C131,'Client DB &amp; Bed Mgmt'!$D:$D,"&lt;&gt;"),0)</f>
        <v/>
      </c>
      <c r="K131" s="103" t="inlineStr">
        <is>
          <t>Dorm 2</t>
        </is>
      </c>
      <c r="L131" s="103" t="inlineStr">
        <is>
          <t>Room 2-6</t>
        </is>
      </c>
      <c r="M131" s="103">
        <f>COUNTIFS('Client DB &amp; Bed Mgmt'!$A:$A,$K131,'Client DB &amp; Bed Mgmt'!$B:$B,$L131,'Client DB &amp; Bed Mgmt'!$D:$D,"&lt;&gt;")</f>
        <v/>
      </c>
      <c r="N131" s="126" t="n"/>
      <c r="O131" s="126" t="n"/>
      <c r="P131" s="127">
        <f>IF(N131="","",MAX(N131-O131,0))</f>
        <v/>
      </c>
      <c r="Q131" s="130">
        <f>IF(O131="","",O131*GeneratorRate)</f>
        <v/>
      </c>
      <c r="R131" s="130">
        <f>IF(P131="","",P131*GovernmentRate)</f>
        <v/>
      </c>
      <c r="S131" s="130">
        <f>IF(N131="","",Q131+R131)</f>
        <v/>
      </c>
      <c r="T131" s="130">
        <f>IF(M131=0,0,S131/M131)</f>
        <v/>
      </c>
      <c r="U131" s="176" t="n"/>
      <c r="V131" s="129" t="n"/>
      <c r="W131" s="127" t="n"/>
      <c r="X131" s="130" t="n"/>
      <c r="Y131" s="178" t="n"/>
      <c r="Z131" s="129" t="n"/>
      <c r="AA131" s="129" t="n"/>
      <c r="AB131" s="176" t="n"/>
      <c r="AC131" s="129" t="n"/>
      <c r="AD131" s="176" t="n"/>
      <c r="AE131" s="129" t="n"/>
    </row>
    <row r="132" hidden="1" ht="14.25" customHeight="1" s="83">
      <c r="A132" s="103" t="inlineStr">
        <is>
          <t>Dorm 2</t>
        </is>
      </c>
      <c r="B132" s="177" t="n">
        <v>46296</v>
      </c>
      <c r="C132" s="103" t="inlineStr">
        <is>
          <t>Room 2-1</t>
        </is>
      </c>
      <c r="D132" s="126" t="n">
        <v>0</v>
      </c>
      <c r="E132" s="126" t="n">
        <v>0</v>
      </c>
      <c r="F132" s="127">
        <f>MAX(D132-E132,0)</f>
        <v/>
      </c>
      <c r="G132" s="130">
        <f>E132*GeneratorRate</f>
        <v/>
      </c>
      <c r="H132" s="130">
        <f>F132*GovernmentRate</f>
        <v/>
      </c>
      <c r="I132" s="130">
        <f>G132+H132</f>
        <v/>
      </c>
      <c r="J132" s="129">
        <f>IFERROR(I132/COUNTIFS('Client DB &amp; Bed Mgmt'!$A:$A,A132,'Client DB &amp; Bed Mgmt'!$B:$B,C132,'Client DB &amp; Bed Mgmt'!$D:$D,"&lt;&gt;"),0)</f>
        <v/>
      </c>
      <c r="K132" s="103" t="inlineStr">
        <is>
          <t>Dorm 2</t>
        </is>
      </c>
      <c r="L132" s="103" t="inlineStr">
        <is>
          <t>Room 2-1</t>
        </is>
      </c>
      <c r="M132" s="103">
        <f>COUNTIFS('Client DB &amp; Bed Mgmt'!$A:$A,$K132,'Client DB &amp; Bed Mgmt'!$B:$B,$L132,'Client DB &amp; Bed Mgmt'!$D:$D,"&lt;&gt;")</f>
        <v/>
      </c>
      <c r="N132" s="126" t="n"/>
      <c r="O132" s="126" t="n"/>
      <c r="P132" s="127">
        <f>IF(N132="","",MAX(N132-O132,0))</f>
        <v/>
      </c>
      <c r="Q132" s="130">
        <f>IF(O132="","",O132*GeneratorRate)</f>
        <v/>
      </c>
      <c r="R132" s="130">
        <f>IF(P132="","",P132*GovernmentRate)</f>
        <v/>
      </c>
      <c r="S132" s="130">
        <f>IF(N132="","",Q132+R132)</f>
        <v/>
      </c>
      <c r="T132" s="130">
        <f>IF(M132=0,0,S132/M132)</f>
        <v/>
      </c>
      <c r="U132" s="176" t="n"/>
      <c r="V132" s="129" t="n"/>
      <c r="W132" s="127" t="n"/>
      <c r="X132" s="130" t="n"/>
      <c r="Y132" s="178" t="n"/>
      <c r="Z132" s="129" t="n"/>
      <c r="AA132" s="129" t="n"/>
      <c r="AB132" s="176" t="n"/>
      <c r="AC132" s="129" t="n"/>
      <c r="AD132" s="176" t="n"/>
      <c r="AE132" s="129" t="n"/>
    </row>
    <row r="133" hidden="1" ht="14.25" customHeight="1" s="83">
      <c r="A133" s="103" t="inlineStr">
        <is>
          <t>Dorm 2</t>
        </is>
      </c>
      <c r="B133" s="177" t="n">
        <v>46296</v>
      </c>
      <c r="C133" s="103" t="inlineStr">
        <is>
          <t>Room 2-2</t>
        </is>
      </c>
      <c r="D133" s="126" t="n">
        <v>0</v>
      </c>
      <c r="E133" s="126" t="n">
        <v>0</v>
      </c>
      <c r="F133" s="127">
        <f>MAX(D133-E133,0)</f>
        <v/>
      </c>
      <c r="G133" s="130">
        <f>E133*GeneratorRate</f>
        <v/>
      </c>
      <c r="H133" s="130">
        <f>F133*GovernmentRate</f>
        <v/>
      </c>
      <c r="I133" s="130">
        <f>G133+H133</f>
        <v/>
      </c>
      <c r="J133" s="129">
        <f>IFERROR(I133/COUNTIFS('Client DB &amp; Bed Mgmt'!$A:$A,A133,'Client DB &amp; Bed Mgmt'!$B:$B,C133,'Client DB &amp; Bed Mgmt'!$D:$D,"&lt;&gt;"),0)</f>
        <v/>
      </c>
      <c r="K133" s="103" t="inlineStr">
        <is>
          <t>Dorm 2</t>
        </is>
      </c>
      <c r="L133" s="103" t="inlineStr">
        <is>
          <t>Room 2-2</t>
        </is>
      </c>
      <c r="M133" s="103">
        <f>COUNTIFS('Client DB &amp; Bed Mgmt'!$A:$A,$K133,'Client DB &amp; Bed Mgmt'!$B:$B,$L133,'Client DB &amp; Bed Mgmt'!$D:$D,"&lt;&gt;")</f>
        <v/>
      </c>
      <c r="N133" s="126" t="n"/>
      <c r="O133" s="126" t="n"/>
      <c r="P133" s="127">
        <f>IF(N133="","",MAX(N133-O133,0))</f>
        <v/>
      </c>
      <c r="Q133" s="130">
        <f>IF(O133="","",O133*GeneratorRate)</f>
        <v/>
      </c>
      <c r="R133" s="130">
        <f>IF(P133="","",P133*GovernmentRate)</f>
        <v/>
      </c>
      <c r="S133" s="130">
        <f>IF(N133="","",Q133+R133)</f>
        <v/>
      </c>
      <c r="T133" s="130">
        <f>IF(M133=0,0,S133/M133)</f>
        <v/>
      </c>
      <c r="U133" s="176" t="n"/>
      <c r="V133" s="129" t="n"/>
      <c r="W133" s="127" t="n"/>
      <c r="X133" s="130" t="n"/>
      <c r="Y133" s="178" t="n"/>
      <c r="Z133" s="129" t="n"/>
      <c r="AA133" s="129" t="n"/>
      <c r="AB133" s="176" t="n"/>
      <c r="AC133" s="129" t="n"/>
      <c r="AD133" s="176" t="n"/>
      <c r="AE133" s="129" t="n"/>
    </row>
    <row r="134" hidden="1" ht="14.25" customHeight="1" s="83">
      <c r="A134" s="103" t="inlineStr">
        <is>
          <t>Dorm 2</t>
        </is>
      </c>
      <c r="B134" s="177" t="n">
        <v>46296</v>
      </c>
      <c r="C134" s="103" t="inlineStr">
        <is>
          <t>Room 2-3</t>
        </is>
      </c>
      <c r="D134" s="126" t="n">
        <v>0</v>
      </c>
      <c r="E134" s="126" t="n">
        <v>0</v>
      </c>
      <c r="F134" s="127">
        <f>MAX(D134-E134,0)</f>
        <v/>
      </c>
      <c r="G134" s="130">
        <f>E134*GeneratorRate</f>
        <v/>
      </c>
      <c r="H134" s="130">
        <f>F134*GovernmentRate</f>
        <v/>
      </c>
      <c r="I134" s="130">
        <f>G134+H134</f>
        <v/>
      </c>
      <c r="J134" s="129">
        <f>IFERROR(I134/COUNTIFS('Client DB &amp; Bed Mgmt'!$A:$A,A134,'Client DB &amp; Bed Mgmt'!$B:$B,C134,'Client DB &amp; Bed Mgmt'!$D:$D,"&lt;&gt;"),0)</f>
        <v/>
      </c>
      <c r="K134" s="103" t="inlineStr">
        <is>
          <t>Dorm 2</t>
        </is>
      </c>
      <c r="L134" s="103" t="inlineStr">
        <is>
          <t>Room 2-3</t>
        </is>
      </c>
      <c r="M134" s="103">
        <f>COUNTIFS('Client DB &amp; Bed Mgmt'!$A:$A,$K134,'Client DB &amp; Bed Mgmt'!$B:$B,$L134,'Client DB &amp; Bed Mgmt'!$D:$D,"&lt;&gt;")</f>
        <v/>
      </c>
      <c r="N134" s="126" t="n"/>
      <c r="O134" s="126" t="n"/>
      <c r="P134" s="127">
        <f>IF(N134="","",MAX(N134-O134,0))</f>
        <v/>
      </c>
      <c r="Q134" s="130">
        <f>IF(O134="","",O134*GeneratorRate)</f>
        <v/>
      </c>
      <c r="R134" s="130">
        <f>IF(P134="","",P134*GovernmentRate)</f>
        <v/>
      </c>
      <c r="S134" s="130">
        <f>IF(N134="","",Q134+R134)</f>
        <v/>
      </c>
      <c r="T134" s="130">
        <f>IF(M134=0,0,S134/M134)</f>
        <v/>
      </c>
      <c r="U134" s="176" t="n"/>
      <c r="V134" s="129" t="n"/>
      <c r="W134" s="127" t="n"/>
      <c r="X134" s="130" t="n"/>
      <c r="Y134" s="178" t="n"/>
      <c r="Z134" s="129" t="n"/>
      <c r="AA134" s="129" t="n"/>
      <c r="AB134" s="176" t="n"/>
      <c r="AC134" s="129" t="n"/>
      <c r="AD134" s="176" t="n"/>
      <c r="AE134" s="129" t="n"/>
    </row>
    <row r="135" hidden="1" ht="14.25" customHeight="1" s="83">
      <c r="A135" s="103" t="inlineStr">
        <is>
          <t>Dorm 2</t>
        </is>
      </c>
      <c r="B135" s="177" t="n">
        <v>46296</v>
      </c>
      <c r="C135" s="103" t="inlineStr">
        <is>
          <t>Room 2-4</t>
        </is>
      </c>
      <c r="D135" s="126" t="n">
        <v>0</v>
      </c>
      <c r="E135" s="126" t="n">
        <v>0</v>
      </c>
      <c r="F135" s="127">
        <f>MAX(D135-E135,0)</f>
        <v/>
      </c>
      <c r="G135" s="130">
        <f>E135*GeneratorRate</f>
        <v/>
      </c>
      <c r="H135" s="130">
        <f>F135*GovernmentRate</f>
        <v/>
      </c>
      <c r="I135" s="130">
        <f>G135+H135</f>
        <v/>
      </c>
      <c r="J135" s="129">
        <f>IFERROR(I135/COUNTIFS('Client DB &amp; Bed Mgmt'!$A:$A,A135,'Client DB &amp; Bed Mgmt'!$B:$B,C135,'Client DB &amp; Bed Mgmt'!$D:$D,"&lt;&gt;"),0)</f>
        <v/>
      </c>
      <c r="K135" s="103" t="inlineStr">
        <is>
          <t>Dorm 2</t>
        </is>
      </c>
      <c r="L135" s="103" t="inlineStr">
        <is>
          <t>Room 2-4</t>
        </is>
      </c>
      <c r="M135" s="103">
        <f>COUNTIFS('Client DB &amp; Bed Mgmt'!$A:$A,$K135,'Client DB &amp; Bed Mgmt'!$B:$B,$L135,'Client DB &amp; Bed Mgmt'!$D:$D,"&lt;&gt;")</f>
        <v/>
      </c>
      <c r="N135" s="126" t="n"/>
      <c r="O135" s="126" t="n"/>
      <c r="P135" s="127">
        <f>IF(N135="","",MAX(N135-O135,0))</f>
        <v/>
      </c>
      <c r="Q135" s="130">
        <f>IF(O135="","",O135*GeneratorRate)</f>
        <v/>
      </c>
      <c r="R135" s="130">
        <f>IF(P135="","",P135*GovernmentRate)</f>
        <v/>
      </c>
      <c r="S135" s="130">
        <f>IF(N135="","",Q135+R135)</f>
        <v/>
      </c>
      <c r="T135" s="130">
        <f>IF(M135=0,0,S135/M135)</f>
        <v/>
      </c>
      <c r="U135" s="176" t="n"/>
      <c r="V135" s="129" t="n"/>
      <c r="W135" s="127" t="n"/>
      <c r="X135" s="130" t="n"/>
      <c r="Y135" s="178" t="n"/>
      <c r="Z135" s="129" t="n"/>
      <c r="AA135" s="129" t="n"/>
      <c r="AB135" s="176" t="n"/>
      <c r="AC135" s="129" t="n"/>
      <c r="AD135" s="176" t="n"/>
      <c r="AE135" s="129" t="n"/>
    </row>
    <row r="136" hidden="1" ht="14.25" customHeight="1" s="83">
      <c r="A136" s="103" t="inlineStr">
        <is>
          <t>Dorm 2</t>
        </is>
      </c>
      <c r="B136" s="177" t="n">
        <v>46296</v>
      </c>
      <c r="C136" s="103" t="inlineStr">
        <is>
          <t>Room 2-5</t>
        </is>
      </c>
      <c r="D136" s="126" t="n">
        <v>0</v>
      </c>
      <c r="E136" s="126" t="n">
        <v>0</v>
      </c>
      <c r="F136" s="127">
        <f>MAX(D136-E136,0)</f>
        <v/>
      </c>
      <c r="G136" s="130">
        <f>E136*GeneratorRate</f>
        <v/>
      </c>
      <c r="H136" s="130">
        <f>F136*GovernmentRate</f>
        <v/>
      </c>
      <c r="I136" s="130">
        <f>G136+H136</f>
        <v/>
      </c>
      <c r="J136" s="129">
        <f>IFERROR(I136/COUNTIFS('Client DB &amp; Bed Mgmt'!$A:$A,A136,'Client DB &amp; Bed Mgmt'!$B:$B,C136,'Client DB &amp; Bed Mgmt'!$D:$D,"&lt;&gt;"),0)</f>
        <v/>
      </c>
      <c r="K136" s="103" t="inlineStr">
        <is>
          <t>Dorm 2</t>
        </is>
      </c>
      <c r="L136" s="103" t="inlineStr">
        <is>
          <t>Room 2-5</t>
        </is>
      </c>
      <c r="M136" s="103">
        <f>COUNTIFS('Client DB &amp; Bed Mgmt'!$A:$A,$K136,'Client DB &amp; Bed Mgmt'!$B:$B,$L136,'Client DB &amp; Bed Mgmt'!$D:$D,"&lt;&gt;")</f>
        <v/>
      </c>
      <c r="N136" s="126" t="n"/>
      <c r="O136" s="126" t="n"/>
      <c r="P136" s="127">
        <f>IF(N136="","",MAX(N136-O136,0))</f>
        <v/>
      </c>
      <c r="Q136" s="130">
        <f>IF(O136="","",O136*GeneratorRate)</f>
        <v/>
      </c>
      <c r="R136" s="130">
        <f>IF(P136="","",P136*GovernmentRate)</f>
        <v/>
      </c>
      <c r="S136" s="130">
        <f>IF(N136="","",Q136+R136)</f>
        <v/>
      </c>
      <c r="T136" s="130">
        <f>IF(M136=0,0,S136/M136)</f>
        <v/>
      </c>
      <c r="U136" s="176" t="n"/>
      <c r="V136" s="129" t="n"/>
      <c r="W136" s="127" t="n"/>
      <c r="X136" s="130" t="n"/>
      <c r="Y136" s="178" t="n"/>
      <c r="Z136" s="129" t="n"/>
      <c r="AA136" s="129" t="n"/>
      <c r="AB136" s="176" t="n"/>
      <c r="AC136" s="129" t="n"/>
      <c r="AD136" s="176" t="n"/>
      <c r="AE136" s="129" t="n"/>
    </row>
    <row r="137" hidden="1" ht="14.25" customHeight="1" s="83">
      <c r="A137" s="103" t="inlineStr">
        <is>
          <t>Dorm 2</t>
        </is>
      </c>
      <c r="B137" s="177" t="n">
        <v>46296</v>
      </c>
      <c r="C137" s="103" t="inlineStr">
        <is>
          <t>Room 2-6</t>
        </is>
      </c>
      <c r="D137" s="126" t="n">
        <v>0</v>
      </c>
      <c r="E137" s="126" t="n">
        <v>0</v>
      </c>
      <c r="F137" s="127">
        <f>MAX(D137-E137,0)</f>
        <v/>
      </c>
      <c r="G137" s="130">
        <f>E137*GeneratorRate</f>
        <v/>
      </c>
      <c r="H137" s="130">
        <f>F137*GovernmentRate</f>
        <v/>
      </c>
      <c r="I137" s="130">
        <f>G137+H137</f>
        <v/>
      </c>
      <c r="J137" s="129">
        <f>IFERROR(I137/COUNTIFS('Client DB &amp; Bed Mgmt'!$A:$A,A137,'Client DB &amp; Bed Mgmt'!$B:$B,C137,'Client DB &amp; Bed Mgmt'!$D:$D,"&lt;&gt;"),0)</f>
        <v/>
      </c>
      <c r="K137" s="103" t="inlineStr">
        <is>
          <t>Dorm 2</t>
        </is>
      </c>
      <c r="L137" s="103" t="inlineStr">
        <is>
          <t>Room 2-6</t>
        </is>
      </c>
      <c r="M137" s="103">
        <f>COUNTIFS('Client DB &amp; Bed Mgmt'!$A:$A,$K137,'Client DB &amp; Bed Mgmt'!$B:$B,$L137,'Client DB &amp; Bed Mgmt'!$D:$D,"&lt;&gt;")</f>
        <v/>
      </c>
      <c r="N137" s="126" t="n"/>
      <c r="O137" s="126" t="n"/>
      <c r="P137" s="127">
        <f>IF(N137="","",MAX(N137-O137,0))</f>
        <v/>
      </c>
      <c r="Q137" s="130">
        <f>IF(O137="","",O137*GeneratorRate)</f>
        <v/>
      </c>
      <c r="R137" s="130">
        <f>IF(P137="","",P137*GovernmentRate)</f>
        <v/>
      </c>
      <c r="S137" s="130">
        <f>IF(N137="","",Q137+R137)</f>
        <v/>
      </c>
      <c r="T137" s="130">
        <f>IF(M137=0,0,S137/M137)</f>
        <v/>
      </c>
      <c r="U137" s="176" t="n"/>
      <c r="V137" s="129" t="n"/>
      <c r="W137" s="127" t="n"/>
      <c r="X137" s="130" t="n"/>
      <c r="Y137" s="178" t="n"/>
      <c r="Z137" s="129" t="n"/>
      <c r="AA137" s="129" t="n"/>
      <c r="AB137" s="176" t="n"/>
      <c r="AC137" s="129" t="n"/>
      <c r="AD137" s="176" t="n"/>
      <c r="AE137" s="129" t="n"/>
    </row>
    <row r="138" hidden="1" ht="14.25" customHeight="1" s="83">
      <c r="A138" s="103" t="inlineStr">
        <is>
          <t>Dorm 2</t>
        </is>
      </c>
      <c r="B138" s="177" t="n">
        <v>46327</v>
      </c>
      <c r="C138" s="103" t="inlineStr">
        <is>
          <t>Room 2-1</t>
        </is>
      </c>
      <c r="D138" s="126" t="n">
        <v>0</v>
      </c>
      <c r="E138" s="126" t="n">
        <v>0</v>
      </c>
      <c r="F138" s="127">
        <f>MAX(D138-E138,0)</f>
        <v/>
      </c>
      <c r="G138" s="130">
        <f>E138*GeneratorRate</f>
        <v/>
      </c>
      <c r="H138" s="130">
        <f>F138*GovernmentRate</f>
        <v/>
      </c>
      <c r="I138" s="130">
        <f>G138+H138</f>
        <v/>
      </c>
      <c r="J138" s="129">
        <f>IFERROR(I138/COUNTIFS('Client DB &amp; Bed Mgmt'!$A:$A,A138,'Client DB &amp; Bed Mgmt'!$B:$B,C138,'Client DB &amp; Bed Mgmt'!$D:$D,"&lt;&gt;"),0)</f>
        <v/>
      </c>
      <c r="K138" s="103" t="inlineStr">
        <is>
          <t>Dorm 2</t>
        </is>
      </c>
      <c r="L138" s="103" t="inlineStr">
        <is>
          <t>Room 2-1</t>
        </is>
      </c>
      <c r="M138" s="103">
        <f>COUNTIFS('Client DB &amp; Bed Mgmt'!$A:$A,$K138,'Client DB &amp; Bed Mgmt'!$B:$B,$L138,'Client DB &amp; Bed Mgmt'!$D:$D,"&lt;&gt;")</f>
        <v/>
      </c>
      <c r="N138" s="126" t="n"/>
      <c r="O138" s="126" t="n"/>
      <c r="P138" s="127">
        <f>IF(N138="","",MAX(N138-O138,0))</f>
        <v/>
      </c>
      <c r="Q138" s="130">
        <f>IF(O138="","",O138*GeneratorRate)</f>
        <v/>
      </c>
      <c r="R138" s="130">
        <f>IF(P138="","",P138*GovernmentRate)</f>
        <v/>
      </c>
      <c r="S138" s="130">
        <f>IF(N138="","",Q138+R138)</f>
        <v/>
      </c>
      <c r="T138" s="130">
        <f>IF(M138=0,0,S138/M138)</f>
        <v/>
      </c>
      <c r="U138" s="176" t="n"/>
      <c r="V138" s="129" t="n"/>
      <c r="W138" s="127" t="n"/>
      <c r="X138" s="130" t="n"/>
      <c r="Y138" s="178" t="n"/>
      <c r="Z138" s="129" t="n"/>
      <c r="AA138" s="129" t="n"/>
      <c r="AB138" s="176" t="n"/>
      <c r="AC138" s="129" t="n"/>
      <c r="AD138" s="176" t="n"/>
      <c r="AE138" s="129" t="n"/>
    </row>
    <row r="139" hidden="1" ht="14.25" customHeight="1" s="83">
      <c r="A139" s="103" t="inlineStr">
        <is>
          <t>Dorm 2</t>
        </is>
      </c>
      <c r="B139" s="177" t="n">
        <v>46327</v>
      </c>
      <c r="C139" s="103" t="inlineStr">
        <is>
          <t>Room 2-2</t>
        </is>
      </c>
      <c r="D139" s="126" t="n">
        <v>0</v>
      </c>
      <c r="E139" s="126" t="n">
        <v>0</v>
      </c>
      <c r="F139" s="127">
        <f>MAX(D139-E139,0)</f>
        <v/>
      </c>
      <c r="G139" s="130">
        <f>E139*GeneratorRate</f>
        <v/>
      </c>
      <c r="H139" s="130">
        <f>F139*GovernmentRate</f>
        <v/>
      </c>
      <c r="I139" s="130">
        <f>G139+H139</f>
        <v/>
      </c>
      <c r="J139" s="129">
        <f>IFERROR(I139/COUNTIFS('Client DB &amp; Bed Mgmt'!$A:$A,A139,'Client DB &amp; Bed Mgmt'!$B:$B,C139,'Client DB &amp; Bed Mgmt'!$D:$D,"&lt;&gt;"),0)</f>
        <v/>
      </c>
      <c r="K139" s="103" t="inlineStr">
        <is>
          <t>Dorm 2</t>
        </is>
      </c>
      <c r="L139" s="103" t="inlineStr">
        <is>
          <t>Room 2-2</t>
        </is>
      </c>
      <c r="M139" s="103">
        <f>COUNTIFS('Client DB &amp; Bed Mgmt'!$A:$A,$K139,'Client DB &amp; Bed Mgmt'!$B:$B,$L139,'Client DB &amp; Bed Mgmt'!$D:$D,"&lt;&gt;")</f>
        <v/>
      </c>
      <c r="N139" s="126" t="n"/>
      <c r="O139" s="126" t="n"/>
      <c r="P139" s="127">
        <f>IF(N139="","",MAX(N139-O139,0))</f>
        <v/>
      </c>
      <c r="Q139" s="130">
        <f>IF(O139="","",O139*GeneratorRate)</f>
        <v/>
      </c>
      <c r="R139" s="130">
        <f>IF(P139="","",P139*GovernmentRate)</f>
        <v/>
      </c>
      <c r="S139" s="130">
        <f>IF(N139="","",Q139+R139)</f>
        <v/>
      </c>
      <c r="T139" s="130">
        <f>IF(M139=0,0,S139/M139)</f>
        <v/>
      </c>
      <c r="U139" s="176" t="n"/>
      <c r="V139" s="129" t="n"/>
      <c r="W139" s="127" t="n"/>
      <c r="X139" s="130" t="n"/>
      <c r="Y139" s="178" t="n"/>
      <c r="Z139" s="129" t="n"/>
      <c r="AA139" s="129" t="n"/>
      <c r="AB139" s="176" t="n"/>
      <c r="AC139" s="129" t="n"/>
      <c r="AD139" s="176" t="n"/>
      <c r="AE139" s="129" t="n"/>
    </row>
    <row r="140" hidden="1" ht="14.25" customHeight="1" s="83">
      <c r="A140" s="103" t="inlineStr">
        <is>
          <t>Dorm 2</t>
        </is>
      </c>
      <c r="B140" s="177" t="n">
        <v>46327</v>
      </c>
      <c r="C140" s="103" t="inlineStr">
        <is>
          <t>Room 2-3</t>
        </is>
      </c>
      <c r="D140" s="126" t="n">
        <v>0</v>
      </c>
      <c r="E140" s="126" t="n">
        <v>0</v>
      </c>
      <c r="F140" s="127">
        <f>MAX(D140-E140,0)</f>
        <v/>
      </c>
      <c r="G140" s="130">
        <f>E140*GeneratorRate</f>
        <v/>
      </c>
      <c r="H140" s="130">
        <f>F140*GovernmentRate</f>
        <v/>
      </c>
      <c r="I140" s="130">
        <f>G140+H140</f>
        <v/>
      </c>
      <c r="J140" s="129">
        <f>IFERROR(I140/COUNTIFS('Client DB &amp; Bed Mgmt'!$A:$A,A140,'Client DB &amp; Bed Mgmt'!$B:$B,C140,'Client DB &amp; Bed Mgmt'!$D:$D,"&lt;&gt;"),0)</f>
        <v/>
      </c>
      <c r="K140" s="103" t="inlineStr">
        <is>
          <t>Dorm 2</t>
        </is>
      </c>
      <c r="L140" s="103" t="inlineStr">
        <is>
          <t>Room 2-3</t>
        </is>
      </c>
      <c r="M140" s="103">
        <f>COUNTIFS('Client DB &amp; Bed Mgmt'!$A:$A,$K140,'Client DB &amp; Bed Mgmt'!$B:$B,$L140,'Client DB &amp; Bed Mgmt'!$D:$D,"&lt;&gt;")</f>
        <v/>
      </c>
      <c r="N140" s="126" t="n"/>
      <c r="O140" s="126" t="n"/>
      <c r="P140" s="127">
        <f>IF(N140="","",MAX(N140-O140,0))</f>
        <v/>
      </c>
      <c r="Q140" s="130">
        <f>IF(O140="","",O140*GeneratorRate)</f>
        <v/>
      </c>
      <c r="R140" s="130">
        <f>IF(P140="","",P140*GovernmentRate)</f>
        <v/>
      </c>
      <c r="S140" s="130">
        <f>IF(N140="","",Q140+R140)</f>
        <v/>
      </c>
      <c r="T140" s="130">
        <f>IF(M140=0,0,S140/M140)</f>
        <v/>
      </c>
      <c r="U140" s="176" t="n"/>
      <c r="V140" s="129" t="n"/>
      <c r="W140" s="127" t="n"/>
      <c r="X140" s="130" t="n"/>
      <c r="Y140" s="178" t="n"/>
      <c r="Z140" s="129" t="n"/>
      <c r="AA140" s="129" t="n"/>
      <c r="AB140" s="176" t="n"/>
      <c r="AC140" s="129" t="n"/>
      <c r="AD140" s="176" t="n"/>
      <c r="AE140" s="129" t="n"/>
    </row>
    <row r="141" hidden="1" ht="14.25" customHeight="1" s="83">
      <c r="A141" s="103" t="inlineStr">
        <is>
          <t>Dorm 2</t>
        </is>
      </c>
      <c r="B141" s="177" t="n">
        <v>46327</v>
      </c>
      <c r="C141" s="103" t="inlineStr">
        <is>
          <t>Room 2-4</t>
        </is>
      </c>
      <c r="D141" s="126" t="n">
        <v>0</v>
      </c>
      <c r="E141" s="126" t="n">
        <v>0</v>
      </c>
      <c r="F141" s="127">
        <f>MAX(D141-E141,0)</f>
        <v/>
      </c>
      <c r="G141" s="130">
        <f>E141*GeneratorRate</f>
        <v/>
      </c>
      <c r="H141" s="130">
        <f>F141*GovernmentRate</f>
        <v/>
      </c>
      <c r="I141" s="130">
        <f>G141+H141</f>
        <v/>
      </c>
      <c r="J141" s="129">
        <f>IFERROR(I141/COUNTIFS('Client DB &amp; Bed Mgmt'!$A:$A,A141,'Client DB &amp; Bed Mgmt'!$B:$B,C141,'Client DB &amp; Bed Mgmt'!$D:$D,"&lt;&gt;"),0)</f>
        <v/>
      </c>
      <c r="K141" s="103" t="inlineStr">
        <is>
          <t>Dorm 2</t>
        </is>
      </c>
      <c r="L141" s="103" t="inlineStr">
        <is>
          <t>Room 2-4</t>
        </is>
      </c>
      <c r="M141" s="103">
        <f>COUNTIFS('Client DB &amp; Bed Mgmt'!$A:$A,$K141,'Client DB &amp; Bed Mgmt'!$B:$B,$L141,'Client DB &amp; Bed Mgmt'!$D:$D,"&lt;&gt;")</f>
        <v/>
      </c>
      <c r="N141" s="126" t="n"/>
      <c r="O141" s="126" t="n"/>
      <c r="P141" s="127">
        <f>IF(N141="","",MAX(N141-O141,0))</f>
        <v/>
      </c>
      <c r="Q141" s="130">
        <f>IF(O141="","",O141*GeneratorRate)</f>
        <v/>
      </c>
      <c r="R141" s="130">
        <f>IF(P141="","",P141*GovernmentRate)</f>
        <v/>
      </c>
      <c r="S141" s="130">
        <f>IF(N141="","",Q141+R141)</f>
        <v/>
      </c>
      <c r="T141" s="130">
        <f>IF(M141=0,0,S141/M141)</f>
        <v/>
      </c>
      <c r="U141" s="176" t="n"/>
      <c r="V141" s="129" t="n"/>
      <c r="W141" s="127" t="n"/>
      <c r="X141" s="130" t="n"/>
      <c r="Y141" s="178" t="n"/>
      <c r="Z141" s="129" t="n"/>
      <c r="AA141" s="129" t="n"/>
      <c r="AB141" s="176" t="n"/>
      <c r="AC141" s="129" t="n"/>
      <c r="AD141" s="176" t="n"/>
      <c r="AE141" s="129" t="n"/>
    </row>
    <row r="142" hidden="1" ht="14.25" customHeight="1" s="83">
      <c r="A142" s="103" t="inlineStr">
        <is>
          <t>Dorm 2</t>
        </is>
      </c>
      <c r="B142" s="177" t="n">
        <v>46327</v>
      </c>
      <c r="C142" s="103" t="inlineStr">
        <is>
          <t>Room 2-5</t>
        </is>
      </c>
      <c r="D142" s="126" t="n">
        <v>0</v>
      </c>
      <c r="E142" s="126" t="n">
        <v>0</v>
      </c>
      <c r="F142" s="127">
        <f>MAX(D142-E142,0)</f>
        <v/>
      </c>
      <c r="G142" s="130">
        <f>E142*GeneratorRate</f>
        <v/>
      </c>
      <c r="H142" s="130">
        <f>F142*GovernmentRate</f>
        <v/>
      </c>
      <c r="I142" s="130">
        <f>G142+H142</f>
        <v/>
      </c>
      <c r="J142" s="129">
        <f>IFERROR(I142/COUNTIFS('Client DB &amp; Bed Mgmt'!$A:$A,A142,'Client DB &amp; Bed Mgmt'!$B:$B,C142,'Client DB &amp; Bed Mgmt'!$D:$D,"&lt;&gt;"),0)</f>
        <v/>
      </c>
      <c r="K142" s="103" t="inlineStr">
        <is>
          <t>Dorm 2</t>
        </is>
      </c>
      <c r="L142" s="103" t="inlineStr">
        <is>
          <t>Room 2-5</t>
        </is>
      </c>
      <c r="M142" s="103">
        <f>COUNTIFS('Client DB &amp; Bed Mgmt'!$A:$A,$K142,'Client DB &amp; Bed Mgmt'!$B:$B,$L142,'Client DB &amp; Bed Mgmt'!$D:$D,"&lt;&gt;")</f>
        <v/>
      </c>
      <c r="N142" s="126" t="n"/>
      <c r="O142" s="126" t="n"/>
      <c r="P142" s="127">
        <f>IF(N142="","",MAX(N142-O142,0))</f>
        <v/>
      </c>
      <c r="Q142" s="130">
        <f>IF(O142="","",O142*GeneratorRate)</f>
        <v/>
      </c>
      <c r="R142" s="130">
        <f>IF(P142="","",P142*GovernmentRate)</f>
        <v/>
      </c>
      <c r="S142" s="130">
        <f>IF(N142="","",Q142+R142)</f>
        <v/>
      </c>
      <c r="T142" s="130">
        <f>IF(M142=0,0,S142/M142)</f>
        <v/>
      </c>
      <c r="U142" s="176" t="n"/>
      <c r="V142" s="129" t="n"/>
      <c r="W142" s="127" t="n"/>
      <c r="X142" s="130" t="n"/>
      <c r="Y142" s="178" t="n"/>
      <c r="Z142" s="129" t="n"/>
      <c r="AA142" s="129" t="n"/>
      <c r="AB142" s="176" t="n"/>
      <c r="AC142" s="129" t="n"/>
      <c r="AD142" s="176" t="n"/>
      <c r="AE142" s="129" t="n"/>
    </row>
    <row r="143" hidden="1" ht="14.25" customHeight="1" s="83">
      <c r="A143" s="103" t="inlineStr">
        <is>
          <t>Dorm 2</t>
        </is>
      </c>
      <c r="B143" s="177" t="n">
        <v>46327</v>
      </c>
      <c r="C143" s="103" t="inlineStr">
        <is>
          <t>Room 2-6</t>
        </is>
      </c>
      <c r="D143" s="126" t="n">
        <v>0</v>
      </c>
      <c r="E143" s="126" t="n">
        <v>0</v>
      </c>
      <c r="F143" s="127">
        <f>MAX(D143-E143,0)</f>
        <v/>
      </c>
      <c r="G143" s="130">
        <f>E143*GeneratorRate</f>
        <v/>
      </c>
      <c r="H143" s="130">
        <f>F143*GovernmentRate</f>
        <v/>
      </c>
      <c r="I143" s="130">
        <f>G143+H143</f>
        <v/>
      </c>
      <c r="J143" s="129">
        <f>IFERROR(I143/COUNTIFS('Client DB &amp; Bed Mgmt'!$A:$A,A143,'Client DB &amp; Bed Mgmt'!$B:$B,C143,'Client DB &amp; Bed Mgmt'!$D:$D,"&lt;&gt;"),0)</f>
        <v/>
      </c>
      <c r="K143" s="103" t="inlineStr">
        <is>
          <t>Dorm 2</t>
        </is>
      </c>
      <c r="L143" s="103" t="inlineStr">
        <is>
          <t>Room 2-6</t>
        </is>
      </c>
      <c r="M143" s="103">
        <f>COUNTIFS('Client DB &amp; Bed Mgmt'!$A:$A,$K143,'Client DB &amp; Bed Mgmt'!$B:$B,$L143,'Client DB &amp; Bed Mgmt'!$D:$D,"&lt;&gt;")</f>
        <v/>
      </c>
      <c r="N143" s="126" t="n"/>
      <c r="O143" s="126" t="n"/>
      <c r="P143" s="127">
        <f>IF(N143="","",MAX(N143-O143,0))</f>
        <v/>
      </c>
      <c r="Q143" s="130">
        <f>IF(O143="","",O143*GeneratorRate)</f>
        <v/>
      </c>
      <c r="R143" s="130">
        <f>IF(P143="","",P143*GovernmentRate)</f>
        <v/>
      </c>
      <c r="S143" s="130">
        <f>IF(N143="","",Q143+R143)</f>
        <v/>
      </c>
      <c r="T143" s="130">
        <f>IF(M143=0,0,S143/M143)</f>
        <v/>
      </c>
      <c r="U143" s="176" t="n"/>
      <c r="V143" s="129" t="n"/>
      <c r="W143" s="127" t="n"/>
      <c r="X143" s="130" t="n"/>
      <c r="Y143" s="178" t="n"/>
      <c r="Z143" s="129" t="n"/>
      <c r="AA143" s="129" t="n"/>
      <c r="AB143" s="176" t="n"/>
      <c r="AC143" s="129" t="n"/>
      <c r="AD143" s="176" t="n"/>
      <c r="AE143" s="129" t="n"/>
    </row>
    <row r="144" hidden="1" ht="14.25" customHeight="1" s="83">
      <c r="A144" s="103" t="inlineStr">
        <is>
          <t>Dorm 2</t>
        </is>
      </c>
      <c r="B144" s="177" t="n">
        <v>46357</v>
      </c>
      <c r="C144" s="103" t="inlineStr">
        <is>
          <t>Room 2-1</t>
        </is>
      </c>
      <c r="D144" s="126" t="n">
        <v>0</v>
      </c>
      <c r="E144" s="126" t="n">
        <v>0</v>
      </c>
      <c r="F144" s="127">
        <f>MAX(D144-E144,0)</f>
        <v/>
      </c>
      <c r="G144" s="130">
        <f>E144*GeneratorRate</f>
        <v/>
      </c>
      <c r="H144" s="130">
        <f>F144*GovernmentRate</f>
        <v/>
      </c>
      <c r="I144" s="130">
        <f>G144+H144</f>
        <v/>
      </c>
      <c r="J144" s="129">
        <f>IFERROR(I144/COUNTIFS('Client DB &amp; Bed Mgmt'!$A:$A,A144,'Client DB &amp; Bed Mgmt'!$B:$B,C144,'Client DB &amp; Bed Mgmt'!$D:$D,"&lt;&gt;"),0)</f>
        <v/>
      </c>
      <c r="K144" s="103" t="inlineStr">
        <is>
          <t>Dorm 2</t>
        </is>
      </c>
      <c r="L144" s="103" t="inlineStr">
        <is>
          <t>Room 2-1</t>
        </is>
      </c>
      <c r="M144" s="103">
        <f>COUNTIFS('Client DB &amp; Bed Mgmt'!$A:$A,$K144,'Client DB &amp; Bed Mgmt'!$B:$B,$L144,'Client DB &amp; Bed Mgmt'!$D:$D,"&lt;&gt;")</f>
        <v/>
      </c>
      <c r="N144" s="126" t="n"/>
      <c r="O144" s="126" t="n"/>
      <c r="P144" s="127">
        <f>IF(N144="","",MAX(N144-O144,0))</f>
        <v/>
      </c>
      <c r="Q144" s="130">
        <f>IF(O144="","",O144*GeneratorRate)</f>
        <v/>
      </c>
      <c r="R144" s="130">
        <f>IF(P144="","",P144*GovernmentRate)</f>
        <v/>
      </c>
      <c r="S144" s="130">
        <f>IF(N144="","",Q144+R144)</f>
        <v/>
      </c>
      <c r="T144" s="130">
        <f>IF(M144=0,0,S144/M144)</f>
        <v/>
      </c>
      <c r="U144" s="176" t="n"/>
      <c r="V144" s="129" t="n"/>
      <c r="W144" s="127" t="n"/>
      <c r="X144" s="130" t="n"/>
      <c r="Y144" s="178" t="n"/>
      <c r="Z144" s="129" t="n"/>
      <c r="AA144" s="129" t="n"/>
      <c r="AB144" s="176" t="n"/>
      <c r="AC144" s="129" t="n"/>
      <c r="AD144" s="176" t="n"/>
      <c r="AE144" s="129" t="n"/>
    </row>
    <row r="145" hidden="1" ht="14.25" customHeight="1" s="83">
      <c r="A145" s="103" t="inlineStr">
        <is>
          <t>Dorm 2</t>
        </is>
      </c>
      <c r="B145" s="177" t="n">
        <v>46357</v>
      </c>
      <c r="C145" s="103" t="inlineStr">
        <is>
          <t>Room 2-2</t>
        </is>
      </c>
      <c r="D145" s="126" t="n">
        <v>0</v>
      </c>
      <c r="E145" s="126" t="n">
        <v>0</v>
      </c>
      <c r="F145" s="127">
        <f>MAX(D145-E145,0)</f>
        <v/>
      </c>
      <c r="G145" s="130">
        <f>E145*GeneratorRate</f>
        <v/>
      </c>
      <c r="H145" s="130">
        <f>F145*GovernmentRate</f>
        <v/>
      </c>
      <c r="I145" s="130">
        <f>G145+H145</f>
        <v/>
      </c>
      <c r="J145" s="129">
        <f>IFERROR(I145/COUNTIFS('Client DB &amp; Bed Mgmt'!$A:$A,A145,'Client DB &amp; Bed Mgmt'!$B:$B,C145,'Client DB &amp; Bed Mgmt'!$D:$D,"&lt;&gt;"),0)</f>
        <v/>
      </c>
      <c r="K145" s="103" t="inlineStr">
        <is>
          <t>Dorm 2</t>
        </is>
      </c>
      <c r="L145" s="103" t="inlineStr">
        <is>
          <t>Room 2-2</t>
        </is>
      </c>
      <c r="M145" s="103">
        <f>COUNTIFS('Client DB &amp; Bed Mgmt'!$A:$A,$K145,'Client DB &amp; Bed Mgmt'!$B:$B,$L145,'Client DB &amp; Bed Mgmt'!$D:$D,"&lt;&gt;")</f>
        <v/>
      </c>
      <c r="N145" s="126" t="n"/>
      <c r="O145" s="126" t="n"/>
      <c r="P145" s="127">
        <f>IF(N145="","",MAX(N145-O145,0))</f>
        <v/>
      </c>
      <c r="Q145" s="130">
        <f>IF(O145="","",O145*GeneratorRate)</f>
        <v/>
      </c>
      <c r="R145" s="130">
        <f>IF(P145="","",P145*GovernmentRate)</f>
        <v/>
      </c>
      <c r="S145" s="130">
        <f>IF(N145="","",Q145+R145)</f>
        <v/>
      </c>
      <c r="T145" s="130">
        <f>IF(M145=0,0,S145/M145)</f>
        <v/>
      </c>
      <c r="U145" s="176" t="n"/>
      <c r="V145" s="129" t="n"/>
      <c r="W145" s="127" t="n"/>
      <c r="X145" s="130" t="n"/>
      <c r="Y145" s="178" t="n"/>
      <c r="Z145" s="129" t="n"/>
      <c r="AA145" s="129" t="n"/>
      <c r="AB145" s="176" t="n"/>
      <c r="AC145" s="129" t="n"/>
      <c r="AD145" s="176" t="n"/>
      <c r="AE145" s="129" t="n"/>
    </row>
    <row r="146" hidden="1" ht="14.25" customHeight="1" s="83">
      <c r="A146" s="103" t="inlineStr">
        <is>
          <t>Dorm 2</t>
        </is>
      </c>
      <c r="B146" s="177" t="n">
        <v>46357</v>
      </c>
      <c r="C146" s="103" t="inlineStr">
        <is>
          <t>Room 2-3</t>
        </is>
      </c>
      <c r="D146" s="126" t="n">
        <v>0</v>
      </c>
      <c r="E146" s="126" t="n">
        <v>0</v>
      </c>
      <c r="F146" s="127">
        <f>MAX(D146-E146,0)</f>
        <v/>
      </c>
      <c r="G146" s="130">
        <f>E146*GeneratorRate</f>
        <v/>
      </c>
      <c r="H146" s="130">
        <f>F146*GovernmentRate</f>
        <v/>
      </c>
      <c r="I146" s="130">
        <f>G146+H146</f>
        <v/>
      </c>
      <c r="J146" s="129">
        <f>IFERROR(I146/COUNTIFS('Client DB &amp; Bed Mgmt'!$A:$A,A146,'Client DB &amp; Bed Mgmt'!$B:$B,C146,'Client DB &amp; Bed Mgmt'!$D:$D,"&lt;&gt;"),0)</f>
        <v/>
      </c>
      <c r="K146" s="103" t="inlineStr">
        <is>
          <t>Dorm 2</t>
        </is>
      </c>
      <c r="L146" s="103" t="inlineStr">
        <is>
          <t>Room 2-3</t>
        </is>
      </c>
      <c r="M146" s="103">
        <f>COUNTIFS('Client DB &amp; Bed Mgmt'!$A:$A,$K146,'Client DB &amp; Bed Mgmt'!$B:$B,$L146,'Client DB &amp; Bed Mgmt'!$D:$D,"&lt;&gt;")</f>
        <v/>
      </c>
      <c r="N146" s="126" t="n"/>
      <c r="O146" s="126" t="n"/>
      <c r="P146" s="127">
        <f>IF(N146="","",MAX(N146-O146,0))</f>
        <v/>
      </c>
      <c r="Q146" s="130">
        <f>IF(O146="","",O146*GeneratorRate)</f>
        <v/>
      </c>
      <c r="R146" s="130">
        <f>IF(P146="","",P146*GovernmentRate)</f>
        <v/>
      </c>
      <c r="S146" s="130">
        <f>IF(N146="","",Q146+R146)</f>
        <v/>
      </c>
      <c r="T146" s="130">
        <f>IF(M146=0,0,S146/M146)</f>
        <v/>
      </c>
      <c r="U146" s="176" t="n"/>
      <c r="V146" s="129" t="n"/>
      <c r="W146" s="127" t="n"/>
      <c r="X146" s="130" t="n"/>
      <c r="Y146" s="178" t="n"/>
      <c r="Z146" s="129" t="n"/>
      <c r="AA146" s="129" t="n"/>
      <c r="AB146" s="176" t="n"/>
      <c r="AC146" s="129" t="n"/>
      <c r="AD146" s="176" t="n"/>
      <c r="AE146" s="129" t="n"/>
    </row>
    <row r="147" hidden="1" ht="14.25" customHeight="1" s="83">
      <c r="A147" s="103" t="inlineStr">
        <is>
          <t>Dorm 2</t>
        </is>
      </c>
      <c r="B147" s="177" t="n">
        <v>46357</v>
      </c>
      <c r="C147" s="103" t="inlineStr">
        <is>
          <t>Room 2-4</t>
        </is>
      </c>
      <c r="D147" s="126" t="n">
        <v>0</v>
      </c>
      <c r="E147" s="126" t="n">
        <v>0</v>
      </c>
      <c r="F147" s="127">
        <f>MAX(D147-E147,0)</f>
        <v/>
      </c>
      <c r="G147" s="130">
        <f>E147*GeneratorRate</f>
        <v/>
      </c>
      <c r="H147" s="130">
        <f>F147*GovernmentRate</f>
        <v/>
      </c>
      <c r="I147" s="130">
        <f>G147+H147</f>
        <v/>
      </c>
      <c r="J147" s="129">
        <f>IFERROR(I147/COUNTIFS('Client DB &amp; Bed Mgmt'!$A:$A,A147,'Client DB &amp; Bed Mgmt'!$B:$B,C147,'Client DB &amp; Bed Mgmt'!$D:$D,"&lt;&gt;"),0)</f>
        <v/>
      </c>
      <c r="K147" s="103" t="inlineStr">
        <is>
          <t>Dorm 2</t>
        </is>
      </c>
      <c r="L147" s="103" t="inlineStr">
        <is>
          <t>Room 2-4</t>
        </is>
      </c>
      <c r="M147" s="103">
        <f>COUNTIFS('Client DB &amp; Bed Mgmt'!$A:$A,$K147,'Client DB &amp; Bed Mgmt'!$B:$B,$L147,'Client DB &amp; Bed Mgmt'!$D:$D,"&lt;&gt;")</f>
        <v/>
      </c>
      <c r="N147" s="126" t="n"/>
      <c r="O147" s="126" t="n"/>
      <c r="P147" s="127">
        <f>IF(N147="","",MAX(N147-O147,0))</f>
        <v/>
      </c>
      <c r="Q147" s="130">
        <f>IF(O147="","",O147*GeneratorRate)</f>
        <v/>
      </c>
      <c r="R147" s="130">
        <f>IF(P147="","",P147*GovernmentRate)</f>
        <v/>
      </c>
      <c r="S147" s="130">
        <f>IF(N147="","",Q147+R147)</f>
        <v/>
      </c>
      <c r="T147" s="130">
        <f>IF(M147=0,0,S147/M147)</f>
        <v/>
      </c>
      <c r="U147" s="176" t="n"/>
      <c r="V147" s="129" t="n"/>
      <c r="W147" s="127" t="n"/>
      <c r="X147" s="130" t="n"/>
      <c r="Y147" s="178" t="n"/>
      <c r="Z147" s="129" t="n"/>
      <c r="AA147" s="129" t="n"/>
      <c r="AB147" s="176" t="n"/>
      <c r="AC147" s="129" t="n"/>
      <c r="AD147" s="176" t="n"/>
      <c r="AE147" s="129" t="n"/>
    </row>
    <row r="148" hidden="1" ht="14.25" customHeight="1" s="83">
      <c r="A148" s="103" t="inlineStr">
        <is>
          <t>Dorm 2</t>
        </is>
      </c>
      <c r="B148" s="177" t="n">
        <v>46357</v>
      </c>
      <c r="C148" s="103" t="inlineStr">
        <is>
          <t>Room 2-5</t>
        </is>
      </c>
      <c r="D148" s="126" t="n">
        <v>0</v>
      </c>
      <c r="E148" s="126" t="n">
        <v>0</v>
      </c>
      <c r="F148" s="127">
        <f>MAX(D148-E148,0)</f>
        <v/>
      </c>
      <c r="G148" s="130">
        <f>E148*GeneratorRate</f>
        <v/>
      </c>
      <c r="H148" s="130">
        <f>F148*GovernmentRate</f>
        <v/>
      </c>
      <c r="I148" s="130">
        <f>G148+H148</f>
        <v/>
      </c>
      <c r="J148" s="129">
        <f>IFERROR(I148/COUNTIFS('Client DB &amp; Bed Mgmt'!$A:$A,A148,'Client DB &amp; Bed Mgmt'!$B:$B,C148,'Client DB &amp; Bed Mgmt'!$D:$D,"&lt;&gt;"),0)</f>
        <v/>
      </c>
      <c r="K148" s="103" t="inlineStr">
        <is>
          <t>Dorm 2</t>
        </is>
      </c>
      <c r="L148" s="103" t="inlineStr">
        <is>
          <t>Room 2-5</t>
        </is>
      </c>
      <c r="M148" s="103">
        <f>COUNTIFS('Client DB &amp; Bed Mgmt'!$A:$A,$K148,'Client DB &amp; Bed Mgmt'!$B:$B,$L148,'Client DB &amp; Bed Mgmt'!$D:$D,"&lt;&gt;")</f>
        <v/>
      </c>
      <c r="N148" s="126" t="n"/>
      <c r="O148" s="126" t="n"/>
      <c r="P148" s="127">
        <f>IF(N148="","",MAX(N148-O148,0))</f>
        <v/>
      </c>
      <c r="Q148" s="130">
        <f>IF(O148="","",O148*GeneratorRate)</f>
        <v/>
      </c>
      <c r="R148" s="130">
        <f>IF(P148="","",P148*GovernmentRate)</f>
        <v/>
      </c>
      <c r="S148" s="130">
        <f>IF(N148="","",Q148+R148)</f>
        <v/>
      </c>
      <c r="T148" s="130">
        <f>IF(M148=0,0,S148/M148)</f>
        <v/>
      </c>
      <c r="U148" s="176" t="n"/>
      <c r="V148" s="129" t="n"/>
      <c r="W148" s="127" t="n"/>
      <c r="X148" s="130" t="n"/>
      <c r="Y148" s="178" t="n"/>
      <c r="Z148" s="129" t="n"/>
      <c r="AA148" s="129" t="n"/>
      <c r="AB148" s="176" t="n"/>
      <c r="AC148" s="129" t="n"/>
      <c r="AD148" s="176" t="n"/>
      <c r="AE148" s="129" t="n"/>
    </row>
    <row r="149" hidden="1" ht="14.25" customHeight="1" s="83">
      <c r="A149" s="103" t="inlineStr">
        <is>
          <t>Dorm 2</t>
        </is>
      </c>
      <c r="B149" s="177" t="n">
        <v>46357</v>
      </c>
      <c r="C149" s="103" t="inlineStr">
        <is>
          <t>Room 2-6</t>
        </is>
      </c>
      <c r="D149" s="126" t="n">
        <v>0</v>
      </c>
      <c r="E149" s="126" t="n">
        <v>0</v>
      </c>
      <c r="F149" s="127">
        <f>MAX(D149-E149,0)</f>
        <v/>
      </c>
      <c r="G149" s="130">
        <f>E149*GeneratorRate</f>
        <v/>
      </c>
      <c r="H149" s="130">
        <f>F149*GovernmentRate</f>
        <v/>
      </c>
      <c r="I149" s="130">
        <f>G149+H149</f>
        <v/>
      </c>
      <c r="J149" s="129">
        <f>IFERROR(I149/COUNTIFS('Client DB &amp; Bed Mgmt'!$A:$A,A149,'Client DB &amp; Bed Mgmt'!$B:$B,C149,'Client DB &amp; Bed Mgmt'!$D:$D,"&lt;&gt;"),0)</f>
        <v/>
      </c>
      <c r="K149" s="103" t="inlineStr">
        <is>
          <t>Dorm 2</t>
        </is>
      </c>
      <c r="L149" s="103" t="inlineStr">
        <is>
          <t>Room 2-6</t>
        </is>
      </c>
      <c r="M149" s="103">
        <f>COUNTIFS('Client DB &amp; Bed Mgmt'!$A:$A,$K149,'Client DB &amp; Bed Mgmt'!$B:$B,$L149,'Client DB &amp; Bed Mgmt'!$D:$D,"&lt;&gt;")</f>
        <v/>
      </c>
      <c r="N149" s="126" t="n"/>
      <c r="O149" s="126" t="n"/>
      <c r="P149" s="127">
        <f>IF(N149="","",MAX(N149-O149,0))</f>
        <v/>
      </c>
      <c r="Q149" s="130">
        <f>IF(O149="","",O149*GeneratorRate)</f>
        <v/>
      </c>
      <c r="R149" s="130">
        <f>IF(P149="","",P149*GovernmentRate)</f>
        <v/>
      </c>
      <c r="S149" s="130">
        <f>IF(N149="","",Q149+R149)</f>
        <v/>
      </c>
      <c r="T149" s="130">
        <f>IF(M149=0,0,S149/M149)</f>
        <v/>
      </c>
      <c r="U149" s="176" t="n"/>
      <c r="V149" s="129" t="n"/>
      <c r="W149" s="127" t="n"/>
      <c r="X149" s="130" t="n"/>
      <c r="Y149" s="178" t="n"/>
      <c r="Z149" s="129" t="n"/>
      <c r="AA149" s="129" t="n"/>
      <c r="AB149" s="176" t="n"/>
      <c r="AC149" s="129" t="n"/>
      <c r="AD149" s="176" t="n"/>
      <c r="AE149" s="129" t="n"/>
    </row>
    <row r="150" hidden="1" ht="14.25" customHeight="1" s="83">
      <c r="A150" s="103" t="inlineStr">
        <is>
          <t>Dorm 3</t>
        </is>
      </c>
      <c r="B150" s="177" t="n">
        <v>46023</v>
      </c>
      <c r="C150" s="103" t="inlineStr">
        <is>
          <t>Room 3-1</t>
        </is>
      </c>
      <c r="D150" s="126" t="n">
        <v>0</v>
      </c>
      <c r="E150" s="126" t="n">
        <v>0</v>
      </c>
      <c r="F150" s="127">
        <f>MAX(D150-E150,0)</f>
        <v/>
      </c>
      <c r="G150" s="130">
        <f>E150*GeneratorRate</f>
        <v/>
      </c>
      <c r="H150" s="130">
        <f>F150*GovernmentRate</f>
        <v/>
      </c>
      <c r="I150" s="130">
        <f>G150+H150</f>
        <v/>
      </c>
      <c r="J150" s="129">
        <f>IFERROR(I150/COUNTIFS('Client DB &amp; Bed Mgmt'!$A:$A,A150,'Client DB &amp; Bed Mgmt'!$B:$B,C150,'Client DB &amp; Bed Mgmt'!$D:$D,"&lt;&gt;"),0)</f>
        <v/>
      </c>
      <c r="K150" s="103" t="inlineStr">
        <is>
          <t>Dorm 3</t>
        </is>
      </c>
      <c r="L150" s="103" t="inlineStr">
        <is>
          <t>Room 3-1</t>
        </is>
      </c>
      <c r="M150" s="103">
        <f>COUNTIFS('Client DB &amp; Bed Mgmt'!$A:$A,$K150,'Client DB &amp; Bed Mgmt'!$B:$B,$L150,'Client DB &amp; Bed Mgmt'!$D:$D,"&lt;&gt;")</f>
        <v/>
      </c>
      <c r="N150" s="126" t="n"/>
      <c r="O150" s="126" t="n"/>
      <c r="P150" s="127">
        <f>IF(N150="","",MAX(N150-O150,0))</f>
        <v/>
      </c>
      <c r="Q150" s="130">
        <f>IF(O150="","",O150*GeneratorRate)</f>
        <v/>
      </c>
      <c r="R150" s="130">
        <f>IF(P150="","",P150*GovernmentRate)</f>
        <v/>
      </c>
      <c r="S150" s="130">
        <f>IF(N150="","",Q150+R150)</f>
        <v/>
      </c>
      <c r="T150" s="130">
        <f>IF(M150=0,0,S150/M150)</f>
        <v/>
      </c>
      <c r="U150" s="176" t="n"/>
      <c r="V150" s="129" t="n"/>
      <c r="W150" s="127" t="n"/>
      <c r="X150" s="130" t="n"/>
      <c r="Y150" s="178" t="n"/>
      <c r="Z150" s="129" t="n"/>
      <c r="AA150" s="129" t="n"/>
      <c r="AB150" s="176" t="n"/>
      <c r="AC150" s="129" t="n"/>
      <c r="AD150" s="176" t="n"/>
      <c r="AE150" s="129" t="n"/>
    </row>
    <row r="151" hidden="1" ht="14.25" customHeight="1" s="83">
      <c r="A151" s="103" t="inlineStr">
        <is>
          <t>Dorm 3</t>
        </is>
      </c>
      <c r="B151" s="177" t="n">
        <v>46023</v>
      </c>
      <c r="C151" s="103" t="inlineStr">
        <is>
          <t>Room 3-2</t>
        </is>
      </c>
      <c r="D151" s="126" t="n">
        <v>0</v>
      </c>
      <c r="E151" s="126" t="n">
        <v>0</v>
      </c>
      <c r="F151" s="127">
        <f>MAX(D151-E151,0)</f>
        <v/>
      </c>
      <c r="G151" s="130">
        <f>E151*GeneratorRate</f>
        <v/>
      </c>
      <c r="H151" s="130">
        <f>F151*GovernmentRate</f>
        <v/>
      </c>
      <c r="I151" s="130">
        <f>G151+H151</f>
        <v/>
      </c>
      <c r="J151" s="129">
        <f>IFERROR(I151/COUNTIFS('Client DB &amp; Bed Mgmt'!$A:$A,A151,'Client DB &amp; Bed Mgmt'!$B:$B,C151,'Client DB &amp; Bed Mgmt'!$D:$D,"&lt;&gt;"),0)</f>
        <v/>
      </c>
      <c r="K151" s="103" t="inlineStr">
        <is>
          <t>Dorm 3</t>
        </is>
      </c>
      <c r="L151" s="103" t="inlineStr">
        <is>
          <t>Room 3-2</t>
        </is>
      </c>
      <c r="M151" s="103">
        <f>COUNTIFS('Client DB &amp; Bed Mgmt'!$A:$A,$K151,'Client DB &amp; Bed Mgmt'!$B:$B,$L151,'Client DB &amp; Bed Mgmt'!$D:$D,"&lt;&gt;")</f>
        <v/>
      </c>
      <c r="N151" s="126" t="n"/>
      <c r="O151" s="126" t="n"/>
      <c r="P151" s="127">
        <f>IF(N151="","",MAX(N151-O151,0))</f>
        <v/>
      </c>
      <c r="Q151" s="130">
        <f>IF(O151="","",O151*GeneratorRate)</f>
        <v/>
      </c>
      <c r="R151" s="130">
        <f>IF(P151="","",P151*GovernmentRate)</f>
        <v/>
      </c>
      <c r="S151" s="130">
        <f>IF(N151="","",Q151+R151)</f>
        <v/>
      </c>
      <c r="T151" s="130">
        <f>IF(M151=0,0,S151/M151)</f>
        <v/>
      </c>
      <c r="U151" s="176" t="n"/>
      <c r="V151" s="129" t="n"/>
      <c r="W151" s="127" t="n"/>
      <c r="X151" s="130" t="n"/>
      <c r="Y151" s="178" t="n"/>
      <c r="Z151" s="129" t="n"/>
      <c r="AA151" s="129" t="n"/>
      <c r="AB151" s="176" t="n"/>
      <c r="AC151" s="129" t="n"/>
      <c r="AD151" s="176" t="n"/>
      <c r="AE151" s="129" t="n"/>
    </row>
    <row r="152" hidden="1" ht="14.25" customHeight="1" s="83">
      <c r="A152" s="103" t="inlineStr">
        <is>
          <t>Dorm 3</t>
        </is>
      </c>
      <c r="B152" s="177" t="n">
        <v>46023</v>
      </c>
      <c r="C152" s="103" t="inlineStr">
        <is>
          <t>Room 3-3</t>
        </is>
      </c>
      <c r="D152" s="126" t="n">
        <v>0</v>
      </c>
      <c r="E152" s="126" t="n">
        <v>0</v>
      </c>
      <c r="F152" s="127">
        <f>MAX(D152-E152,0)</f>
        <v/>
      </c>
      <c r="G152" s="130">
        <f>E152*GeneratorRate</f>
        <v/>
      </c>
      <c r="H152" s="130">
        <f>F152*GovernmentRate</f>
        <v/>
      </c>
      <c r="I152" s="130">
        <f>G152+H152</f>
        <v/>
      </c>
      <c r="J152" s="129">
        <f>IFERROR(I152/COUNTIFS('Client DB &amp; Bed Mgmt'!$A:$A,A152,'Client DB &amp; Bed Mgmt'!$B:$B,C152,'Client DB &amp; Bed Mgmt'!$D:$D,"&lt;&gt;"),0)</f>
        <v/>
      </c>
      <c r="K152" s="103" t="inlineStr">
        <is>
          <t>Dorm 3</t>
        </is>
      </c>
      <c r="L152" s="103" t="inlineStr">
        <is>
          <t>Room 3-3</t>
        </is>
      </c>
      <c r="M152" s="103">
        <f>COUNTIFS('Client DB &amp; Bed Mgmt'!$A:$A,$K152,'Client DB &amp; Bed Mgmt'!$B:$B,$L152,'Client DB &amp; Bed Mgmt'!$D:$D,"&lt;&gt;")</f>
        <v/>
      </c>
      <c r="N152" s="126" t="n"/>
      <c r="O152" s="126" t="n"/>
      <c r="P152" s="127">
        <f>IF(N152="","",MAX(N152-O152,0))</f>
        <v/>
      </c>
      <c r="Q152" s="130">
        <f>IF(O152="","",O152*GeneratorRate)</f>
        <v/>
      </c>
      <c r="R152" s="130">
        <f>IF(P152="","",P152*GovernmentRate)</f>
        <v/>
      </c>
      <c r="S152" s="130">
        <f>IF(N152="","",Q152+R152)</f>
        <v/>
      </c>
      <c r="T152" s="130">
        <f>IF(M152=0,0,S152/M152)</f>
        <v/>
      </c>
      <c r="U152" s="176" t="n"/>
      <c r="V152" s="129" t="n"/>
      <c r="W152" s="127" t="n"/>
      <c r="X152" s="130" t="n"/>
      <c r="Y152" s="178" t="n"/>
      <c r="Z152" s="129" t="n"/>
      <c r="AA152" s="129" t="n"/>
      <c r="AB152" s="176" t="n"/>
      <c r="AC152" s="129" t="n"/>
      <c r="AD152" s="176" t="n"/>
      <c r="AE152" s="129" t="n"/>
    </row>
    <row r="153" hidden="1" ht="14.25" customHeight="1" s="83">
      <c r="A153" s="103" t="inlineStr">
        <is>
          <t>Dorm 3</t>
        </is>
      </c>
      <c r="B153" s="177" t="n">
        <v>46023</v>
      </c>
      <c r="C153" s="103" t="inlineStr">
        <is>
          <t>Room 3-4</t>
        </is>
      </c>
      <c r="D153" s="126" t="n">
        <v>0</v>
      </c>
      <c r="E153" s="126" t="n">
        <v>0</v>
      </c>
      <c r="F153" s="127">
        <f>MAX(D153-E153,0)</f>
        <v/>
      </c>
      <c r="G153" s="130">
        <f>E153*GeneratorRate</f>
        <v/>
      </c>
      <c r="H153" s="130">
        <f>F153*GovernmentRate</f>
        <v/>
      </c>
      <c r="I153" s="130">
        <f>G153+H153</f>
        <v/>
      </c>
      <c r="J153" s="129">
        <f>IFERROR(I153/COUNTIFS('Client DB &amp; Bed Mgmt'!$A:$A,A153,'Client DB &amp; Bed Mgmt'!$B:$B,C153,'Client DB &amp; Bed Mgmt'!$D:$D,"&lt;&gt;"),0)</f>
        <v/>
      </c>
      <c r="K153" s="103" t="inlineStr">
        <is>
          <t>Dorm 3</t>
        </is>
      </c>
      <c r="L153" s="103" t="inlineStr">
        <is>
          <t>Room 3-4</t>
        </is>
      </c>
      <c r="M153" s="103">
        <f>COUNTIFS('Client DB &amp; Bed Mgmt'!$A:$A,$K153,'Client DB &amp; Bed Mgmt'!$B:$B,$L153,'Client DB &amp; Bed Mgmt'!$D:$D,"&lt;&gt;")</f>
        <v/>
      </c>
      <c r="N153" s="126" t="n"/>
      <c r="O153" s="126" t="n"/>
      <c r="P153" s="127">
        <f>IF(N153="","",MAX(N153-O153,0))</f>
        <v/>
      </c>
      <c r="Q153" s="130">
        <f>IF(O153="","",O153*GeneratorRate)</f>
        <v/>
      </c>
      <c r="R153" s="130">
        <f>IF(P153="","",P153*GovernmentRate)</f>
        <v/>
      </c>
      <c r="S153" s="130">
        <f>IF(N153="","",Q153+R153)</f>
        <v/>
      </c>
      <c r="T153" s="130">
        <f>IF(M153=0,0,S153/M153)</f>
        <v/>
      </c>
      <c r="U153" s="176" t="n"/>
      <c r="V153" s="129" t="n"/>
      <c r="W153" s="127" t="n"/>
      <c r="X153" s="130" t="n"/>
      <c r="Y153" s="178" t="n"/>
      <c r="Z153" s="129" t="n"/>
      <c r="AA153" s="129" t="n"/>
      <c r="AB153" s="176" t="n"/>
      <c r="AC153" s="129" t="n"/>
      <c r="AD153" s="176" t="n"/>
      <c r="AE153" s="129" t="n"/>
    </row>
    <row r="154" hidden="1" ht="14.25" customHeight="1" s="83">
      <c r="A154" s="103" t="inlineStr">
        <is>
          <t>Dorm 3</t>
        </is>
      </c>
      <c r="B154" s="177" t="n">
        <v>46023</v>
      </c>
      <c r="C154" s="103" t="inlineStr">
        <is>
          <t>Room 3-5</t>
        </is>
      </c>
      <c r="D154" s="126" t="n">
        <v>0</v>
      </c>
      <c r="E154" s="126" t="n">
        <v>0</v>
      </c>
      <c r="F154" s="127">
        <f>MAX(D154-E154,0)</f>
        <v/>
      </c>
      <c r="G154" s="130">
        <f>E154*GeneratorRate</f>
        <v/>
      </c>
      <c r="H154" s="130">
        <f>F154*GovernmentRate</f>
        <v/>
      </c>
      <c r="I154" s="130">
        <f>G154+H154</f>
        <v/>
      </c>
      <c r="J154" s="129">
        <f>IFERROR(I154/COUNTIFS('Client DB &amp; Bed Mgmt'!$A:$A,A154,'Client DB &amp; Bed Mgmt'!$B:$B,C154,'Client DB &amp; Bed Mgmt'!$D:$D,"&lt;&gt;"),0)</f>
        <v/>
      </c>
      <c r="K154" s="103" t="inlineStr">
        <is>
          <t>Dorm 3</t>
        </is>
      </c>
      <c r="L154" s="103" t="inlineStr">
        <is>
          <t>Room 3-5</t>
        </is>
      </c>
      <c r="M154" s="103">
        <f>COUNTIFS('Client DB &amp; Bed Mgmt'!$A:$A,$K154,'Client DB &amp; Bed Mgmt'!$B:$B,$L154,'Client DB &amp; Bed Mgmt'!$D:$D,"&lt;&gt;")</f>
        <v/>
      </c>
      <c r="N154" s="126" t="n"/>
      <c r="O154" s="126" t="n"/>
      <c r="P154" s="127">
        <f>IF(N154="","",MAX(N154-O154,0))</f>
        <v/>
      </c>
      <c r="Q154" s="130">
        <f>IF(O154="","",O154*GeneratorRate)</f>
        <v/>
      </c>
      <c r="R154" s="130">
        <f>IF(P154="","",P154*GovernmentRate)</f>
        <v/>
      </c>
      <c r="S154" s="130">
        <f>IF(N154="","",Q154+R154)</f>
        <v/>
      </c>
      <c r="T154" s="130">
        <f>IF(M154=0,0,S154/M154)</f>
        <v/>
      </c>
      <c r="U154" s="176" t="n"/>
      <c r="V154" s="129" t="n"/>
      <c r="W154" s="127" t="n"/>
      <c r="X154" s="130" t="n"/>
      <c r="Y154" s="178" t="n"/>
      <c r="Z154" s="129" t="n"/>
      <c r="AA154" s="129" t="n"/>
      <c r="AB154" s="176" t="n"/>
      <c r="AC154" s="129" t="n"/>
      <c r="AD154" s="176" t="n"/>
      <c r="AE154" s="129" t="n"/>
    </row>
    <row r="155" hidden="1" ht="14.25" customHeight="1" s="83">
      <c r="A155" s="103" t="inlineStr">
        <is>
          <t>Dorm 3</t>
        </is>
      </c>
      <c r="B155" s="177" t="n">
        <v>46023</v>
      </c>
      <c r="C155" s="103" t="inlineStr">
        <is>
          <t>Room 3-6</t>
        </is>
      </c>
      <c r="D155" s="126" t="n">
        <v>0</v>
      </c>
      <c r="E155" s="126" t="n">
        <v>0</v>
      </c>
      <c r="F155" s="127">
        <f>MAX(D155-E155,0)</f>
        <v/>
      </c>
      <c r="G155" s="130">
        <f>E155*GeneratorRate</f>
        <v/>
      </c>
      <c r="H155" s="130">
        <f>F155*GovernmentRate</f>
        <v/>
      </c>
      <c r="I155" s="130">
        <f>G155+H155</f>
        <v/>
      </c>
      <c r="J155" s="129">
        <f>IFERROR(I155/COUNTIFS('Client DB &amp; Bed Mgmt'!$A:$A,A155,'Client DB &amp; Bed Mgmt'!$B:$B,C155,'Client DB &amp; Bed Mgmt'!$D:$D,"&lt;&gt;"),0)</f>
        <v/>
      </c>
      <c r="K155" s="103" t="inlineStr">
        <is>
          <t>Dorm 3</t>
        </is>
      </c>
      <c r="L155" s="103" t="inlineStr">
        <is>
          <t>Room 3-6</t>
        </is>
      </c>
      <c r="M155" s="103">
        <f>COUNTIFS('Client DB &amp; Bed Mgmt'!$A:$A,$K155,'Client DB &amp; Bed Mgmt'!$B:$B,$L155,'Client DB &amp; Bed Mgmt'!$D:$D,"&lt;&gt;")</f>
        <v/>
      </c>
      <c r="N155" s="126" t="n"/>
      <c r="O155" s="126" t="n"/>
      <c r="P155" s="127">
        <f>IF(N155="","",MAX(N155-O155,0))</f>
        <v/>
      </c>
      <c r="Q155" s="130">
        <f>IF(O155="","",O155*GeneratorRate)</f>
        <v/>
      </c>
      <c r="R155" s="130">
        <f>IF(P155="","",P155*GovernmentRate)</f>
        <v/>
      </c>
      <c r="S155" s="130">
        <f>IF(N155="","",Q155+R155)</f>
        <v/>
      </c>
      <c r="T155" s="130">
        <f>IF(M155=0,0,S155/M155)</f>
        <v/>
      </c>
      <c r="U155" s="176" t="n"/>
      <c r="V155" s="129" t="n"/>
      <c r="W155" s="127" t="n"/>
      <c r="X155" s="130" t="n"/>
      <c r="Y155" s="178" t="n"/>
      <c r="Z155" s="129" t="n"/>
      <c r="AA155" s="129" t="n"/>
      <c r="AB155" s="176" t="n"/>
      <c r="AC155" s="129" t="n"/>
      <c r="AD155" s="176" t="n"/>
      <c r="AE155" s="129" t="n"/>
    </row>
    <row r="156" hidden="1" ht="14.25" customHeight="1" s="83">
      <c r="A156" s="103" t="inlineStr">
        <is>
          <t>Dorm 3</t>
        </is>
      </c>
      <c r="B156" s="177" t="n">
        <v>46054</v>
      </c>
      <c r="C156" s="103" t="inlineStr">
        <is>
          <t>Room 3-3</t>
        </is>
      </c>
      <c r="D156" s="126" t="n">
        <v>0</v>
      </c>
      <c r="E156" s="126" t="n">
        <v>0</v>
      </c>
      <c r="F156" s="127">
        <f>MAX(D156-E156,0)</f>
        <v/>
      </c>
      <c r="G156" s="130">
        <f>E156*GeneratorRate</f>
        <v/>
      </c>
      <c r="H156" s="130">
        <f>F156*GovernmentRate</f>
        <v/>
      </c>
      <c r="I156" s="130">
        <f>G156+H156</f>
        <v/>
      </c>
      <c r="J156" s="129">
        <f>IFERROR(I156/COUNTIFS('Client DB &amp; Bed Mgmt'!$A:$A,A156,'Client DB &amp; Bed Mgmt'!$B:$B,C156,'Client DB &amp; Bed Mgmt'!$D:$D,"&lt;&gt;"),0)</f>
        <v/>
      </c>
      <c r="K156" s="103" t="inlineStr">
        <is>
          <t>Dorm 3</t>
        </is>
      </c>
      <c r="L156" s="103" t="inlineStr">
        <is>
          <t>Room 3-3</t>
        </is>
      </c>
      <c r="M156" s="103">
        <f>COUNTIFS('Client DB &amp; Bed Mgmt'!$A:$A,$K156,'Client DB &amp; Bed Mgmt'!$B:$B,$L156,'Client DB &amp; Bed Mgmt'!$D:$D,"&lt;&gt;")</f>
        <v/>
      </c>
      <c r="N156" s="126" t="n"/>
      <c r="O156" s="126" t="n"/>
      <c r="P156" s="127">
        <f>IF(N156="","",MAX(N156-O156,0))</f>
        <v/>
      </c>
      <c r="Q156" s="130">
        <f>IF(O156="","",O156*GeneratorRate)</f>
        <v/>
      </c>
      <c r="R156" s="130">
        <f>IF(P156="","",P156*GovernmentRate)</f>
        <v/>
      </c>
      <c r="S156" s="130">
        <f>IF(N156="","",Q156+R156)</f>
        <v/>
      </c>
      <c r="T156" s="130">
        <f>IF(M156=0,0,S156/M156)</f>
        <v/>
      </c>
      <c r="U156" s="176" t="n"/>
      <c r="V156" s="129" t="n"/>
      <c r="W156" s="127" t="n"/>
      <c r="X156" s="130" t="n"/>
      <c r="Y156" s="178" t="n"/>
      <c r="Z156" s="129" t="n"/>
      <c r="AA156" s="129" t="n"/>
      <c r="AB156" s="176" t="n"/>
      <c r="AC156" s="129" t="n"/>
      <c r="AD156" s="176" t="n"/>
      <c r="AE156" s="129" t="n"/>
    </row>
    <row r="157" hidden="1" ht="14.25" customHeight="1" s="83">
      <c r="A157" s="103" t="inlineStr">
        <is>
          <t>Dorm 3</t>
        </is>
      </c>
      <c r="B157" s="177" t="n">
        <v>46054</v>
      </c>
      <c r="C157" s="103" t="inlineStr">
        <is>
          <t>Room 3-4</t>
        </is>
      </c>
      <c r="D157" s="126" t="n">
        <v>0</v>
      </c>
      <c r="E157" s="126" t="n">
        <v>0</v>
      </c>
      <c r="F157" s="127">
        <f>MAX(D157-E157,0)</f>
        <v/>
      </c>
      <c r="G157" s="130">
        <f>E157*GeneratorRate</f>
        <v/>
      </c>
      <c r="H157" s="130">
        <f>F157*GovernmentRate</f>
        <v/>
      </c>
      <c r="I157" s="130">
        <f>G157+H157</f>
        <v/>
      </c>
      <c r="J157" s="129">
        <f>IFERROR(I157/COUNTIFS('Client DB &amp; Bed Mgmt'!$A:$A,A157,'Client DB &amp; Bed Mgmt'!$B:$B,C157,'Client DB &amp; Bed Mgmt'!$D:$D,"&lt;&gt;"),0)</f>
        <v/>
      </c>
      <c r="K157" s="103" t="inlineStr">
        <is>
          <t>Dorm 3</t>
        </is>
      </c>
      <c r="L157" s="103" t="inlineStr">
        <is>
          <t>Room 3-4</t>
        </is>
      </c>
      <c r="M157" s="103">
        <f>COUNTIFS('Client DB &amp; Bed Mgmt'!$A:$A,$K157,'Client DB &amp; Bed Mgmt'!$B:$B,$L157,'Client DB &amp; Bed Mgmt'!$D:$D,"&lt;&gt;")</f>
        <v/>
      </c>
      <c r="N157" s="126" t="n"/>
      <c r="O157" s="126" t="n"/>
      <c r="P157" s="127">
        <f>IF(N157="","",MAX(N157-O157,0))</f>
        <v/>
      </c>
      <c r="Q157" s="130">
        <f>IF(O157="","",O157*GeneratorRate)</f>
        <v/>
      </c>
      <c r="R157" s="130">
        <f>IF(P157="","",P157*GovernmentRate)</f>
        <v/>
      </c>
      <c r="S157" s="130">
        <f>IF(N157="","",Q157+R157)</f>
        <v/>
      </c>
      <c r="T157" s="130">
        <f>IF(M157=0,0,S157/M157)</f>
        <v/>
      </c>
      <c r="U157" s="176" t="n"/>
      <c r="V157" s="129" t="n"/>
      <c r="W157" s="127" t="n"/>
      <c r="X157" s="130" t="n"/>
      <c r="Y157" s="178" t="n"/>
      <c r="Z157" s="129" t="n"/>
      <c r="AA157" s="129" t="n"/>
      <c r="AB157" s="176" t="n"/>
      <c r="AC157" s="129" t="n"/>
      <c r="AD157" s="176" t="n"/>
      <c r="AE157" s="129" t="n"/>
    </row>
    <row r="158" hidden="1" ht="14.25" customHeight="1" s="83">
      <c r="A158" s="103" t="inlineStr">
        <is>
          <t>Dorm 3</t>
        </is>
      </c>
      <c r="B158" s="177" t="n">
        <v>46054</v>
      </c>
      <c r="C158" s="103" t="inlineStr">
        <is>
          <t>Room 3-5</t>
        </is>
      </c>
      <c r="D158" s="126" t="n">
        <v>0</v>
      </c>
      <c r="E158" s="126" t="n">
        <v>0</v>
      </c>
      <c r="F158" s="127">
        <f>MAX(D158-E158,0)</f>
        <v/>
      </c>
      <c r="G158" s="130">
        <f>E158*GeneratorRate</f>
        <v/>
      </c>
      <c r="H158" s="130">
        <f>F158*GovernmentRate</f>
        <v/>
      </c>
      <c r="I158" s="130">
        <f>G158+H158</f>
        <v/>
      </c>
      <c r="J158" s="129">
        <f>IFERROR(I158/COUNTIFS('Client DB &amp; Bed Mgmt'!$A:$A,A158,'Client DB &amp; Bed Mgmt'!$B:$B,C158,'Client DB &amp; Bed Mgmt'!$D:$D,"&lt;&gt;"),0)</f>
        <v/>
      </c>
      <c r="K158" s="103" t="inlineStr">
        <is>
          <t>Dorm 3</t>
        </is>
      </c>
      <c r="L158" s="103" t="inlineStr">
        <is>
          <t>Room 3-5</t>
        </is>
      </c>
      <c r="M158" s="103">
        <f>COUNTIFS('Client DB &amp; Bed Mgmt'!$A:$A,$K158,'Client DB &amp; Bed Mgmt'!$B:$B,$L158,'Client DB &amp; Bed Mgmt'!$D:$D,"&lt;&gt;")</f>
        <v/>
      </c>
      <c r="N158" s="126" t="n"/>
      <c r="O158" s="126" t="n"/>
      <c r="P158" s="127">
        <f>IF(N158="","",MAX(N158-O158,0))</f>
        <v/>
      </c>
      <c r="Q158" s="130">
        <f>IF(O158="","",O158*GeneratorRate)</f>
        <v/>
      </c>
      <c r="R158" s="130">
        <f>IF(P158="","",P158*GovernmentRate)</f>
        <v/>
      </c>
      <c r="S158" s="130">
        <f>IF(N158="","",Q158+R158)</f>
        <v/>
      </c>
      <c r="T158" s="130">
        <f>IF(M158=0,0,S158/M158)</f>
        <v/>
      </c>
      <c r="U158" s="176" t="n"/>
      <c r="V158" s="129" t="n"/>
      <c r="W158" s="127" t="n"/>
      <c r="X158" s="130" t="n"/>
      <c r="Y158" s="178" t="n"/>
      <c r="Z158" s="129" t="n"/>
      <c r="AA158" s="129" t="n"/>
      <c r="AB158" s="176" t="n"/>
      <c r="AC158" s="129" t="n"/>
      <c r="AD158" s="176" t="n"/>
      <c r="AE158" s="129" t="n"/>
    </row>
    <row r="159" hidden="1" ht="14.25" customHeight="1" s="83">
      <c r="A159" s="103" t="inlineStr">
        <is>
          <t>Dorm 3</t>
        </is>
      </c>
      <c r="B159" s="177" t="n">
        <v>46054</v>
      </c>
      <c r="C159" s="103" t="inlineStr">
        <is>
          <t>Room 3-6</t>
        </is>
      </c>
      <c r="D159" s="126" t="n">
        <v>0</v>
      </c>
      <c r="E159" s="126" t="n">
        <v>0</v>
      </c>
      <c r="F159" s="127">
        <f>MAX(D159-E159,0)</f>
        <v/>
      </c>
      <c r="G159" s="130">
        <f>E159*GeneratorRate</f>
        <v/>
      </c>
      <c r="H159" s="130">
        <f>F159*GovernmentRate</f>
        <v/>
      </c>
      <c r="I159" s="130">
        <f>G159+H159</f>
        <v/>
      </c>
      <c r="J159" s="129">
        <f>IFERROR(I159/COUNTIFS('Client DB &amp; Bed Mgmt'!$A:$A,A159,'Client DB &amp; Bed Mgmt'!$B:$B,C159,'Client DB &amp; Bed Mgmt'!$D:$D,"&lt;&gt;"),0)</f>
        <v/>
      </c>
      <c r="K159" s="103" t="inlineStr">
        <is>
          <t>Dorm 3</t>
        </is>
      </c>
      <c r="L159" s="103" t="inlineStr">
        <is>
          <t>Room 3-6</t>
        </is>
      </c>
      <c r="M159" s="103">
        <f>COUNTIFS('Client DB &amp; Bed Mgmt'!$A:$A,$K159,'Client DB &amp; Bed Mgmt'!$B:$B,$L159,'Client DB &amp; Bed Mgmt'!$D:$D,"&lt;&gt;")</f>
        <v/>
      </c>
      <c r="N159" s="126" t="n"/>
      <c r="O159" s="126" t="n"/>
      <c r="P159" s="127">
        <f>IF(N159="","",MAX(N159-O159,0))</f>
        <v/>
      </c>
      <c r="Q159" s="130">
        <f>IF(O159="","",O159*GeneratorRate)</f>
        <v/>
      </c>
      <c r="R159" s="130">
        <f>IF(P159="","",P159*GovernmentRate)</f>
        <v/>
      </c>
      <c r="S159" s="130">
        <f>IF(N159="","",Q159+R159)</f>
        <v/>
      </c>
      <c r="T159" s="130">
        <f>IF(M159=0,0,S159/M159)</f>
        <v/>
      </c>
      <c r="U159" s="176" t="n"/>
      <c r="V159" s="129" t="n"/>
      <c r="W159" s="127" t="n"/>
      <c r="X159" s="130" t="n"/>
      <c r="Y159" s="178" t="n"/>
      <c r="Z159" s="129" t="n"/>
      <c r="AA159" s="129" t="n"/>
      <c r="AB159" s="176" t="n"/>
      <c r="AC159" s="129" t="n"/>
      <c r="AD159" s="176" t="n"/>
      <c r="AE159" s="129" t="n"/>
    </row>
    <row r="160" hidden="1" ht="14.25" customHeight="1" s="83">
      <c r="A160" s="103" t="inlineStr">
        <is>
          <t>Dorm 3</t>
        </is>
      </c>
      <c r="B160" s="177" t="n">
        <v>46054</v>
      </c>
      <c r="C160" s="103" t="inlineStr">
        <is>
          <t>Room 3-7</t>
        </is>
      </c>
      <c r="D160" s="126" t="n">
        <v>0</v>
      </c>
      <c r="E160" s="126" t="n">
        <v>0</v>
      </c>
      <c r="F160" s="127">
        <f>MAX(D160-E160,0)</f>
        <v/>
      </c>
      <c r="G160" s="130">
        <f>E160*GeneratorRate</f>
        <v/>
      </c>
      <c r="H160" s="130">
        <f>F160*GovernmentRate</f>
        <v/>
      </c>
      <c r="I160" s="130">
        <f>G160+H160</f>
        <v/>
      </c>
      <c r="J160" s="129">
        <f>IFERROR(I160/COUNTIFS('Client DB &amp; Bed Mgmt'!$A:$A,A160,'Client DB &amp; Bed Mgmt'!$B:$B,C160,'Client DB &amp; Bed Mgmt'!$D:$D,"&lt;&gt;"),0)</f>
        <v/>
      </c>
      <c r="K160" s="103" t="inlineStr">
        <is>
          <t>Dorm 3</t>
        </is>
      </c>
      <c r="L160" s="103" t="inlineStr">
        <is>
          <t>Room 3-7</t>
        </is>
      </c>
      <c r="M160" s="103">
        <f>COUNTIFS('Client DB &amp; Bed Mgmt'!$A:$A,$K160,'Client DB &amp; Bed Mgmt'!$B:$B,$L160,'Client DB &amp; Bed Mgmt'!$D:$D,"&lt;&gt;")</f>
        <v/>
      </c>
      <c r="N160" s="126" t="n"/>
      <c r="O160" s="126" t="n"/>
      <c r="P160" s="127">
        <f>IF(N160="","",MAX(N160-O160,0))</f>
        <v/>
      </c>
      <c r="Q160" s="130">
        <f>IF(O160="","",O160*GeneratorRate)</f>
        <v/>
      </c>
      <c r="R160" s="130">
        <f>IF(P160="","",P160*GovernmentRate)</f>
        <v/>
      </c>
      <c r="S160" s="130">
        <f>IF(N160="","",Q160+R160)</f>
        <v/>
      </c>
      <c r="T160" s="130">
        <f>IF(M160=0,0,S160/M160)</f>
        <v/>
      </c>
      <c r="U160" s="176" t="n"/>
      <c r="V160" s="129" t="n"/>
      <c r="W160" s="127" t="n"/>
      <c r="X160" s="130" t="n"/>
      <c r="Y160" s="178" t="n"/>
      <c r="Z160" s="129" t="n"/>
      <c r="AA160" s="129" t="n"/>
      <c r="AB160" s="176" t="n"/>
      <c r="AC160" s="129" t="n"/>
      <c r="AD160" s="176" t="n"/>
      <c r="AE160" s="129" t="n"/>
    </row>
    <row r="161" hidden="1" ht="14.25" customHeight="1" s="83">
      <c r="A161" s="103" t="inlineStr">
        <is>
          <t>Dorm 3</t>
        </is>
      </c>
      <c r="B161" s="177" t="n">
        <v>46054</v>
      </c>
      <c r="C161" s="103" t="inlineStr">
        <is>
          <t>Room 3-8</t>
        </is>
      </c>
      <c r="D161" s="126" t="n">
        <v>0</v>
      </c>
      <c r="E161" s="126" t="n">
        <v>0</v>
      </c>
      <c r="F161" s="127">
        <f>MAX(D161-E161,0)</f>
        <v/>
      </c>
      <c r="G161" s="130">
        <f>E161*GeneratorRate</f>
        <v/>
      </c>
      <c r="H161" s="130">
        <f>F161*GovernmentRate</f>
        <v/>
      </c>
      <c r="I161" s="130">
        <f>G161+H161</f>
        <v/>
      </c>
      <c r="J161" s="129">
        <f>IFERROR(I161/COUNTIFS('Client DB &amp; Bed Mgmt'!$A:$A,A161,'Client DB &amp; Bed Mgmt'!$B:$B,C161,'Client DB &amp; Bed Mgmt'!$D:$D,"&lt;&gt;"),0)</f>
        <v/>
      </c>
      <c r="K161" s="103" t="inlineStr">
        <is>
          <t>Dorm 3</t>
        </is>
      </c>
      <c r="L161" s="103" t="inlineStr">
        <is>
          <t>Room 3-8</t>
        </is>
      </c>
      <c r="M161" s="103">
        <f>COUNTIFS('Client DB &amp; Bed Mgmt'!$A:$A,$K161,'Client DB &amp; Bed Mgmt'!$B:$B,$L161,'Client DB &amp; Bed Mgmt'!$D:$D,"&lt;&gt;")</f>
        <v/>
      </c>
      <c r="N161" s="126" t="n"/>
      <c r="O161" s="126" t="n"/>
      <c r="P161" s="127">
        <f>IF(N161="","",MAX(N161-O161,0))</f>
        <v/>
      </c>
      <c r="Q161" s="130">
        <f>IF(O161="","",O161*GeneratorRate)</f>
        <v/>
      </c>
      <c r="R161" s="130">
        <f>IF(P161="","",P161*GovernmentRate)</f>
        <v/>
      </c>
      <c r="S161" s="130">
        <f>IF(N161="","",Q161+R161)</f>
        <v/>
      </c>
      <c r="T161" s="130">
        <f>IF(M161=0,0,S161/M161)</f>
        <v/>
      </c>
      <c r="U161" s="176" t="n"/>
      <c r="V161" s="129" t="n"/>
      <c r="W161" s="127" t="n"/>
      <c r="X161" s="130" t="n"/>
      <c r="Y161" s="178" t="n"/>
      <c r="Z161" s="129" t="n"/>
      <c r="AA161" s="129" t="n"/>
      <c r="AB161" s="176" t="n"/>
      <c r="AC161" s="129" t="n"/>
      <c r="AD161" s="176" t="n"/>
      <c r="AE161" s="129" t="n"/>
    </row>
    <row r="162" hidden="1" ht="14.25" customHeight="1" s="83">
      <c r="A162" s="103" t="inlineStr">
        <is>
          <t>Dorm 3</t>
        </is>
      </c>
      <c r="B162" s="177" t="n">
        <v>46082</v>
      </c>
      <c r="C162" s="103" t="inlineStr">
        <is>
          <t>Room 3-1</t>
        </is>
      </c>
      <c r="D162" s="126" t="n">
        <v>0</v>
      </c>
      <c r="E162" s="126" t="n">
        <v>0</v>
      </c>
      <c r="F162" s="127">
        <f>MAX(D162-E162,0)</f>
        <v/>
      </c>
      <c r="G162" s="130">
        <f>E162*GeneratorRate</f>
        <v/>
      </c>
      <c r="H162" s="130">
        <f>F162*GovernmentRate</f>
        <v/>
      </c>
      <c r="I162" s="130">
        <f>G162+H162</f>
        <v/>
      </c>
      <c r="J162" s="129">
        <f>IFERROR(I162/COUNTIFS('Client DB &amp; Bed Mgmt'!$A:$A,A162,'Client DB &amp; Bed Mgmt'!$B:$B,C162,'Client DB &amp; Bed Mgmt'!$D:$D,"&lt;&gt;"),0)</f>
        <v/>
      </c>
      <c r="K162" s="103" t="inlineStr">
        <is>
          <t>Dorm 3</t>
        </is>
      </c>
      <c r="L162" s="103" t="inlineStr">
        <is>
          <t>Room 3-1</t>
        </is>
      </c>
      <c r="M162" s="103">
        <f>COUNTIFS('Client DB &amp; Bed Mgmt'!$A:$A,$K162,'Client DB &amp; Bed Mgmt'!$B:$B,$L162,'Client DB &amp; Bed Mgmt'!$D:$D,"&lt;&gt;")</f>
        <v/>
      </c>
      <c r="N162" s="126" t="n"/>
      <c r="O162" s="126" t="n"/>
      <c r="P162" s="127">
        <f>IF(N162="","",MAX(N162-O162,0))</f>
        <v/>
      </c>
      <c r="Q162" s="130">
        <f>IF(O162="","",O162*GeneratorRate)</f>
        <v/>
      </c>
      <c r="R162" s="130">
        <f>IF(P162="","",P162*GovernmentRate)</f>
        <v/>
      </c>
      <c r="S162" s="130">
        <f>IF(N162="","",Q162+R162)</f>
        <v/>
      </c>
      <c r="T162" s="130">
        <f>IF(M162=0,0,S162/M162)</f>
        <v/>
      </c>
      <c r="U162" s="176" t="n"/>
      <c r="V162" s="129" t="n"/>
      <c r="W162" s="127" t="n"/>
      <c r="X162" s="130" t="n"/>
      <c r="Y162" s="178" t="n"/>
      <c r="Z162" s="129" t="n"/>
      <c r="AA162" s="129" t="n"/>
      <c r="AB162" s="176" t="n"/>
      <c r="AC162" s="129" t="n"/>
      <c r="AD162" s="176" t="n"/>
      <c r="AE162" s="129" t="n"/>
    </row>
    <row r="163" hidden="1" ht="14.25" customHeight="1" s="83">
      <c r="A163" s="103" t="inlineStr">
        <is>
          <t>Dorm 3</t>
        </is>
      </c>
      <c r="B163" s="177" t="n">
        <v>46082</v>
      </c>
      <c r="C163" s="103" t="inlineStr">
        <is>
          <t>Room 3-2</t>
        </is>
      </c>
      <c r="D163" s="126" t="n">
        <v>0</v>
      </c>
      <c r="E163" s="126" t="n">
        <v>0</v>
      </c>
      <c r="F163" s="127">
        <f>MAX(D163-E163,0)</f>
        <v/>
      </c>
      <c r="G163" s="130">
        <f>E163*GeneratorRate</f>
        <v/>
      </c>
      <c r="H163" s="130">
        <f>F163*GovernmentRate</f>
        <v/>
      </c>
      <c r="I163" s="130">
        <f>G163+H163</f>
        <v/>
      </c>
      <c r="J163" s="129">
        <f>IFERROR(I163/COUNTIFS('Client DB &amp; Bed Mgmt'!$A:$A,A163,'Client DB &amp; Bed Mgmt'!$B:$B,C163,'Client DB &amp; Bed Mgmt'!$D:$D,"&lt;&gt;"),0)</f>
        <v/>
      </c>
      <c r="K163" s="103" t="inlineStr">
        <is>
          <t>Dorm 3</t>
        </is>
      </c>
      <c r="L163" s="103" t="inlineStr">
        <is>
          <t>Room 3-2</t>
        </is>
      </c>
      <c r="M163" s="103">
        <f>COUNTIFS('Client DB &amp; Bed Mgmt'!$A:$A,$K163,'Client DB &amp; Bed Mgmt'!$B:$B,$L163,'Client DB &amp; Bed Mgmt'!$D:$D,"&lt;&gt;")</f>
        <v/>
      </c>
      <c r="N163" s="126" t="n"/>
      <c r="O163" s="126" t="n"/>
      <c r="P163" s="127">
        <f>IF(N163="","",MAX(N163-O163,0))</f>
        <v/>
      </c>
      <c r="Q163" s="130">
        <f>IF(O163="","",O163*GeneratorRate)</f>
        <v/>
      </c>
      <c r="R163" s="130">
        <f>IF(P163="","",P163*GovernmentRate)</f>
        <v/>
      </c>
      <c r="S163" s="130">
        <f>IF(N163="","",Q163+R163)</f>
        <v/>
      </c>
      <c r="T163" s="130">
        <f>IF(M163=0,0,S163/M163)</f>
        <v/>
      </c>
      <c r="U163" s="176" t="n"/>
      <c r="V163" s="129" t="n"/>
      <c r="W163" s="127" t="n"/>
      <c r="X163" s="130" t="n"/>
      <c r="Y163" s="178" t="n"/>
      <c r="Z163" s="129" t="n"/>
      <c r="AA163" s="129" t="n"/>
      <c r="AB163" s="176" t="n"/>
      <c r="AC163" s="129" t="n"/>
      <c r="AD163" s="176" t="n"/>
      <c r="AE163" s="129" t="n"/>
    </row>
    <row r="164" hidden="1" ht="14.25" customHeight="1" s="83">
      <c r="A164" s="103" t="inlineStr">
        <is>
          <t>Dorm 3</t>
        </is>
      </c>
      <c r="B164" s="177" t="n">
        <v>46082</v>
      </c>
      <c r="C164" s="103" t="inlineStr">
        <is>
          <t>Room 3-3</t>
        </is>
      </c>
      <c r="D164" s="126" t="n">
        <v>0</v>
      </c>
      <c r="E164" s="126" t="n">
        <v>0</v>
      </c>
      <c r="F164" s="127">
        <f>MAX(D164-E164,0)</f>
        <v/>
      </c>
      <c r="G164" s="130">
        <f>E164*GeneratorRate</f>
        <v/>
      </c>
      <c r="H164" s="130">
        <f>F164*GovernmentRate</f>
        <v/>
      </c>
      <c r="I164" s="130">
        <f>G164+H164</f>
        <v/>
      </c>
      <c r="J164" s="129">
        <f>IFERROR(I164/COUNTIFS('Client DB &amp; Bed Mgmt'!$A:$A,A164,'Client DB &amp; Bed Mgmt'!$B:$B,C164,'Client DB &amp; Bed Mgmt'!$D:$D,"&lt;&gt;"),0)</f>
        <v/>
      </c>
      <c r="K164" s="103" t="inlineStr">
        <is>
          <t>Dorm 3</t>
        </is>
      </c>
      <c r="L164" s="103" t="inlineStr">
        <is>
          <t>Room 3-3</t>
        </is>
      </c>
      <c r="M164" s="103">
        <f>COUNTIFS('Client DB &amp; Bed Mgmt'!$A:$A,$K164,'Client DB &amp; Bed Mgmt'!$B:$B,$L164,'Client DB &amp; Bed Mgmt'!$D:$D,"&lt;&gt;")</f>
        <v/>
      </c>
      <c r="N164" s="126" t="n"/>
      <c r="O164" s="126" t="n"/>
      <c r="P164" s="127">
        <f>IF(N164="","",MAX(N164-O164,0))</f>
        <v/>
      </c>
      <c r="Q164" s="130">
        <f>IF(O164="","",O164*GeneratorRate)</f>
        <v/>
      </c>
      <c r="R164" s="130">
        <f>IF(P164="","",P164*GovernmentRate)</f>
        <v/>
      </c>
      <c r="S164" s="130">
        <f>IF(N164="","",Q164+R164)</f>
        <v/>
      </c>
      <c r="T164" s="130">
        <f>IF(M164=0,0,S164/M164)</f>
        <v/>
      </c>
      <c r="U164" s="176" t="n"/>
      <c r="V164" s="129" t="n"/>
      <c r="W164" s="127" t="n"/>
      <c r="X164" s="130" t="n"/>
      <c r="Y164" s="178" t="n"/>
      <c r="Z164" s="129" t="n"/>
      <c r="AA164" s="129" t="n"/>
      <c r="AB164" s="176" t="n"/>
      <c r="AC164" s="129" t="n"/>
      <c r="AD164" s="176" t="n"/>
      <c r="AE164" s="129" t="n"/>
    </row>
    <row r="165" hidden="1" ht="14.25" customHeight="1" s="83">
      <c r="A165" s="103" t="inlineStr">
        <is>
          <t>Dorm 3</t>
        </is>
      </c>
      <c r="B165" s="177" t="n">
        <v>46082</v>
      </c>
      <c r="C165" s="103" t="inlineStr">
        <is>
          <t>Room 3-4</t>
        </is>
      </c>
      <c r="D165" s="126" t="n">
        <v>0</v>
      </c>
      <c r="E165" s="126" t="n">
        <v>0</v>
      </c>
      <c r="F165" s="127">
        <f>MAX(D165-E165,0)</f>
        <v/>
      </c>
      <c r="G165" s="130">
        <f>E165*GeneratorRate</f>
        <v/>
      </c>
      <c r="H165" s="130">
        <f>F165*GovernmentRate</f>
        <v/>
      </c>
      <c r="I165" s="130">
        <f>G165+H165</f>
        <v/>
      </c>
      <c r="J165" s="129">
        <f>IFERROR(I165/COUNTIFS('Client DB &amp; Bed Mgmt'!$A:$A,A165,'Client DB &amp; Bed Mgmt'!$B:$B,C165,'Client DB &amp; Bed Mgmt'!$D:$D,"&lt;&gt;"),0)</f>
        <v/>
      </c>
      <c r="K165" s="103" t="inlineStr">
        <is>
          <t>Dorm 3</t>
        </is>
      </c>
      <c r="L165" s="103" t="inlineStr">
        <is>
          <t>Room 3-4</t>
        </is>
      </c>
      <c r="M165" s="103">
        <f>COUNTIFS('Client DB &amp; Bed Mgmt'!$A:$A,$K165,'Client DB &amp; Bed Mgmt'!$B:$B,$L165,'Client DB &amp; Bed Mgmt'!$D:$D,"&lt;&gt;")</f>
        <v/>
      </c>
      <c r="N165" s="126" t="n"/>
      <c r="O165" s="126" t="n"/>
      <c r="P165" s="127">
        <f>IF(N165="","",MAX(N165-O165,0))</f>
        <v/>
      </c>
      <c r="Q165" s="130">
        <f>IF(O165="","",O165*GeneratorRate)</f>
        <v/>
      </c>
      <c r="R165" s="130">
        <f>IF(P165="","",P165*GovernmentRate)</f>
        <v/>
      </c>
      <c r="S165" s="130">
        <f>IF(N165="","",Q165+R165)</f>
        <v/>
      </c>
      <c r="T165" s="130">
        <f>IF(M165=0,0,S165/M165)</f>
        <v/>
      </c>
      <c r="U165" s="176" t="n"/>
      <c r="V165" s="129" t="n"/>
      <c r="W165" s="127" t="n"/>
      <c r="X165" s="130" t="n"/>
      <c r="Y165" s="178" t="n"/>
      <c r="Z165" s="129" t="n"/>
      <c r="AA165" s="129" t="n"/>
      <c r="AB165" s="176" t="n"/>
      <c r="AC165" s="129" t="n"/>
      <c r="AD165" s="176" t="n"/>
      <c r="AE165" s="129" t="n"/>
    </row>
    <row r="166" hidden="1" ht="14.25" customHeight="1" s="83">
      <c r="A166" s="103" t="inlineStr">
        <is>
          <t>Dorm 3</t>
        </is>
      </c>
      <c r="B166" s="177" t="n">
        <v>46082</v>
      </c>
      <c r="C166" s="103" t="inlineStr">
        <is>
          <t>Room 3-5</t>
        </is>
      </c>
      <c r="D166" s="126" t="n">
        <v>0</v>
      </c>
      <c r="E166" s="126" t="n">
        <v>0</v>
      </c>
      <c r="F166" s="127">
        <f>MAX(D166-E166,0)</f>
        <v/>
      </c>
      <c r="G166" s="130">
        <f>E166*GeneratorRate</f>
        <v/>
      </c>
      <c r="H166" s="130">
        <f>F166*GovernmentRate</f>
        <v/>
      </c>
      <c r="I166" s="130">
        <f>G166+H166</f>
        <v/>
      </c>
      <c r="J166" s="129">
        <f>IFERROR(I166/COUNTIFS('Client DB &amp; Bed Mgmt'!$A:$A,A166,'Client DB &amp; Bed Mgmt'!$B:$B,C166,'Client DB &amp; Bed Mgmt'!$D:$D,"&lt;&gt;"),0)</f>
        <v/>
      </c>
      <c r="K166" s="103" t="inlineStr">
        <is>
          <t>Dorm 3</t>
        </is>
      </c>
      <c r="L166" s="103" t="inlineStr">
        <is>
          <t>Room 3-5</t>
        </is>
      </c>
      <c r="M166" s="103">
        <f>COUNTIFS('Client DB &amp; Bed Mgmt'!$A:$A,$K166,'Client DB &amp; Bed Mgmt'!$B:$B,$L166,'Client DB &amp; Bed Mgmt'!$D:$D,"&lt;&gt;")</f>
        <v/>
      </c>
      <c r="N166" s="126" t="n"/>
      <c r="O166" s="126" t="n"/>
      <c r="P166" s="127">
        <f>IF(N166="","",MAX(N166-O166,0))</f>
        <v/>
      </c>
      <c r="Q166" s="130">
        <f>IF(O166="","",O166*GeneratorRate)</f>
        <v/>
      </c>
      <c r="R166" s="130">
        <f>IF(P166="","",P166*GovernmentRate)</f>
        <v/>
      </c>
      <c r="S166" s="130">
        <f>IF(N166="","",Q166+R166)</f>
        <v/>
      </c>
      <c r="T166" s="130">
        <f>IF(M166=0,0,S166/M166)</f>
        <v/>
      </c>
      <c r="U166" s="176" t="n"/>
      <c r="V166" s="129" t="n"/>
      <c r="W166" s="127" t="n"/>
      <c r="X166" s="130" t="n"/>
      <c r="Y166" s="178" t="n"/>
      <c r="Z166" s="129" t="n"/>
      <c r="AA166" s="129" t="n"/>
      <c r="AB166" s="176" t="n"/>
      <c r="AC166" s="129" t="n"/>
      <c r="AD166" s="176" t="n"/>
      <c r="AE166" s="129" t="n"/>
    </row>
    <row r="167" hidden="1" ht="14.25" customHeight="1" s="83">
      <c r="A167" s="103" t="inlineStr">
        <is>
          <t>Dorm 3</t>
        </is>
      </c>
      <c r="B167" s="177" t="n">
        <v>46082</v>
      </c>
      <c r="C167" s="103" t="inlineStr">
        <is>
          <t>Room 3-6</t>
        </is>
      </c>
      <c r="D167" s="126" t="n">
        <v>0</v>
      </c>
      <c r="E167" s="126" t="n">
        <v>0</v>
      </c>
      <c r="F167" s="127">
        <f>MAX(D167-E167,0)</f>
        <v/>
      </c>
      <c r="G167" s="130">
        <f>E167*GeneratorRate</f>
        <v/>
      </c>
      <c r="H167" s="130">
        <f>F167*GovernmentRate</f>
        <v/>
      </c>
      <c r="I167" s="130">
        <f>G167+H167</f>
        <v/>
      </c>
      <c r="J167" s="129">
        <f>IFERROR(I167/COUNTIFS('Client DB &amp; Bed Mgmt'!$A:$A,A167,'Client DB &amp; Bed Mgmt'!$B:$B,C167,'Client DB &amp; Bed Mgmt'!$D:$D,"&lt;&gt;"),0)</f>
        <v/>
      </c>
      <c r="K167" s="103" t="inlineStr">
        <is>
          <t>Dorm 3</t>
        </is>
      </c>
      <c r="L167" s="103" t="inlineStr">
        <is>
          <t>Room 3-6</t>
        </is>
      </c>
      <c r="M167" s="103">
        <f>COUNTIFS('Client DB &amp; Bed Mgmt'!$A:$A,$K167,'Client DB &amp; Bed Mgmt'!$B:$B,$L167,'Client DB &amp; Bed Mgmt'!$D:$D,"&lt;&gt;")</f>
        <v/>
      </c>
      <c r="N167" s="126" t="n"/>
      <c r="O167" s="126" t="n"/>
      <c r="P167" s="127">
        <f>IF(N167="","",MAX(N167-O167,0))</f>
        <v/>
      </c>
      <c r="Q167" s="130">
        <f>IF(O167="","",O167*GeneratorRate)</f>
        <v/>
      </c>
      <c r="R167" s="130">
        <f>IF(P167="","",P167*GovernmentRate)</f>
        <v/>
      </c>
      <c r="S167" s="130">
        <f>IF(N167="","",Q167+R167)</f>
        <v/>
      </c>
      <c r="T167" s="130">
        <f>IF(M167=0,0,S167/M167)</f>
        <v/>
      </c>
      <c r="U167" s="176" t="n"/>
      <c r="V167" s="129" t="n"/>
      <c r="W167" s="127" t="n"/>
      <c r="X167" s="130" t="n"/>
      <c r="Y167" s="178" t="n"/>
      <c r="Z167" s="129" t="n"/>
      <c r="AA167" s="129" t="n"/>
      <c r="AB167" s="176" t="n"/>
      <c r="AC167" s="129" t="n"/>
      <c r="AD167" s="176" t="n"/>
      <c r="AE167" s="129" t="n"/>
    </row>
    <row r="168" hidden="1" ht="14.25" customHeight="1" s="83">
      <c r="A168" s="103" t="inlineStr">
        <is>
          <t>Dorm 3</t>
        </is>
      </c>
      <c r="B168" s="177" t="n">
        <v>46113</v>
      </c>
      <c r="C168" s="103" t="inlineStr">
        <is>
          <t xml:space="preserve">Room 3-1 </t>
        </is>
      </c>
      <c r="D168" s="126" t="n">
        <v>0</v>
      </c>
      <c r="E168" s="126" t="n">
        <v>0</v>
      </c>
      <c r="F168" s="127">
        <f>MAX(D168-E168,0)</f>
        <v/>
      </c>
      <c r="G168" s="130">
        <f>E168*GeneratorRate</f>
        <v/>
      </c>
      <c r="H168" s="130">
        <f>F168*GovernmentRate</f>
        <v/>
      </c>
      <c r="I168" s="130">
        <f>G168+H168</f>
        <v/>
      </c>
      <c r="J168" s="129">
        <f>IFERROR(I168/COUNTIFS('Client DB &amp; Bed Mgmt'!$A:$A,A168,'Client DB &amp; Bed Mgmt'!$B:$B,C168,'Client DB &amp; Bed Mgmt'!$D:$D,"&lt;&gt;"),0)</f>
        <v/>
      </c>
      <c r="K168" s="103" t="inlineStr">
        <is>
          <t>Dorm 3</t>
        </is>
      </c>
      <c r="L168" s="103" t="inlineStr">
        <is>
          <t xml:space="preserve">Room 3-1 </t>
        </is>
      </c>
      <c r="M168" s="103">
        <f>COUNTIFS('Client DB &amp; Bed Mgmt'!$A:$A,$K168,'Client DB &amp; Bed Mgmt'!$B:$B,$L168,'Client DB &amp; Bed Mgmt'!$D:$D,"&lt;&gt;")</f>
        <v/>
      </c>
      <c r="N168" s="126" t="n"/>
      <c r="O168" s="126" t="n"/>
      <c r="P168" s="127">
        <f>IF(N168="","",MAX(N168-O168,0))</f>
        <v/>
      </c>
      <c r="Q168" s="130">
        <f>IF(O168="","",O168*GeneratorRate)</f>
        <v/>
      </c>
      <c r="R168" s="130">
        <f>IF(P168="","",P168*GovernmentRate)</f>
        <v/>
      </c>
      <c r="S168" s="130">
        <f>IF(N168="","",Q168+R168)</f>
        <v/>
      </c>
      <c r="T168" s="130">
        <f>IF(M168=0,0,S168/M168)</f>
        <v/>
      </c>
      <c r="U168" s="176" t="n"/>
      <c r="V168" s="129" t="n"/>
      <c r="W168" s="127" t="n"/>
      <c r="X168" s="130" t="n"/>
      <c r="Y168" s="178" t="n"/>
      <c r="Z168" s="129" t="n"/>
      <c r="AA168" s="129" t="n"/>
      <c r="AB168" s="176" t="n"/>
      <c r="AC168" s="129" t="n"/>
      <c r="AD168" s="176" t="n"/>
      <c r="AE168" s="129" t="n"/>
    </row>
    <row r="169" hidden="1" ht="14.25" customHeight="1" s="83">
      <c r="A169" s="103" t="inlineStr">
        <is>
          <t>Dorm 3</t>
        </is>
      </c>
      <c r="B169" s="177" t="n">
        <v>46113</v>
      </c>
      <c r="C169" s="103" t="inlineStr">
        <is>
          <t>Room 3-2</t>
        </is>
      </c>
      <c r="D169" s="126" t="n">
        <v>0</v>
      </c>
      <c r="E169" s="126" t="n">
        <v>0</v>
      </c>
      <c r="F169" s="127">
        <f>MAX(D169-E169,0)</f>
        <v/>
      </c>
      <c r="G169" s="130">
        <f>E169*GeneratorRate</f>
        <v/>
      </c>
      <c r="H169" s="130">
        <f>F169*GovernmentRate</f>
        <v/>
      </c>
      <c r="I169" s="130">
        <f>G169+H169</f>
        <v/>
      </c>
      <c r="J169" s="129">
        <f>IFERROR(I169/COUNTIFS('Client DB &amp; Bed Mgmt'!$A:$A,A169,'Client DB &amp; Bed Mgmt'!$B:$B,C169,'Client DB &amp; Bed Mgmt'!$D:$D,"&lt;&gt;"),0)</f>
        <v/>
      </c>
      <c r="K169" s="103" t="inlineStr">
        <is>
          <t>Dorm 3</t>
        </is>
      </c>
      <c r="L169" s="103" t="inlineStr">
        <is>
          <t>Room 3-2</t>
        </is>
      </c>
      <c r="M169" s="103">
        <f>COUNTIFS('Client DB &amp; Bed Mgmt'!$A:$A,$K169,'Client DB &amp; Bed Mgmt'!$B:$B,$L169,'Client DB &amp; Bed Mgmt'!$D:$D,"&lt;&gt;")</f>
        <v/>
      </c>
      <c r="N169" s="126" t="n"/>
      <c r="O169" s="126" t="n"/>
      <c r="P169" s="127">
        <f>IF(N169="","",MAX(N169-O169,0))</f>
        <v/>
      </c>
      <c r="Q169" s="130">
        <f>IF(O169="","",O169*GeneratorRate)</f>
        <v/>
      </c>
      <c r="R169" s="130">
        <f>IF(P169="","",P169*GovernmentRate)</f>
        <v/>
      </c>
      <c r="S169" s="130">
        <f>IF(N169="","",Q169+R169)</f>
        <v/>
      </c>
      <c r="T169" s="130">
        <f>IF(M169=0,0,S169/M169)</f>
        <v/>
      </c>
      <c r="U169" s="176" t="n"/>
      <c r="V169" s="129" t="n"/>
      <c r="W169" s="127" t="n"/>
      <c r="X169" s="130" t="n"/>
      <c r="Y169" s="178" t="n"/>
      <c r="Z169" s="129" t="n"/>
      <c r="AA169" s="129" t="n"/>
      <c r="AB169" s="176" t="n"/>
      <c r="AC169" s="129" t="n"/>
      <c r="AD169" s="176" t="n"/>
      <c r="AE169" s="129" t="n"/>
    </row>
    <row r="170" hidden="1" ht="14.25" customHeight="1" s="83">
      <c r="A170" s="103" t="inlineStr">
        <is>
          <t>Dorm 3</t>
        </is>
      </c>
      <c r="B170" s="177" t="n">
        <v>46113</v>
      </c>
      <c r="C170" s="103" t="inlineStr">
        <is>
          <t>Room 3-3</t>
        </is>
      </c>
      <c r="D170" s="126" t="n">
        <v>0</v>
      </c>
      <c r="E170" s="126" t="n">
        <v>0</v>
      </c>
      <c r="F170" s="127">
        <f>MAX(D170-E170,0)</f>
        <v/>
      </c>
      <c r="G170" s="130">
        <f>E170*GeneratorRate</f>
        <v/>
      </c>
      <c r="H170" s="130">
        <f>F170*GovernmentRate</f>
        <v/>
      </c>
      <c r="I170" s="130">
        <f>G170+H170</f>
        <v/>
      </c>
      <c r="J170" s="129">
        <f>IFERROR(I170/COUNTIFS('Client DB &amp; Bed Mgmt'!$A:$A,A170,'Client DB &amp; Bed Mgmt'!$B:$B,C170,'Client DB &amp; Bed Mgmt'!$D:$D,"&lt;&gt;"),0)</f>
        <v/>
      </c>
      <c r="K170" s="103" t="inlineStr">
        <is>
          <t>Dorm 3</t>
        </is>
      </c>
      <c r="L170" s="103" t="inlineStr">
        <is>
          <t>Room 3-3</t>
        </is>
      </c>
      <c r="M170" s="103">
        <f>COUNTIFS('Client DB &amp; Bed Mgmt'!$A:$A,$K170,'Client DB &amp; Bed Mgmt'!$B:$B,$L170,'Client DB &amp; Bed Mgmt'!$D:$D,"&lt;&gt;")</f>
        <v/>
      </c>
      <c r="N170" s="126" t="n"/>
      <c r="O170" s="126" t="n"/>
      <c r="P170" s="127">
        <f>IF(N170="","",MAX(N170-O170,0))</f>
        <v/>
      </c>
      <c r="Q170" s="130">
        <f>IF(O170="","",O170*GeneratorRate)</f>
        <v/>
      </c>
      <c r="R170" s="130">
        <f>IF(P170="","",P170*GovernmentRate)</f>
        <v/>
      </c>
      <c r="S170" s="130">
        <f>IF(N170="","",Q170+R170)</f>
        <v/>
      </c>
      <c r="T170" s="130">
        <f>IF(M170=0,0,S170/M170)</f>
        <v/>
      </c>
      <c r="U170" s="176" t="n"/>
      <c r="V170" s="129" t="n"/>
      <c r="W170" s="127" t="n"/>
      <c r="X170" s="130" t="n"/>
      <c r="Y170" s="178" t="n"/>
      <c r="Z170" s="129" t="n"/>
      <c r="AA170" s="129" t="n"/>
      <c r="AB170" s="176" t="n"/>
      <c r="AC170" s="129" t="n"/>
      <c r="AD170" s="176" t="n"/>
      <c r="AE170" s="129" t="n"/>
    </row>
    <row r="171" hidden="1" ht="14.25" customHeight="1" s="83">
      <c r="A171" s="103" t="inlineStr">
        <is>
          <t>Dorm 3</t>
        </is>
      </c>
      <c r="B171" s="177" t="n">
        <v>46113</v>
      </c>
      <c r="C171" s="103" t="inlineStr">
        <is>
          <t xml:space="preserve">Room 3-4 </t>
        </is>
      </c>
      <c r="D171" s="126" t="n">
        <v>0</v>
      </c>
      <c r="E171" s="126" t="n">
        <v>0</v>
      </c>
      <c r="F171" s="127">
        <f>MAX(D171-E171,0)</f>
        <v/>
      </c>
      <c r="G171" s="130">
        <f>E171*GeneratorRate</f>
        <v/>
      </c>
      <c r="H171" s="130">
        <f>F171*GovernmentRate</f>
        <v/>
      </c>
      <c r="I171" s="130">
        <f>G171+H171</f>
        <v/>
      </c>
      <c r="J171" s="129">
        <f>IFERROR(I171/COUNTIFS('Client DB &amp; Bed Mgmt'!$A:$A,A171,'Client DB &amp; Bed Mgmt'!$B:$B,C171,'Client DB &amp; Bed Mgmt'!$D:$D,"&lt;&gt;"),0)</f>
        <v/>
      </c>
      <c r="K171" s="103" t="inlineStr">
        <is>
          <t>Dorm 3</t>
        </is>
      </c>
      <c r="L171" s="103" t="inlineStr">
        <is>
          <t xml:space="preserve">Room 3-4 </t>
        </is>
      </c>
      <c r="M171" s="103">
        <f>COUNTIFS('Client DB &amp; Bed Mgmt'!$A:$A,$K171,'Client DB &amp; Bed Mgmt'!$B:$B,$L171,'Client DB &amp; Bed Mgmt'!$D:$D,"&lt;&gt;")</f>
        <v/>
      </c>
      <c r="N171" s="126" t="n"/>
      <c r="O171" s="126" t="n"/>
      <c r="P171" s="127">
        <f>IF(N171="","",MAX(N171-O171,0))</f>
        <v/>
      </c>
      <c r="Q171" s="130">
        <f>IF(O171="","",O171*GeneratorRate)</f>
        <v/>
      </c>
      <c r="R171" s="130">
        <f>IF(P171="","",P171*GovernmentRate)</f>
        <v/>
      </c>
      <c r="S171" s="130">
        <f>IF(N171="","",Q171+R171)</f>
        <v/>
      </c>
      <c r="T171" s="130">
        <f>IF(M171=0,0,S171/M171)</f>
        <v/>
      </c>
      <c r="U171" s="176" t="n"/>
      <c r="V171" s="129" t="n"/>
      <c r="W171" s="127" t="n"/>
      <c r="X171" s="130" t="n"/>
      <c r="Y171" s="178" t="n"/>
      <c r="Z171" s="129" t="n"/>
      <c r="AA171" s="129" t="n"/>
      <c r="AB171" s="176" t="n"/>
      <c r="AC171" s="129" t="n"/>
      <c r="AD171" s="176" t="n"/>
      <c r="AE171" s="129" t="n"/>
    </row>
    <row r="172" hidden="1" ht="14.25" customHeight="1" s="83">
      <c r="A172" s="103" t="inlineStr">
        <is>
          <t>Dorm 3</t>
        </is>
      </c>
      <c r="B172" s="177" t="n">
        <v>46113</v>
      </c>
      <c r="C172" s="103" t="inlineStr">
        <is>
          <t>Room 3-5</t>
        </is>
      </c>
      <c r="D172" s="126" t="n">
        <v>0</v>
      </c>
      <c r="E172" s="126" t="n">
        <v>0</v>
      </c>
      <c r="F172" s="127">
        <f>MAX(D172-E172,0)</f>
        <v/>
      </c>
      <c r="G172" s="130">
        <f>E172*GeneratorRate</f>
        <v/>
      </c>
      <c r="H172" s="130">
        <f>F172*GovernmentRate</f>
        <v/>
      </c>
      <c r="I172" s="130">
        <f>G172+H172</f>
        <v/>
      </c>
      <c r="J172" s="129">
        <f>IFERROR(I172/COUNTIFS('Client DB &amp; Bed Mgmt'!$A:$A,A172,'Client DB &amp; Bed Mgmt'!$B:$B,C172,'Client DB &amp; Bed Mgmt'!$D:$D,"&lt;&gt;"),0)</f>
        <v/>
      </c>
      <c r="K172" s="103" t="inlineStr">
        <is>
          <t>Dorm 3</t>
        </is>
      </c>
      <c r="L172" s="103" t="inlineStr">
        <is>
          <t>Room 3-5</t>
        </is>
      </c>
      <c r="M172" s="103">
        <f>COUNTIFS('Client DB &amp; Bed Mgmt'!$A:$A,$K172,'Client DB &amp; Bed Mgmt'!$B:$B,$L172,'Client DB &amp; Bed Mgmt'!$D:$D,"&lt;&gt;")</f>
        <v/>
      </c>
      <c r="N172" s="126" t="n"/>
      <c r="O172" s="126" t="n"/>
      <c r="P172" s="127">
        <f>IF(N172="","",MAX(N172-O172,0))</f>
        <v/>
      </c>
      <c r="Q172" s="130">
        <f>IF(O172="","",O172*GeneratorRate)</f>
        <v/>
      </c>
      <c r="R172" s="130">
        <f>IF(P172="","",P172*GovernmentRate)</f>
        <v/>
      </c>
      <c r="S172" s="130">
        <f>IF(N172="","",Q172+R172)</f>
        <v/>
      </c>
      <c r="T172" s="130">
        <f>IF(M172=0,0,S172/M172)</f>
        <v/>
      </c>
      <c r="U172" s="176" t="n"/>
      <c r="V172" s="129" t="n"/>
      <c r="W172" s="127" t="n"/>
      <c r="X172" s="130" t="n"/>
      <c r="Y172" s="178" t="n"/>
      <c r="Z172" s="129" t="n"/>
      <c r="AA172" s="129" t="n"/>
      <c r="AB172" s="176" t="n"/>
      <c r="AC172" s="129" t="n"/>
      <c r="AD172" s="176" t="n"/>
      <c r="AE172" s="129" t="n"/>
    </row>
    <row r="173" hidden="1" ht="14.25" customHeight="1" s="83">
      <c r="A173" s="103" t="inlineStr">
        <is>
          <t>Dorm 3</t>
        </is>
      </c>
      <c r="B173" s="177" t="n">
        <v>46113</v>
      </c>
      <c r="C173" s="103" t="inlineStr">
        <is>
          <t>Room 3-6</t>
        </is>
      </c>
      <c r="D173" s="126" t="n">
        <v>0</v>
      </c>
      <c r="E173" s="126" t="n">
        <v>0</v>
      </c>
      <c r="F173" s="127">
        <f>MAX(D173-E173,0)</f>
        <v/>
      </c>
      <c r="G173" s="130">
        <f>E173*GeneratorRate</f>
        <v/>
      </c>
      <c r="H173" s="130">
        <f>F173*GovernmentRate</f>
        <v/>
      </c>
      <c r="I173" s="130">
        <f>G173+H173</f>
        <v/>
      </c>
      <c r="J173" s="129">
        <f>IFERROR(I173/COUNTIFS('Client DB &amp; Bed Mgmt'!$A:$A,A173,'Client DB &amp; Bed Mgmt'!$B:$B,C173,'Client DB &amp; Bed Mgmt'!$D:$D,"&lt;&gt;"),0)</f>
        <v/>
      </c>
      <c r="K173" s="103" t="inlineStr">
        <is>
          <t>Dorm 3</t>
        </is>
      </c>
      <c r="L173" s="103" t="inlineStr">
        <is>
          <t>Room 3-6</t>
        </is>
      </c>
      <c r="M173" s="103">
        <f>COUNTIFS('Client DB &amp; Bed Mgmt'!$A:$A,$K173,'Client DB &amp; Bed Mgmt'!$B:$B,$L173,'Client DB &amp; Bed Mgmt'!$D:$D,"&lt;&gt;")</f>
        <v/>
      </c>
      <c r="N173" s="126" t="n"/>
      <c r="O173" s="126" t="n"/>
      <c r="P173" s="127">
        <f>IF(N173="","",MAX(N173-O173,0))</f>
        <v/>
      </c>
      <c r="Q173" s="130">
        <f>IF(O173="","",O173*GeneratorRate)</f>
        <v/>
      </c>
      <c r="R173" s="130">
        <f>IF(P173="","",P173*GovernmentRate)</f>
        <v/>
      </c>
      <c r="S173" s="130">
        <f>IF(N173="","",Q173+R173)</f>
        <v/>
      </c>
      <c r="T173" s="130">
        <f>IF(M173=0,0,S173/M173)</f>
        <v/>
      </c>
      <c r="U173" s="176" t="n"/>
      <c r="V173" s="129" t="n"/>
      <c r="W173" s="127" t="n"/>
      <c r="X173" s="130" t="n"/>
      <c r="Y173" s="178" t="n"/>
      <c r="Z173" s="129" t="n"/>
      <c r="AA173" s="129" t="n"/>
      <c r="AB173" s="176" t="n"/>
      <c r="AC173" s="129" t="n"/>
      <c r="AD173" s="176" t="n"/>
      <c r="AE173" s="129" t="n"/>
    </row>
    <row r="174" hidden="1" ht="14.25" customHeight="1" s="83">
      <c r="A174" s="103" t="inlineStr">
        <is>
          <t>Dorm 3</t>
        </is>
      </c>
      <c r="B174" s="177" t="n">
        <v>46143</v>
      </c>
      <c r="C174" s="103" t="inlineStr">
        <is>
          <t>Room 3-1</t>
        </is>
      </c>
      <c r="D174" s="126" t="n">
        <v>0</v>
      </c>
      <c r="E174" s="126" t="n">
        <v>0</v>
      </c>
      <c r="F174" s="127">
        <f>MAX(D174-E174,0)</f>
        <v/>
      </c>
      <c r="G174" s="130">
        <f>E174*GeneratorRate</f>
        <v/>
      </c>
      <c r="H174" s="130">
        <f>F174*GovernmentRate</f>
        <v/>
      </c>
      <c r="I174" s="130">
        <f>G174+H174</f>
        <v/>
      </c>
      <c r="J174" s="129">
        <f>IFERROR(I174/COUNTIFS('Client DB &amp; Bed Mgmt'!$A:$A,A174,'Client DB &amp; Bed Mgmt'!$B:$B,C174,'Client DB &amp; Bed Mgmt'!$D:$D,"&lt;&gt;"),0)</f>
        <v/>
      </c>
      <c r="K174" s="103" t="inlineStr">
        <is>
          <t>Dorm 3</t>
        </is>
      </c>
      <c r="L174" s="103" t="inlineStr">
        <is>
          <t>Room 3-1</t>
        </is>
      </c>
      <c r="M174" s="103">
        <f>COUNTIFS('Client DB &amp; Bed Mgmt'!$A:$A,$K174,'Client DB &amp; Bed Mgmt'!$B:$B,$L174,'Client DB &amp; Bed Mgmt'!$D:$D,"&lt;&gt;")</f>
        <v/>
      </c>
      <c r="N174" s="126" t="n"/>
      <c r="O174" s="126" t="n"/>
      <c r="P174" s="127">
        <f>IF(N174="","",MAX(N174-O174,0))</f>
        <v/>
      </c>
      <c r="Q174" s="130">
        <f>IF(O174="","",O174*GeneratorRate)</f>
        <v/>
      </c>
      <c r="R174" s="130">
        <f>IF(P174="","",P174*GovernmentRate)</f>
        <v/>
      </c>
      <c r="S174" s="130">
        <f>IF(N174="","",Q174+R174)</f>
        <v/>
      </c>
      <c r="T174" s="130">
        <f>IF(M174=0,0,S174/M174)</f>
        <v/>
      </c>
      <c r="U174" s="176" t="n"/>
      <c r="V174" s="129" t="n"/>
      <c r="W174" s="127" t="n"/>
      <c r="X174" s="130" t="n"/>
      <c r="Y174" s="178" t="n"/>
      <c r="Z174" s="129" t="n"/>
      <c r="AA174" s="129" t="n"/>
      <c r="AB174" s="176" t="n"/>
      <c r="AC174" s="129" t="n"/>
      <c r="AD174" s="176" t="n"/>
      <c r="AE174" s="129" t="n"/>
    </row>
    <row r="175" hidden="1" ht="14.25" customHeight="1" s="83">
      <c r="A175" s="103" t="inlineStr">
        <is>
          <t>Dorm 3</t>
        </is>
      </c>
      <c r="B175" s="177" t="n">
        <v>46143</v>
      </c>
      <c r="C175" s="103" t="inlineStr">
        <is>
          <t>Room 3-2</t>
        </is>
      </c>
      <c r="D175" s="126" t="n">
        <v>0</v>
      </c>
      <c r="E175" s="126" t="n">
        <v>0</v>
      </c>
      <c r="F175" s="127">
        <f>MAX(D175-E175,0)</f>
        <v/>
      </c>
      <c r="G175" s="130">
        <f>E175*GeneratorRate</f>
        <v/>
      </c>
      <c r="H175" s="130">
        <f>F175*GovernmentRate</f>
        <v/>
      </c>
      <c r="I175" s="130">
        <f>G175+H175</f>
        <v/>
      </c>
      <c r="J175" s="129">
        <f>IFERROR(I175/COUNTIFS('Client DB &amp; Bed Mgmt'!$A:$A,A175,'Client DB &amp; Bed Mgmt'!$B:$B,C175,'Client DB &amp; Bed Mgmt'!$D:$D,"&lt;&gt;"),0)</f>
        <v/>
      </c>
      <c r="K175" s="103" t="inlineStr">
        <is>
          <t>Dorm 3</t>
        </is>
      </c>
      <c r="L175" s="103" t="inlineStr">
        <is>
          <t>Room 3-2</t>
        </is>
      </c>
      <c r="M175" s="103">
        <f>COUNTIFS('Client DB &amp; Bed Mgmt'!$A:$A,$K175,'Client DB &amp; Bed Mgmt'!$B:$B,$L175,'Client DB &amp; Bed Mgmt'!$D:$D,"&lt;&gt;")</f>
        <v/>
      </c>
      <c r="N175" s="126" t="n"/>
      <c r="O175" s="126" t="n"/>
      <c r="P175" s="127">
        <f>IF(N175="","",MAX(N175-O175,0))</f>
        <v/>
      </c>
      <c r="Q175" s="130">
        <f>IF(O175="","",O175*GeneratorRate)</f>
        <v/>
      </c>
      <c r="R175" s="130">
        <f>IF(P175="","",P175*GovernmentRate)</f>
        <v/>
      </c>
      <c r="S175" s="130">
        <f>IF(N175="","",Q175+R175)</f>
        <v/>
      </c>
      <c r="T175" s="130">
        <f>IF(M175=0,0,S175/M175)</f>
        <v/>
      </c>
      <c r="U175" s="176" t="n"/>
      <c r="V175" s="129" t="n"/>
      <c r="W175" s="127" t="n"/>
      <c r="X175" s="130" t="n"/>
      <c r="Y175" s="178" t="n"/>
      <c r="Z175" s="129" t="n"/>
      <c r="AA175" s="129" t="n"/>
      <c r="AB175" s="176" t="n"/>
      <c r="AC175" s="129" t="n"/>
      <c r="AD175" s="176" t="n"/>
      <c r="AE175" s="129" t="n"/>
    </row>
    <row r="176" hidden="1" ht="14.25" customHeight="1" s="83">
      <c r="A176" s="103" t="inlineStr">
        <is>
          <t>Dorm 3</t>
        </is>
      </c>
      <c r="B176" s="177" t="n">
        <v>46143</v>
      </c>
      <c r="C176" s="103" t="inlineStr">
        <is>
          <t>Room 3-3</t>
        </is>
      </c>
      <c r="D176" s="126" t="n">
        <v>0</v>
      </c>
      <c r="E176" s="126" t="n">
        <v>0</v>
      </c>
      <c r="F176" s="127">
        <f>MAX(D176-E176,0)</f>
        <v/>
      </c>
      <c r="G176" s="130">
        <f>E176*GeneratorRate</f>
        <v/>
      </c>
      <c r="H176" s="130">
        <f>F176*GovernmentRate</f>
        <v/>
      </c>
      <c r="I176" s="130">
        <f>G176+H176</f>
        <v/>
      </c>
      <c r="J176" s="129">
        <f>IFERROR(I176/COUNTIFS('Client DB &amp; Bed Mgmt'!$A:$A,A176,'Client DB &amp; Bed Mgmt'!$B:$B,C176,'Client DB &amp; Bed Mgmt'!$D:$D,"&lt;&gt;"),0)</f>
        <v/>
      </c>
      <c r="K176" s="103" t="inlineStr">
        <is>
          <t>Dorm 3</t>
        </is>
      </c>
      <c r="L176" s="103" t="inlineStr">
        <is>
          <t>Room 3-3</t>
        </is>
      </c>
      <c r="M176" s="103">
        <f>COUNTIFS('Client DB &amp; Bed Mgmt'!$A:$A,$K176,'Client DB &amp; Bed Mgmt'!$B:$B,$L176,'Client DB &amp; Bed Mgmt'!$D:$D,"&lt;&gt;")</f>
        <v/>
      </c>
      <c r="N176" s="126" t="n"/>
      <c r="O176" s="126" t="n"/>
      <c r="P176" s="127">
        <f>IF(N176="","",MAX(N176-O176,0))</f>
        <v/>
      </c>
      <c r="Q176" s="130">
        <f>IF(O176="","",O176*GeneratorRate)</f>
        <v/>
      </c>
      <c r="R176" s="130">
        <f>IF(P176="","",P176*GovernmentRate)</f>
        <v/>
      </c>
      <c r="S176" s="130">
        <f>IF(N176="","",Q176+R176)</f>
        <v/>
      </c>
      <c r="T176" s="130">
        <f>IF(M176=0,0,S176/M176)</f>
        <v/>
      </c>
      <c r="U176" s="176" t="n"/>
      <c r="V176" s="129" t="n"/>
      <c r="W176" s="127" t="n"/>
      <c r="X176" s="130" t="n"/>
      <c r="Y176" s="178" t="n"/>
      <c r="Z176" s="129" t="n"/>
      <c r="AA176" s="129" t="n"/>
      <c r="AB176" s="176" t="n"/>
      <c r="AC176" s="129" t="n"/>
      <c r="AD176" s="176" t="n"/>
      <c r="AE176" s="129" t="n"/>
    </row>
    <row r="177" hidden="1" ht="14.25" customHeight="1" s="83">
      <c r="A177" s="103" t="inlineStr">
        <is>
          <t>Dorm 3</t>
        </is>
      </c>
      <c r="B177" s="177" t="n">
        <v>46143</v>
      </c>
      <c r="C177" s="103" t="inlineStr">
        <is>
          <t>Room 3-4</t>
        </is>
      </c>
      <c r="D177" s="126" t="n">
        <v>0</v>
      </c>
      <c r="E177" s="126" t="n">
        <v>0</v>
      </c>
      <c r="F177" s="127">
        <f>MAX(D177-E177,0)</f>
        <v/>
      </c>
      <c r="G177" s="130">
        <f>E177*GeneratorRate</f>
        <v/>
      </c>
      <c r="H177" s="130">
        <f>F177*GovernmentRate</f>
        <v/>
      </c>
      <c r="I177" s="130">
        <f>G177+H177</f>
        <v/>
      </c>
      <c r="J177" s="129">
        <f>IFERROR(I177/COUNTIFS('Client DB &amp; Bed Mgmt'!$A:$A,A177,'Client DB &amp; Bed Mgmt'!$B:$B,C177,'Client DB &amp; Bed Mgmt'!$D:$D,"&lt;&gt;"),0)</f>
        <v/>
      </c>
      <c r="K177" s="103" t="inlineStr">
        <is>
          <t>Dorm 3</t>
        </is>
      </c>
      <c r="L177" s="103" t="inlineStr">
        <is>
          <t>Room 3-4</t>
        </is>
      </c>
      <c r="M177" s="103">
        <f>COUNTIFS('Client DB &amp; Bed Mgmt'!$A:$A,$K177,'Client DB &amp; Bed Mgmt'!$B:$B,$L177,'Client DB &amp; Bed Mgmt'!$D:$D,"&lt;&gt;")</f>
        <v/>
      </c>
      <c r="N177" s="126" t="n"/>
      <c r="O177" s="126" t="n"/>
      <c r="P177" s="127">
        <f>IF(N177="","",MAX(N177-O177,0))</f>
        <v/>
      </c>
      <c r="Q177" s="130">
        <f>IF(O177="","",O177*GeneratorRate)</f>
        <v/>
      </c>
      <c r="R177" s="130">
        <f>IF(P177="","",P177*GovernmentRate)</f>
        <v/>
      </c>
      <c r="S177" s="130">
        <f>IF(N177="","",Q177+R177)</f>
        <v/>
      </c>
      <c r="T177" s="130">
        <f>IF(M177=0,0,S177/M177)</f>
        <v/>
      </c>
      <c r="U177" s="176" t="n"/>
      <c r="V177" s="129" t="n"/>
      <c r="W177" s="127" t="n"/>
      <c r="X177" s="130" t="n"/>
      <c r="Y177" s="178" t="n"/>
      <c r="Z177" s="129" t="n"/>
      <c r="AA177" s="129" t="n"/>
      <c r="AB177" s="176" t="n"/>
      <c r="AC177" s="129" t="n"/>
      <c r="AD177" s="176" t="n"/>
      <c r="AE177" s="129" t="n"/>
    </row>
    <row r="178" hidden="1" ht="14.25" customHeight="1" s="83">
      <c r="A178" s="103" t="inlineStr">
        <is>
          <t>Dorm 3</t>
        </is>
      </c>
      <c r="B178" s="177" t="n">
        <v>46143</v>
      </c>
      <c r="C178" s="103" t="inlineStr">
        <is>
          <t>Room 3-5</t>
        </is>
      </c>
      <c r="D178" s="126" t="n">
        <v>0</v>
      </c>
      <c r="E178" s="126" t="n">
        <v>0</v>
      </c>
      <c r="F178" s="127">
        <f>MAX(D178-E178,0)</f>
        <v/>
      </c>
      <c r="G178" s="130">
        <f>E178*GeneratorRate</f>
        <v/>
      </c>
      <c r="H178" s="130">
        <f>F178*GovernmentRate</f>
        <v/>
      </c>
      <c r="I178" s="130">
        <f>G178+H178</f>
        <v/>
      </c>
      <c r="J178" s="129">
        <f>IFERROR(I178/COUNTIFS('Client DB &amp; Bed Mgmt'!$A:$A,A178,'Client DB &amp; Bed Mgmt'!$B:$B,C178,'Client DB &amp; Bed Mgmt'!$D:$D,"&lt;&gt;"),0)</f>
        <v/>
      </c>
      <c r="K178" s="103" t="inlineStr">
        <is>
          <t>Dorm 3</t>
        </is>
      </c>
      <c r="L178" s="103" t="inlineStr">
        <is>
          <t>Room 3-5</t>
        </is>
      </c>
      <c r="M178" s="103">
        <f>COUNTIFS('Client DB &amp; Bed Mgmt'!$A:$A,$K178,'Client DB &amp; Bed Mgmt'!$B:$B,$L178,'Client DB &amp; Bed Mgmt'!$D:$D,"&lt;&gt;")</f>
        <v/>
      </c>
      <c r="N178" s="126" t="n"/>
      <c r="O178" s="126" t="n"/>
      <c r="P178" s="127">
        <f>IF(N178="","",MAX(N178-O178,0))</f>
        <v/>
      </c>
      <c r="Q178" s="130">
        <f>IF(O178="","",O178*GeneratorRate)</f>
        <v/>
      </c>
      <c r="R178" s="130">
        <f>IF(P178="","",P178*GovernmentRate)</f>
        <v/>
      </c>
      <c r="S178" s="130">
        <f>IF(N178="","",Q178+R178)</f>
        <v/>
      </c>
      <c r="T178" s="130">
        <f>IF(M178=0,0,S178/M178)</f>
        <v/>
      </c>
      <c r="U178" s="176" t="n"/>
      <c r="V178" s="129" t="n"/>
      <c r="W178" s="127" t="n"/>
      <c r="X178" s="130" t="n"/>
      <c r="Y178" s="178" t="n"/>
      <c r="Z178" s="129" t="n"/>
      <c r="AA178" s="129" t="n"/>
      <c r="AB178" s="176" t="n"/>
      <c r="AC178" s="129" t="n"/>
      <c r="AD178" s="176" t="n"/>
      <c r="AE178" s="129" t="n"/>
    </row>
    <row r="179" hidden="1" ht="14.25" customHeight="1" s="83">
      <c r="A179" s="103" t="inlineStr">
        <is>
          <t>Dorm 3</t>
        </is>
      </c>
      <c r="B179" s="177" t="n">
        <v>46143</v>
      </c>
      <c r="C179" s="103" t="inlineStr">
        <is>
          <t>Room 3-6</t>
        </is>
      </c>
      <c r="D179" s="126" t="n">
        <v>0</v>
      </c>
      <c r="E179" s="126" t="n">
        <v>0</v>
      </c>
      <c r="F179" s="127">
        <f>MAX(D179-E179,0)</f>
        <v/>
      </c>
      <c r="G179" s="130">
        <f>E179*GeneratorRate</f>
        <v/>
      </c>
      <c r="H179" s="130">
        <f>F179*GovernmentRate</f>
        <v/>
      </c>
      <c r="I179" s="130">
        <f>G179+H179</f>
        <v/>
      </c>
      <c r="J179" s="129">
        <f>IFERROR(I179/COUNTIFS('Client DB &amp; Bed Mgmt'!$A:$A,A179,'Client DB &amp; Bed Mgmt'!$B:$B,C179,'Client DB &amp; Bed Mgmt'!$D:$D,"&lt;&gt;"),0)</f>
        <v/>
      </c>
      <c r="K179" s="103" t="inlineStr">
        <is>
          <t>Dorm 3</t>
        </is>
      </c>
      <c r="L179" s="103" t="inlineStr">
        <is>
          <t>Room 3-6</t>
        </is>
      </c>
      <c r="M179" s="103">
        <f>COUNTIFS('Client DB &amp; Bed Mgmt'!$A:$A,$K179,'Client DB &amp; Bed Mgmt'!$B:$B,$L179,'Client DB &amp; Bed Mgmt'!$D:$D,"&lt;&gt;")</f>
        <v/>
      </c>
      <c r="N179" s="126" t="n"/>
      <c r="O179" s="126" t="n"/>
      <c r="P179" s="127">
        <f>IF(N179="","",MAX(N179-O179,0))</f>
        <v/>
      </c>
      <c r="Q179" s="130">
        <f>IF(O179="","",O179*GeneratorRate)</f>
        <v/>
      </c>
      <c r="R179" s="130">
        <f>IF(P179="","",P179*GovernmentRate)</f>
        <v/>
      </c>
      <c r="S179" s="130">
        <f>IF(N179="","",Q179+R179)</f>
        <v/>
      </c>
      <c r="T179" s="130">
        <f>IF(M179=0,0,S179/M179)</f>
        <v/>
      </c>
      <c r="U179" s="176" t="n"/>
      <c r="V179" s="129" t="n"/>
      <c r="W179" s="127" t="n"/>
      <c r="X179" s="130" t="n"/>
      <c r="Y179" s="178" t="n"/>
      <c r="Z179" s="129" t="n"/>
      <c r="AA179" s="129" t="n"/>
      <c r="AB179" s="176" t="n"/>
      <c r="AC179" s="129" t="n"/>
      <c r="AD179" s="176" t="n"/>
      <c r="AE179" s="129" t="n"/>
    </row>
    <row r="180" hidden="1" ht="14.25" customHeight="1" s="83">
      <c r="A180" s="103" t="inlineStr">
        <is>
          <t>Dorm 3</t>
        </is>
      </c>
      <c r="B180" s="177" t="n">
        <v>46174</v>
      </c>
      <c r="C180" s="103" t="inlineStr">
        <is>
          <t>Room 3-1</t>
        </is>
      </c>
      <c r="D180" s="126" t="n">
        <v>0</v>
      </c>
      <c r="E180" s="126" t="n">
        <v>0</v>
      </c>
      <c r="F180" s="127">
        <f>MAX(D180-E180,0)</f>
        <v/>
      </c>
      <c r="G180" s="130">
        <f>E180*GeneratorRate</f>
        <v/>
      </c>
      <c r="H180" s="130">
        <f>F180*GovernmentRate</f>
        <v/>
      </c>
      <c r="I180" s="130">
        <f>G180+H180</f>
        <v/>
      </c>
      <c r="J180" s="129">
        <f>IFERROR(I180/COUNTIFS('Client DB &amp; Bed Mgmt'!$A:$A,A180,'Client DB &amp; Bed Mgmt'!$B:$B,C180,'Client DB &amp; Bed Mgmt'!$D:$D,"&lt;&gt;"),0)</f>
        <v/>
      </c>
      <c r="K180" s="103" t="inlineStr">
        <is>
          <t>Dorm 3</t>
        </is>
      </c>
      <c r="L180" s="103" t="inlineStr">
        <is>
          <t>Room 3-1</t>
        </is>
      </c>
      <c r="M180" s="103">
        <f>COUNTIFS('Client DB &amp; Bed Mgmt'!$A:$A,$K180,'Client DB &amp; Bed Mgmt'!$B:$B,$L180,'Client DB &amp; Bed Mgmt'!$D:$D,"&lt;&gt;")</f>
        <v/>
      </c>
      <c r="N180" s="126" t="n"/>
      <c r="O180" s="126" t="n"/>
      <c r="P180" s="127">
        <f>IF(N180="","",MAX(N180-O180,0))</f>
        <v/>
      </c>
      <c r="Q180" s="130">
        <f>IF(O180="","",O180*GeneratorRate)</f>
        <v/>
      </c>
      <c r="R180" s="130">
        <f>IF(P180="","",P180*GovernmentRate)</f>
        <v/>
      </c>
      <c r="S180" s="130">
        <f>IF(N180="","",Q180+R180)</f>
        <v/>
      </c>
      <c r="T180" s="130">
        <f>IF(M180=0,0,S180/M180)</f>
        <v/>
      </c>
      <c r="U180" s="176" t="n"/>
      <c r="V180" s="129" t="n"/>
      <c r="W180" s="127" t="n"/>
      <c r="X180" s="130" t="n"/>
      <c r="Y180" s="178" t="n"/>
      <c r="Z180" s="129" t="n"/>
      <c r="AA180" s="129" t="n"/>
      <c r="AB180" s="176" t="n"/>
      <c r="AC180" s="129" t="n"/>
      <c r="AD180" s="176" t="n"/>
      <c r="AE180" s="129" t="n"/>
    </row>
    <row r="181" hidden="1" ht="14.25" customHeight="1" s="83">
      <c r="A181" s="103" t="inlineStr">
        <is>
          <t>Dorm 3</t>
        </is>
      </c>
      <c r="B181" s="177" t="n">
        <v>46174</v>
      </c>
      <c r="C181" s="103" t="inlineStr">
        <is>
          <t>Room 3-2</t>
        </is>
      </c>
      <c r="D181" s="126" t="n">
        <v>0</v>
      </c>
      <c r="E181" s="126" t="n">
        <v>0</v>
      </c>
      <c r="F181" s="127">
        <f>MAX(D181-E181,0)</f>
        <v/>
      </c>
      <c r="G181" s="130">
        <f>E181*GeneratorRate</f>
        <v/>
      </c>
      <c r="H181" s="130">
        <f>F181*GovernmentRate</f>
        <v/>
      </c>
      <c r="I181" s="130">
        <f>G181+H181</f>
        <v/>
      </c>
      <c r="J181" s="129">
        <f>IFERROR(I181/COUNTIFS('Client DB &amp; Bed Mgmt'!$A:$A,A181,'Client DB &amp; Bed Mgmt'!$B:$B,C181,'Client DB &amp; Bed Mgmt'!$D:$D,"&lt;&gt;"),0)</f>
        <v/>
      </c>
      <c r="K181" s="103" t="inlineStr">
        <is>
          <t>Dorm 3</t>
        </is>
      </c>
      <c r="L181" s="103" t="inlineStr">
        <is>
          <t>Room 3-2</t>
        </is>
      </c>
      <c r="M181" s="103">
        <f>COUNTIFS('Client DB &amp; Bed Mgmt'!$A:$A,$K181,'Client DB &amp; Bed Mgmt'!$B:$B,$L181,'Client DB &amp; Bed Mgmt'!$D:$D,"&lt;&gt;")</f>
        <v/>
      </c>
      <c r="N181" s="126" t="n"/>
      <c r="O181" s="126" t="n"/>
      <c r="P181" s="127">
        <f>IF(N181="","",MAX(N181-O181,0))</f>
        <v/>
      </c>
      <c r="Q181" s="130">
        <f>IF(O181="","",O181*GeneratorRate)</f>
        <v/>
      </c>
      <c r="R181" s="130">
        <f>IF(P181="","",P181*GovernmentRate)</f>
        <v/>
      </c>
      <c r="S181" s="130">
        <f>IF(N181="","",Q181+R181)</f>
        <v/>
      </c>
      <c r="T181" s="130">
        <f>IF(M181=0,0,S181/M181)</f>
        <v/>
      </c>
      <c r="U181" s="176" t="n"/>
      <c r="V181" s="129" t="n"/>
      <c r="W181" s="127" t="n"/>
      <c r="X181" s="130" t="n"/>
      <c r="Y181" s="178" t="n"/>
      <c r="Z181" s="129" t="n"/>
      <c r="AA181" s="129" t="n"/>
      <c r="AB181" s="176" t="n"/>
      <c r="AC181" s="129" t="n"/>
      <c r="AD181" s="176" t="n"/>
      <c r="AE181" s="129" t="n"/>
    </row>
    <row r="182" hidden="1" ht="14.25" customHeight="1" s="83">
      <c r="A182" s="103" t="inlineStr">
        <is>
          <t>Dorm 3</t>
        </is>
      </c>
      <c r="B182" s="177" t="n">
        <v>46174</v>
      </c>
      <c r="C182" s="103" t="inlineStr">
        <is>
          <t>Room 3-3</t>
        </is>
      </c>
      <c r="D182" s="126" t="n">
        <v>0</v>
      </c>
      <c r="E182" s="126" t="n">
        <v>0</v>
      </c>
      <c r="F182" s="127">
        <f>MAX(D182-E182,0)</f>
        <v/>
      </c>
      <c r="G182" s="130">
        <f>E182*GeneratorRate</f>
        <v/>
      </c>
      <c r="H182" s="130">
        <f>F182*GovernmentRate</f>
        <v/>
      </c>
      <c r="I182" s="130">
        <f>G182+H182</f>
        <v/>
      </c>
      <c r="J182" s="129">
        <f>IFERROR(I182/COUNTIFS('Client DB &amp; Bed Mgmt'!$A:$A,A182,'Client DB &amp; Bed Mgmt'!$B:$B,C182,'Client DB &amp; Bed Mgmt'!$D:$D,"&lt;&gt;"),0)</f>
        <v/>
      </c>
      <c r="K182" s="103" t="inlineStr">
        <is>
          <t>Dorm 3</t>
        </is>
      </c>
      <c r="L182" s="103" t="inlineStr">
        <is>
          <t>Room 3-3</t>
        </is>
      </c>
      <c r="M182" s="103">
        <f>COUNTIFS('Client DB &amp; Bed Mgmt'!$A:$A,$K182,'Client DB &amp; Bed Mgmt'!$B:$B,$L182,'Client DB &amp; Bed Mgmt'!$D:$D,"&lt;&gt;")</f>
        <v/>
      </c>
      <c r="N182" s="126" t="n"/>
      <c r="O182" s="126" t="n"/>
      <c r="P182" s="127">
        <f>IF(N182="","",MAX(N182-O182,0))</f>
        <v/>
      </c>
      <c r="Q182" s="130">
        <f>IF(O182="","",O182*GeneratorRate)</f>
        <v/>
      </c>
      <c r="R182" s="130">
        <f>IF(P182="","",P182*GovernmentRate)</f>
        <v/>
      </c>
      <c r="S182" s="130">
        <f>IF(N182="","",Q182+R182)</f>
        <v/>
      </c>
      <c r="T182" s="130">
        <f>IF(M182=0,0,S182/M182)</f>
        <v/>
      </c>
      <c r="U182" s="176" t="n"/>
      <c r="V182" s="129" t="n"/>
      <c r="W182" s="127" t="n"/>
      <c r="X182" s="130" t="n"/>
      <c r="Y182" s="178" t="n"/>
      <c r="Z182" s="129" t="n"/>
      <c r="AA182" s="129" t="n"/>
      <c r="AB182" s="176" t="n"/>
      <c r="AC182" s="129" t="n"/>
      <c r="AD182" s="176" t="n"/>
      <c r="AE182" s="129" t="n"/>
    </row>
    <row r="183" hidden="1" ht="14.25" customHeight="1" s="83">
      <c r="A183" s="103" t="inlineStr">
        <is>
          <t>Dorm 3</t>
        </is>
      </c>
      <c r="B183" s="177" t="n">
        <v>46174</v>
      </c>
      <c r="C183" s="103" t="inlineStr">
        <is>
          <t>Room 3-4</t>
        </is>
      </c>
      <c r="D183" s="126" t="n">
        <v>0</v>
      </c>
      <c r="E183" s="126" t="n">
        <v>0</v>
      </c>
      <c r="F183" s="127">
        <f>MAX(D183-E183,0)</f>
        <v/>
      </c>
      <c r="G183" s="130">
        <f>E183*GeneratorRate</f>
        <v/>
      </c>
      <c r="H183" s="130">
        <f>F183*GovernmentRate</f>
        <v/>
      </c>
      <c r="I183" s="130">
        <f>G183+H183</f>
        <v/>
      </c>
      <c r="J183" s="129">
        <f>IFERROR(I183/COUNTIFS('Client DB &amp; Bed Mgmt'!$A:$A,A183,'Client DB &amp; Bed Mgmt'!$B:$B,C183,'Client DB &amp; Bed Mgmt'!$D:$D,"&lt;&gt;"),0)</f>
        <v/>
      </c>
      <c r="K183" s="103" t="inlineStr">
        <is>
          <t>Dorm 3</t>
        </is>
      </c>
      <c r="L183" s="103" t="inlineStr">
        <is>
          <t>Room 3-4</t>
        </is>
      </c>
      <c r="M183" s="103">
        <f>COUNTIFS('Client DB &amp; Bed Mgmt'!$A:$A,$K183,'Client DB &amp; Bed Mgmt'!$B:$B,$L183,'Client DB &amp; Bed Mgmt'!$D:$D,"&lt;&gt;")</f>
        <v/>
      </c>
      <c r="N183" s="126" t="n"/>
      <c r="O183" s="126" t="n"/>
      <c r="P183" s="127">
        <f>IF(N183="","",MAX(N183-O183,0))</f>
        <v/>
      </c>
      <c r="Q183" s="130">
        <f>IF(O183="","",O183*GeneratorRate)</f>
        <v/>
      </c>
      <c r="R183" s="130">
        <f>IF(P183="","",P183*GovernmentRate)</f>
        <v/>
      </c>
      <c r="S183" s="130">
        <f>IF(N183="","",Q183+R183)</f>
        <v/>
      </c>
      <c r="T183" s="130">
        <f>IF(M183=0,0,S183/M183)</f>
        <v/>
      </c>
      <c r="U183" s="176" t="n"/>
      <c r="V183" s="129" t="n"/>
      <c r="W183" s="127" t="n"/>
      <c r="X183" s="130" t="n"/>
      <c r="Y183" s="178" t="n"/>
      <c r="Z183" s="129" t="n"/>
      <c r="AA183" s="129" t="n"/>
      <c r="AB183" s="176" t="n"/>
      <c r="AC183" s="129" t="n"/>
      <c r="AD183" s="176" t="n"/>
      <c r="AE183" s="129" t="n"/>
    </row>
    <row r="184" hidden="1" ht="14.25" customHeight="1" s="83">
      <c r="A184" s="103" t="inlineStr">
        <is>
          <t>Dorm 3</t>
        </is>
      </c>
      <c r="B184" s="177" t="n">
        <v>46174</v>
      </c>
      <c r="C184" s="103" t="inlineStr">
        <is>
          <t>Room 3-5</t>
        </is>
      </c>
      <c r="D184" s="126" t="n">
        <v>0</v>
      </c>
      <c r="E184" s="126" t="n">
        <v>0</v>
      </c>
      <c r="F184" s="127">
        <f>MAX(D184-E184,0)</f>
        <v/>
      </c>
      <c r="G184" s="130">
        <f>E184*GeneratorRate</f>
        <v/>
      </c>
      <c r="H184" s="130">
        <f>F184*GovernmentRate</f>
        <v/>
      </c>
      <c r="I184" s="130">
        <f>G184+H184</f>
        <v/>
      </c>
      <c r="J184" s="129">
        <f>IFERROR(I184/COUNTIFS('Client DB &amp; Bed Mgmt'!$A:$A,A184,'Client DB &amp; Bed Mgmt'!$B:$B,C184,'Client DB &amp; Bed Mgmt'!$D:$D,"&lt;&gt;"),0)</f>
        <v/>
      </c>
      <c r="K184" s="103" t="inlineStr">
        <is>
          <t>Dorm 3</t>
        </is>
      </c>
      <c r="L184" s="103" t="inlineStr">
        <is>
          <t>Room 3-5</t>
        </is>
      </c>
      <c r="M184" s="103">
        <f>COUNTIFS('Client DB &amp; Bed Mgmt'!$A:$A,$K184,'Client DB &amp; Bed Mgmt'!$B:$B,$L184,'Client DB &amp; Bed Mgmt'!$D:$D,"&lt;&gt;")</f>
        <v/>
      </c>
      <c r="N184" s="126" t="n"/>
      <c r="O184" s="126" t="n"/>
      <c r="P184" s="127">
        <f>IF(N184="","",MAX(N184-O184,0))</f>
        <v/>
      </c>
      <c r="Q184" s="130">
        <f>IF(O184="","",O184*GeneratorRate)</f>
        <v/>
      </c>
      <c r="R184" s="130">
        <f>IF(P184="","",P184*GovernmentRate)</f>
        <v/>
      </c>
      <c r="S184" s="130">
        <f>IF(N184="","",Q184+R184)</f>
        <v/>
      </c>
      <c r="T184" s="130">
        <f>IF(M184=0,0,S184/M184)</f>
        <v/>
      </c>
      <c r="U184" s="176" t="n"/>
      <c r="V184" s="129" t="n"/>
      <c r="W184" s="127" t="n"/>
      <c r="X184" s="130" t="n"/>
      <c r="Y184" s="178" t="n"/>
      <c r="Z184" s="129" t="n"/>
      <c r="AA184" s="129" t="n"/>
      <c r="AB184" s="176" t="n"/>
      <c r="AC184" s="129" t="n"/>
      <c r="AD184" s="176" t="n"/>
      <c r="AE184" s="129" t="n"/>
    </row>
    <row r="185" hidden="1" ht="14.25" customHeight="1" s="83">
      <c r="A185" s="103" t="inlineStr">
        <is>
          <t>Dorm 3</t>
        </is>
      </c>
      <c r="B185" s="177" t="n">
        <v>46174</v>
      </c>
      <c r="C185" s="103" t="inlineStr">
        <is>
          <t>Room 3-6</t>
        </is>
      </c>
      <c r="D185" s="126" t="n">
        <v>0</v>
      </c>
      <c r="E185" s="126" t="n">
        <v>0</v>
      </c>
      <c r="F185" s="127">
        <f>MAX(D185-E185,0)</f>
        <v/>
      </c>
      <c r="G185" s="130">
        <f>E185*GeneratorRate</f>
        <v/>
      </c>
      <c r="H185" s="130">
        <f>F185*GovernmentRate</f>
        <v/>
      </c>
      <c r="I185" s="130">
        <f>G185+H185</f>
        <v/>
      </c>
      <c r="J185" s="129">
        <f>IFERROR(I185/COUNTIFS('Client DB &amp; Bed Mgmt'!$A:$A,A185,'Client DB &amp; Bed Mgmt'!$B:$B,C185,'Client DB &amp; Bed Mgmt'!$D:$D,"&lt;&gt;"),0)</f>
        <v/>
      </c>
      <c r="K185" s="103" t="inlineStr">
        <is>
          <t>Dorm 3</t>
        </is>
      </c>
      <c r="L185" s="103" t="inlineStr">
        <is>
          <t>Room 3-6</t>
        </is>
      </c>
      <c r="M185" s="103">
        <f>COUNTIFS('Client DB &amp; Bed Mgmt'!$A:$A,$K185,'Client DB &amp; Bed Mgmt'!$B:$B,$L185,'Client DB &amp; Bed Mgmt'!$D:$D,"&lt;&gt;")</f>
        <v/>
      </c>
      <c r="N185" s="126" t="n"/>
      <c r="O185" s="126" t="n"/>
      <c r="P185" s="127">
        <f>IF(N185="","",MAX(N185-O185,0))</f>
        <v/>
      </c>
      <c r="Q185" s="130">
        <f>IF(O185="","",O185*GeneratorRate)</f>
        <v/>
      </c>
      <c r="R185" s="130">
        <f>IF(P185="","",P185*GovernmentRate)</f>
        <v/>
      </c>
      <c r="S185" s="130">
        <f>IF(N185="","",Q185+R185)</f>
        <v/>
      </c>
      <c r="T185" s="130">
        <f>IF(M185=0,0,S185/M185)</f>
        <v/>
      </c>
      <c r="U185" s="176" t="n"/>
      <c r="V185" s="129" t="n"/>
      <c r="W185" s="127" t="n"/>
      <c r="X185" s="130" t="n"/>
      <c r="Y185" s="178" t="n"/>
      <c r="Z185" s="129" t="n"/>
      <c r="AA185" s="129" t="n"/>
      <c r="AB185" s="176" t="n"/>
      <c r="AC185" s="129" t="n"/>
      <c r="AD185" s="176" t="n"/>
      <c r="AE185" s="129" t="n"/>
    </row>
    <row r="186" hidden="1" ht="14.25" customHeight="1" s="83">
      <c r="A186" s="103" t="inlineStr">
        <is>
          <t>Dorm 3</t>
        </is>
      </c>
      <c r="B186" s="177" t="n">
        <v>46204</v>
      </c>
      <c r="C186" s="103" t="inlineStr">
        <is>
          <t>Room 3-1</t>
        </is>
      </c>
      <c r="D186" s="126" t="n">
        <v>0</v>
      </c>
      <c r="E186" s="126" t="n">
        <v>0</v>
      </c>
      <c r="F186" s="127">
        <f>MAX(D186-E186,0)</f>
        <v/>
      </c>
      <c r="G186" s="130">
        <f>E186*GeneratorRate</f>
        <v/>
      </c>
      <c r="H186" s="130">
        <f>F186*GovernmentRate</f>
        <v/>
      </c>
      <c r="I186" s="130">
        <f>G186+H186</f>
        <v/>
      </c>
      <c r="J186" s="129">
        <f>IFERROR(I186/COUNTIFS('Client DB &amp; Bed Mgmt'!$A:$A,A186,'Client DB &amp; Bed Mgmt'!$B:$B,C186,'Client DB &amp; Bed Mgmt'!$D:$D,"&lt;&gt;"),0)</f>
        <v/>
      </c>
      <c r="K186" s="103" t="inlineStr">
        <is>
          <t>Dorm 3</t>
        </is>
      </c>
      <c r="L186" s="103" t="inlineStr">
        <is>
          <t>Room 3-1</t>
        </is>
      </c>
      <c r="M186" s="103">
        <f>COUNTIFS('Client DB &amp; Bed Mgmt'!$A:$A,$K186,'Client DB &amp; Bed Mgmt'!$B:$B,$L186,'Client DB &amp; Bed Mgmt'!$D:$D,"&lt;&gt;")</f>
        <v/>
      </c>
      <c r="N186" s="126" t="n"/>
      <c r="O186" s="126" t="n"/>
      <c r="P186" s="127">
        <f>IF(N186="","",MAX(N186-O186,0))</f>
        <v/>
      </c>
      <c r="Q186" s="130">
        <f>IF(O186="","",O186*GeneratorRate)</f>
        <v/>
      </c>
      <c r="R186" s="130">
        <f>IF(P186="","",P186*GovernmentRate)</f>
        <v/>
      </c>
      <c r="S186" s="130">
        <f>IF(N186="","",Q186+R186)</f>
        <v/>
      </c>
      <c r="T186" s="130">
        <f>IF(M186=0,0,S186/M186)</f>
        <v/>
      </c>
      <c r="U186" s="176" t="n"/>
      <c r="V186" s="129" t="n"/>
      <c r="W186" s="127" t="n"/>
      <c r="X186" s="130" t="n"/>
      <c r="Y186" s="178" t="n"/>
      <c r="Z186" s="129" t="n"/>
      <c r="AA186" s="129" t="n"/>
      <c r="AB186" s="176" t="n"/>
      <c r="AC186" s="129" t="n"/>
      <c r="AD186" s="176" t="n"/>
      <c r="AE186" s="129" t="n"/>
    </row>
    <row r="187" hidden="1" ht="14.25" customHeight="1" s="83">
      <c r="A187" s="103" t="inlineStr">
        <is>
          <t>Dorm 3</t>
        </is>
      </c>
      <c r="B187" s="177" t="n">
        <v>46204</v>
      </c>
      <c r="C187" s="103" t="inlineStr">
        <is>
          <t>Room 3-2</t>
        </is>
      </c>
      <c r="D187" s="126" t="n">
        <v>0</v>
      </c>
      <c r="E187" s="126" t="n">
        <v>0</v>
      </c>
      <c r="F187" s="127">
        <f>MAX(D187-E187,0)</f>
        <v/>
      </c>
      <c r="G187" s="130">
        <f>E187*GeneratorRate</f>
        <v/>
      </c>
      <c r="H187" s="130">
        <f>F187*GovernmentRate</f>
        <v/>
      </c>
      <c r="I187" s="130">
        <f>G187+H187</f>
        <v/>
      </c>
      <c r="J187" s="129">
        <f>IFERROR(I187/COUNTIFS('Client DB &amp; Bed Mgmt'!$A:$A,A187,'Client DB &amp; Bed Mgmt'!$B:$B,C187,'Client DB &amp; Bed Mgmt'!$D:$D,"&lt;&gt;"),0)</f>
        <v/>
      </c>
      <c r="K187" s="103" t="inlineStr">
        <is>
          <t>Dorm 3</t>
        </is>
      </c>
      <c r="L187" s="103" t="inlineStr">
        <is>
          <t>Room 3-2</t>
        </is>
      </c>
      <c r="M187" s="103">
        <f>COUNTIFS('Client DB &amp; Bed Mgmt'!$A:$A,$K187,'Client DB &amp; Bed Mgmt'!$B:$B,$L187,'Client DB &amp; Bed Mgmt'!$D:$D,"&lt;&gt;")</f>
        <v/>
      </c>
      <c r="N187" s="126" t="n"/>
      <c r="O187" s="126" t="n"/>
      <c r="P187" s="127">
        <f>IF(N187="","",MAX(N187-O187,0))</f>
        <v/>
      </c>
      <c r="Q187" s="130">
        <f>IF(O187="","",O187*GeneratorRate)</f>
        <v/>
      </c>
      <c r="R187" s="130">
        <f>IF(P187="","",P187*GovernmentRate)</f>
        <v/>
      </c>
      <c r="S187" s="130">
        <f>IF(N187="","",Q187+R187)</f>
        <v/>
      </c>
      <c r="T187" s="130">
        <f>IF(M187=0,0,S187/M187)</f>
        <v/>
      </c>
      <c r="U187" s="176" t="n"/>
      <c r="V187" s="129" t="n"/>
      <c r="W187" s="127" t="n"/>
      <c r="X187" s="130" t="n"/>
      <c r="Y187" s="178" t="n"/>
      <c r="Z187" s="129" t="n"/>
      <c r="AA187" s="129" t="n"/>
      <c r="AB187" s="176" t="n"/>
      <c r="AC187" s="129" t="n"/>
      <c r="AD187" s="176" t="n"/>
      <c r="AE187" s="129" t="n"/>
    </row>
    <row r="188" hidden="1" ht="14.25" customHeight="1" s="83">
      <c r="A188" s="103" t="inlineStr">
        <is>
          <t>Dorm 3</t>
        </is>
      </c>
      <c r="B188" s="177" t="n">
        <v>46204</v>
      </c>
      <c r="C188" s="103" t="inlineStr">
        <is>
          <t>Room 3-3</t>
        </is>
      </c>
      <c r="D188" s="126" t="n">
        <v>0</v>
      </c>
      <c r="E188" s="126" t="n">
        <v>0</v>
      </c>
      <c r="F188" s="127">
        <f>MAX(D188-E188,0)</f>
        <v/>
      </c>
      <c r="G188" s="130">
        <f>E188*GeneratorRate</f>
        <v/>
      </c>
      <c r="H188" s="130">
        <f>F188*GovernmentRate</f>
        <v/>
      </c>
      <c r="I188" s="130">
        <f>G188+H188</f>
        <v/>
      </c>
      <c r="J188" s="129">
        <f>IFERROR(I188/COUNTIFS('Client DB &amp; Bed Mgmt'!$A:$A,A188,'Client DB &amp; Bed Mgmt'!$B:$B,C188,'Client DB &amp; Bed Mgmt'!$D:$D,"&lt;&gt;"),0)</f>
        <v/>
      </c>
      <c r="K188" s="103" t="inlineStr">
        <is>
          <t>Dorm 3</t>
        </is>
      </c>
      <c r="L188" s="103" t="inlineStr">
        <is>
          <t>Room 3-3</t>
        </is>
      </c>
      <c r="M188" s="103">
        <f>COUNTIFS('Client DB &amp; Bed Mgmt'!$A:$A,$K188,'Client DB &amp; Bed Mgmt'!$B:$B,$L188,'Client DB &amp; Bed Mgmt'!$D:$D,"&lt;&gt;")</f>
        <v/>
      </c>
      <c r="N188" s="126" t="n"/>
      <c r="O188" s="126" t="n"/>
      <c r="P188" s="127">
        <f>IF(N188="","",MAX(N188-O188,0))</f>
        <v/>
      </c>
      <c r="Q188" s="130">
        <f>IF(O188="","",O188*GeneratorRate)</f>
        <v/>
      </c>
      <c r="R188" s="130">
        <f>IF(P188="","",P188*GovernmentRate)</f>
        <v/>
      </c>
      <c r="S188" s="130">
        <f>IF(N188="","",Q188+R188)</f>
        <v/>
      </c>
      <c r="T188" s="130">
        <f>IF(M188=0,0,S188/M188)</f>
        <v/>
      </c>
      <c r="U188" s="176" t="n"/>
      <c r="V188" s="129" t="n"/>
      <c r="W188" s="127" t="n"/>
      <c r="X188" s="130" t="n"/>
      <c r="Y188" s="178" t="n"/>
      <c r="Z188" s="129" t="n"/>
      <c r="AA188" s="129" t="n"/>
      <c r="AB188" s="176" t="n"/>
      <c r="AC188" s="129" t="n"/>
      <c r="AD188" s="176" t="n"/>
      <c r="AE188" s="129" t="n"/>
    </row>
    <row r="189" hidden="1" ht="14.25" customHeight="1" s="83">
      <c r="A189" s="103" t="inlineStr">
        <is>
          <t>Dorm 3</t>
        </is>
      </c>
      <c r="B189" s="177" t="n">
        <v>46204</v>
      </c>
      <c r="C189" s="103" t="inlineStr">
        <is>
          <t>Room 3-4</t>
        </is>
      </c>
      <c r="D189" s="126" t="n">
        <v>0</v>
      </c>
      <c r="E189" s="126" t="n">
        <v>0</v>
      </c>
      <c r="F189" s="127">
        <f>MAX(D189-E189,0)</f>
        <v/>
      </c>
      <c r="G189" s="130">
        <f>E189*GeneratorRate</f>
        <v/>
      </c>
      <c r="H189" s="130">
        <f>F189*GovernmentRate</f>
        <v/>
      </c>
      <c r="I189" s="130">
        <f>G189+H189</f>
        <v/>
      </c>
      <c r="J189" s="129">
        <f>IFERROR(I189/COUNTIFS('Client DB &amp; Bed Mgmt'!$A:$A,A189,'Client DB &amp; Bed Mgmt'!$B:$B,C189,'Client DB &amp; Bed Mgmt'!$D:$D,"&lt;&gt;"),0)</f>
        <v/>
      </c>
      <c r="K189" s="103" t="inlineStr">
        <is>
          <t>Dorm 3</t>
        </is>
      </c>
      <c r="L189" s="103" t="inlineStr">
        <is>
          <t>Room 3-4</t>
        </is>
      </c>
      <c r="M189" s="103">
        <f>COUNTIFS('Client DB &amp; Bed Mgmt'!$A:$A,$K189,'Client DB &amp; Bed Mgmt'!$B:$B,$L189,'Client DB &amp; Bed Mgmt'!$D:$D,"&lt;&gt;")</f>
        <v/>
      </c>
      <c r="N189" s="126" t="n"/>
      <c r="O189" s="126" t="n"/>
      <c r="P189" s="127">
        <f>IF(N189="","",MAX(N189-O189,0))</f>
        <v/>
      </c>
      <c r="Q189" s="130">
        <f>IF(O189="","",O189*GeneratorRate)</f>
        <v/>
      </c>
      <c r="R189" s="130">
        <f>IF(P189="","",P189*GovernmentRate)</f>
        <v/>
      </c>
      <c r="S189" s="130">
        <f>IF(N189="","",Q189+R189)</f>
        <v/>
      </c>
      <c r="T189" s="130">
        <f>IF(M189=0,0,S189/M189)</f>
        <v/>
      </c>
      <c r="U189" s="176" t="n"/>
      <c r="V189" s="129" t="n"/>
      <c r="W189" s="127" t="n"/>
      <c r="X189" s="130" t="n"/>
      <c r="Y189" s="178" t="n"/>
      <c r="Z189" s="129" t="n"/>
      <c r="AA189" s="129" t="n"/>
      <c r="AB189" s="176" t="n"/>
      <c r="AC189" s="129" t="n"/>
      <c r="AD189" s="176" t="n"/>
      <c r="AE189" s="129" t="n"/>
    </row>
    <row r="190" hidden="1" ht="14.25" customHeight="1" s="83">
      <c r="A190" s="103" t="inlineStr">
        <is>
          <t>Dorm 3</t>
        </is>
      </c>
      <c r="B190" s="177" t="n">
        <v>46204</v>
      </c>
      <c r="C190" s="103" t="inlineStr">
        <is>
          <t>Room 3-5</t>
        </is>
      </c>
      <c r="D190" s="126" t="n">
        <v>0</v>
      </c>
      <c r="E190" s="126" t="n">
        <v>0</v>
      </c>
      <c r="F190" s="127">
        <f>MAX(D190-E190,0)</f>
        <v/>
      </c>
      <c r="G190" s="130">
        <f>E190*GeneratorRate</f>
        <v/>
      </c>
      <c r="H190" s="130">
        <f>F190*GovernmentRate</f>
        <v/>
      </c>
      <c r="I190" s="130">
        <f>G190+H190</f>
        <v/>
      </c>
      <c r="J190" s="129">
        <f>IFERROR(I190/COUNTIFS('Client DB &amp; Bed Mgmt'!$A:$A,A190,'Client DB &amp; Bed Mgmt'!$B:$B,C190,'Client DB &amp; Bed Mgmt'!$D:$D,"&lt;&gt;"),0)</f>
        <v/>
      </c>
      <c r="K190" s="103" t="inlineStr">
        <is>
          <t>Dorm 3</t>
        </is>
      </c>
      <c r="L190" s="103" t="inlineStr">
        <is>
          <t>Room 3-5</t>
        </is>
      </c>
      <c r="M190" s="103">
        <f>COUNTIFS('Client DB &amp; Bed Mgmt'!$A:$A,$K190,'Client DB &amp; Bed Mgmt'!$B:$B,$L190,'Client DB &amp; Bed Mgmt'!$D:$D,"&lt;&gt;")</f>
        <v/>
      </c>
      <c r="N190" s="126" t="n"/>
      <c r="O190" s="126" t="n"/>
      <c r="P190" s="127">
        <f>IF(N190="","",MAX(N190-O190,0))</f>
        <v/>
      </c>
      <c r="Q190" s="130">
        <f>IF(O190="","",O190*GeneratorRate)</f>
        <v/>
      </c>
      <c r="R190" s="130">
        <f>IF(P190="","",P190*GovernmentRate)</f>
        <v/>
      </c>
      <c r="S190" s="130">
        <f>IF(N190="","",Q190+R190)</f>
        <v/>
      </c>
      <c r="T190" s="130">
        <f>IF(M190=0,0,S190/M190)</f>
        <v/>
      </c>
      <c r="U190" s="176" t="n"/>
      <c r="V190" s="129" t="n"/>
      <c r="W190" s="127" t="n"/>
      <c r="X190" s="130" t="n"/>
      <c r="Y190" s="178" t="n"/>
      <c r="Z190" s="129" t="n"/>
      <c r="AA190" s="129" t="n"/>
      <c r="AB190" s="176" t="n"/>
      <c r="AC190" s="129" t="n"/>
      <c r="AD190" s="176" t="n"/>
      <c r="AE190" s="129" t="n"/>
    </row>
    <row r="191" hidden="1" ht="14.25" customHeight="1" s="83">
      <c r="A191" s="103" t="inlineStr">
        <is>
          <t>Dorm 3</t>
        </is>
      </c>
      <c r="B191" s="177" t="n">
        <v>46204</v>
      </c>
      <c r="C191" s="103" t="inlineStr">
        <is>
          <t>Room 3-6</t>
        </is>
      </c>
      <c r="D191" s="126" t="n">
        <v>0</v>
      </c>
      <c r="E191" s="126" t="n">
        <v>0</v>
      </c>
      <c r="F191" s="127">
        <f>MAX(D191-E191,0)</f>
        <v/>
      </c>
      <c r="G191" s="130">
        <f>E191*GeneratorRate</f>
        <v/>
      </c>
      <c r="H191" s="130">
        <f>F191*GovernmentRate</f>
        <v/>
      </c>
      <c r="I191" s="130">
        <f>G191+H191</f>
        <v/>
      </c>
      <c r="J191" s="129">
        <f>IFERROR(I191/COUNTIFS('Client DB &amp; Bed Mgmt'!$A:$A,A191,'Client DB &amp; Bed Mgmt'!$B:$B,C191,'Client DB &amp; Bed Mgmt'!$D:$D,"&lt;&gt;"),0)</f>
        <v/>
      </c>
      <c r="K191" s="103" t="inlineStr">
        <is>
          <t>Dorm 3</t>
        </is>
      </c>
      <c r="L191" s="103" t="inlineStr">
        <is>
          <t>Room 3-6</t>
        </is>
      </c>
      <c r="M191" s="103">
        <f>COUNTIFS('Client DB &amp; Bed Mgmt'!$A:$A,$K191,'Client DB &amp; Bed Mgmt'!$B:$B,$L191,'Client DB &amp; Bed Mgmt'!$D:$D,"&lt;&gt;")</f>
        <v/>
      </c>
      <c r="N191" s="126" t="n"/>
      <c r="O191" s="126" t="n"/>
      <c r="P191" s="127">
        <f>IF(N191="","",MAX(N191-O191,0))</f>
        <v/>
      </c>
      <c r="Q191" s="130">
        <f>IF(O191="","",O191*GeneratorRate)</f>
        <v/>
      </c>
      <c r="R191" s="130">
        <f>IF(P191="","",P191*GovernmentRate)</f>
        <v/>
      </c>
      <c r="S191" s="130">
        <f>IF(N191="","",Q191+R191)</f>
        <v/>
      </c>
      <c r="T191" s="130">
        <f>IF(M191=0,0,S191/M191)</f>
        <v/>
      </c>
      <c r="U191" s="176" t="n"/>
      <c r="V191" s="129" t="n"/>
      <c r="W191" s="127" t="n"/>
      <c r="X191" s="130" t="n"/>
      <c r="Y191" s="178" t="n"/>
      <c r="Z191" s="129" t="n"/>
      <c r="AA191" s="129" t="n"/>
      <c r="AB191" s="176" t="n"/>
      <c r="AC191" s="129" t="n"/>
      <c r="AD191" s="176" t="n"/>
      <c r="AE191" s="129" t="n"/>
    </row>
    <row r="192" hidden="1" ht="14.25" customHeight="1" s="83">
      <c r="A192" s="103" t="inlineStr">
        <is>
          <t>Dorm 3</t>
        </is>
      </c>
      <c r="B192" s="177" t="n">
        <v>46235</v>
      </c>
      <c r="C192" s="103" t="inlineStr">
        <is>
          <t>Room 3-1</t>
        </is>
      </c>
      <c r="D192" s="126" t="n">
        <v>0</v>
      </c>
      <c r="E192" s="126" t="n">
        <v>0</v>
      </c>
      <c r="F192" s="127">
        <f>MAX(D192-E192,0)</f>
        <v/>
      </c>
      <c r="G192" s="130">
        <f>E192*GeneratorRate</f>
        <v/>
      </c>
      <c r="H192" s="130">
        <f>F192*GovernmentRate</f>
        <v/>
      </c>
      <c r="I192" s="130">
        <f>G192+H192</f>
        <v/>
      </c>
      <c r="J192" s="129">
        <f>IFERROR(I192/COUNTIFS('Client DB &amp; Bed Mgmt'!$A:$A,A192,'Client DB &amp; Bed Mgmt'!$B:$B,C192,'Client DB &amp; Bed Mgmt'!$D:$D,"&lt;&gt;"),0)</f>
        <v/>
      </c>
      <c r="K192" s="103" t="inlineStr">
        <is>
          <t>Dorm 3</t>
        </is>
      </c>
      <c r="L192" s="103" t="inlineStr">
        <is>
          <t>Room 3-1</t>
        </is>
      </c>
      <c r="M192" s="103">
        <f>COUNTIFS('Client DB &amp; Bed Mgmt'!$A:$A,$K192,'Client DB &amp; Bed Mgmt'!$B:$B,$L192,'Client DB &amp; Bed Mgmt'!$D:$D,"&lt;&gt;")</f>
        <v/>
      </c>
      <c r="N192" s="126" t="n"/>
      <c r="O192" s="126" t="n"/>
      <c r="P192" s="127">
        <f>IF(N192="","",MAX(N192-O192,0))</f>
        <v/>
      </c>
      <c r="Q192" s="130">
        <f>IF(O192="","",O192*GeneratorRate)</f>
        <v/>
      </c>
      <c r="R192" s="130">
        <f>IF(P192="","",P192*GovernmentRate)</f>
        <v/>
      </c>
      <c r="S192" s="130">
        <f>IF(N192="","",Q192+R192)</f>
        <v/>
      </c>
      <c r="T192" s="130">
        <f>IF(M192=0,0,S192/M192)</f>
        <v/>
      </c>
      <c r="U192" s="176" t="n"/>
      <c r="V192" s="129" t="n"/>
      <c r="W192" s="127" t="n"/>
      <c r="X192" s="130" t="n"/>
      <c r="Y192" s="178" t="n"/>
      <c r="Z192" s="129" t="n"/>
      <c r="AA192" s="129" t="n"/>
      <c r="AB192" s="176" t="n"/>
      <c r="AC192" s="129" t="n"/>
      <c r="AD192" s="176" t="n"/>
      <c r="AE192" s="129" t="n"/>
    </row>
    <row r="193" hidden="1" ht="14.25" customHeight="1" s="83">
      <c r="A193" s="103" t="inlineStr">
        <is>
          <t>Dorm 3</t>
        </is>
      </c>
      <c r="B193" s="177" t="n">
        <v>46235</v>
      </c>
      <c r="C193" s="103" t="inlineStr">
        <is>
          <t>Room 3-2</t>
        </is>
      </c>
      <c r="D193" s="126" t="n">
        <v>0</v>
      </c>
      <c r="E193" s="126" t="n">
        <v>0</v>
      </c>
      <c r="F193" s="127">
        <f>MAX(D193-E193,0)</f>
        <v/>
      </c>
      <c r="G193" s="130">
        <f>E193*GeneratorRate</f>
        <v/>
      </c>
      <c r="H193" s="130">
        <f>F193*GovernmentRate</f>
        <v/>
      </c>
      <c r="I193" s="130">
        <f>G193+H193</f>
        <v/>
      </c>
      <c r="J193" s="129">
        <f>IFERROR(I193/COUNTIFS('Client DB &amp; Bed Mgmt'!$A:$A,A193,'Client DB &amp; Bed Mgmt'!$B:$B,C193,'Client DB &amp; Bed Mgmt'!$D:$D,"&lt;&gt;"),0)</f>
        <v/>
      </c>
      <c r="K193" s="103" t="inlineStr">
        <is>
          <t>Dorm 3</t>
        </is>
      </c>
      <c r="L193" s="103" t="inlineStr">
        <is>
          <t>Room 3-2</t>
        </is>
      </c>
      <c r="M193" s="103">
        <f>COUNTIFS('Client DB &amp; Bed Mgmt'!$A:$A,$K193,'Client DB &amp; Bed Mgmt'!$B:$B,$L193,'Client DB &amp; Bed Mgmt'!$D:$D,"&lt;&gt;")</f>
        <v/>
      </c>
      <c r="N193" s="126" t="n"/>
      <c r="O193" s="126" t="n"/>
      <c r="P193" s="127">
        <f>IF(N193="","",MAX(N193-O193,0))</f>
        <v/>
      </c>
      <c r="Q193" s="130">
        <f>IF(O193="","",O193*GeneratorRate)</f>
        <v/>
      </c>
      <c r="R193" s="130">
        <f>IF(P193="","",P193*GovernmentRate)</f>
        <v/>
      </c>
      <c r="S193" s="130">
        <f>IF(N193="","",Q193+R193)</f>
        <v/>
      </c>
      <c r="T193" s="130">
        <f>IF(M193=0,0,S193/M193)</f>
        <v/>
      </c>
      <c r="U193" s="176" t="n"/>
      <c r="V193" s="129" t="n"/>
      <c r="W193" s="127" t="n"/>
      <c r="X193" s="130" t="n"/>
      <c r="Y193" s="178" t="n"/>
      <c r="Z193" s="129" t="n"/>
      <c r="AA193" s="129" t="n"/>
      <c r="AB193" s="176" t="n"/>
      <c r="AC193" s="129" t="n"/>
      <c r="AD193" s="176" t="n"/>
      <c r="AE193" s="129" t="n"/>
    </row>
    <row r="194" hidden="1" ht="14.25" customHeight="1" s="83">
      <c r="A194" s="103" t="inlineStr">
        <is>
          <t>Dorm 3</t>
        </is>
      </c>
      <c r="B194" s="177" t="n">
        <v>46235</v>
      </c>
      <c r="C194" s="103" t="inlineStr">
        <is>
          <t>Room 3-3</t>
        </is>
      </c>
      <c r="D194" s="126" t="n">
        <v>0</v>
      </c>
      <c r="E194" s="126" t="n">
        <v>0</v>
      </c>
      <c r="F194" s="127">
        <f>MAX(D194-E194,0)</f>
        <v/>
      </c>
      <c r="G194" s="130">
        <f>E194*GeneratorRate</f>
        <v/>
      </c>
      <c r="H194" s="130">
        <f>F194*GovernmentRate</f>
        <v/>
      </c>
      <c r="I194" s="130">
        <f>G194+H194</f>
        <v/>
      </c>
      <c r="J194" s="129">
        <f>IFERROR(I194/COUNTIFS('Client DB &amp; Bed Mgmt'!$A:$A,A194,'Client DB &amp; Bed Mgmt'!$B:$B,C194,'Client DB &amp; Bed Mgmt'!$D:$D,"&lt;&gt;"),0)</f>
        <v/>
      </c>
      <c r="K194" s="103" t="inlineStr">
        <is>
          <t>Dorm 3</t>
        </is>
      </c>
      <c r="L194" s="103" t="inlineStr">
        <is>
          <t>Room 3-3</t>
        </is>
      </c>
      <c r="M194" s="103">
        <f>COUNTIFS('Client DB &amp; Bed Mgmt'!$A:$A,$K194,'Client DB &amp; Bed Mgmt'!$B:$B,$L194,'Client DB &amp; Bed Mgmt'!$D:$D,"&lt;&gt;")</f>
        <v/>
      </c>
      <c r="N194" s="126" t="n"/>
      <c r="O194" s="126" t="n"/>
      <c r="P194" s="127">
        <f>IF(N194="","",MAX(N194-O194,0))</f>
        <v/>
      </c>
      <c r="Q194" s="130">
        <f>IF(O194="","",O194*GeneratorRate)</f>
        <v/>
      </c>
      <c r="R194" s="130">
        <f>IF(P194="","",P194*GovernmentRate)</f>
        <v/>
      </c>
      <c r="S194" s="130">
        <f>IF(N194="","",Q194+R194)</f>
        <v/>
      </c>
      <c r="T194" s="130">
        <f>IF(M194=0,0,S194/M194)</f>
        <v/>
      </c>
      <c r="U194" s="176" t="n"/>
      <c r="V194" s="129" t="n"/>
      <c r="W194" s="127" t="n"/>
      <c r="X194" s="130" t="n"/>
      <c r="Y194" s="178" t="n"/>
      <c r="Z194" s="129" t="n"/>
      <c r="AA194" s="129" t="n"/>
      <c r="AB194" s="176" t="n"/>
      <c r="AC194" s="129" t="n"/>
      <c r="AD194" s="176" t="n"/>
      <c r="AE194" s="129" t="n"/>
    </row>
    <row r="195" hidden="1" ht="14.25" customHeight="1" s="83">
      <c r="A195" s="103" t="inlineStr">
        <is>
          <t>Dorm 3</t>
        </is>
      </c>
      <c r="B195" s="177" t="n">
        <v>46235</v>
      </c>
      <c r="C195" s="103" t="inlineStr">
        <is>
          <t>Room 3-4</t>
        </is>
      </c>
      <c r="D195" s="126" t="n">
        <v>0</v>
      </c>
      <c r="E195" s="126" t="n">
        <v>0</v>
      </c>
      <c r="F195" s="127">
        <f>MAX(D195-E195,0)</f>
        <v/>
      </c>
      <c r="G195" s="130">
        <f>E195*GeneratorRate</f>
        <v/>
      </c>
      <c r="H195" s="130">
        <f>F195*GovernmentRate</f>
        <v/>
      </c>
      <c r="I195" s="130">
        <f>G195+H195</f>
        <v/>
      </c>
      <c r="J195" s="129">
        <f>IFERROR(I195/COUNTIFS('Client DB &amp; Bed Mgmt'!$A:$A,A195,'Client DB &amp; Bed Mgmt'!$B:$B,C195,'Client DB &amp; Bed Mgmt'!$D:$D,"&lt;&gt;"),0)</f>
        <v/>
      </c>
      <c r="K195" s="103" t="inlineStr">
        <is>
          <t>Dorm 3</t>
        </is>
      </c>
      <c r="L195" s="103" t="inlineStr">
        <is>
          <t>Room 3-4</t>
        </is>
      </c>
      <c r="M195" s="103">
        <f>COUNTIFS('Client DB &amp; Bed Mgmt'!$A:$A,$K195,'Client DB &amp; Bed Mgmt'!$B:$B,$L195,'Client DB &amp; Bed Mgmt'!$D:$D,"&lt;&gt;")</f>
        <v/>
      </c>
      <c r="N195" s="126" t="n"/>
      <c r="O195" s="126" t="n"/>
      <c r="P195" s="127">
        <f>IF(N195="","",MAX(N195-O195,0))</f>
        <v/>
      </c>
      <c r="Q195" s="130">
        <f>IF(O195="","",O195*GeneratorRate)</f>
        <v/>
      </c>
      <c r="R195" s="130">
        <f>IF(P195="","",P195*GovernmentRate)</f>
        <v/>
      </c>
      <c r="S195" s="130">
        <f>IF(N195="","",Q195+R195)</f>
        <v/>
      </c>
      <c r="T195" s="130">
        <f>IF(M195=0,0,S195/M195)</f>
        <v/>
      </c>
      <c r="U195" s="176" t="n"/>
      <c r="V195" s="129" t="n"/>
      <c r="W195" s="127" t="n"/>
      <c r="X195" s="130" t="n"/>
      <c r="Y195" s="178" t="n"/>
      <c r="Z195" s="129" t="n"/>
      <c r="AA195" s="129" t="n"/>
      <c r="AB195" s="176" t="n"/>
      <c r="AC195" s="129" t="n"/>
      <c r="AD195" s="176" t="n"/>
      <c r="AE195" s="129" t="n"/>
    </row>
    <row r="196" hidden="1" ht="14.25" customHeight="1" s="83">
      <c r="A196" s="103" t="inlineStr">
        <is>
          <t>Dorm 3</t>
        </is>
      </c>
      <c r="B196" s="177" t="n">
        <v>46235</v>
      </c>
      <c r="C196" s="103" t="inlineStr">
        <is>
          <t>Room 3-5</t>
        </is>
      </c>
      <c r="D196" s="126" t="n">
        <v>0</v>
      </c>
      <c r="E196" s="126" t="n">
        <v>0</v>
      </c>
      <c r="F196" s="127">
        <f>MAX(D196-E196,0)</f>
        <v/>
      </c>
      <c r="G196" s="130">
        <f>E196*GeneratorRate</f>
        <v/>
      </c>
      <c r="H196" s="130">
        <f>F196*GovernmentRate</f>
        <v/>
      </c>
      <c r="I196" s="130">
        <f>G196+H196</f>
        <v/>
      </c>
      <c r="J196" s="129">
        <f>IFERROR(I196/COUNTIFS('Client DB &amp; Bed Mgmt'!$A:$A,A196,'Client DB &amp; Bed Mgmt'!$B:$B,C196,'Client DB &amp; Bed Mgmt'!$D:$D,"&lt;&gt;"),0)</f>
        <v/>
      </c>
      <c r="K196" s="103" t="inlineStr">
        <is>
          <t>Dorm 3</t>
        </is>
      </c>
      <c r="L196" s="103" t="inlineStr">
        <is>
          <t>Room 3-5</t>
        </is>
      </c>
      <c r="M196" s="103">
        <f>COUNTIFS('Client DB &amp; Bed Mgmt'!$A:$A,$K196,'Client DB &amp; Bed Mgmt'!$B:$B,$L196,'Client DB &amp; Bed Mgmt'!$D:$D,"&lt;&gt;")</f>
        <v/>
      </c>
      <c r="N196" s="126" t="n"/>
      <c r="O196" s="126" t="n"/>
      <c r="P196" s="127">
        <f>IF(N196="","",MAX(N196-O196,0))</f>
        <v/>
      </c>
      <c r="Q196" s="130">
        <f>IF(O196="","",O196*GeneratorRate)</f>
        <v/>
      </c>
      <c r="R196" s="130">
        <f>IF(P196="","",P196*GovernmentRate)</f>
        <v/>
      </c>
      <c r="S196" s="130">
        <f>IF(N196="","",Q196+R196)</f>
        <v/>
      </c>
      <c r="T196" s="130">
        <f>IF(M196=0,0,S196/M196)</f>
        <v/>
      </c>
      <c r="U196" s="176" t="n"/>
      <c r="V196" s="129" t="n"/>
      <c r="W196" s="127" t="n"/>
      <c r="X196" s="130" t="n"/>
      <c r="Y196" s="178" t="n"/>
      <c r="Z196" s="129" t="n"/>
      <c r="AA196" s="129" t="n"/>
      <c r="AB196" s="176" t="n"/>
      <c r="AC196" s="129" t="n"/>
      <c r="AD196" s="176" t="n"/>
      <c r="AE196" s="129" t="n"/>
    </row>
    <row r="197" hidden="1" ht="14.25" customHeight="1" s="83">
      <c r="A197" s="103" t="inlineStr">
        <is>
          <t>Dorm 3</t>
        </is>
      </c>
      <c r="B197" s="177" t="n">
        <v>46235</v>
      </c>
      <c r="C197" s="103" t="inlineStr">
        <is>
          <t>Room 3-6</t>
        </is>
      </c>
      <c r="D197" s="126" t="n">
        <v>0</v>
      </c>
      <c r="E197" s="126" t="n">
        <v>0</v>
      </c>
      <c r="F197" s="127">
        <f>MAX(D197-E197,0)</f>
        <v/>
      </c>
      <c r="G197" s="130">
        <f>E197*GeneratorRate</f>
        <v/>
      </c>
      <c r="H197" s="130">
        <f>F197*GovernmentRate</f>
        <v/>
      </c>
      <c r="I197" s="130">
        <f>G197+H197</f>
        <v/>
      </c>
      <c r="J197" s="129">
        <f>IFERROR(I197/COUNTIFS('Client DB &amp; Bed Mgmt'!$A:$A,A197,'Client DB &amp; Bed Mgmt'!$B:$B,C197,'Client DB &amp; Bed Mgmt'!$D:$D,"&lt;&gt;"),0)</f>
        <v/>
      </c>
      <c r="K197" s="103" t="inlineStr">
        <is>
          <t>Dorm 3</t>
        </is>
      </c>
      <c r="L197" s="103" t="inlineStr">
        <is>
          <t>Room 3-6</t>
        </is>
      </c>
      <c r="M197" s="103">
        <f>COUNTIFS('Client DB &amp; Bed Mgmt'!$A:$A,$K197,'Client DB &amp; Bed Mgmt'!$B:$B,$L197,'Client DB &amp; Bed Mgmt'!$D:$D,"&lt;&gt;")</f>
        <v/>
      </c>
      <c r="N197" s="126" t="n"/>
      <c r="O197" s="126" t="n"/>
      <c r="P197" s="127">
        <f>IF(N197="","",MAX(N197-O197,0))</f>
        <v/>
      </c>
      <c r="Q197" s="130">
        <f>IF(O197="","",O197*GeneratorRate)</f>
        <v/>
      </c>
      <c r="R197" s="130">
        <f>IF(P197="","",P197*GovernmentRate)</f>
        <v/>
      </c>
      <c r="S197" s="130">
        <f>IF(N197="","",Q197+R197)</f>
        <v/>
      </c>
      <c r="T197" s="130">
        <f>IF(M197=0,0,S197/M197)</f>
        <v/>
      </c>
      <c r="U197" s="176" t="n"/>
      <c r="V197" s="129" t="n"/>
      <c r="W197" s="127" t="n"/>
      <c r="X197" s="130" t="n"/>
      <c r="Y197" s="178" t="n"/>
      <c r="Z197" s="129" t="n"/>
      <c r="AA197" s="129" t="n"/>
      <c r="AB197" s="176" t="n"/>
      <c r="AC197" s="129" t="n"/>
      <c r="AD197" s="176" t="n"/>
      <c r="AE197" s="129" t="n"/>
    </row>
    <row r="198" hidden="1" ht="14.25" customHeight="1" s="83">
      <c r="A198" s="103" t="inlineStr">
        <is>
          <t>Dorm 3</t>
        </is>
      </c>
      <c r="B198" s="177" t="n">
        <v>46266</v>
      </c>
      <c r="C198" s="103" t="inlineStr">
        <is>
          <t>Room 3-1</t>
        </is>
      </c>
      <c r="D198" s="126" t="n">
        <v>0</v>
      </c>
      <c r="E198" s="126" t="n">
        <v>0</v>
      </c>
      <c r="F198" s="127">
        <f>MAX(D198-E198,0)</f>
        <v/>
      </c>
      <c r="G198" s="130">
        <f>E198*GeneratorRate</f>
        <v/>
      </c>
      <c r="H198" s="130">
        <f>F198*GovernmentRate</f>
        <v/>
      </c>
      <c r="I198" s="130">
        <f>G198+H198</f>
        <v/>
      </c>
      <c r="J198" s="129">
        <f>IFERROR(I198/COUNTIFS('Client DB &amp; Bed Mgmt'!$A:$A,A198,'Client DB &amp; Bed Mgmt'!$B:$B,C198,'Client DB &amp; Bed Mgmt'!$D:$D,"&lt;&gt;"),0)</f>
        <v/>
      </c>
      <c r="K198" s="103" t="inlineStr">
        <is>
          <t>Dorm 3</t>
        </is>
      </c>
      <c r="L198" s="103" t="inlineStr">
        <is>
          <t>Room 3-1</t>
        </is>
      </c>
      <c r="M198" s="103">
        <f>COUNTIFS('Client DB &amp; Bed Mgmt'!$A:$A,$K198,'Client DB &amp; Bed Mgmt'!$B:$B,$L198,'Client DB &amp; Bed Mgmt'!$D:$D,"&lt;&gt;")</f>
        <v/>
      </c>
      <c r="N198" s="126" t="n"/>
      <c r="O198" s="126" t="n"/>
      <c r="P198" s="127">
        <f>IF(N198="","",MAX(N198-O198,0))</f>
        <v/>
      </c>
      <c r="Q198" s="130">
        <f>IF(O198="","",O198*GeneratorRate)</f>
        <v/>
      </c>
      <c r="R198" s="130">
        <f>IF(P198="","",P198*GovernmentRate)</f>
        <v/>
      </c>
      <c r="S198" s="130">
        <f>IF(N198="","",Q198+R198)</f>
        <v/>
      </c>
      <c r="T198" s="130">
        <f>IF(M198=0,0,S198/M198)</f>
        <v/>
      </c>
      <c r="U198" s="176" t="n"/>
      <c r="V198" s="129" t="n"/>
      <c r="W198" s="127" t="n"/>
      <c r="X198" s="130" t="n"/>
      <c r="Y198" s="178" t="n"/>
      <c r="Z198" s="129" t="n"/>
      <c r="AA198" s="129" t="n"/>
      <c r="AB198" s="176" t="n"/>
      <c r="AC198" s="129" t="n"/>
      <c r="AD198" s="176" t="n"/>
      <c r="AE198" s="129" t="n"/>
    </row>
    <row r="199" hidden="1" ht="14.25" customHeight="1" s="83">
      <c r="A199" s="103" t="inlineStr">
        <is>
          <t>Dorm 3</t>
        </is>
      </c>
      <c r="B199" s="177" t="n">
        <v>46266</v>
      </c>
      <c r="C199" s="103" t="inlineStr">
        <is>
          <t>Room 3-2</t>
        </is>
      </c>
      <c r="D199" s="126" t="n">
        <v>0</v>
      </c>
      <c r="E199" s="126" t="n">
        <v>0</v>
      </c>
      <c r="F199" s="127">
        <f>MAX(D199-E199,0)</f>
        <v/>
      </c>
      <c r="G199" s="130">
        <f>E199*GeneratorRate</f>
        <v/>
      </c>
      <c r="H199" s="130">
        <f>F199*GovernmentRate</f>
        <v/>
      </c>
      <c r="I199" s="130">
        <f>G199+H199</f>
        <v/>
      </c>
      <c r="J199" s="129">
        <f>IFERROR(I199/COUNTIFS('Client DB &amp; Bed Mgmt'!$A:$A,A199,'Client DB &amp; Bed Mgmt'!$B:$B,C199,'Client DB &amp; Bed Mgmt'!$D:$D,"&lt;&gt;"),0)</f>
        <v/>
      </c>
      <c r="K199" s="103" t="inlineStr">
        <is>
          <t>Dorm 3</t>
        </is>
      </c>
      <c r="L199" s="103" t="inlineStr">
        <is>
          <t>Room 3-2</t>
        </is>
      </c>
      <c r="M199" s="103">
        <f>COUNTIFS('Client DB &amp; Bed Mgmt'!$A:$A,$K199,'Client DB &amp; Bed Mgmt'!$B:$B,$L199,'Client DB &amp; Bed Mgmt'!$D:$D,"&lt;&gt;")</f>
        <v/>
      </c>
      <c r="N199" s="126" t="n"/>
      <c r="O199" s="126" t="n"/>
      <c r="P199" s="127">
        <f>IF(N199="","",MAX(N199-O199,0))</f>
        <v/>
      </c>
      <c r="Q199" s="130">
        <f>IF(O199="","",O199*GeneratorRate)</f>
        <v/>
      </c>
      <c r="R199" s="130">
        <f>IF(P199="","",P199*GovernmentRate)</f>
        <v/>
      </c>
      <c r="S199" s="130">
        <f>IF(N199="","",Q199+R199)</f>
        <v/>
      </c>
      <c r="T199" s="130">
        <f>IF(M199=0,0,S199/M199)</f>
        <v/>
      </c>
      <c r="U199" s="176" t="n"/>
      <c r="V199" s="129" t="n"/>
      <c r="W199" s="127" t="n"/>
      <c r="X199" s="130" t="n"/>
      <c r="Y199" s="178" t="n"/>
      <c r="Z199" s="129" t="n"/>
      <c r="AA199" s="129" t="n"/>
      <c r="AB199" s="176" t="n"/>
      <c r="AC199" s="129" t="n"/>
      <c r="AD199" s="176" t="n"/>
      <c r="AE199" s="129" t="n"/>
    </row>
    <row r="200" hidden="1" ht="14.25" customHeight="1" s="83">
      <c r="A200" s="103" t="inlineStr">
        <is>
          <t>Dorm 3</t>
        </is>
      </c>
      <c r="B200" s="177" t="n">
        <v>46266</v>
      </c>
      <c r="C200" s="103" t="inlineStr">
        <is>
          <t>Room 3-3</t>
        </is>
      </c>
      <c r="D200" s="126" t="n">
        <v>0</v>
      </c>
      <c r="E200" s="126" t="n">
        <v>0</v>
      </c>
      <c r="F200" s="127">
        <f>MAX(D200-E200,0)</f>
        <v/>
      </c>
      <c r="G200" s="130">
        <f>E200*GeneratorRate</f>
        <v/>
      </c>
      <c r="H200" s="130">
        <f>F200*GovernmentRate</f>
        <v/>
      </c>
      <c r="I200" s="130">
        <f>G200+H200</f>
        <v/>
      </c>
      <c r="J200" s="129">
        <f>IFERROR(I200/COUNTIFS('Client DB &amp; Bed Mgmt'!$A:$A,A200,'Client DB &amp; Bed Mgmt'!$B:$B,C200,'Client DB &amp; Bed Mgmt'!$D:$D,"&lt;&gt;"),0)</f>
        <v/>
      </c>
      <c r="K200" s="103" t="inlineStr">
        <is>
          <t>Dorm 3</t>
        </is>
      </c>
      <c r="L200" s="103" t="inlineStr">
        <is>
          <t>Room 3-3</t>
        </is>
      </c>
      <c r="M200" s="103">
        <f>COUNTIFS('Client DB &amp; Bed Mgmt'!$A:$A,$K200,'Client DB &amp; Bed Mgmt'!$B:$B,$L200,'Client DB &amp; Bed Mgmt'!$D:$D,"&lt;&gt;")</f>
        <v/>
      </c>
      <c r="N200" s="126" t="n"/>
      <c r="O200" s="126" t="n"/>
      <c r="P200" s="127">
        <f>IF(N200="","",MAX(N200-O200,0))</f>
        <v/>
      </c>
      <c r="Q200" s="130">
        <f>IF(O200="","",O200*GeneratorRate)</f>
        <v/>
      </c>
      <c r="R200" s="130">
        <f>IF(P200="","",P200*GovernmentRate)</f>
        <v/>
      </c>
      <c r="S200" s="130">
        <f>IF(N200="","",Q200+R200)</f>
        <v/>
      </c>
      <c r="T200" s="130">
        <f>IF(M200=0,0,S200/M200)</f>
        <v/>
      </c>
      <c r="U200" s="176" t="n"/>
      <c r="V200" s="129" t="n"/>
      <c r="W200" s="127" t="n"/>
      <c r="X200" s="130" t="n"/>
      <c r="Y200" s="178" t="n"/>
      <c r="Z200" s="129" t="n"/>
      <c r="AA200" s="129" t="n"/>
      <c r="AB200" s="176" t="n"/>
      <c r="AC200" s="129" t="n"/>
      <c r="AD200" s="176" t="n"/>
      <c r="AE200" s="129" t="n"/>
    </row>
    <row r="201" hidden="1" ht="14.25" customHeight="1" s="83">
      <c r="A201" s="103" t="inlineStr">
        <is>
          <t>Dorm 3</t>
        </is>
      </c>
      <c r="B201" s="177" t="n">
        <v>46266</v>
      </c>
      <c r="C201" s="103" t="inlineStr">
        <is>
          <t>Room 3-4</t>
        </is>
      </c>
      <c r="D201" s="126" t="n">
        <v>0</v>
      </c>
      <c r="E201" s="126" t="n">
        <v>0</v>
      </c>
      <c r="F201" s="127">
        <f>MAX(D201-E201,0)</f>
        <v/>
      </c>
      <c r="G201" s="130">
        <f>E201*GeneratorRate</f>
        <v/>
      </c>
      <c r="H201" s="130">
        <f>F201*GovernmentRate</f>
        <v/>
      </c>
      <c r="I201" s="130">
        <f>G201+H201</f>
        <v/>
      </c>
      <c r="J201" s="129">
        <f>IFERROR(I201/COUNTIFS('Client DB &amp; Bed Mgmt'!$A:$A,A201,'Client DB &amp; Bed Mgmt'!$B:$B,C201,'Client DB &amp; Bed Mgmt'!$D:$D,"&lt;&gt;"),0)</f>
        <v/>
      </c>
      <c r="K201" s="103" t="inlineStr">
        <is>
          <t>Dorm 3</t>
        </is>
      </c>
      <c r="L201" s="103" t="inlineStr">
        <is>
          <t>Room 3-4</t>
        </is>
      </c>
      <c r="M201" s="103">
        <f>COUNTIFS('Client DB &amp; Bed Mgmt'!$A:$A,$K201,'Client DB &amp; Bed Mgmt'!$B:$B,$L201,'Client DB &amp; Bed Mgmt'!$D:$D,"&lt;&gt;")</f>
        <v/>
      </c>
      <c r="N201" s="126" t="n"/>
      <c r="O201" s="126" t="n"/>
      <c r="P201" s="127">
        <f>IF(N201="","",MAX(N201-O201,0))</f>
        <v/>
      </c>
      <c r="Q201" s="130">
        <f>IF(O201="","",O201*GeneratorRate)</f>
        <v/>
      </c>
      <c r="R201" s="130">
        <f>IF(P201="","",P201*GovernmentRate)</f>
        <v/>
      </c>
      <c r="S201" s="130">
        <f>IF(N201="","",Q201+R201)</f>
        <v/>
      </c>
      <c r="T201" s="130">
        <f>IF(M201=0,0,S201/M201)</f>
        <v/>
      </c>
      <c r="U201" s="176" t="n"/>
      <c r="V201" s="129" t="n"/>
      <c r="W201" s="127" t="n"/>
      <c r="X201" s="130" t="n"/>
      <c r="Y201" s="178" t="n"/>
      <c r="Z201" s="129" t="n"/>
      <c r="AA201" s="129" t="n"/>
      <c r="AB201" s="176" t="n"/>
      <c r="AC201" s="129" t="n"/>
      <c r="AD201" s="176" t="n"/>
      <c r="AE201" s="129" t="n"/>
    </row>
    <row r="202" hidden="1" ht="14.25" customHeight="1" s="83">
      <c r="A202" s="103" t="inlineStr">
        <is>
          <t>Dorm 3</t>
        </is>
      </c>
      <c r="B202" s="177" t="n">
        <v>46266</v>
      </c>
      <c r="C202" s="103" t="inlineStr">
        <is>
          <t>Room 3-5</t>
        </is>
      </c>
      <c r="D202" s="126" t="n">
        <v>0</v>
      </c>
      <c r="E202" s="126" t="n">
        <v>0</v>
      </c>
      <c r="F202" s="127">
        <f>MAX(D202-E202,0)</f>
        <v/>
      </c>
      <c r="G202" s="130">
        <f>E202*GeneratorRate</f>
        <v/>
      </c>
      <c r="H202" s="130">
        <f>F202*GovernmentRate</f>
        <v/>
      </c>
      <c r="I202" s="130">
        <f>G202+H202</f>
        <v/>
      </c>
      <c r="J202" s="129">
        <f>IFERROR(I202/COUNTIFS('Client DB &amp; Bed Mgmt'!$A:$A,A202,'Client DB &amp; Bed Mgmt'!$B:$B,C202,'Client DB &amp; Bed Mgmt'!$D:$D,"&lt;&gt;"),0)</f>
        <v/>
      </c>
      <c r="K202" s="103" t="inlineStr">
        <is>
          <t>Dorm 3</t>
        </is>
      </c>
      <c r="L202" s="103" t="inlineStr">
        <is>
          <t>Room 3-5</t>
        </is>
      </c>
      <c r="M202" s="103">
        <f>COUNTIFS('Client DB &amp; Bed Mgmt'!$A:$A,$K202,'Client DB &amp; Bed Mgmt'!$B:$B,$L202,'Client DB &amp; Bed Mgmt'!$D:$D,"&lt;&gt;")</f>
        <v/>
      </c>
      <c r="N202" s="126" t="n"/>
      <c r="O202" s="126" t="n"/>
      <c r="P202" s="127">
        <f>IF(N202="","",MAX(N202-O202,0))</f>
        <v/>
      </c>
      <c r="Q202" s="130">
        <f>IF(O202="","",O202*GeneratorRate)</f>
        <v/>
      </c>
      <c r="R202" s="130">
        <f>IF(P202="","",P202*GovernmentRate)</f>
        <v/>
      </c>
      <c r="S202" s="130">
        <f>IF(N202="","",Q202+R202)</f>
        <v/>
      </c>
      <c r="T202" s="130">
        <f>IF(M202=0,0,S202/M202)</f>
        <v/>
      </c>
      <c r="U202" s="176" t="n"/>
      <c r="V202" s="129" t="n"/>
      <c r="W202" s="127" t="n"/>
      <c r="X202" s="130" t="n"/>
      <c r="Y202" s="178" t="n"/>
      <c r="Z202" s="129" t="n"/>
      <c r="AA202" s="129" t="n"/>
      <c r="AB202" s="176" t="n"/>
      <c r="AC202" s="129" t="n"/>
      <c r="AD202" s="176" t="n"/>
      <c r="AE202" s="129" t="n"/>
    </row>
    <row r="203" hidden="1" ht="14.25" customHeight="1" s="83">
      <c r="A203" s="103" t="inlineStr">
        <is>
          <t>Dorm 3</t>
        </is>
      </c>
      <c r="B203" s="177" t="n">
        <v>46266</v>
      </c>
      <c r="C203" s="103" t="inlineStr">
        <is>
          <t>Room 3-6</t>
        </is>
      </c>
      <c r="D203" s="126" t="n">
        <v>0</v>
      </c>
      <c r="E203" s="126" t="n">
        <v>0</v>
      </c>
      <c r="F203" s="127">
        <f>MAX(D203-E203,0)</f>
        <v/>
      </c>
      <c r="G203" s="130">
        <f>E203*GeneratorRate</f>
        <v/>
      </c>
      <c r="H203" s="130">
        <f>F203*GovernmentRate</f>
        <v/>
      </c>
      <c r="I203" s="130">
        <f>G203+H203</f>
        <v/>
      </c>
      <c r="J203" s="129">
        <f>IFERROR(I203/COUNTIFS('Client DB &amp; Bed Mgmt'!$A:$A,A203,'Client DB &amp; Bed Mgmt'!$B:$B,C203,'Client DB &amp; Bed Mgmt'!$D:$D,"&lt;&gt;"),0)</f>
        <v/>
      </c>
      <c r="K203" s="103" t="inlineStr">
        <is>
          <t>Dorm 3</t>
        </is>
      </c>
      <c r="L203" s="103" t="inlineStr">
        <is>
          <t>Room 3-6</t>
        </is>
      </c>
      <c r="M203" s="103">
        <f>COUNTIFS('Client DB &amp; Bed Mgmt'!$A:$A,$K203,'Client DB &amp; Bed Mgmt'!$B:$B,$L203,'Client DB &amp; Bed Mgmt'!$D:$D,"&lt;&gt;")</f>
        <v/>
      </c>
      <c r="N203" s="126" t="n"/>
      <c r="O203" s="126" t="n"/>
      <c r="P203" s="127">
        <f>IF(N203="","",MAX(N203-O203,0))</f>
        <v/>
      </c>
      <c r="Q203" s="130">
        <f>IF(O203="","",O203*GeneratorRate)</f>
        <v/>
      </c>
      <c r="R203" s="130">
        <f>IF(P203="","",P203*GovernmentRate)</f>
        <v/>
      </c>
      <c r="S203" s="130">
        <f>IF(N203="","",Q203+R203)</f>
        <v/>
      </c>
      <c r="T203" s="130">
        <f>IF(M203=0,0,S203/M203)</f>
        <v/>
      </c>
      <c r="U203" s="176" t="n"/>
      <c r="V203" s="129" t="n"/>
      <c r="W203" s="127" t="n"/>
      <c r="X203" s="130" t="n"/>
      <c r="Y203" s="178" t="n"/>
      <c r="Z203" s="129" t="n"/>
      <c r="AA203" s="129" t="n"/>
      <c r="AB203" s="176" t="n"/>
      <c r="AC203" s="129" t="n"/>
      <c r="AD203" s="176" t="n"/>
      <c r="AE203" s="129" t="n"/>
    </row>
    <row r="204" hidden="1" ht="14.25" customHeight="1" s="83">
      <c r="A204" s="103" t="inlineStr">
        <is>
          <t>Dorm 3</t>
        </is>
      </c>
      <c r="B204" s="177" t="n">
        <v>46296</v>
      </c>
      <c r="C204" s="103" t="inlineStr">
        <is>
          <t>Room 3-1</t>
        </is>
      </c>
      <c r="D204" s="126" t="n">
        <v>0</v>
      </c>
      <c r="E204" s="126" t="n">
        <v>0</v>
      </c>
      <c r="F204" s="127">
        <f>MAX(D204-E204,0)</f>
        <v/>
      </c>
      <c r="G204" s="130">
        <f>E204*GeneratorRate</f>
        <v/>
      </c>
      <c r="H204" s="130">
        <f>F204*GovernmentRate</f>
        <v/>
      </c>
      <c r="I204" s="130">
        <f>G204+H204</f>
        <v/>
      </c>
      <c r="J204" s="129">
        <f>IFERROR(I204/COUNTIFS('Client DB &amp; Bed Mgmt'!$A:$A,A204,'Client DB &amp; Bed Mgmt'!$B:$B,C204,'Client DB &amp; Bed Mgmt'!$D:$D,"&lt;&gt;"),0)</f>
        <v/>
      </c>
      <c r="K204" s="103" t="inlineStr">
        <is>
          <t>Dorm 3</t>
        </is>
      </c>
      <c r="L204" s="103" t="inlineStr">
        <is>
          <t>Room 3-1</t>
        </is>
      </c>
      <c r="M204" s="103">
        <f>COUNTIFS('Client DB &amp; Bed Mgmt'!$A:$A,$K204,'Client DB &amp; Bed Mgmt'!$B:$B,$L204,'Client DB &amp; Bed Mgmt'!$D:$D,"&lt;&gt;")</f>
        <v/>
      </c>
      <c r="N204" s="126" t="n"/>
      <c r="O204" s="126" t="n"/>
      <c r="P204" s="127">
        <f>IF(N204="","",MAX(N204-O204,0))</f>
        <v/>
      </c>
      <c r="Q204" s="130">
        <f>IF(O204="","",O204*GeneratorRate)</f>
        <v/>
      </c>
      <c r="R204" s="130">
        <f>IF(P204="","",P204*GovernmentRate)</f>
        <v/>
      </c>
      <c r="S204" s="130">
        <f>IF(N204="","",Q204+R204)</f>
        <v/>
      </c>
      <c r="T204" s="130">
        <f>IF(M204=0,0,S204/M204)</f>
        <v/>
      </c>
      <c r="U204" s="176" t="n"/>
      <c r="V204" s="129" t="n"/>
      <c r="W204" s="127" t="n"/>
      <c r="X204" s="130" t="n"/>
      <c r="Y204" s="178" t="n"/>
      <c r="Z204" s="129" t="n"/>
      <c r="AA204" s="129" t="n"/>
      <c r="AB204" s="176" t="n"/>
      <c r="AC204" s="129" t="n"/>
      <c r="AD204" s="176" t="n"/>
      <c r="AE204" s="129" t="n"/>
    </row>
    <row r="205" hidden="1" ht="14.25" customHeight="1" s="83">
      <c r="A205" s="103" t="inlineStr">
        <is>
          <t>Dorm 3</t>
        </is>
      </c>
      <c r="B205" s="177" t="n">
        <v>46296</v>
      </c>
      <c r="C205" s="103" t="inlineStr">
        <is>
          <t>Room 3-2</t>
        </is>
      </c>
      <c r="D205" s="126" t="n">
        <v>0</v>
      </c>
      <c r="E205" s="126" t="n">
        <v>0</v>
      </c>
      <c r="F205" s="127">
        <f>MAX(D205-E205,0)</f>
        <v/>
      </c>
      <c r="G205" s="130">
        <f>E205*GeneratorRate</f>
        <v/>
      </c>
      <c r="H205" s="130">
        <f>F205*GovernmentRate</f>
        <v/>
      </c>
      <c r="I205" s="130">
        <f>G205+H205</f>
        <v/>
      </c>
      <c r="J205" s="129">
        <f>IFERROR(I205/COUNTIFS('Client DB &amp; Bed Mgmt'!$A:$A,A205,'Client DB &amp; Bed Mgmt'!$B:$B,C205,'Client DB &amp; Bed Mgmt'!$D:$D,"&lt;&gt;"),0)</f>
        <v/>
      </c>
      <c r="K205" s="103" t="inlineStr">
        <is>
          <t>Dorm 3</t>
        </is>
      </c>
      <c r="L205" s="103" t="inlineStr">
        <is>
          <t>Room 3-2</t>
        </is>
      </c>
      <c r="M205" s="103">
        <f>COUNTIFS('Client DB &amp; Bed Mgmt'!$A:$A,$K205,'Client DB &amp; Bed Mgmt'!$B:$B,$L205,'Client DB &amp; Bed Mgmt'!$D:$D,"&lt;&gt;")</f>
        <v/>
      </c>
      <c r="N205" s="126" t="n"/>
      <c r="O205" s="126" t="n"/>
      <c r="P205" s="127">
        <f>IF(N205="","",MAX(N205-O205,0))</f>
        <v/>
      </c>
      <c r="Q205" s="130">
        <f>IF(O205="","",O205*GeneratorRate)</f>
        <v/>
      </c>
      <c r="R205" s="130">
        <f>IF(P205="","",P205*GovernmentRate)</f>
        <v/>
      </c>
      <c r="S205" s="130">
        <f>IF(N205="","",Q205+R205)</f>
        <v/>
      </c>
      <c r="T205" s="130">
        <f>IF(M205=0,0,S205/M205)</f>
        <v/>
      </c>
      <c r="U205" s="176" t="n"/>
      <c r="V205" s="129" t="n"/>
      <c r="W205" s="127" t="n"/>
      <c r="X205" s="130" t="n"/>
      <c r="Y205" s="178" t="n"/>
      <c r="Z205" s="129" t="n"/>
      <c r="AA205" s="129" t="n"/>
      <c r="AB205" s="176" t="n"/>
      <c r="AC205" s="129" t="n"/>
      <c r="AD205" s="176" t="n"/>
      <c r="AE205" s="129" t="n"/>
    </row>
    <row r="206" hidden="1" ht="14.25" customHeight="1" s="83">
      <c r="A206" s="103" t="inlineStr">
        <is>
          <t>Dorm 3</t>
        </is>
      </c>
      <c r="B206" s="177" t="n">
        <v>46296</v>
      </c>
      <c r="C206" s="103" t="inlineStr">
        <is>
          <t>Room 3-3</t>
        </is>
      </c>
      <c r="D206" s="126" t="n">
        <v>0</v>
      </c>
      <c r="E206" s="126" t="n">
        <v>0</v>
      </c>
      <c r="F206" s="127">
        <f>MAX(D206-E206,0)</f>
        <v/>
      </c>
      <c r="G206" s="130">
        <f>E206*GeneratorRate</f>
        <v/>
      </c>
      <c r="H206" s="130">
        <f>F206*GovernmentRate</f>
        <v/>
      </c>
      <c r="I206" s="130">
        <f>G206+H206</f>
        <v/>
      </c>
      <c r="J206" s="129">
        <f>IFERROR(I206/COUNTIFS('Client DB &amp; Bed Mgmt'!$A:$A,A206,'Client DB &amp; Bed Mgmt'!$B:$B,C206,'Client DB &amp; Bed Mgmt'!$D:$D,"&lt;&gt;"),0)</f>
        <v/>
      </c>
      <c r="K206" s="103" t="inlineStr">
        <is>
          <t>Dorm 3</t>
        </is>
      </c>
      <c r="L206" s="103" t="inlineStr">
        <is>
          <t>Room 3-3</t>
        </is>
      </c>
      <c r="M206" s="103">
        <f>COUNTIFS('Client DB &amp; Bed Mgmt'!$A:$A,$K206,'Client DB &amp; Bed Mgmt'!$B:$B,$L206,'Client DB &amp; Bed Mgmt'!$D:$D,"&lt;&gt;")</f>
        <v/>
      </c>
      <c r="N206" s="126" t="n"/>
      <c r="O206" s="126" t="n"/>
      <c r="P206" s="127">
        <f>IF(N206="","",MAX(N206-O206,0))</f>
        <v/>
      </c>
      <c r="Q206" s="130">
        <f>IF(O206="","",O206*GeneratorRate)</f>
        <v/>
      </c>
      <c r="R206" s="130">
        <f>IF(P206="","",P206*GovernmentRate)</f>
        <v/>
      </c>
      <c r="S206" s="130">
        <f>IF(N206="","",Q206+R206)</f>
        <v/>
      </c>
      <c r="T206" s="130">
        <f>IF(M206=0,0,S206/M206)</f>
        <v/>
      </c>
      <c r="U206" s="176" t="n"/>
      <c r="V206" s="129" t="n"/>
      <c r="W206" s="127" t="n"/>
      <c r="X206" s="130" t="n"/>
      <c r="Y206" s="178" t="n"/>
      <c r="Z206" s="129" t="n"/>
      <c r="AA206" s="129" t="n"/>
      <c r="AB206" s="176" t="n"/>
      <c r="AC206" s="129" t="n"/>
      <c r="AD206" s="176" t="n"/>
      <c r="AE206" s="129" t="n"/>
    </row>
    <row r="207" hidden="1" ht="14.25" customHeight="1" s="83">
      <c r="A207" s="103" t="inlineStr">
        <is>
          <t>Dorm 3</t>
        </is>
      </c>
      <c r="B207" s="177" t="n">
        <v>46296</v>
      </c>
      <c r="C207" s="103" t="inlineStr">
        <is>
          <t>Room 3-4</t>
        </is>
      </c>
      <c r="D207" s="126" t="n">
        <v>0</v>
      </c>
      <c r="E207" s="126" t="n">
        <v>0</v>
      </c>
      <c r="F207" s="127">
        <f>MAX(D207-E207,0)</f>
        <v/>
      </c>
      <c r="G207" s="130">
        <f>E207*GeneratorRate</f>
        <v/>
      </c>
      <c r="H207" s="130">
        <f>F207*GovernmentRate</f>
        <v/>
      </c>
      <c r="I207" s="130">
        <f>G207+H207</f>
        <v/>
      </c>
      <c r="J207" s="129">
        <f>IFERROR(I207/COUNTIFS('Client DB &amp; Bed Mgmt'!$A:$A,A207,'Client DB &amp; Bed Mgmt'!$B:$B,C207,'Client DB &amp; Bed Mgmt'!$D:$D,"&lt;&gt;"),0)</f>
        <v/>
      </c>
      <c r="K207" s="103" t="inlineStr">
        <is>
          <t>Dorm 3</t>
        </is>
      </c>
      <c r="L207" s="103" t="inlineStr">
        <is>
          <t>Room 3-4</t>
        </is>
      </c>
      <c r="M207" s="103">
        <f>COUNTIFS('Client DB &amp; Bed Mgmt'!$A:$A,$K207,'Client DB &amp; Bed Mgmt'!$B:$B,$L207,'Client DB &amp; Bed Mgmt'!$D:$D,"&lt;&gt;")</f>
        <v/>
      </c>
      <c r="N207" s="126" t="n"/>
      <c r="O207" s="126" t="n"/>
      <c r="P207" s="127">
        <f>IF(N207="","",MAX(N207-O207,0))</f>
        <v/>
      </c>
      <c r="Q207" s="130">
        <f>IF(O207="","",O207*GeneratorRate)</f>
        <v/>
      </c>
      <c r="R207" s="130">
        <f>IF(P207="","",P207*GovernmentRate)</f>
        <v/>
      </c>
      <c r="S207" s="130">
        <f>IF(N207="","",Q207+R207)</f>
        <v/>
      </c>
      <c r="T207" s="130">
        <f>IF(M207=0,0,S207/M207)</f>
        <v/>
      </c>
      <c r="U207" s="176" t="n"/>
      <c r="V207" s="129" t="n"/>
      <c r="W207" s="127" t="n"/>
      <c r="X207" s="130" t="n"/>
      <c r="Y207" s="178" t="n"/>
      <c r="Z207" s="129" t="n"/>
      <c r="AA207" s="129" t="n"/>
      <c r="AB207" s="176" t="n"/>
      <c r="AC207" s="129" t="n"/>
      <c r="AD207" s="176" t="n"/>
      <c r="AE207" s="129" t="n"/>
    </row>
    <row r="208" hidden="1" ht="14.25" customHeight="1" s="83">
      <c r="A208" s="103" t="inlineStr">
        <is>
          <t>Dorm 3</t>
        </is>
      </c>
      <c r="B208" s="177" t="n">
        <v>46296</v>
      </c>
      <c r="C208" s="103" t="inlineStr">
        <is>
          <t>Room 3-5</t>
        </is>
      </c>
      <c r="D208" s="126" t="n">
        <v>0</v>
      </c>
      <c r="E208" s="126" t="n">
        <v>0</v>
      </c>
      <c r="F208" s="127">
        <f>MAX(D208-E208,0)</f>
        <v/>
      </c>
      <c r="G208" s="130">
        <f>E208*GeneratorRate</f>
        <v/>
      </c>
      <c r="H208" s="130">
        <f>F208*GovernmentRate</f>
        <v/>
      </c>
      <c r="I208" s="130">
        <f>G208+H208</f>
        <v/>
      </c>
      <c r="J208" s="129">
        <f>IFERROR(I208/COUNTIFS('Client DB &amp; Bed Mgmt'!$A:$A,A208,'Client DB &amp; Bed Mgmt'!$B:$B,C208,'Client DB &amp; Bed Mgmt'!$D:$D,"&lt;&gt;"),0)</f>
        <v/>
      </c>
      <c r="K208" s="103" t="inlineStr">
        <is>
          <t>Dorm 3</t>
        </is>
      </c>
      <c r="L208" s="103" t="inlineStr">
        <is>
          <t>Room 3-5</t>
        </is>
      </c>
      <c r="M208" s="103">
        <f>COUNTIFS('Client DB &amp; Bed Mgmt'!$A:$A,$K208,'Client DB &amp; Bed Mgmt'!$B:$B,$L208,'Client DB &amp; Bed Mgmt'!$D:$D,"&lt;&gt;")</f>
        <v/>
      </c>
      <c r="N208" s="126" t="n"/>
      <c r="O208" s="126" t="n"/>
      <c r="P208" s="127">
        <f>IF(N208="","",MAX(N208-O208,0))</f>
        <v/>
      </c>
      <c r="Q208" s="130">
        <f>IF(O208="","",O208*GeneratorRate)</f>
        <v/>
      </c>
      <c r="R208" s="130">
        <f>IF(P208="","",P208*GovernmentRate)</f>
        <v/>
      </c>
      <c r="S208" s="130">
        <f>IF(N208="","",Q208+R208)</f>
        <v/>
      </c>
      <c r="T208" s="130">
        <f>IF(M208=0,0,S208/M208)</f>
        <v/>
      </c>
      <c r="U208" s="176" t="n"/>
      <c r="V208" s="129" t="n"/>
      <c r="W208" s="127" t="n"/>
      <c r="X208" s="130" t="n"/>
      <c r="Y208" s="178" t="n"/>
      <c r="Z208" s="129" t="n"/>
      <c r="AA208" s="129" t="n"/>
      <c r="AB208" s="176" t="n"/>
      <c r="AC208" s="129" t="n"/>
      <c r="AD208" s="176" t="n"/>
      <c r="AE208" s="129" t="n"/>
    </row>
    <row r="209" hidden="1" ht="14.25" customHeight="1" s="83">
      <c r="A209" s="103" t="inlineStr">
        <is>
          <t>Dorm 3</t>
        </is>
      </c>
      <c r="B209" s="177" t="n">
        <v>46296</v>
      </c>
      <c r="C209" s="103" t="inlineStr">
        <is>
          <t>Room 3-6</t>
        </is>
      </c>
      <c r="D209" s="126" t="n">
        <v>0</v>
      </c>
      <c r="E209" s="126" t="n">
        <v>0</v>
      </c>
      <c r="F209" s="127">
        <f>MAX(D209-E209,0)</f>
        <v/>
      </c>
      <c r="G209" s="130">
        <f>E209*GeneratorRate</f>
        <v/>
      </c>
      <c r="H209" s="130">
        <f>F209*GovernmentRate</f>
        <v/>
      </c>
      <c r="I209" s="130">
        <f>G209+H209</f>
        <v/>
      </c>
      <c r="J209" s="129">
        <f>IFERROR(I209/COUNTIFS('Client DB &amp; Bed Mgmt'!$A:$A,A209,'Client DB &amp; Bed Mgmt'!$B:$B,C209,'Client DB &amp; Bed Mgmt'!$D:$D,"&lt;&gt;"),0)</f>
        <v/>
      </c>
      <c r="K209" s="103" t="inlineStr">
        <is>
          <t>Dorm 3</t>
        </is>
      </c>
      <c r="L209" s="103" t="inlineStr">
        <is>
          <t>Room 3-6</t>
        </is>
      </c>
      <c r="M209" s="103">
        <f>COUNTIFS('Client DB &amp; Bed Mgmt'!$A:$A,$K209,'Client DB &amp; Bed Mgmt'!$B:$B,$L209,'Client DB &amp; Bed Mgmt'!$D:$D,"&lt;&gt;")</f>
        <v/>
      </c>
      <c r="N209" s="126" t="n"/>
      <c r="O209" s="126" t="n"/>
      <c r="P209" s="127">
        <f>IF(N209="","",MAX(N209-O209,0))</f>
        <v/>
      </c>
      <c r="Q209" s="130">
        <f>IF(O209="","",O209*GeneratorRate)</f>
        <v/>
      </c>
      <c r="R209" s="130">
        <f>IF(P209="","",P209*GovernmentRate)</f>
        <v/>
      </c>
      <c r="S209" s="130">
        <f>IF(N209="","",Q209+R209)</f>
        <v/>
      </c>
      <c r="T209" s="130">
        <f>IF(M209=0,0,S209/M209)</f>
        <v/>
      </c>
      <c r="U209" s="176" t="n"/>
      <c r="V209" s="129" t="n"/>
      <c r="W209" s="127" t="n"/>
      <c r="X209" s="130" t="n"/>
      <c r="Y209" s="178" t="n"/>
      <c r="Z209" s="129" t="n"/>
      <c r="AA209" s="129" t="n"/>
      <c r="AB209" s="176" t="n"/>
      <c r="AC209" s="129" t="n"/>
      <c r="AD209" s="176" t="n"/>
      <c r="AE209" s="129" t="n"/>
    </row>
    <row r="210" hidden="1" ht="14.25" customHeight="1" s="83">
      <c r="A210" s="103" t="inlineStr">
        <is>
          <t>Dorm 3</t>
        </is>
      </c>
      <c r="B210" s="177" t="n">
        <v>46327</v>
      </c>
      <c r="C210" s="103" t="inlineStr">
        <is>
          <t>Room 3-1</t>
        </is>
      </c>
      <c r="D210" s="126" t="n">
        <v>0</v>
      </c>
      <c r="E210" s="126" t="n">
        <v>0</v>
      </c>
      <c r="F210" s="127">
        <f>MAX(D210-E210,0)</f>
        <v/>
      </c>
      <c r="G210" s="130">
        <f>E210*GeneratorRate</f>
        <v/>
      </c>
      <c r="H210" s="130">
        <f>F210*GovernmentRate</f>
        <v/>
      </c>
      <c r="I210" s="130">
        <f>G210+H210</f>
        <v/>
      </c>
      <c r="J210" s="129">
        <f>IFERROR(I210/COUNTIFS('Client DB &amp; Bed Mgmt'!$A:$A,A210,'Client DB &amp; Bed Mgmt'!$B:$B,C210,'Client DB &amp; Bed Mgmt'!$D:$D,"&lt;&gt;"),0)</f>
        <v/>
      </c>
      <c r="K210" s="103" t="inlineStr">
        <is>
          <t>Dorm 3</t>
        </is>
      </c>
      <c r="L210" s="103" t="inlineStr">
        <is>
          <t>Room 3-1</t>
        </is>
      </c>
      <c r="M210" s="103">
        <f>COUNTIFS('Client DB &amp; Bed Mgmt'!$A:$A,$K210,'Client DB &amp; Bed Mgmt'!$B:$B,$L210,'Client DB &amp; Bed Mgmt'!$D:$D,"&lt;&gt;")</f>
        <v/>
      </c>
      <c r="N210" s="126" t="n"/>
      <c r="O210" s="126" t="n"/>
      <c r="P210" s="127">
        <f>IF(N210="","",MAX(N210-O210,0))</f>
        <v/>
      </c>
      <c r="Q210" s="130">
        <f>IF(O210="","",O210*GeneratorRate)</f>
        <v/>
      </c>
      <c r="R210" s="130">
        <f>IF(P210="","",P210*GovernmentRate)</f>
        <v/>
      </c>
      <c r="S210" s="130">
        <f>IF(N210="","",Q210+R210)</f>
        <v/>
      </c>
      <c r="T210" s="130">
        <f>IF(M210=0,0,S210/M210)</f>
        <v/>
      </c>
      <c r="U210" s="176" t="n"/>
      <c r="V210" s="129" t="n"/>
      <c r="W210" s="127" t="n"/>
      <c r="X210" s="130" t="n"/>
      <c r="Y210" s="178" t="n"/>
      <c r="Z210" s="129" t="n"/>
      <c r="AA210" s="129" t="n"/>
      <c r="AB210" s="176" t="n"/>
      <c r="AC210" s="129" t="n"/>
      <c r="AD210" s="176" t="n"/>
      <c r="AE210" s="129" t="n"/>
    </row>
    <row r="211" hidden="1" ht="14.25" customHeight="1" s="83">
      <c r="A211" s="103" t="inlineStr">
        <is>
          <t>Dorm 3</t>
        </is>
      </c>
      <c r="B211" s="177" t="n">
        <v>46327</v>
      </c>
      <c r="C211" s="103" t="inlineStr">
        <is>
          <t>Room 3-2</t>
        </is>
      </c>
      <c r="D211" s="126" t="n">
        <v>0</v>
      </c>
      <c r="E211" s="126" t="n">
        <v>0</v>
      </c>
      <c r="F211" s="127">
        <f>MAX(D211-E211,0)</f>
        <v/>
      </c>
      <c r="G211" s="130">
        <f>E211*GeneratorRate</f>
        <v/>
      </c>
      <c r="H211" s="130">
        <f>F211*GovernmentRate</f>
        <v/>
      </c>
      <c r="I211" s="130">
        <f>G211+H211</f>
        <v/>
      </c>
      <c r="J211" s="129">
        <f>IFERROR(I211/COUNTIFS('Client DB &amp; Bed Mgmt'!$A:$A,A211,'Client DB &amp; Bed Mgmt'!$B:$B,C211,'Client DB &amp; Bed Mgmt'!$D:$D,"&lt;&gt;"),0)</f>
        <v/>
      </c>
      <c r="K211" s="103" t="inlineStr">
        <is>
          <t>Dorm 3</t>
        </is>
      </c>
      <c r="L211" s="103" t="inlineStr">
        <is>
          <t>Room 3-2</t>
        </is>
      </c>
      <c r="M211" s="103">
        <f>COUNTIFS('Client DB &amp; Bed Mgmt'!$A:$A,$K211,'Client DB &amp; Bed Mgmt'!$B:$B,$L211,'Client DB &amp; Bed Mgmt'!$D:$D,"&lt;&gt;")</f>
        <v/>
      </c>
      <c r="N211" s="126" t="n"/>
      <c r="O211" s="126" t="n"/>
      <c r="P211" s="127">
        <f>IF(N211="","",MAX(N211-O211,0))</f>
        <v/>
      </c>
      <c r="Q211" s="130">
        <f>IF(O211="","",O211*GeneratorRate)</f>
        <v/>
      </c>
      <c r="R211" s="130">
        <f>IF(P211="","",P211*GovernmentRate)</f>
        <v/>
      </c>
      <c r="S211" s="130">
        <f>IF(N211="","",Q211+R211)</f>
        <v/>
      </c>
      <c r="T211" s="130">
        <f>IF(M211=0,0,S211/M211)</f>
        <v/>
      </c>
      <c r="U211" s="176" t="n"/>
      <c r="V211" s="129" t="n"/>
      <c r="W211" s="127" t="n"/>
      <c r="X211" s="130" t="n"/>
      <c r="Y211" s="178" t="n"/>
      <c r="Z211" s="129" t="n"/>
      <c r="AA211" s="129" t="n"/>
      <c r="AB211" s="176" t="n"/>
      <c r="AC211" s="129" t="n"/>
      <c r="AD211" s="176" t="n"/>
      <c r="AE211" s="129" t="n"/>
    </row>
    <row r="212" hidden="1" ht="14.25" customHeight="1" s="83">
      <c r="A212" s="103" t="inlineStr">
        <is>
          <t>Dorm 3</t>
        </is>
      </c>
      <c r="B212" s="177" t="n">
        <v>46327</v>
      </c>
      <c r="C212" s="103" t="inlineStr">
        <is>
          <t>Room 3-3</t>
        </is>
      </c>
      <c r="D212" s="126" t="n">
        <v>0</v>
      </c>
      <c r="E212" s="126" t="n">
        <v>0</v>
      </c>
      <c r="F212" s="127">
        <f>MAX(D212-E212,0)</f>
        <v/>
      </c>
      <c r="G212" s="130">
        <f>E212*GeneratorRate</f>
        <v/>
      </c>
      <c r="H212" s="130">
        <f>F212*GovernmentRate</f>
        <v/>
      </c>
      <c r="I212" s="130">
        <f>G212+H212</f>
        <v/>
      </c>
      <c r="J212" s="129">
        <f>IFERROR(I212/COUNTIFS('Client DB &amp; Bed Mgmt'!$A:$A,A212,'Client DB &amp; Bed Mgmt'!$B:$B,C212,'Client DB &amp; Bed Mgmt'!$D:$D,"&lt;&gt;"),0)</f>
        <v/>
      </c>
      <c r="K212" s="103" t="inlineStr">
        <is>
          <t>Dorm 3</t>
        </is>
      </c>
      <c r="L212" s="103" t="inlineStr">
        <is>
          <t>Room 3-3</t>
        </is>
      </c>
      <c r="M212" s="103">
        <f>COUNTIFS('Client DB &amp; Bed Mgmt'!$A:$A,$K212,'Client DB &amp; Bed Mgmt'!$B:$B,$L212,'Client DB &amp; Bed Mgmt'!$D:$D,"&lt;&gt;")</f>
        <v/>
      </c>
      <c r="N212" s="126" t="n"/>
      <c r="O212" s="126" t="n"/>
      <c r="P212" s="127">
        <f>IF(N212="","",MAX(N212-O212,0))</f>
        <v/>
      </c>
      <c r="Q212" s="130">
        <f>IF(O212="","",O212*GeneratorRate)</f>
        <v/>
      </c>
      <c r="R212" s="130">
        <f>IF(P212="","",P212*GovernmentRate)</f>
        <v/>
      </c>
      <c r="S212" s="130">
        <f>IF(N212="","",Q212+R212)</f>
        <v/>
      </c>
      <c r="T212" s="130">
        <f>IF(M212=0,0,S212/M212)</f>
        <v/>
      </c>
      <c r="U212" s="176" t="n"/>
      <c r="V212" s="129" t="n"/>
      <c r="W212" s="127" t="n"/>
      <c r="X212" s="130" t="n"/>
      <c r="Y212" s="178" t="n"/>
      <c r="Z212" s="129" t="n"/>
      <c r="AA212" s="129" t="n"/>
      <c r="AB212" s="176" t="n"/>
      <c r="AC212" s="129" t="n"/>
      <c r="AD212" s="176" t="n"/>
      <c r="AE212" s="129" t="n"/>
    </row>
    <row r="213" hidden="1" ht="14.25" customHeight="1" s="83">
      <c r="A213" s="103" t="inlineStr">
        <is>
          <t>Dorm 3</t>
        </is>
      </c>
      <c r="B213" s="177" t="n">
        <v>46327</v>
      </c>
      <c r="C213" s="103" t="inlineStr">
        <is>
          <t>Room 3-4</t>
        </is>
      </c>
      <c r="D213" s="126" t="n">
        <v>0</v>
      </c>
      <c r="E213" s="126" t="n">
        <v>0</v>
      </c>
      <c r="F213" s="127">
        <f>MAX(D213-E213,0)</f>
        <v/>
      </c>
      <c r="G213" s="130">
        <f>E213*GeneratorRate</f>
        <v/>
      </c>
      <c r="H213" s="130">
        <f>F213*GovernmentRate</f>
        <v/>
      </c>
      <c r="I213" s="130">
        <f>G213+H213</f>
        <v/>
      </c>
      <c r="J213" s="129">
        <f>IFERROR(I213/COUNTIFS('Client DB &amp; Bed Mgmt'!$A:$A,A213,'Client DB &amp; Bed Mgmt'!$B:$B,C213,'Client DB &amp; Bed Mgmt'!$D:$D,"&lt;&gt;"),0)</f>
        <v/>
      </c>
      <c r="K213" s="103" t="inlineStr">
        <is>
          <t>Dorm 3</t>
        </is>
      </c>
      <c r="L213" s="103" t="inlineStr">
        <is>
          <t>Room 3-4</t>
        </is>
      </c>
      <c r="M213" s="103">
        <f>COUNTIFS('Client DB &amp; Bed Mgmt'!$A:$A,$K213,'Client DB &amp; Bed Mgmt'!$B:$B,$L213,'Client DB &amp; Bed Mgmt'!$D:$D,"&lt;&gt;")</f>
        <v/>
      </c>
      <c r="N213" s="126" t="n"/>
      <c r="O213" s="126" t="n"/>
      <c r="P213" s="127">
        <f>IF(N213="","",MAX(N213-O213,0))</f>
        <v/>
      </c>
      <c r="Q213" s="130">
        <f>IF(O213="","",O213*GeneratorRate)</f>
        <v/>
      </c>
      <c r="R213" s="130">
        <f>IF(P213="","",P213*GovernmentRate)</f>
        <v/>
      </c>
      <c r="S213" s="130">
        <f>IF(N213="","",Q213+R213)</f>
        <v/>
      </c>
      <c r="T213" s="130">
        <f>IF(M213=0,0,S213/M213)</f>
        <v/>
      </c>
      <c r="U213" s="176" t="n"/>
      <c r="V213" s="129" t="n"/>
      <c r="W213" s="127" t="n"/>
      <c r="X213" s="130" t="n"/>
      <c r="Y213" s="178" t="n"/>
      <c r="Z213" s="129" t="n"/>
      <c r="AA213" s="129" t="n"/>
      <c r="AB213" s="176" t="n"/>
      <c r="AC213" s="129" t="n"/>
      <c r="AD213" s="176" t="n"/>
      <c r="AE213" s="129" t="n"/>
    </row>
    <row r="214" hidden="1" ht="14.25" customHeight="1" s="83">
      <c r="A214" s="103" t="inlineStr">
        <is>
          <t>Dorm 3</t>
        </is>
      </c>
      <c r="B214" s="177" t="n">
        <v>46327</v>
      </c>
      <c r="C214" s="103" t="inlineStr">
        <is>
          <t>Room 3-5</t>
        </is>
      </c>
      <c r="D214" s="126" t="n">
        <v>0</v>
      </c>
      <c r="E214" s="126" t="n">
        <v>0</v>
      </c>
      <c r="F214" s="127">
        <f>MAX(D214-E214,0)</f>
        <v/>
      </c>
      <c r="G214" s="130">
        <f>E214*GeneratorRate</f>
        <v/>
      </c>
      <c r="H214" s="130">
        <f>F214*GovernmentRate</f>
        <v/>
      </c>
      <c r="I214" s="130">
        <f>G214+H214</f>
        <v/>
      </c>
      <c r="J214" s="129">
        <f>IFERROR(I214/COUNTIFS('Client DB &amp; Bed Mgmt'!$A:$A,A214,'Client DB &amp; Bed Mgmt'!$B:$B,C214,'Client DB &amp; Bed Mgmt'!$D:$D,"&lt;&gt;"),0)</f>
        <v/>
      </c>
      <c r="K214" s="103" t="inlineStr">
        <is>
          <t>Dorm 3</t>
        </is>
      </c>
      <c r="L214" s="103" t="inlineStr">
        <is>
          <t>Room 3-5</t>
        </is>
      </c>
      <c r="M214" s="103">
        <f>COUNTIFS('Client DB &amp; Bed Mgmt'!$A:$A,$K214,'Client DB &amp; Bed Mgmt'!$B:$B,$L214,'Client DB &amp; Bed Mgmt'!$D:$D,"&lt;&gt;")</f>
        <v/>
      </c>
      <c r="N214" s="126" t="n"/>
      <c r="O214" s="126" t="n"/>
      <c r="P214" s="127">
        <f>IF(N214="","",MAX(N214-O214,0))</f>
        <v/>
      </c>
      <c r="Q214" s="130">
        <f>IF(O214="","",O214*GeneratorRate)</f>
        <v/>
      </c>
      <c r="R214" s="130">
        <f>IF(P214="","",P214*GovernmentRate)</f>
        <v/>
      </c>
      <c r="S214" s="130">
        <f>IF(N214="","",Q214+R214)</f>
        <v/>
      </c>
      <c r="T214" s="130">
        <f>IF(M214=0,0,S214/M214)</f>
        <v/>
      </c>
      <c r="U214" s="176" t="n"/>
      <c r="V214" s="129" t="n"/>
      <c r="W214" s="127" t="n"/>
      <c r="X214" s="130" t="n"/>
      <c r="Y214" s="178" t="n"/>
      <c r="Z214" s="129" t="n"/>
      <c r="AA214" s="129" t="n"/>
      <c r="AB214" s="176" t="n"/>
      <c r="AC214" s="129" t="n"/>
      <c r="AD214" s="176" t="n"/>
      <c r="AE214" s="129" t="n"/>
    </row>
    <row r="215" hidden="1" ht="14.25" customHeight="1" s="83">
      <c r="A215" s="103" t="inlineStr">
        <is>
          <t>Dorm 3</t>
        </is>
      </c>
      <c r="B215" s="177" t="n">
        <v>46327</v>
      </c>
      <c r="C215" s="103" t="inlineStr">
        <is>
          <t>Room 3-6</t>
        </is>
      </c>
      <c r="D215" s="126" t="n">
        <v>0</v>
      </c>
      <c r="E215" s="126" t="n">
        <v>0</v>
      </c>
      <c r="F215" s="127">
        <f>MAX(D215-E215,0)</f>
        <v/>
      </c>
      <c r="G215" s="130">
        <f>E215*GeneratorRate</f>
        <v/>
      </c>
      <c r="H215" s="130">
        <f>F215*GovernmentRate</f>
        <v/>
      </c>
      <c r="I215" s="130">
        <f>G215+H215</f>
        <v/>
      </c>
      <c r="J215" s="129">
        <f>IFERROR(I215/COUNTIFS('Client DB &amp; Bed Mgmt'!$A:$A,A215,'Client DB &amp; Bed Mgmt'!$B:$B,C215,'Client DB &amp; Bed Mgmt'!$D:$D,"&lt;&gt;"),0)</f>
        <v/>
      </c>
      <c r="K215" s="103" t="inlineStr">
        <is>
          <t>Dorm 3</t>
        </is>
      </c>
      <c r="L215" s="103" t="inlineStr">
        <is>
          <t>Room 3-6</t>
        </is>
      </c>
      <c r="M215" s="103">
        <f>COUNTIFS('Client DB &amp; Bed Mgmt'!$A:$A,$K215,'Client DB &amp; Bed Mgmt'!$B:$B,$L215,'Client DB &amp; Bed Mgmt'!$D:$D,"&lt;&gt;")</f>
        <v/>
      </c>
      <c r="N215" s="126" t="n"/>
      <c r="O215" s="126" t="n"/>
      <c r="P215" s="127">
        <f>IF(N215="","",MAX(N215-O215,0))</f>
        <v/>
      </c>
      <c r="Q215" s="130">
        <f>IF(O215="","",O215*GeneratorRate)</f>
        <v/>
      </c>
      <c r="R215" s="130">
        <f>IF(P215="","",P215*GovernmentRate)</f>
        <v/>
      </c>
      <c r="S215" s="130">
        <f>IF(N215="","",Q215+R215)</f>
        <v/>
      </c>
      <c r="T215" s="130">
        <f>IF(M215=0,0,S215/M215)</f>
        <v/>
      </c>
      <c r="U215" s="176" t="n"/>
      <c r="V215" s="129" t="n"/>
      <c r="W215" s="127" t="n"/>
      <c r="X215" s="130" t="n"/>
      <c r="Y215" s="178" t="n"/>
      <c r="Z215" s="129" t="n"/>
      <c r="AA215" s="129" t="n"/>
      <c r="AB215" s="176" t="n"/>
      <c r="AC215" s="129" t="n"/>
      <c r="AD215" s="176" t="n"/>
      <c r="AE215" s="129" t="n"/>
    </row>
    <row r="216" hidden="1" ht="14.25" customHeight="1" s="83">
      <c r="A216" s="103" t="inlineStr">
        <is>
          <t>Dorm 3</t>
        </is>
      </c>
      <c r="B216" s="177" t="n">
        <v>46357</v>
      </c>
      <c r="C216" s="103" t="inlineStr">
        <is>
          <t>Room 3-1</t>
        </is>
      </c>
      <c r="D216" s="126" t="n">
        <v>0</v>
      </c>
      <c r="E216" s="126" t="n">
        <v>0</v>
      </c>
      <c r="F216" s="127">
        <f>MAX(D216-E216,0)</f>
        <v/>
      </c>
      <c r="G216" s="130">
        <f>E216*GeneratorRate</f>
        <v/>
      </c>
      <c r="H216" s="130">
        <f>F216*GovernmentRate</f>
        <v/>
      </c>
      <c r="I216" s="130">
        <f>G216+H216</f>
        <v/>
      </c>
      <c r="J216" s="129">
        <f>IFERROR(I216/COUNTIFS('Client DB &amp; Bed Mgmt'!$A:$A,A216,'Client DB &amp; Bed Mgmt'!$B:$B,C216,'Client DB &amp; Bed Mgmt'!$D:$D,"&lt;&gt;"),0)</f>
        <v/>
      </c>
      <c r="K216" s="103" t="inlineStr">
        <is>
          <t>Dorm 3</t>
        </is>
      </c>
      <c r="L216" s="103" t="inlineStr">
        <is>
          <t>Room 3-1</t>
        </is>
      </c>
      <c r="M216" s="103">
        <f>COUNTIFS('Client DB &amp; Bed Mgmt'!$A:$A,$K216,'Client DB &amp; Bed Mgmt'!$B:$B,$L216,'Client DB &amp; Bed Mgmt'!$D:$D,"&lt;&gt;")</f>
        <v/>
      </c>
      <c r="N216" s="126" t="n"/>
      <c r="O216" s="126" t="n"/>
      <c r="P216" s="127">
        <f>IF(N216="","",MAX(N216-O216,0))</f>
        <v/>
      </c>
      <c r="Q216" s="130">
        <f>IF(O216="","",O216*GeneratorRate)</f>
        <v/>
      </c>
      <c r="R216" s="130">
        <f>IF(P216="","",P216*GovernmentRate)</f>
        <v/>
      </c>
      <c r="S216" s="130">
        <f>IF(N216="","",Q216+R216)</f>
        <v/>
      </c>
      <c r="T216" s="130">
        <f>IF(M216=0,0,S216/M216)</f>
        <v/>
      </c>
      <c r="U216" s="176" t="n"/>
      <c r="V216" s="129" t="n"/>
      <c r="W216" s="127" t="n"/>
      <c r="X216" s="130" t="n"/>
      <c r="Y216" s="178" t="n"/>
      <c r="Z216" s="129" t="n"/>
      <c r="AA216" s="129" t="n"/>
      <c r="AB216" s="176" t="n"/>
      <c r="AC216" s="129" t="n"/>
      <c r="AD216" s="176" t="n"/>
      <c r="AE216" s="129" t="n"/>
    </row>
    <row r="217" hidden="1" ht="14.25" customHeight="1" s="83">
      <c r="A217" s="103" t="inlineStr">
        <is>
          <t>Dorm 3</t>
        </is>
      </c>
      <c r="B217" s="177" t="n">
        <v>46357</v>
      </c>
      <c r="C217" s="103" t="inlineStr">
        <is>
          <t>Room 3-2</t>
        </is>
      </c>
      <c r="D217" s="126" t="n">
        <v>0</v>
      </c>
      <c r="E217" s="126" t="n">
        <v>0</v>
      </c>
      <c r="F217" s="127">
        <f>MAX(D217-E217,0)</f>
        <v/>
      </c>
      <c r="G217" s="130">
        <f>E217*GeneratorRate</f>
        <v/>
      </c>
      <c r="H217" s="130">
        <f>F217*GovernmentRate</f>
        <v/>
      </c>
      <c r="I217" s="130">
        <f>G217+H217</f>
        <v/>
      </c>
      <c r="J217" s="129">
        <f>IFERROR(I217/COUNTIFS('Client DB &amp; Bed Mgmt'!$A:$A,A217,'Client DB &amp; Bed Mgmt'!$B:$B,C217,'Client DB &amp; Bed Mgmt'!$D:$D,"&lt;&gt;"),0)</f>
        <v/>
      </c>
      <c r="K217" s="103" t="inlineStr">
        <is>
          <t>Dorm 3</t>
        </is>
      </c>
      <c r="L217" s="103" t="inlineStr">
        <is>
          <t>Room 3-2</t>
        </is>
      </c>
      <c r="M217" s="103">
        <f>COUNTIFS('Client DB &amp; Bed Mgmt'!$A:$A,$K217,'Client DB &amp; Bed Mgmt'!$B:$B,$L217,'Client DB &amp; Bed Mgmt'!$D:$D,"&lt;&gt;")</f>
        <v/>
      </c>
      <c r="N217" s="126" t="n"/>
      <c r="O217" s="126" t="n"/>
      <c r="P217" s="127">
        <f>IF(N217="","",MAX(N217-O217,0))</f>
        <v/>
      </c>
      <c r="Q217" s="130">
        <f>IF(O217="","",O217*GeneratorRate)</f>
        <v/>
      </c>
      <c r="R217" s="130">
        <f>IF(P217="","",P217*GovernmentRate)</f>
        <v/>
      </c>
      <c r="S217" s="130">
        <f>IF(N217="","",Q217+R217)</f>
        <v/>
      </c>
      <c r="T217" s="130">
        <f>IF(M217=0,0,S217/M217)</f>
        <v/>
      </c>
      <c r="U217" s="176" t="n"/>
      <c r="V217" s="129" t="n"/>
      <c r="W217" s="127" t="n"/>
      <c r="X217" s="130" t="n"/>
      <c r="Y217" s="178" t="n"/>
      <c r="Z217" s="129" t="n"/>
      <c r="AA217" s="129" t="n"/>
      <c r="AB217" s="176" t="n"/>
      <c r="AC217" s="129" t="n"/>
      <c r="AD217" s="176" t="n"/>
      <c r="AE217" s="129" t="n"/>
    </row>
    <row r="218" hidden="1" ht="14.25" customHeight="1" s="83">
      <c r="A218" s="103" t="inlineStr">
        <is>
          <t>Dorm 3</t>
        </is>
      </c>
      <c r="B218" s="177" t="n">
        <v>46357</v>
      </c>
      <c r="C218" s="103" t="inlineStr">
        <is>
          <t>Room 3-3</t>
        </is>
      </c>
      <c r="D218" s="126" t="n">
        <v>0</v>
      </c>
      <c r="E218" s="126" t="n">
        <v>0</v>
      </c>
      <c r="F218" s="127">
        <f>MAX(D218-E218,0)</f>
        <v/>
      </c>
      <c r="G218" s="130">
        <f>E218*GeneratorRate</f>
        <v/>
      </c>
      <c r="H218" s="130">
        <f>F218*GovernmentRate</f>
        <v/>
      </c>
      <c r="I218" s="130">
        <f>G218+H218</f>
        <v/>
      </c>
      <c r="J218" s="129">
        <f>IFERROR(I218/COUNTIFS('Client DB &amp; Bed Mgmt'!$A:$A,A218,'Client DB &amp; Bed Mgmt'!$B:$B,C218,'Client DB &amp; Bed Mgmt'!$D:$D,"&lt;&gt;"),0)</f>
        <v/>
      </c>
      <c r="K218" s="103" t="inlineStr">
        <is>
          <t>Dorm 3</t>
        </is>
      </c>
      <c r="L218" s="103" t="inlineStr">
        <is>
          <t>Room 3-3</t>
        </is>
      </c>
      <c r="M218" s="103">
        <f>COUNTIFS('Client DB &amp; Bed Mgmt'!$A:$A,$K218,'Client DB &amp; Bed Mgmt'!$B:$B,$L218,'Client DB &amp; Bed Mgmt'!$D:$D,"&lt;&gt;")</f>
        <v/>
      </c>
      <c r="N218" s="126" t="n"/>
      <c r="O218" s="126" t="n"/>
      <c r="P218" s="127">
        <f>IF(N218="","",MAX(N218-O218,0))</f>
        <v/>
      </c>
      <c r="Q218" s="130">
        <f>IF(O218="","",O218*GeneratorRate)</f>
        <v/>
      </c>
      <c r="R218" s="130">
        <f>IF(P218="","",P218*GovernmentRate)</f>
        <v/>
      </c>
      <c r="S218" s="130">
        <f>IF(N218="","",Q218+R218)</f>
        <v/>
      </c>
      <c r="T218" s="130">
        <f>IF(M218=0,0,S218/M218)</f>
        <v/>
      </c>
      <c r="U218" s="176" t="n"/>
      <c r="V218" s="129" t="n"/>
      <c r="W218" s="127" t="n"/>
      <c r="X218" s="130" t="n"/>
      <c r="Y218" s="178" t="n"/>
      <c r="Z218" s="129" t="n"/>
      <c r="AA218" s="129" t="n"/>
      <c r="AB218" s="176" t="n"/>
      <c r="AC218" s="129" t="n"/>
      <c r="AD218" s="176" t="n"/>
      <c r="AE218" s="129" t="n"/>
    </row>
    <row r="219" hidden="1" ht="14.25" customHeight="1" s="83">
      <c r="A219" s="103" t="inlineStr">
        <is>
          <t>Dorm 3</t>
        </is>
      </c>
      <c r="B219" s="177" t="n">
        <v>46357</v>
      </c>
      <c r="C219" s="103" t="inlineStr">
        <is>
          <t>Room 3-4</t>
        </is>
      </c>
      <c r="D219" s="126" t="n">
        <v>0</v>
      </c>
      <c r="E219" s="126" t="n">
        <v>0</v>
      </c>
      <c r="F219" s="127">
        <f>MAX(D219-E219,0)</f>
        <v/>
      </c>
      <c r="G219" s="130">
        <f>E219*GeneratorRate</f>
        <v/>
      </c>
      <c r="H219" s="130">
        <f>F219*GovernmentRate</f>
        <v/>
      </c>
      <c r="I219" s="130">
        <f>G219+H219</f>
        <v/>
      </c>
      <c r="J219" s="129">
        <f>IFERROR(I219/COUNTIFS('Client DB &amp; Bed Mgmt'!$A:$A,A219,'Client DB &amp; Bed Mgmt'!$B:$B,C219,'Client DB &amp; Bed Mgmt'!$D:$D,"&lt;&gt;"),0)</f>
        <v/>
      </c>
      <c r="K219" s="103" t="inlineStr">
        <is>
          <t>Dorm 3</t>
        </is>
      </c>
      <c r="L219" s="103" t="inlineStr">
        <is>
          <t>Room 3-4</t>
        </is>
      </c>
      <c r="M219" s="103">
        <f>COUNTIFS('Client DB &amp; Bed Mgmt'!$A:$A,$K219,'Client DB &amp; Bed Mgmt'!$B:$B,$L219,'Client DB &amp; Bed Mgmt'!$D:$D,"&lt;&gt;")</f>
        <v/>
      </c>
      <c r="N219" s="126" t="n"/>
      <c r="O219" s="126" t="n"/>
      <c r="P219" s="127">
        <f>IF(N219="","",MAX(N219-O219,0))</f>
        <v/>
      </c>
      <c r="Q219" s="130">
        <f>IF(O219="","",O219*GeneratorRate)</f>
        <v/>
      </c>
      <c r="R219" s="130">
        <f>IF(P219="","",P219*GovernmentRate)</f>
        <v/>
      </c>
      <c r="S219" s="130">
        <f>IF(N219="","",Q219+R219)</f>
        <v/>
      </c>
      <c r="T219" s="130">
        <f>IF(M219=0,0,S219/M219)</f>
        <v/>
      </c>
      <c r="U219" s="176" t="n"/>
      <c r="V219" s="129" t="n"/>
      <c r="W219" s="127" t="n"/>
      <c r="X219" s="130" t="n"/>
      <c r="Y219" s="178" t="n"/>
      <c r="Z219" s="129" t="n"/>
      <c r="AA219" s="129" t="n"/>
      <c r="AB219" s="176" t="n"/>
      <c r="AC219" s="129" t="n"/>
      <c r="AD219" s="176" t="n"/>
      <c r="AE219" s="129" t="n"/>
    </row>
    <row r="220" hidden="1" ht="14.25" customHeight="1" s="83">
      <c r="A220" s="103" t="inlineStr">
        <is>
          <t>Dorm 3</t>
        </is>
      </c>
      <c r="B220" s="177" t="n">
        <v>46357</v>
      </c>
      <c r="C220" s="103" t="inlineStr">
        <is>
          <t>Room 3-5</t>
        </is>
      </c>
      <c r="D220" s="126" t="n">
        <v>0</v>
      </c>
      <c r="E220" s="126" t="n">
        <v>0</v>
      </c>
      <c r="F220" s="127">
        <f>MAX(D220-E220,0)</f>
        <v/>
      </c>
      <c r="G220" s="130">
        <f>E220*GeneratorRate</f>
        <v/>
      </c>
      <c r="H220" s="130">
        <f>F220*GovernmentRate</f>
        <v/>
      </c>
      <c r="I220" s="130">
        <f>G220+H220</f>
        <v/>
      </c>
      <c r="J220" s="129">
        <f>IFERROR(I220/COUNTIFS('Client DB &amp; Bed Mgmt'!$A:$A,A220,'Client DB &amp; Bed Mgmt'!$B:$B,C220,'Client DB &amp; Bed Mgmt'!$D:$D,"&lt;&gt;"),0)</f>
        <v/>
      </c>
      <c r="K220" s="103" t="inlineStr">
        <is>
          <t>Dorm 3</t>
        </is>
      </c>
      <c r="L220" s="103" t="inlineStr">
        <is>
          <t>Room 3-5</t>
        </is>
      </c>
      <c r="M220" s="103">
        <f>COUNTIFS('Client DB &amp; Bed Mgmt'!$A:$A,$K220,'Client DB &amp; Bed Mgmt'!$B:$B,$L220,'Client DB &amp; Bed Mgmt'!$D:$D,"&lt;&gt;")</f>
        <v/>
      </c>
      <c r="N220" s="126" t="n"/>
      <c r="O220" s="126" t="n"/>
      <c r="P220" s="127">
        <f>IF(N220="","",MAX(N220-O220,0))</f>
        <v/>
      </c>
      <c r="Q220" s="130">
        <f>IF(O220="","",O220*GeneratorRate)</f>
        <v/>
      </c>
      <c r="R220" s="130">
        <f>IF(P220="","",P220*GovernmentRate)</f>
        <v/>
      </c>
      <c r="S220" s="130">
        <f>IF(N220="","",Q220+R220)</f>
        <v/>
      </c>
      <c r="T220" s="130">
        <f>IF(M220=0,0,S220/M220)</f>
        <v/>
      </c>
      <c r="U220" s="176" t="n"/>
      <c r="V220" s="129" t="n"/>
      <c r="W220" s="127" t="n"/>
      <c r="X220" s="130" t="n"/>
      <c r="Y220" s="178" t="n"/>
      <c r="Z220" s="129" t="n"/>
      <c r="AA220" s="129" t="n"/>
      <c r="AB220" s="176" t="n"/>
      <c r="AC220" s="129" t="n"/>
      <c r="AD220" s="176" t="n"/>
      <c r="AE220" s="129" t="n"/>
    </row>
    <row r="221" hidden="1" ht="14.25" customHeight="1" s="83">
      <c r="A221" s="103" t="inlineStr">
        <is>
          <t>Dorm 3</t>
        </is>
      </c>
      <c r="B221" s="177" t="n">
        <v>46357</v>
      </c>
      <c r="C221" s="103" t="inlineStr">
        <is>
          <t>Room 3-6</t>
        </is>
      </c>
      <c r="D221" s="126" t="n">
        <v>0</v>
      </c>
      <c r="E221" s="126" t="n">
        <v>0</v>
      </c>
      <c r="F221" s="127">
        <f>MAX(D221-E221,0)</f>
        <v/>
      </c>
      <c r="G221" s="130">
        <f>E221*GeneratorRate</f>
        <v/>
      </c>
      <c r="H221" s="130">
        <f>F221*GovernmentRate</f>
        <v/>
      </c>
      <c r="I221" s="130">
        <f>G221+H221</f>
        <v/>
      </c>
      <c r="J221" s="129">
        <f>IFERROR(I221/COUNTIFS('Client DB &amp; Bed Mgmt'!$A:$A,A221,'Client DB &amp; Bed Mgmt'!$B:$B,C221,'Client DB &amp; Bed Mgmt'!$D:$D,"&lt;&gt;"),0)</f>
        <v/>
      </c>
      <c r="K221" s="103" t="inlineStr">
        <is>
          <t>Dorm 3</t>
        </is>
      </c>
      <c r="L221" s="103" t="inlineStr">
        <is>
          <t>Room 3-6</t>
        </is>
      </c>
      <c r="M221" s="103">
        <f>COUNTIFS('Client DB &amp; Bed Mgmt'!$A:$A,$K221,'Client DB &amp; Bed Mgmt'!$B:$B,$L221,'Client DB &amp; Bed Mgmt'!$D:$D,"&lt;&gt;")</f>
        <v/>
      </c>
      <c r="N221" s="126" t="n"/>
      <c r="O221" s="126" t="n"/>
      <c r="P221" s="127">
        <f>IF(N221="","",MAX(N221-O221,0))</f>
        <v/>
      </c>
      <c r="Q221" s="130">
        <f>IF(O221="","",O221*GeneratorRate)</f>
        <v/>
      </c>
      <c r="R221" s="130">
        <f>IF(P221="","",P221*GovernmentRate)</f>
        <v/>
      </c>
      <c r="S221" s="130">
        <f>IF(N221="","",Q221+R221)</f>
        <v/>
      </c>
      <c r="T221" s="130">
        <f>IF(M221=0,0,S221/M221)</f>
        <v/>
      </c>
      <c r="U221" s="176" t="n"/>
      <c r="V221" s="129" t="n"/>
      <c r="W221" s="127" t="n"/>
      <c r="X221" s="130" t="n"/>
      <c r="Y221" s="178" t="n"/>
      <c r="Z221" s="129" t="n"/>
      <c r="AA221" s="129" t="n"/>
      <c r="AB221" s="176" t="n"/>
      <c r="AC221" s="129" t="n"/>
      <c r="AD221" s="176" t="n"/>
      <c r="AE221" s="129" t="n"/>
    </row>
    <row r="222" hidden="1" ht="14.25" customHeight="1" s="83">
      <c r="A222" s="103" t="n"/>
      <c r="B222" s="125" t="n"/>
      <c r="C222" s="103" t="n"/>
      <c r="D222" s="126" t="n"/>
      <c r="E222" s="126" t="n"/>
      <c r="F222" s="127">
        <f>IF(D222="","",MAX(D222-E222,0))</f>
        <v/>
      </c>
      <c r="G222" s="130">
        <f>IF(E222="","",E222*GeneratorRate)</f>
        <v/>
      </c>
      <c r="H222" s="130">
        <f>IF(F222="","",F222*GovernmentRate)</f>
        <v/>
      </c>
      <c r="I222" s="130">
        <f>IF(D222="","",G222+H222)</f>
        <v/>
      </c>
      <c r="J222" s="129">
        <f>IFERROR(I222/COUNTIFS('Client DB &amp; Bed Mgmt'!$A:$A,A222,'Client DB &amp; Bed Mgmt'!$B:$B,C222,'Client DB &amp; Bed Mgmt'!$D:$D,"&lt;&gt;"),0)</f>
        <v/>
      </c>
      <c r="K222" s="103" t="n"/>
      <c r="L222" s="103" t="n"/>
      <c r="M222" s="103">
        <f>COUNTIFS('Client DB &amp; Bed Mgmt'!$A:$A,$K222,'Client DB &amp; Bed Mgmt'!$B:$B,$L222,'Client DB &amp; Bed Mgmt'!$D:$D,"&lt;&gt;")</f>
        <v/>
      </c>
      <c r="N222" s="126" t="n"/>
      <c r="O222" s="126" t="n"/>
      <c r="P222" s="127">
        <f>IF(N222="","",MAX(N222-O222,0))</f>
        <v/>
      </c>
      <c r="Q222" s="130">
        <f>IF(O222="","",O222*GeneratorRate)</f>
        <v/>
      </c>
      <c r="R222" s="130">
        <f>IF(P222="","",P222*GovernmentRate)</f>
        <v/>
      </c>
      <c r="S222" s="130">
        <f>IF(N222="","",Q222+R222)</f>
        <v/>
      </c>
      <c r="T222" s="130">
        <f>IF(M222=0,0,S222/M222)</f>
        <v/>
      </c>
      <c r="U222" s="129" t="n"/>
      <c r="V222" s="129" t="n"/>
      <c r="W222" s="130" t="n"/>
      <c r="X222" s="130" t="n"/>
    </row>
    <row r="223" hidden="1" ht="14.25" customHeight="1" s="83">
      <c r="A223" s="103" t="n"/>
      <c r="B223" s="125" t="n"/>
      <c r="C223" s="103" t="n"/>
      <c r="D223" s="126" t="n"/>
      <c r="E223" s="126" t="n"/>
      <c r="F223" s="127">
        <f>IF(D223="","",MAX(D223-E223,0))</f>
        <v/>
      </c>
      <c r="G223" s="130">
        <f>IF(E223="","",E223*GeneratorRate)</f>
        <v/>
      </c>
      <c r="H223" s="130">
        <f>IF(F223="","",F223*GovernmentRate)</f>
        <v/>
      </c>
      <c r="I223" s="130">
        <f>IF(D223="","",G223+H223)</f>
        <v/>
      </c>
      <c r="J223" s="129">
        <f>IFERROR(I223/COUNTIFS('Client DB &amp; Bed Mgmt'!$A:$A,A223,'Client DB &amp; Bed Mgmt'!$B:$B,C223,'Client DB &amp; Bed Mgmt'!$D:$D,"&lt;&gt;"),0)</f>
        <v/>
      </c>
      <c r="K223" s="103" t="n"/>
      <c r="L223" s="103" t="n"/>
      <c r="M223" s="103">
        <f>COUNTIFS('Client DB &amp; Bed Mgmt'!$A:$A,$K223,'Client DB &amp; Bed Mgmt'!$B:$B,$L223,'Client DB &amp; Bed Mgmt'!$D:$D,"&lt;&gt;")</f>
        <v/>
      </c>
      <c r="N223" s="126" t="n"/>
      <c r="O223" s="126" t="n"/>
      <c r="P223" s="127">
        <f>IF(N223="","",MAX(N223-O223,0))</f>
        <v/>
      </c>
      <c r="Q223" s="130">
        <f>IF(O223="","",O223*GeneratorRate)</f>
        <v/>
      </c>
      <c r="R223" s="130">
        <f>IF(P223="","",P223*GovernmentRate)</f>
        <v/>
      </c>
      <c r="S223" s="130">
        <f>IF(N223="","",Q223+R223)</f>
        <v/>
      </c>
      <c r="T223" s="130">
        <f>IF(M223=0,0,S223/M223)</f>
        <v/>
      </c>
      <c r="U223" s="129" t="n"/>
      <c r="V223" s="129" t="n"/>
      <c r="W223" s="130" t="n"/>
      <c r="X223" s="130" t="n"/>
    </row>
    <row r="224" hidden="1" ht="14.25" customHeight="1" s="83">
      <c r="A224" s="103" t="n"/>
      <c r="B224" s="125" t="n"/>
      <c r="C224" s="103" t="n"/>
      <c r="D224" s="126" t="n"/>
      <c r="E224" s="126" t="n"/>
      <c r="F224" s="127">
        <f>IF(D224="","",MAX(D224-E224,0))</f>
        <v/>
      </c>
      <c r="G224" s="130">
        <f>IF(E224="","",E224*GeneratorRate)</f>
        <v/>
      </c>
      <c r="H224" s="130">
        <f>IF(F224="","",F224*GovernmentRate)</f>
        <v/>
      </c>
      <c r="I224" s="130">
        <f>IF(D224="","",G224+H224)</f>
        <v/>
      </c>
      <c r="J224" s="129">
        <f>IFERROR(I224/COUNTIFS('Client DB &amp; Bed Mgmt'!$A:$A,A224,'Client DB &amp; Bed Mgmt'!$B:$B,C224,'Client DB &amp; Bed Mgmt'!$D:$D,"&lt;&gt;"),0)</f>
        <v/>
      </c>
      <c r="K224" s="103" t="n"/>
      <c r="L224" s="103" t="n"/>
      <c r="M224" s="103">
        <f>COUNTIFS('Client DB &amp; Bed Mgmt'!$A:$A,$K224,'Client DB &amp; Bed Mgmt'!$B:$B,$L224,'Client DB &amp; Bed Mgmt'!$D:$D,"&lt;&gt;")</f>
        <v/>
      </c>
      <c r="N224" s="126" t="n"/>
      <c r="O224" s="126" t="n"/>
      <c r="P224" s="127">
        <f>IF(N224="","",MAX(N224-O224,0))</f>
        <v/>
      </c>
      <c r="Q224" s="130">
        <f>IF(O224="","",O224*GeneratorRate)</f>
        <v/>
      </c>
      <c r="R224" s="130">
        <f>IF(P224="","",P224*GovernmentRate)</f>
        <v/>
      </c>
      <c r="S224" s="130">
        <f>IF(N224="","",Q224+R224)</f>
        <v/>
      </c>
      <c r="T224" s="130">
        <f>IF(M224=0,0,S224/M224)</f>
        <v/>
      </c>
      <c r="U224" s="129" t="n"/>
      <c r="V224" s="129" t="n"/>
      <c r="W224" s="130" t="n"/>
      <c r="X224" s="130" t="n"/>
    </row>
    <row r="225" hidden="1" ht="14.25" customHeight="1" s="83">
      <c r="A225" s="103" t="n"/>
      <c r="B225" s="125" t="n"/>
      <c r="C225" s="103" t="n"/>
      <c r="D225" s="126" t="n"/>
      <c r="E225" s="126" t="n"/>
      <c r="F225" s="127">
        <f>IF(D225="","",MAX(D225-E225,0))</f>
        <v/>
      </c>
      <c r="G225" s="130">
        <f>IF(E225="","",E225*GeneratorRate)</f>
        <v/>
      </c>
      <c r="H225" s="130">
        <f>IF(F225="","",F225*GovernmentRate)</f>
        <v/>
      </c>
      <c r="I225" s="130">
        <f>IF(D225="","",G225+H225)</f>
        <v/>
      </c>
      <c r="J225" s="129">
        <f>IFERROR(I225/COUNTIFS('Client DB &amp; Bed Mgmt'!$A:$A,A225,'Client DB &amp; Bed Mgmt'!$B:$B,C225,'Client DB &amp; Bed Mgmt'!$D:$D,"&lt;&gt;"),0)</f>
        <v/>
      </c>
      <c r="K225" s="103" t="n"/>
      <c r="L225" s="103" t="n"/>
      <c r="M225" s="103">
        <f>COUNTIFS('Client DB &amp; Bed Mgmt'!$A:$A,$K225,'Client DB &amp; Bed Mgmt'!$B:$B,$L225,'Client DB &amp; Bed Mgmt'!$D:$D,"&lt;&gt;")</f>
        <v/>
      </c>
      <c r="N225" s="126" t="n"/>
      <c r="O225" s="126" t="n"/>
      <c r="P225" s="127">
        <f>IF(N225="","",MAX(N225-O225,0))</f>
        <v/>
      </c>
      <c r="Q225" s="130">
        <f>IF(O225="","",O225*GeneratorRate)</f>
        <v/>
      </c>
      <c r="R225" s="130">
        <f>IF(P225="","",P225*GovernmentRate)</f>
        <v/>
      </c>
      <c r="S225" s="130">
        <f>IF(N225="","",Q225+R225)</f>
        <v/>
      </c>
      <c r="T225" s="130">
        <f>IF(M225=0,0,S225/M225)</f>
        <v/>
      </c>
      <c r="U225" s="129" t="n"/>
      <c r="V225" s="129" t="n"/>
      <c r="W225" s="130" t="n"/>
      <c r="X225" s="130" t="n"/>
    </row>
    <row r="226" hidden="1" ht="14.25" customHeight="1" s="83">
      <c r="A226" s="103" t="n"/>
      <c r="B226" s="125" t="n"/>
      <c r="C226" s="103" t="n"/>
      <c r="D226" s="126" t="n"/>
      <c r="E226" s="126" t="n"/>
      <c r="F226" s="127">
        <f>IF(D226="","",MAX(D226-E226,0))</f>
        <v/>
      </c>
      <c r="G226" s="130">
        <f>IF(E226="","",E226*GeneratorRate)</f>
        <v/>
      </c>
      <c r="H226" s="130">
        <f>IF(F226="","",F226*GovernmentRate)</f>
        <v/>
      </c>
      <c r="I226" s="130">
        <f>IF(D226="","",G226+H226)</f>
        <v/>
      </c>
      <c r="J226" s="129">
        <f>IFERROR(I226/COUNTIFS('Client DB &amp; Bed Mgmt'!$A:$A,A226,'Client DB &amp; Bed Mgmt'!$B:$B,C226,'Client DB &amp; Bed Mgmt'!$D:$D,"&lt;&gt;"),0)</f>
        <v/>
      </c>
      <c r="K226" s="103" t="n"/>
      <c r="L226" s="103" t="n"/>
      <c r="M226" s="103">
        <f>COUNTIFS('Client DB &amp; Bed Mgmt'!$A:$A,$K226,'Client DB &amp; Bed Mgmt'!$B:$B,$L226,'Client DB &amp; Bed Mgmt'!$D:$D,"&lt;&gt;")</f>
        <v/>
      </c>
      <c r="N226" s="126" t="n"/>
      <c r="O226" s="126" t="n"/>
      <c r="P226" s="127">
        <f>IF(N226="","",MAX(N226-O226,0))</f>
        <v/>
      </c>
      <c r="Q226" s="130">
        <f>IF(O226="","",O226*GeneratorRate)</f>
        <v/>
      </c>
      <c r="R226" s="130">
        <f>IF(P226="","",P226*GovernmentRate)</f>
        <v/>
      </c>
      <c r="S226" s="130">
        <f>IF(N226="","",Q226+R226)</f>
        <v/>
      </c>
      <c r="T226" s="130">
        <f>IF(M226=0,0,S226/M226)</f>
        <v/>
      </c>
      <c r="U226" s="129" t="n"/>
      <c r="V226" s="129" t="n"/>
      <c r="W226" s="130" t="n"/>
      <c r="X226" s="130" t="n"/>
    </row>
    <row r="227" hidden="1" ht="14.25" customHeight="1" s="83">
      <c r="A227" s="103" t="n"/>
      <c r="B227" s="125" t="n"/>
      <c r="C227" s="103" t="n"/>
      <c r="D227" s="126" t="n"/>
      <c r="E227" s="126" t="n"/>
      <c r="F227" s="127">
        <f>IF(D227="","",MAX(D227-E227,0))</f>
        <v/>
      </c>
      <c r="G227" s="130">
        <f>IF(E227="","",E227*GeneratorRate)</f>
        <v/>
      </c>
      <c r="H227" s="130">
        <f>IF(F227="","",F227*GovernmentRate)</f>
        <v/>
      </c>
      <c r="I227" s="130">
        <f>IF(D227="","",G227+H227)</f>
        <v/>
      </c>
      <c r="J227" s="129">
        <f>IFERROR(I227/COUNTIFS('Client DB &amp; Bed Mgmt'!$A:$A,A227,'Client DB &amp; Bed Mgmt'!$B:$B,C227,'Client DB &amp; Bed Mgmt'!$D:$D,"&lt;&gt;"),0)</f>
        <v/>
      </c>
      <c r="K227" s="103" t="n"/>
      <c r="L227" s="103" t="n"/>
      <c r="M227" s="103">
        <f>COUNTIFS('Client DB &amp; Bed Mgmt'!$A:$A,$K227,'Client DB &amp; Bed Mgmt'!$B:$B,$L227,'Client DB &amp; Bed Mgmt'!$D:$D,"&lt;&gt;")</f>
        <v/>
      </c>
      <c r="N227" s="126" t="n"/>
      <c r="O227" s="126" t="n"/>
      <c r="P227" s="127">
        <f>IF(N227="","",MAX(N227-O227,0))</f>
        <v/>
      </c>
      <c r="Q227" s="130">
        <f>IF(O227="","",O227*GeneratorRate)</f>
        <v/>
      </c>
      <c r="R227" s="130">
        <f>IF(P227="","",P227*GovernmentRate)</f>
        <v/>
      </c>
      <c r="S227" s="130">
        <f>IF(N227="","",Q227+R227)</f>
        <v/>
      </c>
      <c r="T227" s="130">
        <f>IF(M227=0,0,S227/M227)</f>
        <v/>
      </c>
      <c r="U227" s="129" t="n"/>
      <c r="V227" s="129" t="n"/>
      <c r="W227" s="130" t="n"/>
      <c r="X227" s="130" t="n"/>
    </row>
    <row r="228" hidden="1" ht="14.25" customHeight="1" s="83">
      <c r="A228" s="103" t="n"/>
      <c r="B228" s="125" t="n"/>
      <c r="C228" s="103" t="n"/>
      <c r="D228" s="126" t="n"/>
      <c r="E228" s="126" t="n"/>
      <c r="F228" s="127">
        <f>IF(D228="","",MAX(D228-E228,0))</f>
        <v/>
      </c>
      <c r="G228" s="130">
        <f>IF(E228="","",E228*GeneratorRate)</f>
        <v/>
      </c>
      <c r="H228" s="130">
        <f>IF(F228="","",F228*GovernmentRate)</f>
        <v/>
      </c>
      <c r="I228" s="130">
        <f>IF(D228="","",G228+H228)</f>
        <v/>
      </c>
      <c r="J228" s="129">
        <f>IFERROR(I228/COUNTIFS('Client DB &amp; Bed Mgmt'!$A:$A,A228,'Client DB &amp; Bed Mgmt'!$B:$B,C228,'Client DB &amp; Bed Mgmt'!$D:$D,"&lt;&gt;"),0)</f>
        <v/>
      </c>
      <c r="K228" s="103" t="n"/>
      <c r="L228" s="103" t="n"/>
      <c r="M228" s="103">
        <f>COUNTIFS('Client DB &amp; Bed Mgmt'!$A:$A,$K228,'Client DB &amp; Bed Mgmt'!$B:$B,$L228,'Client DB &amp; Bed Mgmt'!$D:$D,"&lt;&gt;")</f>
        <v/>
      </c>
      <c r="N228" s="126" t="n"/>
      <c r="O228" s="126" t="n"/>
      <c r="P228" s="127">
        <f>IF(N228="","",MAX(N228-O228,0))</f>
        <v/>
      </c>
      <c r="Q228" s="130">
        <f>IF(O228="","",O228*GeneratorRate)</f>
        <v/>
      </c>
      <c r="R228" s="130">
        <f>IF(P228="","",P228*GovernmentRate)</f>
        <v/>
      </c>
      <c r="S228" s="130">
        <f>IF(N228="","",Q228+R228)</f>
        <v/>
      </c>
      <c r="T228" s="130">
        <f>IF(M228=0,0,S228/M228)</f>
        <v/>
      </c>
      <c r="U228" s="129" t="n"/>
      <c r="V228" s="129" t="n"/>
      <c r="W228" s="130" t="n"/>
      <c r="X228" s="130" t="n"/>
    </row>
    <row r="229" hidden="1" ht="14.25" customHeight="1" s="83">
      <c r="A229" s="103" t="n"/>
      <c r="B229" s="125" t="n"/>
      <c r="C229" s="103" t="n"/>
      <c r="D229" s="126" t="n"/>
      <c r="E229" s="126" t="n"/>
      <c r="F229" s="127">
        <f>IF(D229="","",MAX(D229-E229,0))</f>
        <v/>
      </c>
      <c r="G229" s="130">
        <f>IF(E229="","",E229*GeneratorRate)</f>
        <v/>
      </c>
      <c r="H229" s="130">
        <f>IF(F229="","",F229*GovernmentRate)</f>
        <v/>
      </c>
      <c r="I229" s="130">
        <f>IF(D229="","",G229+H229)</f>
        <v/>
      </c>
      <c r="J229" s="129">
        <f>IFERROR(I229/COUNTIFS('Client DB &amp; Bed Mgmt'!$A:$A,A229,'Client DB &amp; Bed Mgmt'!$B:$B,C229,'Client DB &amp; Bed Mgmt'!$D:$D,"&lt;&gt;"),0)</f>
        <v/>
      </c>
      <c r="K229" s="103" t="n"/>
      <c r="L229" s="103" t="n"/>
      <c r="M229" s="103">
        <f>COUNTIFS('Client DB &amp; Bed Mgmt'!$A:$A,$K229,'Client DB &amp; Bed Mgmt'!$B:$B,$L229,'Client DB &amp; Bed Mgmt'!$D:$D,"&lt;&gt;")</f>
        <v/>
      </c>
      <c r="N229" s="126" t="n"/>
      <c r="O229" s="126" t="n"/>
      <c r="P229" s="127">
        <f>IF(N229="","",MAX(N229-O229,0))</f>
        <v/>
      </c>
      <c r="Q229" s="130">
        <f>IF(O229="","",O229*GeneratorRate)</f>
        <v/>
      </c>
      <c r="R229" s="130">
        <f>IF(P229="","",P229*GovernmentRate)</f>
        <v/>
      </c>
      <c r="S229" s="130">
        <f>IF(N229="","",Q229+R229)</f>
        <v/>
      </c>
      <c r="T229" s="130">
        <f>IF(M229=0,0,S229/M229)</f>
        <v/>
      </c>
      <c r="U229" s="129" t="n"/>
      <c r="V229" s="129" t="n"/>
      <c r="W229" s="130" t="n"/>
      <c r="X229" s="130" t="n"/>
    </row>
    <row r="230" hidden="1" ht="14.25" customHeight="1" s="83">
      <c r="A230" s="103" t="n"/>
      <c r="B230" s="125" t="n"/>
      <c r="C230" s="103" t="n"/>
      <c r="D230" s="126" t="n"/>
      <c r="E230" s="126" t="n"/>
      <c r="F230" s="127">
        <f>IF(D230="","",MAX(D230-E230,0))</f>
        <v/>
      </c>
      <c r="G230" s="130">
        <f>IF(E230="","",E230*GeneratorRate)</f>
        <v/>
      </c>
      <c r="H230" s="130">
        <f>IF(F230="","",F230*GovernmentRate)</f>
        <v/>
      </c>
      <c r="I230" s="130">
        <f>IF(D230="","",G230+H230)</f>
        <v/>
      </c>
      <c r="J230" s="129">
        <f>IFERROR(I230/COUNTIFS('Client DB &amp; Bed Mgmt'!$A:$A,A230,'Client DB &amp; Bed Mgmt'!$B:$B,C230,'Client DB &amp; Bed Mgmt'!$D:$D,"&lt;&gt;"),0)</f>
        <v/>
      </c>
      <c r="K230" s="103" t="n"/>
      <c r="L230" s="103" t="n"/>
      <c r="M230" s="103">
        <f>COUNTIFS('Client DB &amp; Bed Mgmt'!$A:$A,$K230,'Client DB &amp; Bed Mgmt'!$B:$B,$L230,'Client DB &amp; Bed Mgmt'!$D:$D,"&lt;&gt;")</f>
        <v/>
      </c>
      <c r="N230" s="126" t="n"/>
      <c r="O230" s="126" t="n"/>
      <c r="P230" s="127">
        <f>IF(N230="","",MAX(N230-O230,0))</f>
        <v/>
      </c>
      <c r="Q230" s="130">
        <f>IF(O230="","",O230*GeneratorRate)</f>
        <v/>
      </c>
      <c r="R230" s="130">
        <f>IF(P230="","",P230*GovernmentRate)</f>
        <v/>
      </c>
      <c r="S230" s="130">
        <f>IF(N230="","",Q230+R230)</f>
        <v/>
      </c>
      <c r="T230" s="130">
        <f>IF(M230=0,0,S230/M230)</f>
        <v/>
      </c>
      <c r="U230" s="129" t="n"/>
      <c r="V230" s="129" t="n"/>
      <c r="W230" s="130" t="n"/>
      <c r="X230" s="130" t="n"/>
    </row>
    <row r="231" hidden="1" ht="14.25" customHeight="1" s="83">
      <c r="A231" s="103" t="n"/>
      <c r="B231" s="125" t="n"/>
      <c r="C231" s="103" t="n"/>
      <c r="D231" s="126" t="n"/>
      <c r="E231" s="126" t="n"/>
      <c r="F231" s="127">
        <f>IF(D231="","",MAX(D231-E231,0))</f>
        <v/>
      </c>
      <c r="G231" s="130">
        <f>IF(E231="","",E231*GeneratorRate)</f>
        <v/>
      </c>
      <c r="H231" s="130">
        <f>IF(F231="","",F231*GovernmentRate)</f>
        <v/>
      </c>
      <c r="I231" s="130">
        <f>IF(D231="","",G231+H231)</f>
        <v/>
      </c>
      <c r="J231" s="129">
        <f>IFERROR(I231/COUNTIFS('Client DB &amp; Bed Mgmt'!$A:$A,A231,'Client DB &amp; Bed Mgmt'!$B:$B,C231,'Client DB &amp; Bed Mgmt'!$D:$D,"&lt;&gt;"),0)</f>
        <v/>
      </c>
      <c r="K231" s="103" t="n"/>
      <c r="L231" s="103" t="n"/>
      <c r="M231" s="103">
        <f>COUNTIFS('Client DB &amp; Bed Mgmt'!$A:$A,$K231,'Client DB &amp; Bed Mgmt'!$B:$B,$L231,'Client DB &amp; Bed Mgmt'!$D:$D,"&lt;&gt;")</f>
        <v/>
      </c>
      <c r="N231" s="126" t="n"/>
      <c r="O231" s="126" t="n"/>
      <c r="P231" s="127">
        <f>IF(N231="","",MAX(N231-O231,0))</f>
        <v/>
      </c>
      <c r="Q231" s="130">
        <f>IF(O231="","",O231*GeneratorRate)</f>
        <v/>
      </c>
      <c r="R231" s="130">
        <f>IF(P231="","",P231*GovernmentRate)</f>
        <v/>
      </c>
      <c r="S231" s="130">
        <f>IF(N231="","",Q231+R231)</f>
        <v/>
      </c>
      <c r="T231" s="130">
        <f>IF(M231=0,0,S231/M231)</f>
        <v/>
      </c>
      <c r="U231" s="129" t="n"/>
      <c r="V231" s="129" t="n"/>
      <c r="W231" s="130" t="n"/>
      <c r="X231" s="130" t="n"/>
    </row>
    <row r="232" hidden="1" ht="14.25" customHeight="1" s="83">
      <c r="A232" s="103" t="n"/>
      <c r="B232" s="125" t="n"/>
      <c r="C232" s="103" t="n"/>
      <c r="D232" s="126" t="n"/>
      <c r="E232" s="126" t="n"/>
      <c r="F232" s="127">
        <f>IF(D232="","",MAX(D232-E232,0))</f>
        <v/>
      </c>
      <c r="G232" s="130">
        <f>IF(E232="","",E232*GeneratorRate)</f>
        <v/>
      </c>
      <c r="H232" s="130">
        <f>IF(F232="","",F232*GovernmentRate)</f>
        <v/>
      </c>
      <c r="I232" s="130">
        <f>IF(D232="","",G232+H232)</f>
        <v/>
      </c>
      <c r="J232" s="129">
        <f>IFERROR(I232/COUNTIFS('Client DB &amp; Bed Mgmt'!$A:$A,A232,'Client DB &amp; Bed Mgmt'!$B:$B,C232,'Client DB &amp; Bed Mgmt'!$D:$D,"&lt;&gt;"),0)</f>
        <v/>
      </c>
      <c r="K232" s="103" t="n"/>
      <c r="L232" s="103" t="n"/>
      <c r="M232" s="103">
        <f>COUNTIFS('Client DB &amp; Bed Mgmt'!$A:$A,$K232,'Client DB &amp; Bed Mgmt'!$B:$B,$L232,'Client DB &amp; Bed Mgmt'!$D:$D,"&lt;&gt;")</f>
        <v/>
      </c>
      <c r="N232" s="126" t="n"/>
      <c r="O232" s="126" t="n"/>
      <c r="P232" s="127">
        <f>IF(N232="","",MAX(N232-O232,0))</f>
        <v/>
      </c>
      <c r="Q232" s="130">
        <f>IF(O232="","",O232*GeneratorRate)</f>
        <v/>
      </c>
      <c r="R232" s="130">
        <f>IF(P232="","",P232*GovernmentRate)</f>
        <v/>
      </c>
      <c r="S232" s="130">
        <f>IF(N232="","",Q232+R232)</f>
        <v/>
      </c>
      <c r="T232" s="130">
        <f>IF(M232=0,0,S232/M232)</f>
        <v/>
      </c>
      <c r="U232" s="129" t="n"/>
      <c r="V232" s="129" t="n"/>
      <c r="W232" s="130" t="n"/>
      <c r="X232" s="130" t="n"/>
    </row>
    <row r="233" hidden="1" ht="14.25" customHeight="1" s="83">
      <c r="A233" s="103" t="n"/>
      <c r="B233" s="125" t="n"/>
      <c r="C233" s="103" t="n"/>
      <c r="D233" s="126" t="n"/>
      <c r="E233" s="126" t="n"/>
      <c r="F233" s="127">
        <f>IF(D233="","",MAX(D233-E233,0))</f>
        <v/>
      </c>
      <c r="G233" s="130">
        <f>IF(E233="","",E233*GeneratorRate)</f>
        <v/>
      </c>
      <c r="H233" s="130">
        <f>IF(F233="","",F233*GovernmentRate)</f>
        <v/>
      </c>
      <c r="I233" s="130">
        <f>IF(D233="","",G233+H233)</f>
        <v/>
      </c>
      <c r="J233" s="129">
        <f>IFERROR(I233/COUNTIFS('Client DB &amp; Bed Mgmt'!$A:$A,A233,'Client DB &amp; Bed Mgmt'!$B:$B,C233,'Client DB &amp; Bed Mgmt'!$D:$D,"&lt;&gt;"),0)</f>
        <v/>
      </c>
      <c r="K233" s="103" t="n"/>
      <c r="L233" s="103" t="n"/>
      <c r="M233" s="103">
        <f>COUNTIFS('Client DB &amp; Bed Mgmt'!$A:$A,$K233,'Client DB &amp; Bed Mgmt'!$B:$B,$L233,'Client DB &amp; Bed Mgmt'!$D:$D,"&lt;&gt;")</f>
        <v/>
      </c>
      <c r="N233" s="126" t="n"/>
      <c r="O233" s="126" t="n"/>
      <c r="P233" s="127">
        <f>IF(N233="","",MAX(N233-O233,0))</f>
        <v/>
      </c>
      <c r="Q233" s="130">
        <f>IF(O233="","",O233*GeneratorRate)</f>
        <v/>
      </c>
      <c r="R233" s="130">
        <f>IF(P233="","",P233*GovernmentRate)</f>
        <v/>
      </c>
      <c r="S233" s="130">
        <f>IF(N233="","",Q233+R233)</f>
        <v/>
      </c>
      <c r="T233" s="130">
        <f>IF(M233=0,0,S233/M233)</f>
        <v/>
      </c>
      <c r="U233" s="129" t="n"/>
      <c r="V233" s="129" t="n"/>
      <c r="W233" s="130" t="n"/>
      <c r="X233" s="130" t="n"/>
    </row>
    <row r="234" hidden="1" ht="14.25" customHeight="1" s="83">
      <c r="A234" s="103" t="n"/>
      <c r="B234" s="125" t="n"/>
      <c r="C234" s="103" t="n"/>
      <c r="D234" s="126" t="n"/>
      <c r="E234" s="126" t="n"/>
      <c r="F234" s="127">
        <f>IF(D234="","",MAX(D234-E234,0))</f>
        <v/>
      </c>
      <c r="G234" s="130">
        <f>IF(E234="","",E234*GeneratorRate)</f>
        <v/>
      </c>
      <c r="H234" s="130">
        <f>IF(F234="","",F234*GovernmentRate)</f>
        <v/>
      </c>
      <c r="I234" s="130">
        <f>IF(D234="","",G234+H234)</f>
        <v/>
      </c>
      <c r="J234" s="129">
        <f>IFERROR(I234/COUNTIFS('Client DB &amp; Bed Mgmt'!$A:$A,A234,'Client DB &amp; Bed Mgmt'!$B:$B,C234,'Client DB &amp; Bed Mgmt'!$D:$D,"&lt;&gt;"),0)</f>
        <v/>
      </c>
      <c r="K234" s="103" t="n"/>
      <c r="L234" s="103" t="n"/>
      <c r="M234" s="103">
        <f>COUNTIFS('Client DB &amp; Bed Mgmt'!$A:$A,$K234,'Client DB &amp; Bed Mgmt'!$B:$B,$L234,'Client DB &amp; Bed Mgmt'!$D:$D,"&lt;&gt;")</f>
        <v/>
      </c>
      <c r="N234" s="126" t="n"/>
      <c r="O234" s="126" t="n"/>
      <c r="P234" s="127">
        <f>IF(N234="","",MAX(N234-O234,0))</f>
        <v/>
      </c>
      <c r="Q234" s="130">
        <f>IF(O234="","",O234*GeneratorRate)</f>
        <v/>
      </c>
      <c r="R234" s="130">
        <f>IF(P234="","",P234*GovernmentRate)</f>
        <v/>
      </c>
      <c r="S234" s="130">
        <f>IF(N234="","",Q234+R234)</f>
        <v/>
      </c>
      <c r="T234" s="130">
        <f>IF(M234=0,0,S234/M234)</f>
        <v/>
      </c>
      <c r="U234" s="129" t="n"/>
      <c r="V234" s="129" t="n"/>
      <c r="W234" s="130" t="n"/>
      <c r="X234" s="130" t="n"/>
    </row>
    <row r="235" hidden="1" ht="14.25" customHeight="1" s="83">
      <c r="A235" s="103" t="n"/>
      <c r="B235" s="125" t="n"/>
      <c r="C235" s="103" t="n"/>
      <c r="D235" s="126" t="n"/>
      <c r="E235" s="126" t="n"/>
      <c r="F235" s="127">
        <f>IF(D235="","",MAX(D235-E235,0))</f>
        <v/>
      </c>
      <c r="G235" s="130">
        <f>IF(E235="","",E235*GeneratorRate)</f>
        <v/>
      </c>
      <c r="H235" s="130">
        <f>IF(F235="","",F235*GovernmentRate)</f>
        <v/>
      </c>
      <c r="I235" s="130">
        <f>IF(D235="","",G235+H235)</f>
        <v/>
      </c>
      <c r="J235" s="129">
        <f>IFERROR(I235/COUNTIFS('Client DB &amp; Bed Mgmt'!$A:$A,A235,'Client DB &amp; Bed Mgmt'!$B:$B,C235,'Client DB &amp; Bed Mgmt'!$D:$D,"&lt;&gt;"),0)</f>
        <v/>
      </c>
      <c r="K235" s="103" t="n"/>
      <c r="L235" s="103" t="n"/>
      <c r="M235" s="103">
        <f>COUNTIFS('Client DB &amp; Bed Mgmt'!$A:$A,$K235,'Client DB &amp; Bed Mgmt'!$B:$B,$L235,'Client DB &amp; Bed Mgmt'!$D:$D,"&lt;&gt;")</f>
        <v/>
      </c>
      <c r="N235" s="126" t="n"/>
      <c r="O235" s="126" t="n"/>
      <c r="P235" s="127">
        <f>IF(N235="","",MAX(N235-O235,0))</f>
        <v/>
      </c>
      <c r="Q235" s="130">
        <f>IF(O235="","",O235*GeneratorRate)</f>
        <v/>
      </c>
      <c r="R235" s="130">
        <f>IF(P235="","",P235*GovernmentRate)</f>
        <v/>
      </c>
      <c r="S235" s="130">
        <f>IF(N235="","",Q235+R235)</f>
        <v/>
      </c>
      <c r="T235" s="130">
        <f>IF(M235=0,0,S235/M235)</f>
        <v/>
      </c>
      <c r="U235" s="129" t="n"/>
      <c r="V235" s="129" t="n"/>
      <c r="W235" s="130" t="n"/>
      <c r="X235" s="130" t="n"/>
    </row>
    <row r="236" hidden="1" ht="14.25" customHeight="1" s="83">
      <c r="A236" s="103" t="n"/>
      <c r="B236" s="125" t="n"/>
      <c r="C236" s="103" t="n"/>
      <c r="D236" s="126" t="n"/>
      <c r="E236" s="126" t="n"/>
      <c r="F236" s="127">
        <f>IF(D236="","",MAX(D236-E236,0))</f>
        <v/>
      </c>
      <c r="G236" s="130">
        <f>IF(E236="","",E236*GeneratorRate)</f>
        <v/>
      </c>
      <c r="H236" s="130">
        <f>IF(F236="","",F236*GovernmentRate)</f>
        <v/>
      </c>
      <c r="I236" s="130">
        <f>IF(D236="","",G236+H236)</f>
        <v/>
      </c>
      <c r="J236" s="129">
        <f>IFERROR(I236/COUNTIFS('Client DB &amp; Bed Mgmt'!$A:$A,A236,'Client DB &amp; Bed Mgmt'!$B:$B,C236,'Client DB &amp; Bed Mgmt'!$D:$D,"&lt;&gt;"),0)</f>
        <v/>
      </c>
      <c r="K236" s="103" t="n"/>
      <c r="L236" s="103" t="n"/>
      <c r="M236" s="103">
        <f>COUNTIFS('Client DB &amp; Bed Mgmt'!$A:$A,$K236,'Client DB &amp; Bed Mgmt'!$B:$B,$L236,'Client DB &amp; Bed Mgmt'!$D:$D,"&lt;&gt;")</f>
        <v/>
      </c>
      <c r="N236" s="126" t="n"/>
      <c r="O236" s="126" t="n"/>
      <c r="P236" s="127">
        <f>IF(N236="","",MAX(N236-O236,0))</f>
        <v/>
      </c>
      <c r="Q236" s="130">
        <f>IF(O236="","",O236*GeneratorRate)</f>
        <v/>
      </c>
      <c r="R236" s="130">
        <f>IF(P236="","",P236*GovernmentRate)</f>
        <v/>
      </c>
      <c r="S236" s="130">
        <f>IF(N236="","",Q236+R236)</f>
        <v/>
      </c>
      <c r="T236" s="130">
        <f>IF(M236=0,0,S236/M236)</f>
        <v/>
      </c>
      <c r="U236" s="129" t="n"/>
      <c r="V236" s="129" t="n"/>
      <c r="W236" s="130" t="n"/>
      <c r="X236" s="130" t="n"/>
    </row>
    <row r="237" hidden="1" ht="14.25" customHeight="1" s="83">
      <c r="A237" s="103" t="n"/>
      <c r="B237" s="125" t="n"/>
      <c r="C237" s="103" t="n"/>
      <c r="D237" s="126" t="n"/>
      <c r="E237" s="126" t="n"/>
      <c r="F237" s="127">
        <f>IF(D237="","",MAX(D237-E237,0))</f>
        <v/>
      </c>
      <c r="G237" s="130">
        <f>IF(E237="","",E237*GeneratorRate)</f>
        <v/>
      </c>
      <c r="H237" s="130">
        <f>IF(F237="","",F237*GovernmentRate)</f>
        <v/>
      </c>
      <c r="I237" s="130">
        <f>IF(D237="","",G237+H237)</f>
        <v/>
      </c>
      <c r="J237" s="129">
        <f>IFERROR(I237/COUNTIFS('Client DB &amp; Bed Mgmt'!$A:$A,A237,'Client DB &amp; Bed Mgmt'!$B:$B,C237,'Client DB &amp; Bed Mgmt'!$D:$D,"&lt;&gt;"),0)</f>
        <v/>
      </c>
      <c r="K237" s="103" t="n"/>
      <c r="L237" s="103" t="n"/>
      <c r="M237" s="103">
        <f>COUNTIFS('Client DB &amp; Bed Mgmt'!$A:$A,$K237,'Client DB &amp; Bed Mgmt'!$B:$B,$L237,'Client DB &amp; Bed Mgmt'!$D:$D,"&lt;&gt;")</f>
        <v/>
      </c>
      <c r="N237" s="126" t="n"/>
      <c r="O237" s="126" t="n"/>
      <c r="P237" s="127">
        <f>IF(N237="","",MAX(N237-O237,0))</f>
        <v/>
      </c>
      <c r="Q237" s="130">
        <f>IF(O237="","",O237*GeneratorRate)</f>
        <v/>
      </c>
      <c r="R237" s="130">
        <f>IF(P237="","",P237*GovernmentRate)</f>
        <v/>
      </c>
      <c r="S237" s="130">
        <f>IF(N237="","",Q237+R237)</f>
        <v/>
      </c>
      <c r="T237" s="130">
        <f>IF(M237=0,0,S237/M237)</f>
        <v/>
      </c>
      <c r="U237" s="129" t="n"/>
      <c r="V237" s="129" t="n"/>
      <c r="W237" s="130" t="n"/>
      <c r="X237" s="130" t="n"/>
    </row>
    <row r="238" hidden="1" ht="14.25" customHeight="1" s="83">
      <c r="A238" s="103" t="n"/>
      <c r="B238" s="125" t="n"/>
      <c r="C238" s="103" t="n"/>
      <c r="D238" s="126" t="n"/>
      <c r="E238" s="126" t="n"/>
      <c r="F238" s="127">
        <f>IF(D238="","",MAX(D238-E238,0))</f>
        <v/>
      </c>
      <c r="G238" s="130">
        <f>IF(E238="","",E238*GeneratorRate)</f>
        <v/>
      </c>
      <c r="H238" s="130">
        <f>IF(F238="","",F238*GovernmentRate)</f>
        <v/>
      </c>
      <c r="I238" s="130">
        <f>IF(D238="","",G238+H238)</f>
        <v/>
      </c>
      <c r="J238" s="129">
        <f>IFERROR(I238/COUNTIFS('Client DB &amp; Bed Mgmt'!$A:$A,A238,'Client DB &amp; Bed Mgmt'!$B:$B,C238,'Client DB &amp; Bed Mgmt'!$D:$D,"&lt;&gt;"),0)</f>
        <v/>
      </c>
      <c r="K238" s="103" t="n"/>
      <c r="L238" s="103" t="n"/>
      <c r="M238" s="103">
        <f>COUNTIFS('Client DB &amp; Bed Mgmt'!$A:$A,$K238,'Client DB &amp; Bed Mgmt'!$B:$B,$L238,'Client DB &amp; Bed Mgmt'!$D:$D,"&lt;&gt;")</f>
        <v/>
      </c>
      <c r="N238" s="126" t="n"/>
      <c r="O238" s="126" t="n"/>
      <c r="P238" s="127">
        <f>IF(N238="","",MAX(N238-O238,0))</f>
        <v/>
      </c>
      <c r="Q238" s="130">
        <f>IF(O238="","",O238*GeneratorRate)</f>
        <v/>
      </c>
      <c r="R238" s="130">
        <f>IF(P238="","",P238*GovernmentRate)</f>
        <v/>
      </c>
      <c r="S238" s="130">
        <f>IF(N238="","",Q238+R238)</f>
        <v/>
      </c>
      <c r="T238" s="130">
        <f>IF(M238=0,0,S238/M238)</f>
        <v/>
      </c>
      <c r="U238" s="129" t="n"/>
      <c r="V238" s="129" t="n"/>
      <c r="W238" s="130" t="n"/>
      <c r="X238" s="130" t="n"/>
    </row>
    <row r="239" hidden="1" ht="14.25" customHeight="1" s="83">
      <c r="A239" s="103" t="n"/>
      <c r="B239" s="125" t="n"/>
      <c r="C239" s="103" t="n"/>
      <c r="D239" s="126" t="n"/>
      <c r="E239" s="126" t="n"/>
      <c r="F239" s="127">
        <f>IF(D239="","",MAX(D239-E239,0))</f>
        <v/>
      </c>
      <c r="G239" s="130">
        <f>IF(E239="","",E239*GeneratorRate)</f>
        <v/>
      </c>
      <c r="H239" s="130">
        <f>IF(F239="","",F239*GovernmentRate)</f>
        <v/>
      </c>
      <c r="I239" s="130">
        <f>IF(D239="","",G239+H239)</f>
        <v/>
      </c>
      <c r="J239" s="129">
        <f>IFERROR(I239/COUNTIFS('Client DB &amp; Bed Mgmt'!$A:$A,A239,'Client DB &amp; Bed Mgmt'!$B:$B,C239,'Client DB &amp; Bed Mgmt'!$D:$D,"&lt;&gt;"),0)</f>
        <v/>
      </c>
      <c r="K239" s="103" t="n"/>
      <c r="L239" s="103" t="n"/>
      <c r="M239" s="103">
        <f>COUNTIFS('Client DB &amp; Bed Mgmt'!$A:$A,$K239,'Client DB &amp; Bed Mgmt'!$B:$B,$L239,'Client DB &amp; Bed Mgmt'!$D:$D,"&lt;&gt;")</f>
        <v/>
      </c>
      <c r="N239" s="126" t="n"/>
      <c r="O239" s="126" t="n"/>
      <c r="P239" s="127">
        <f>IF(N239="","",MAX(N239-O239,0))</f>
        <v/>
      </c>
      <c r="Q239" s="130">
        <f>IF(O239="","",O239*GeneratorRate)</f>
        <v/>
      </c>
      <c r="R239" s="130">
        <f>IF(P239="","",P239*GovernmentRate)</f>
        <v/>
      </c>
      <c r="S239" s="130">
        <f>IF(N239="","",Q239+R239)</f>
        <v/>
      </c>
      <c r="T239" s="130">
        <f>IF(M239=0,0,S239/M239)</f>
        <v/>
      </c>
      <c r="U239" s="129" t="n"/>
      <c r="V239" s="129" t="n"/>
      <c r="W239" s="130" t="n"/>
      <c r="X239" s="130" t="n"/>
    </row>
    <row r="240" hidden="1" ht="14.25" customHeight="1" s="83">
      <c r="A240" s="103" t="n"/>
      <c r="B240" s="125" t="n"/>
      <c r="C240" s="103" t="n"/>
      <c r="D240" s="126" t="n"/>
      <c r="E240" s="126" t="n"/>
      <c r="F240" s="127">
        <f>IF(D240="","",MAX(D240-E240,0))</f>
        <v/>
      </c>
      <c r="G240" s="130">
        <f>IF(E240="","",E240*GeneratorRate)</f>
        <v/>
      </c>
      <c r="H240" s="130">
        <f>IF(F240="","",F240*GovernmentRate)</f>
        <v/>
      </c>
      <c r="I240" s="130">
        <f>IF(D240="","",G240+H240)</f>
        <v/>
      </c>
      <c r="J240" s="129">
        <f>IFERROR(I240/COUNTIFS('Client DB &amp; Bed Mgmt'!$A:$A,A240,'Client DB &amp; Bed Mgmt'!$B:$B,C240,'Client DB &amp; Bed Mgmt'!$D:$D,"&lt;&gt;"),0)</f>
        <v/>
      </c>
      <c r="K240" s="103" t="n"/>
      <c r="L240" s="103" t="n"/>
      <c r="M240" s="103">
        <f>COUNTIFS('Client DB &amp; Bed Mgmt'!$A:$A,$K240,'Client DB &amp; Bed Mgmt'!$B:$B,$L240,'Client DB &amp; Bed Mgmt'!$D:$D,"&lt;&gt;")</f>
        <v/>
      </c>
      <c r="N240" s="126" t="n"/>
      <c r="O240" s="126" t="n"/>
      <c r="P240" s="127">
        <f>IF(N240="","",MAX(N240-O240,0))</f>
        <v/>
      </c>
      <c r="Q240" s="130">
        <f>IF(O240="","",O240*GeneratorRate)</f>
        <v/>
      </c>
      <c r="R240" s="130">
        <f>IF(P240="","",P240*GovernmentRate)</f>
        <v/>
      </c>
      <c r="S240" s="130">
        <f>IF(N240="","",Q240+R240)</f>
        <v/>
      </c>
      <c r="T240" s="130">
        <f>IF(M240=0,0,S240/M240)</f>
        <v/>
      </c>
      <c r="U240" s="129" t="n"/>
      <c r="V240" s="129" t="n"/>
      <c r="W240" s="130" t="n"/>
      <c r="X240" s="130" t="n"/>
    </row>
    <row r="241" hidden="1" ht="14.25" customHeight="1" s="83">
      <c r="A241" s="103" t="n"/>
      <c r="B241" s="125" t="n"/>
      <c r="C241" s="103" t="n"/>
      <c r="D241" s="126" t="n"/>
      <c r="E241" s="126" t="n"/>
      <c r="F241" s="127">
        <f>IF(D241="","",MAX(D241-E241,0))</f>
        <v/>
      </c>
      <c r="G241" s="130">
        <f>IF(E241="","",E241*GeneratorRate)</f>
        <v/>
      </c>
      <c r="H241" s="130">
        <f>IF(F241="","",F241*GovernmentRate)</f>
        <v/>
      </c>
      <c r="I241" s="130">
        <f>IF(D241="","",G241+H241)</f>
        <v/>
      </c>
      <c r="J241" s="129">
        <f>IFERROR(I241/COUNTIFS('Client DB &amp; Bed Mgmt'!$A:$A,A241,'Client DB &amp; Bed Mgmt'!$B:$B,C241,'Client DB &amp; Bed Mgmt'!$D:$D,"&lt;&gt;"),0)</f>
        <v/>
      </c>
      <c r="K241" s="103" t="n"/>
      <c r="L241" s="103" t="n"/>
      <c r="M241" s="103">
        <f>COUNTIFS('Client DB &amp; Bed Mgmt'!$A:$A,$K241,'Client DB &amp; Bed Mgmt'!$B:$B,$L241,'Client DB &amp; Bed Mgmt'!$D:$D,"&lt;&gt;")</f>
        <v/>
      </c>
      <c r="N241" s="126" t="n"/>
      <c r="O241" s="126" t="n"/>
      <c r="P241" s="127">
        <f>IF(N241="","",MAX(N241-O241,0))</f>
        <v/>
      </c>
      <c r="Q241" s="130">
        <f>IF(O241="","",O241*GeneratorRate)</f>
        <v/>
      </c>
      <c r="R241" s="130">
        <f>IF(P241="","",P241*GovernmentRate)</f>
        <v/>
      </c>
      <c r="S241" s="130">
        <f>IF(N241="","",Q241+R241)</f>
        <v/>
      </c>
      <c r="T241" s="130">
        <f>IF(M241=0,0,S241/M241)</f>
        <v/>
      </c>
      <c r="U241" s="129" t="n"/>
      <c r="V241" s="129" t="n"/>
      <c r="W241" s="130" t="n"/>
      <c r="X241" s="130" t="n"/>
    </row>
    <row r="242" hidden="1" ht="14.25" customHeight="1" s="83">
      <c r="A242" s="103" t="n"/>
      <c r="B242" s="125" t="n"/>
      <c r="C242" s="103" t="n"/>
      <c r="D242" s="126" t="n"/>
      <c r="E242" s="126" t="n"/>
      <c r="F242" s="127">
        <f>IF(D242="","",MAX(D242-E242,0))</f>
        <v/>
      </c>
      <c r="G242" s="130">
        <f>IF(E242="","",E242*GeneratorRate)</f>
        <v/>
      </c>
      <c r="H242" s="130">
        <f>IF(F242="","",F242*GovernmentRate)</f>
        <v/>
      </c>
      <c r="I242" s="130">
        <f>IF(D242="","",G242+H242)</f>
        <v/>
      </c>
      <c r="J242" s="129">
        <f>IFERROR(I242/COUNTIFS('Client DB &amp; Bed Mgmt'!$A:$A,A242,'Client DB &amp; Bed Mgmt'!$B:$B,C242,'Client DB &amp; Bed Mgmt'!$D:$D,"&lt;&gt;"),0)</f>
        <v/>
      </c>
      <c r="K242" s="103" t="n"/>
      <c r="L242" s="103" t="n"/>
      <c r="M242" s="103">
        <f>COUNTIFS('Client DB &amp; Bed Mgmt'!$A:$A,$K242,'Client DB &amp; Bed Mgmt'!$B:$B,$L242,'Client DB &amp; Bed Mgmt'!$D:$D,"&lt;&gt;")</f>
        <v/>
      </c>
      <c r="N242" s="126" t="n"/>
      <c r="O242" s="126" t="n"/>
      <c r="P242" s="127">
        <f>IF(N242="","",MAX(N242-O242,0))</f>
        <v/>
      </c>
      <c r="Q242" s="130">
        <f>IF(O242="","",O242*GeneratorRate)</f>
        <v/>
      </c>
      <c r="R242" s="130">
        <f>IF(P242="","",P242*GovernmentRate)</f>
        <v/>
      </c>
      <c r="S242" s="130">
        <f>IF(N242="","",Q242+R242)</f>
        <v/>
      </c>
      <c r="T242" s="130">
        <f>IF(M242=0,0,S242/M242)</f>
        <v/>
      </c>
      <c r="U242" s="129" t="n"/>
      <c r="V242" s="129" t="n"/>
      <c r="W242" s="130" t="n"/>
      <c r="X242" s="130" t="n"/>
    </row>
    <row r="243" hidden="1" ht="14.25" customHeight="1" s="83">
      <c r="A243" s="103" t="n"/>
      <c r="B243" s="125" t="n"/>
      <c r="C243" s="103" t="n"/>
      <c r="D243" s="126" t="n"/>
      <c r="E243" s="126" t="n"/>
      <c r="F243" s="127">
        <f>IF(D243="","",MAX(D243-E243,0))</f>
        <v/>
      </c>
      <c r="G243" s="130">
        <f>IF(E243="","",E243*GeneratorRate)</f>
        <v/>
      </c>
      <c r="H243" s="130">
        <f>IF(F243="","",F243*GovernmentRate)</f>
        <v/>
      </c>
      <c r="I243" s="130">
        <f>IF(D243="","",G243+H243)</f>
        <v/>
      </c>
      <c r="J243" s="129">
        <f>IFERROR(I243/COUNTIFS('Client DB &amp; Bed Mgmt'!$A:$A,A243,'Client DB &amp; Bed Mgmt'!$B:$B,C243,'Client DB &amp; Bed Mgmt'!$D:$D,"&lt;&gt;"),0)</f>
        <v/>
      </c>
      <c r="K243" s="103" t="n"/>
      <c r="L243" s="103" t="n"/>
      <c r="M243" s="103">
        <f>COUNTIFS('Client DB &amp; Bed Mgmt'!$A:$A,$K243,'Client DB &amp; Bed Mgmt'!$B:$B,$L243,'Client DB &amp; Bed Mgmt'!$D:$D,"&lt;&gt;")</f>
        <v/>
      </c>
      <c r="N243" s="126" t="n"/>
      <c r="O243" s="126" t="n"/>
      <c r="P243" s="127">
        <f>IF(N243="","",MAX(N243-O243,0))</f>
        <v/>
      </c>
      <c r="Q243" s="130">
        <f>IF(O243="","",O243*GeneratorRate)</f>
        <v/>
      </c>
      <c r="R243" s="130">
        <f>IF(P243="","",P243*GovernmentRate)</f>
        <v/>
      </c>
      <c r="S243" s="130">
        <f>IF(N243="","",Q243+R243)</f>
        <v/>
      </c>
      <c r="T243" s="130">
        <f>IF(M243=0,0,S243/M243)</f>
        <v/>
      </c>
      <c r="U243" s="129" t="n"/>
      <c r="V243" s="129" t="n"/>
      <c r="W243" s="130" t="n"/>
      <c r="X243" s="130" t="n"/>
    </row>
    <row r="244" hidden="1" ht="14.25" customHeight="1" s="83">
      <c r="A244" s="103" t="n"/>
      <c r="B244" s="125" t="n"/>
      <c r="C244" s="103" t="n"/>
      <c r="D244" s="126" t="n"/>
      <c r="E244" s="126" t="n"/>
      <c r="F244" s="127">
        <f>IF(D244="","",MAX(D244-E244,0))</f>
        <v/>
      </c>
      <c r="G244" s="130">
        <f>IF(E244="","",E244*GeneratorRate)</f>
        <v/>
      </c>
      <c r="H244" s="130">
        <f>IF(F244="","",F244*GovernmentRate)</f>
        <v/>
      </c>
      <c r="I244" s="130">
        <f>IF(D244="","",G244+H244)</f>
        <v/>
      </c>
      <c r="J244" s="129">
        <f>IFERROR(I244/COUNTIFS('Client DB &amp; Bed Mgmt'!$A:$A,A244,'Client DB &amp; Bed Mgmt'!$B:$B,C244,'Client DB &amp; Bed Mgmt'!$D:$D,"&lt;&gt;"),0)</f>
        <v/>
      </c>
      <c r="K244" s="103" t="n"/>
      <c r="L244" s="103" t="n"/>
      <c r="M244" s="103">
        <f>COUNTIFS('Client DB &amp; Bed Mgmt'!$A:$A,$K244,'Client DB &amp; Bed Mgmt'!$B:$B,$L244,'Client DB &amp; Bed Mgmt'!$D:$D,"&lt;&gt;")</f>
        <v/>
      </c>
      <c r="N244" s="126" t="n"/>
      <c r="O244" s="126" t="n"/>
      <c r="P244" s="127">
        <f>IF(N244="","",MAX(N244-O244,0))</f>
        <v/>
      </c>
      <c r="Q244" s="130">
        <f>IF(O244="","",O244*GeneratorRate)</f>
        <v/>
      </c>
      <c r="R244" s="130">
        <f>IF(P244="","",P244*GovernmentRate)</f>
        <v/>
      </c>
      <c r="S244" s="130">
        <f>IF(N244="","",Q244+R244)</f>
        <v/>
      </c>
      <c r="T244" s="130">
        <f>IF(M244=0,0,S244/M244)</f>
        <v/>
      </c>
      <c r="U244" s="129" t="n"/>
      <c r="V244" s="129" t="n"/>
      <c r="W244" s="130" t="n"/>
      <c r="X244" s="130" t="n"/>
    </row>
    <row r="245" hidden="1" ht="14.25" customHeight="1" s="83">
      <c r="A245" s="103" t="n"/>
      <c r="B245" s="125" t="n"/>
      <c r="C245" s="103" t="n"/>
      <c r="D245" s="126" t="n"/>
      <c r="E245" s="126" t="n"/>
      <c r="F245" s="127">
        <f>IF(D245="","",MAX(D245-E245,0))</f>
        <v/>
      </c>
      <c r="G245" s="130">
        <f>IF(E245="","",E245*GeneratorRate)</f>
        <v/>
      </c>
      <c r="H245" s="130">
        <f>IF(F245="","",F245*GovernmentRate)</f>
        <v/>
      </c>
      <c r="I245" s="130">
        <f>IF(D245="","",G245+H245)</f>
        <v/>
      </c>
      <c r="J245" s="129">
        <f>IFERROR(I245/COUNTIFS('Client DB &amp; Bed Mgmt'!$A:$A,A245,'Client DB &amp; Bed Mgmt'!$B:$B,C245,'Client DB &amp; Bed Mgmt'!$D:$D,"&lt;&gt;"),0)</f>
        <v/>
      </c>
      <c r="K245" s="103" t="n"/>
      <c r="L245" s="103" t="n"/>
      <c r="M245" s="103">
        <f>COUNTIFS('Client DB &amp; Bed Mgmt'!$A:$A,$K245,'Client DB &amp; Bed Mgmt'!$B:$B,$L245,'Client DB &amp; Bed Mgmt'!$D:$D,"&lt;&gt;")</f>
        <v/>
      </c>
      <c r="N245" s="126" t="n"/>
      <c r="O245" s="126" t="n"/>
      <c r="P245" s="127">
        <f>IF(N245="","",MAX(N245-O245,0))</f>
        <v/>
      </c>
      <c r="Q245" s="130">
        <f>IF(O245="","",O245*GeneratorRate)</f>
        <v/>
      </c>
      <c r="R245" s="130">
        <f>IF(P245="","",P245*GovernmentRate)</f>
        <v/>
      </c>
      <c r="S245" s="130">
        <f>IF(N245="","",Q245+R245)</f>
        <v/>
      </c>
      <c r="T245" s="130">
        <f>IF(M245=0,0,S245/M245)</f>
        <v/>
      </c>
      <c r="U245" s="129" t="n"/>
      <c r="V245" s="129" t="n"/>
      <c r="W245" s="130" t="n"/>
      <c r="X245" s="130" t="n"/>
    </row>
    <row r="246" hidden="1" ht="14.25" customHeight="1" s="83">
      <c r="A246" s="103" t="n"/>
      <c r="B246" s="125" t="n"/>
      <c r="C246" s="103" t="n"/>
      <c r="D246" s="126" t="n"/>
      <c r="E246" s="126" t="n"/>
      <c r="F246" s="127">
        <f>IF(D246="","",MAX(D246-E246,0))</f>
        <v/>
      </c>
      <c r="G246" s="130">
        <f>IF(E246="","",E246*GeneratorRate)</f>
        <v/>
      </c>
      <c r="H246" s="130">
        <f>IF(F246="","",F246*GovernmentRate)</f>
        <v/>
      </c>
      <c r="I246" s="130">
        <f>IF(D246="","",G246+H246)</f>
        <v/>
      </c>
      <c r="J246" s="129">
        <f>IFERROR(I246/COUNTIFS('Client DB &amp; Bed Mgmt'!$A:$A,A246,'Client DB &amp; Bed Mgmt'!$B:$B,C246,'Client DB &amp; Bed Mgmt'!$D:$D,"&lt;&gt;"),0)</f>
        <v/>
      </c>
      <c r="K246" s="103" t="n"/>
      <c r="L246" s="103" t="n"/>
      <c r="M246" s="103">
        <f>COUNTIFS('Client DB &amp; Bed Mgmt'!$A:$A,$K246,'Client DB &amp; Bed Mgmt'!$B:$B,$L246,'Client DB &amp; Bed Mgmt'!$D:$D,"&lt;&gt;")</f>
        <v/>
      </c>
      <c r="N246" s="126" t="n"/>
      <c r="O246" s="126" t="n"/>
      <c r="P246" s="127">
        <f>IF(N246="","",MAX(N246-O246,0))</f>
        <v/>
      </c>
      <c r="Q246" s="130">
        <f>IF(O246="","",O246*GeneratorRate)</f>
        <v/>
      </c>
      <c r="R246" s="130">
        <f>IF(P246="","",P246*GovernmentRate)</f>
        <v/>
      </c>
      <c r="S246" s="130">
        <f>IF(N246="","",Q246+R246)</f>
        <v/>
      </c>
      <c r="T246" s="130">
        <f>IF(M246=0,0,S246/M246)</f>
        <v/>
      </c>
      <c r="U246" s="129" t="n"/>
      <c r="V246" s="129" t="n"/>
      <c r="W246" s="130" t="n"/>
      <c r="X246" s="130" t="n"/>
    </row>
    <row r="247" hidden="1" ht="14.25" customHeight="1" s="83">
      <c r="A247" s="103" t="n"/>
      <c r="B247" s="125" t="n"/>
      <c r="C247" s="103" t="n"/>
      <c r="D247" s="126" t="n"/>
      <c r="E247" s="126" t="n"/>
      <c r="F247" s="127">
        <f>IF(D247="","",MAX(D247-E247,0))</f>
        <v/>
      </c>
      <c r="G247" s="130">
        <f>IF(E247="","",E247*GeneratorRate)</f>
        <v/>
      </c>
      <c r="H247" s="130">
        <f>IF(F247="","",F247*GovernmentRate)</f>
        <v/>
      </c>
      <c r="I247" s="130">
        <f>IF(D247="","",G247+H247)</f>
        <v/>
      </c>
      <c r="J247" s="129">
        <f>IFERROR(I247/COUNTIFS('Client DB &amp; Bed Mgmt'!$A:$A,A247,'Client DB &amp; Bed Mgmt'!$B:$B,C247,'Client DB &amp; Bed Mgmt'!$D:$D,"&lt;&gt;"),0)</f>
        <v/>
      </c>
      <c r="K247" s="103" t="n"/>
      <c r="L247" s="103" t="n"/>
      <c r="M247" s="103">
        <f>COUNTIFS('Client DB &amp; Bed Mgmt'!$A:$A,$K247,'Client DB &amp; Bed Mgmt'!$B:$B,$L247,'Client DB &amp; Bed Mgmt'!$D:$D,"&lt;&gt;")</f>
        <v/>
      </c>
      <c r="N247" s="126" t="n"/>
      <c r="O247" s="126" t="n"/>
      <c r="P247" s="127">
        <f>IF(N247="","",MAX(N247-O247,0))</f>
        <v/>
      </c>
      <c r="Q247" s="130">
        <f>IF(O247="","",O247*GeneratorRate)</f>
        <v/>
      </c>
      <c r="R247" s="130">
        <f>IF(P247="","",P247*GovernmentRate)</f>
        <v/>
      </c>
      <c r="S247" s="130">
        <f>IF(N247="","",Q247+R247)</f>
        <v/>
      </c>
      <c r="T247" s="130">
        <f>IF(M247=0,0,S247/M247)</f>
        <v/>
      </c>
      <c r="U247" s="129" t="n"/>
      <c r="V247" s="129" t="n"/>
      <c r="W247" s="130" t="n"/>
      <c r="X247" s="130" t="n"/>
    </row>
    <row r="248" hidden="1" ht="14.25" customHeight="1" s="83">
      <c r="A248" s="103" t="n"/>
      <c r="B248" s="125" t="n"/>
      <c r="C248" s="103" t="n"/>
      <c r="D248" s="126" t="n"/>
      <c r="E248" s="126" t="n"/>
      <c r="F248" s="127">
        <f>IF(D248="","",MAX(D248-E248,0))</f>
        <v/>
      </c>
      <c r="G248" s="130">
        <f>IF(E248="","",E248*GeneratorRate)</f>
        <v/>
      </c>
      <c r="H248" s="130">
        <f>IF(F248="","",F248*GovernmentRate)</f>
        <v/>
      </c>
      <c r="I248" s="130">
        <f>IF(D248="","",G248+H248)</f>
        <v/>
      </c>
      <c r="J248" s="129">
        <f>IFERROR(I248/COUNTIFS('Client DB &amp; Bed Mgmt'!$A:$A,A248,'Client DB &amp; Bed Mgmt'!$B:$B,C248,'Client DB &amp; Bed Mgmt'!$D:$D,"&lt;&gt;"),0)</f>
        <v/>
      </c>
      <c r="K248" s="103" t="n"/>
      <c r="L248" s="103" t="n"/>
      <c r="M248" s="103">
        <f>COUNTIFS('Client DB &amp; Bed Mgmt'!$A:$A,$K248,'Client DB &amp; Bed Mgmt'!$B:$B,$L248,'Client DB &amp; Bed Mgmt'!$D:$D,"&lt;&gt;")</f>
        <v/>
      </c>
      <c r="N248" s="126" t="n"/>
      <c r="O248" s="126" t="n"/>
      <c r="P248" s="127">
        <f>IF(N248="","",MAX(N248-O248,0))</f>
        <v/>
      </c>
      <c r="Q248" s="130">
        <f>IF(O248="","",O248*GeneratorRate)</f>
        <v/>
      </c>
      <c r="R248" s="130">
        <f>IF(P248="","",P248*GovernmentRate)</f>
        <v/>
      </c>
      <c r="S248" s="130">
        <f>IF(N248="","",Q248+R248)</f>
        <v/>
      </c>
      <c r="T248" s="130">
        <f>IF(M248=0,0,S248/M248)</f>
        <v/>
      </c>
      <c r="U248" s="129" t="n"/>
      <c r="V248" s="129" t="n"/>
      <c r="W248" s="130" t="n"/>
      <c r="X248" s="130" t="n"/>
    </row>
    <row r="249" hidden="1" ht="14.25" customHeight="1" s="83">
      <c r="A249" s="103" t="n"/>
      <c r="B249" s="125" t="n"/>
      <c r="C249" s="103" t="n"/>
      <c r="D249" s="126" t="n"/>
      <c r="E249" s="126" t="n"/>
      <c r="F249" s="127">
        <f>IF(D249="","",MAX(D249-E249,0))</f>
        <v/>
      </c>
      <c r="G249" s="130">
        <f>IF(E249="","",E249*GeneratorRate)</f>
        <v/>
      </c>
      <c r="H249" s="130">
        <f>IF(F249="","",F249*GovernmentRate)</f>
        <v/>
      </c>
      <c r="I249" s="130">
        <f>IF(D249="","",G249+H249)</f>
        <v/>
      </c>
      <c r="J249" s="129">
        <f>IFERROR(I249/COUNTIFS('Client DB &amp; Bed Mgmt'!$A:$A,A249,'Client DB &amp; Bed Mgmt'!$B:$B,C249,'Client DB &amp; Bed Mgmt'!$D:$D,"&lt;&gt;"),0)</f>
        <v/>
      </c>
      <c r="K249" s="103" t="n"/>
      <c r="L249" s="103" t="n"/>
      <c r="M249" s="103">
        <f>COUNTIFS('Client DB &amp; Bed Mgmt'!$A:$A,$K249,'Client DB &amp; Bed Mgmt'!$B:$B,$L249,'Client DB &amp; Bed Mgmt'!$D:$D,"&lt;&gt;")</f>
        <v/>
      </c>
      <c r="N249" s="126" t="n"/>
      <c r="O249" s="126" t="n"/>
      <c r="P249" s="127">
        <f>IF(N249="","",MAX(N249-O249,0))</f>
        <v/>
      </c>
      <c r="Q249" s="130">
        <f>IF(O249="","",O249*GeneratorRate)</f>
        <v/>
      </c>
      <c r="R249" s="130">
        <f>IF(P249="","",P249*GovernmentRate)</f>
        <v/>
      </c>
      <c r="S249" s="130">
        <f>IF(N249="","",Q249+R249)</f>
        <v/>
      </c>
      <c r="T249" s="130">
        <f>IF(M249=0,0,S249/M249)</f>
        <v/>
      </c>
      <c r="U249" s="129" t="n"/>
      <c r="V249" s="129" t="n"/>
      <c r="W249" s="130" t="n"/>
      <c r="X249" s="130" t="n"/>
    </row>
    <row r="250" hidden="1" ht="14.25" customHeight="1" s="83">
      <c r="A250" s="103" t="n"/>
      <c r="B250" s="125" t="n"/>
      <c r="C250" s="103" t="n"/>
      <c r="D250" s="126" t="n"/>
      <c r="E250" s="126" t="n"/>
      <c r="F250" s="127">
        <f>IF(D250="","",MAX(D250-E250,0))</f>
        <v/>
      </c>
      <c r="G250" s="130">
        <f>IF(E250="","",E250*GeneratorRate)</f>
        <v/>
      </c>
      <c r="H250" s="130">
        <f>IF(F250="","",F250*GovernmentRate)</f>
        <v/>
      </c>
      <c r="I250" s="130">
        <f>IF(D250="","",G250+H250)</f>
        <v/>
      </c>
      <c r="J250" s="129">
        <f>IFERROR(I250/COUNTIFS('Client DB &amp; Bed Mgmt'!$A:$A,A250,'Client DB &amp; Bed Mgmt'!$B:$B,C250,'Client DB &amp; Bed Mgmt'!$D:$D,"&lt;&gt;"),0)</f>
        <v/>
      </c>
      <c r="K250" s="103" t="n"/>
      <c r="L250" s="103" t="n"/>
      <c r="M250" s="103">
        <f>COUNTIFS('Client DB &amp; Bed Mgmt'!$A:$A,$K250,'Client DB &amp; Bed Mgmt'!$B:$B,$L250,'Client DB &amp; Bed Mgmt'!$D:$D,"&lt;&gt;")</f>
        <v/>
      </c>
      <c r="N250" s="126" t="n"/>
      <c r="O250" s="126" t="n"/>
      <c r="P250" s="127">
        <f>IF(N250="","",MAX(N250-O250,0))</f>
        <v/>
      </c>
      <c r="Q250" s="130">
        <f>IF(O250="","",O250*GeneratorRate)</f>
        <v/>
      </c>
      <c r="R250" s="130">
        <f>IF(P250="","",P250*GovernmentRate)</f>
        <v/>
      </c>
      <c r="S250" s="130">
        <f>IF(N250="","",Q250+R250)</f>
        <v/>
      </c>
      <c r="T250" s="130">
        <f>IF(M250=0,0,S250/M250)</f>
        <v/>
      </c>
      <c r="U250" s="129" t="n"/>
      <c r="V250" s="129" t="n"/>
      <c r="W250" s="130" t="n"/>
      <c r="X250" s="130" t="n"/>
    </row>
    <row r="251" hidden="1" ht="14.25" customHeight="1" s="83">
      <c r="A251" s="103" t="n"/>
      <c r="B251" s="125" t="n"/>
      <c r="C251" s="103" t="n"/>
      <c r="D251" s="126" t="n"/>
      <c r="E251" s="126" t="n"/>
      <c r="F251" s="127">
        <f>IF(D251="","",MAX(D251-E251,0))</f>
        <v/>
      </c>
      <c r="G251" s="130">
        <f>IF(E251="","",E251*GeneratorRate)</f>
        <v/>
      </c>
      <c r="H251" s="130">
        <f>IF(F251="","",F251*GovernmentRate)</f>
        <v/>
      </c>
      <c r="I251" s="130">
        <f>IF(D251="","",G251+H251)</f>
        <v/>
      </c>
      <c r="J251" s="129">
        <f>IFERROR(I251/COUNTIFS('Client DB &amp; Bed Mgmt'!$A:$A,A251,'Client DB &amp; Bed Mgmt'!$B:$B,C251,'Client DB &amp; Bed Mgmt'!$D:$D,"&lt;&gt;"),0)</f>
        <v/>
      </c>
      <c r="K251" s="103" t="n"/>
      <c r="L251" s="103" t="n"/>
      <c r="M251" s="103">
        <f>COUNTIFS('Client DB &amp; Bed Mgmt'!$A:$A,$K251,'Client DB &amp; Bed Mgmt'!$B:$B,$L251,'Client DB &amp; Bed Mgmt'!$D:$D,"&lt;&gt;")</f>
        <v/>
      </c>
      <c r="N251" s="126" t="n"/>
      <c r="O251" s="126" t="n"/>
      <c r="P251" s="127">
        <f>IF(N251="","",MAX(N251-O251,0))</f>
        <v/>
      </c>
      <c r="Q251" s="130">
        <f>IF(O251="","",O251*GeneratorRate)</f>
        <v/>
      </c>
      <c r="R251" s="130">
        <f>IF(P251="","",P251*GovernmentRate)</f>
        <v/>
      </c>
      <c r="S251" s="130">
        <f>IF(N251="","",Q251+R251)</f>
        <v/>
      </c>
      <c r="T251" s="130">
        <f>IF(M251=0,0,S251/M251)</f>
        <v/>
      </c>
      <c r="U251" s="129" t="n"/>
      <c r="V251" s="129" t="n"/>
      <c r="W251" s="130" t="n"/>
      <c r="X251" s="130" t="n"/>
    </row>
    <row r="252" hidden="1" ht="14.25" customHeight="1" s="83">
      <c r="A252" s="103" t="n"/>
      <c r="B252" s="125" t="n"/>
      <c r="C252" s="103" t="n"/>
      <c r="D252" s="126" t="n"/>
      <c r="E252" s="126" t="n"/>
      <c r="F252" s="127">
        <f>IF(D252="","",MAX(D252-E252,0))</f>
        <v/>
      </c>
      <c r="G252" s="130">
        <f>IF(E252="","",E252*GeneratorRate)</f>
        <v/>
      </c>
      <c r="H252" s="130">
        <f>IF(F252="","",F252*GovernmentRate)</f>
        <v/>
      </c>
      <c r="I252" s="130">
        <f>IF(D252="","",G252+H252)</f>
        <v/>
      </c>
      <c r="J252" s="129">
        <f>IFERROR(I252/COUNTIFS('Client DB &amp; Bed Mgmt'!$A:$A,A252,'Client DB &amp; Bed Mgmt'!$B:$B,C252,'Client DB &amp; Bed Mgmt'!$D:$D,"&lt;&gt;"),0)</f>
        <v/>
      </c>
      <c r="K252" s="103" t="n"/>
      <c r="L252" s="103" t="n"/>
      <c r="M252" s="103">
        <f>COUNTIFS('Client DB &amp; Bed Mgmt'!$A:$A,$K252,'Client DB &amp; Bed Mgmt'!$B:$B,$L252,'Client DB &amp; Bed Mgmt'!$D:$D,"&lt;&gt;")</f>
        <v/>
      </c>
      <c r="N252" s="126" t="n"/>
      <c r="O252" s="126" t="n"/>
      <c r="P252" s="127">
        <f>IF(N252="","",MAX(N252-O252,0))</f>
        <v/>
      </c>
      <c r="Q252" s="130">
        <f>IF(O252="","",O252*GeneratorRate)</f>
        <v/>
      </c>
      <c r="R252" s="130">
        <f>IF(P252="","",P252*GovernmentRate)</f>
        <v/>
      </c>
      <c r="S252" s="130">
        <f>IF(N252="","",Q252+R252)</f>
        <v/>
      </c>
      <c r="T252" s="130">
        <f>IF(M252=0,0,S252/M252)</f>
        <v/>
      </c>
      <c r="U252" s="129" t="n"/>
      <c r="V252" s="129" t="n"/>
      <c r="W252" s="130" t="n"/>
      <c r="X252" s="130" t="n"/>
    </row>
    <row r="253" hidden="1" ht="14.25" customHeight="1" s="83">
      <c r="A253" s="103" t="n"/>
      <c r="B253" s="125" t="n"/>
      <c r="C253" s="103" t="n"/>
      <c r="D253" s="126" t="n"/>
      <c r="E253" s="126" t="n"/>
      <c r="F253" s="127">
        <f>IF(D253="","",MAX(D253-E253,0))</f>
        <v/>
      </c>
      <c r="G253" s="130">
        <f>IF(E253="","",E253*GeneratorRate)</f>
        <v/>
      </c>
      <c r="H253" s="130">
        <f>IF(F253="","",F253*GovernmentRate)</f>
        <v/>
      </c>
      <c r="I253" s="130">
        <f>IF(D253="","",G253+H253)</f>
        <v/>
      </c>
      <c r="J253" s="129">
        <f>IFERROR(I253/COUNTIFS('Client DB &amp; Bed Mgmt'!$A:$A,A253,'Client DB &amp; Bed Mgmt'!$B:$B,C253,'Client DB &amp; Bed Mgmt'!$D:$D,"&lt;&gt;"),0)</f>
        <v/>
      </c>
      <c r="K253" s="103" t="n"/>
      <c r="L253" s="103" t="n"/>
      <c r="M253" s="103">
        <f>COUNTIFS('Client DB &amp; Bed Mgmt'!$A:$A,$K253,'Client DB &amp; Bed Mgmt'!$B:$B,$L253,'Client DB &amp; Bed Mgmt'!$D:$D,"&lt;&gt;")</f>
        <v/>
      </c>
      <c r="N253" s="126" t="n"/>
      <c r="O253" s="126" t="n"/>
      <c r="P253" s="127">
        <f>IF(N253="","",MAX(N253-O253,0))</f>
        <v/>
      </c>
      <c r="Q253" s="130">
        <f>IF(O253="","",O253*GeneratorRate)</f>
        <v/>
      </c>
      <c r="R253" s="130">
        <f>IF(P253="","",P253*GovernmentRate)</f>
        <v/>
      </c>
      <c r="S253" s="130">
        <f>IF(N253="","",Q253+R253)</f>
        <v/>
      </c>
      <c r="T253" s="130">
        <f>IF(M253=0,0,S253/M253)</f>
        <v/>
      </c>
      <c r="U253" s="129" t="n"/>
      <c r="V253" s="129" t="n"/>
      <c r="W253" s="130" t="n"/>
      <c r="X253" s="130" t="n"/>
    </row>
    <row r="254" hidden="1" ht="14.25" customHeight="1" s="83">
      <c r="A254" s="103" t="n"/>
      <c r="B254" s="125" t="n"/>
      <c r="C254" s="103" t="n"/>
      <c r="D254" s="126" t="n"/>
      <c r="E254" s="126" t="n"/>
      <c r="F254" s="127">
        <f>IF(D254="","",MAX(D254-E254,0))</f>
        <v/>
      </c>
      <c r="G254" s="130">
        <f>IF(E254="","",E254*GeneratorRate)</f>
        <v/>
      </c>
      <c r="H254" s="130">
        <f>IF(F254="","",F254*GovernmentRate)</f>
        <v/>
      </c>
      <c r="I254" s="130">
        <f>IF(D254="","",G254+H254)</f>
        <v/>
      </c>
      <c r="J254" s="129">
        <f>IFERROR(I254/COUNTIFS('Client DB &amp; Bed Mgmt'!$A:$A,A254,'Client DB &amp; Bed Mgmt'!$B:$B,C254,'Client DB &amp; Bed Mgmt'!$D:$D,"&lt;&gt;"),0)</f>
        <v/>
      </c>
      <c r="K254" s="103" t="n"/>
      <c r="L254" s="103" t="n"/>
      <c r="M254" s="103">
        <f>COUNTIFS('Client DB &amp; Bed Mgmt'!$A:$A,$K254,'Client DB &amp; Bed Mgmt'!$B:$B,$L254,'Client DB &amp; Bed Mgmt'!$D:$D,"&lt;&gt;")</f>
        <v/>
      </c>
      <c r="N254" s="126" t="n"/>
      <c r="O254" s="126" t="n"/>
      <c r="P254" s="127">
        <f>IF(N254="","",MAX(N254-O254,0))</f>
        <v/>
      </c>
      <c r="Q254" s="130">
        <f>IF(O254="","",O254*GeneratorRate)</f>
        <v/>
      </c>
      <c r="R254" s="130">
        <f>IF(P254="","",P254*GovernmentRate)</f>
        <v/>
      </c>
      <c r="S254" s="130">
        <f>IF(N254="","",Q254+R254)</f>
        <v/>
      </c>
      <c r="T254" s="130">
        <f>IF(M254=0,0,S254/M254)</f>
        <v/>
      </c>
      <c r="U254" s="129" t="n"/>
      <c r="V254" s="129" t="n"/>
      <c r="W254" s="130" t="n"/>
      <c r="X254" s="130" t="n"/>
    </row>
    <row r="255" hidden="1" ht="14.25" customHeight="1" s="83">
      <c r="A255" s="103" t="n"/>
      <c r="B255" s="125" t="n"/>
      <c r="C255" s="103" t="n"/>
      <c r="D255" s="126" t="n"/>
      <c r="E255" s="126" t="n"/>
      <c r="F255" s="127">
        <f>IF(D255="","",MAX(D255-E255,0))</f>
        <v/>
      </c>
      <c r="G255" s="130">
        <f>IF(E255="","",E255*GeneratorRate)</f>
        <v/>
      </c>
      <c r="H255" s="130">
        <f>IF(F255="","",F255*GovernmentRate)</f>
        <v/>
      </c>
      <c r="I255" s="130">
        <f>IF(D255="","",G255+H255)</f>
        <v/>
      </c>
      <c r="J255" s="129">
        <f>IFERROR(I255/COUNTIFS('Client DB &amp; Bed Mgmt'!$A:$A,A255,'Client DB &amp; Bed Mgmt'!$B:$B,C255,'Client DB &amp; Bed Mgmt'!$D:$D,"&lt;&gt;"),0)</f>
        <v/>
      </c>
      <c r="K255" s="103" t="n"/>
      <c r="L255" s="103" t="n"/>
      <c r="M255" s="103">
        <f>COUNTIFS('Client DB &amp; Bed Mgmt'!$A:$A,$K255,'Client DB &amp; Bed Mgmt'!$B:$B,$L255,'Client DB &amp; Bed Mgmt'!$D:$D,"&lt;&gt;")</f>
        <v/>
      </c>
      <c r="N255" s="126" t="n"/>
      <c r="O255" s="126" t="n"/>
      <c r="P255" s="127">
        <f>IF(N255="","",MAX(N255-O255,0))</f>
        <v/>
      </c>
      <c r="Q255" s="130">
        <f>IF(O255="","",O255*GeneratorRate)</f>
        <v/>
      </c>
      <c r="R255" s="130">
        <f>IF(P255="","",P255*GovernmentRate)</f>
        <v/>
      </c>
      <c r="S255" s="130">
        <f>IF(N255="","",Q255+R255)</f>
        <v/>
      </c>
      <c r="T255" s="130">
        <f>IF(M255=0,0,S255/M255)</f>
        <v/>
      </c>
      <c r="U255" s="129" t="n"/>
      <c r="V255" s="129" t="n"/>
      <c r="W255" s="130" t="n"/>
      <c r="X255" s="130" t="n"/>
    </row>
    <row r="256" hidden="1" ht="14.25" customHeight="1" s="83">
      <c r="A256" s="103" t="n"/>
      <c r="B256" s="125" t="n"/>
      <c r="C256" s="103" t="n"/>
      <c r="D256" s="126" t="n"/>
      <c r="E256" s="126" t="n"/>
      <c r="F256" s="127">
        <f>IF(D256="","",MAX(D256-E256,0))</f>
        <v/>
      </c>
      <c r="G256" s="130">
        <f>IF(E256="","",E256*GeneratorRate)</f>
        <v/>
      </c>
      <c r="H256" s="130">
        <f>IF(F256="","",F256*GovernmentRate)</f>
        <v/>
      </c>
      <c r="I256" s="130">
        <f>IF(D256="","",G256+H256)</f>
        <v/>
      </c>
      <c r="J256" s="129">
        <f>IFERROR(I256/COUNTIFS('Client DB &amp; Bed Mgmt'!$A:$A,A256,'Client DB &amp; Bed Mgmt'!$B:$B,C256,'Client DB &amp; Bed Mgmt'!$D:$D,"&lt;&gt;"),0)</f>
        <v/>
      </c>
      <c r="K256" s="103" t="n"/>
      <c r="L256" s="103" t="n"/>
      <c r="M256" s="103">
        <f>COUNTIFS('Client DB &amp; Bed Mgmt'!$A:$A,$K256,'Client DB &amp; Bed Mgmt'!$B:$B,$L256,'Client DB &amp; Bed Mgmt'!$D:$D,"&lt;&gt;")</f>
        <v/>
      </c>
      <c r="N256" s="126" t="n"/>
      <c r="O256" s="126" t="n"/>
      <c r="P256" s="127">
        <f>IF(N256="","",MAX(N256-O256,0))</f>
        <v/>
      </c>
      <c r="Q256" s="130">
        <f>IF(O256="","",O256*GeneratorRate)</f>
        <v/>
      </c>
      <c r="R256" s="130">
        <f>IF(P256="","",P256*GovernmentRate)</f>
        <v/>
      </c>
      <c r="S256" s="130">
        <f>IF(N256="","",Q256+R256)</f>
        <v/>
      </c>
      <c r="T256" s="130">
        <f>IF(M256=0,0,S256/M256)</f>
        <v/>
      </c>
      <c r="U256" s="129" t="n"/>
      <c r="V256" s="129" t="n"/>
      <c r="W256" s="130" t="n"/>
      <c r="X256" s="130" t="n"/>
    </row>
    <row r="257" hidden="1" ht="14.25" customHeight="1" s="83">
      <c r="A257" s="103" t="n"/>
      <c r="B257" s="125" t="n"/>
      <c r="C257" s="103" t="n"/>
      <c r="D257" s="126" t="n"/>
      <c r="E257" s="126" t="n"/>
      <c r="F257" s="127">
        <f>IF(D257="","",MAX(D257-E257,0))</f>
        <v/>
      </c>
      <c r="G257" s="130">
        <f>IF(E257="","",E257*GeneratorRate)</f>
        <v/>
      </c>
      <c r="H257" s="130">
        <f>IF(F257="","",F257*GovernmentRate)</f>
        <v/>
      </c>
      <c r="I257" s="130">
        <f>IF(D257="","",G257+H257)</f>
        <v/>
      </c>
      <c r="J257" s="129">
        <f>IFERROR(I257/COUNTIFS('Client DB &amp; Bed Mgmt'!$A:$A,A257,'Client DB &amp; Bed Mgmt'!$B:$B,C257,'Client DB &amp; Bed Mgmt'!$D:$D,"&lt;&gt;"),0)</f>
        <v/>
      </c>
      <c r="K257" s="103" t="n"/>
      <c r="L257" s="103" t="n"/>
      <c r="M257" s="103">
        <f>COUNTIFS('Client DB &amp; Bed Mgmt'!$A:$A,$K257,'Client DB &amp; Bed Mgmt'!$B:$B,$L257,'Client DB &amp; Bed Mgmt'!$D:$D,"&lt;&gt;")</f>
        <v/>
      </c>
      <c r="N257" s="126" t="n"/>
      <c r="O257" s="126" t="n"/>
      <c r="P257" s="127">
        <f>IF(N257="","",MAX(N257-O257,0))</f>
        <v/>
      </c>
      <c r="Q257" s="130">
        <f>IF(O257="","",O257*GeneratorRate)</f>
        <v/>
      </c>
      <c r="R257" s="130">
        <f>IF(P257="","",P257*GovernmentRate)</f>
        <v/>
      </c>
      <c r="S257" s="130">
        <f>IF(N257="","",Q257+R257)</f>
        <v/>
      </c>
      <c r="T257" s="130">
        <f>IF(M257=0,0,S257/M257)</f>
        <v/>
      </c>
      <c r="U257" s="129" t="n"/>
      <c r="V257" s="129" t="n"/>
      <c r="W257" s="130" t="n"/>
      <c r="X257" s="130" t="n"/>
    </row>
    <row r="258" hidden="1" ht="14.25" customHeight="1" s="83">
      <c r="A258" s="103" t="n"/>
      <c r="B258" s="125" t="n"/>
      <c r="C258" s="103" t="n"/>
      <c r="D258" s="126" t="n"/>
      <c r="E258" s="126" t="n"/>
      <c r="F258" s="127">
        <f>IF(D258="","",MAX(D258-E258,0))</f>
        <v/>
      </c>
      <c r="G258" s="130">
        <f>IF(E258="","",E258*GeneratorRate)</f>
        <v/>
      </c>
      <c r="H258" s="130">
        <f>IF(F258="","",F258*GovernmentRate)</f>
        <v/>
      </c>
      <c r="I258" s="130">
        <f>IF(D258="","",G258+H258)</f>
        <v/>
      </c>
      <c r="J258" s="129">
        <f>IFERROR(I258/COUNTIFS('Client DB &amp; Bed Mgmt'!$A:$A,A258,'Client DB &amp; Bed Mgmt'!$B:$B,C258,'Client DB &amp; Bed Mgmt'!$D:$D,"&lt;&gt;"),0)</f>
        <v/>
      </c>
      <c r="K258" s="103" t="n"/>
      <c r="L258" s="103" t="n"/>
      <c r="M258" s="103">
        <f>COUNTIFS('Client DB &amp; Bed Mgmt'!$A:$A,$K258,'Client DB &amp; Bed Mgmt'!$B:$B,$L258,'Client DB &amp; Bed Mgmt'!$D:$D,"&lt;&gt;")</f>
        <v/>
      </c>
      <c r="N258" s="126" t="n"/>
      <c r="O258" s="126" t="n"/>
      <c r="P258" s="127">
        <f>IF(N258="","",MAX(N258-O258,0))</f>
        <v/>
      </c>
      <c r="Q258" s="130">
        <f>IF(O258="","",O258*GeneratorRate)</f>
        <v/>
      </c>
      <c r="R258" s="130">
        <f>IF(P258="","",P258*GovernmentRate)</f>
        <v/>
      </c>
      <c r="S258" s="130">
        <f>IF(N258="","",Q258+R258)</f>
        <v/>
      </c>
      <c r="T258" s="130">
        <f>IF(M258=0,0,S258/M258)</f>
        <v/>
      </c>
      <c r="U258" s="129" t="n"/>
      <c r="V258" s="129" t="n"/>
      <c r="W258" s="130" t="n"/>
      <c r="X258" s="130" t="n"/>
    </row>
    <row r="259" hidden="1" ht="14.25" customHeight="1" s="83">
      <c r="A259" s="103" t="n"/>
      <c r="B259" s="125" t="n"/>
      <c r="C259" s="103" t="n"/>
      <c r="D259" s="126" t="n"/>
      <c r="E259" s="126" t="n"/>
      <c r="F259" s="127">
        <f>IF(D259="","",MAX(D259-E259,0))</f>
        <v/>
      </c>
      <c r="G259" s="130">
        <f>IF(E259="","",E259*GeneratorRate)</f>
        <v/>
      </c>
      <c r="H259" s="130">
        <f>IF(F259="","",F259*GovernmentRate)</f>
        <v/>
      </c>
      <c r="I259" s="130">
        <f>IF(D259="","",G259+H259)</f>
        <v/>
      </c>
      <c r="J259" s="129">
        <f>IFERROR(I259/COUNTIFS('Client DB &amp; Bed Mgmt'!$A:$A,A259,'Client DB &amp; Bed Mgmt'!$B:$B,C259,'Client DB &amp; Bed Mgmt'!$D:$D,"&lt;&gt;"),0)</f>
        <v/>
      </c>
      <c r="K259" s="103" t="n"/>
      <c r="L259" s="103" t="n"/>
      <c r="M259" s="103">
        <f>COUNTIFS('Client DB &amp; Bed Mgmt'!$A:$A,$K259,'Client DB &amp; Bed Mgmt'!$B:$B,$L259,'Client DB &amp; Bed Mgmt'!$D:$D,"&lt;&gt;")</f>
        <v/>
      </c>
      <c r="N259" s="126" t="n"/>
      <c r="O259" s="126" t="n"/>
      <c r="P259" s="127">
        <f>IF(N259="","",MAX(N259-O259,0))</f>
        <v/>
      </c>
      <c r="Q259" s="130">
        <f>IF(O259="","",O259*GeneratorRate)</f>
        <v/>
      </c>
      <c r="R259" s="130">
        <f>IF(P259="","",P259*GovernmentRate)</f>
        <v/>
      </c>
      <c r="S259" s="130">
        <f>IF(N259="","",Q259+R259)</f>
        <v/>
      </c>
      <c r="T259" s="130">
        <f>IF(M259=0,0,S259/M259)</f>
        <v/>
      </c>
      <c r="U259" s="129" t="n"/>
      <c r="V259" s="129" t="n"/>
      <c r="W259" s="130" t="n"/>
      <c r="X259" s="130" t="n"/>
    </row>
    <row r="260" hidden="1" ht="14.25" customHeight="1" s="83">
      <c r="A260" s="103" t="n"/>
      <c r="B260" s="125" t="n"/>
      <c r="C260" s="103" t="n"/>
      <c r="D260" s="126" t="n"/>
      <c r="E260" s="126" t="n"/>
      <c r="F260" s="127">
        <f>IF(D260="","",MAX(D260-E260,0))</f>
        <v/>
      </c>
      <c r="G260" s="130">
        <f>IF(E260="","",E260*GeneratorRate)</f>
        <v/>
      </c>
      <c r="H260" s="130">
        <f>IF(F260="","",F260*GovernmentRate)</f>
        <v/>
      </c>
      <c r="I260" s="130">
        <f>IF(D260="","",G260+H260)</f>
        <v/>
      </c>
      <c r="J260" s="129">
        <f>IFERROR(I260/COUNTIFS('Client DB &amp; Bed Mgmt'!$A:$A,A260,'Client DB &amp; Bed Mgmt'!$B:$B,C260,'Client DB &amp; Bed Mgmt'!$D:$D,"&lt;&gt;"),0)</f>
        <v/>
      </c>
      <c r="K260" s="103" t="n"/>
      <c r="L260" s="103" t="n"/>
      <c r="M260" s="103">
        <f>COUNTIFS('Client DB &amp; Bed Mgmt'!$A:$A,$K260,'Client DB &amp; Bed Mgmt'!$B:$B,$L260,'Client DB &amp; Bed Mgmt'!$D:$D,"&lt;&gt;")</f>
        <v/>
      </c>
      <c r="N260" s="126" t="n"/>
      <c r="O260" s="126" t="n"/>
      <c r="P260" s="127">
        <f>IF(N260="","",MAX(N260-O260,0))</f>
        <v/>
      </c>
      <c r="Q260" s="130">
        <f>IF(O260="","",O260*GeneratorRate)</f>
        <v/>
      </c>
      <c r="R260" s="130">
        <f>IF(P260="","",P260*GovernmentRate)</f>
        <v/>
      </c>
      <c r="S260" s="130">
        <f>IF(N260="","",Q260+R260)</f>
        <v/>
      </c>
      <c r="T260" s="130">
        <f>IF(M260=0,0,S260/M260)</f>
        <v/>
      </c>
      <c r="U260" s="129" t="n"/>
      <c r="V260" s="129" t="n"/>
      <c r="W260" s="130" t="n"/>
      <c r="X260" s="130" t="n"/>
    </row>
    <row r="261" hidden="1" ht="14.25" customHeight="1" s="83">
      <c r="A261" s="103" t="n"/>
      <c r="B261" s="125" t="n"/>
      <c r="C261" s="103" t="n"/>
      <c r="D261" s="126" t="n"/>
      <c r="E261" s="126" t="n"/>
      <c r="F261" s="127">
        <f>IF(D261="","",MAX(D261-E261,0))</f>
        <v/>
      </c>
      <c r="G261" s="130">
        <f>IF(E261="","",E261*GeneratorRate)</f>
        <v/>
      </c>
      <c r="H261" s="130">
        <f>IF(F261="","",F261*GovernmentRate)</f>
        <v/>
      </c>
      <c r="I261" s="130">
        <f>IF(D261="","",G261+H261)</f>
        <v/>
      </c>
      <c r="J261" s="129">
        <f>IFERROR(I261/COUNTIFS('Client DB &amp; Bed Mgmt'!$A:$A,A261,'Client DB &amp; Bed Mgmt'!$B:$B,C261,'Client DB &amp; Bed Mgmt'!$D:$D,"&lt;&gt;"),0)</f>
        <v/>
      </c>
      <c r="K261" s="103" t="n"/>
      <c r="L261" s="103" t="n"/>
      <c r="M261" s="103">
        <f>COUNTIFS('Client DB &amp; Bed Mgmt'!$A:$A,$K261,'Client DB &amp; Bed Mgmt'!$B:$B,$L261,'Client DB &amp; Bed Mgmt'!$D:$D,"&lt;&gt;")</f>
        <v/>
      </c>
      <c r="N261" s="126" t="n"/>
      <c r="O261" s="126" t="n"/>
      <c r="P261" s="127">
        <f>IF(N261="","",MAX(N261-O261,0))</f>
        <v/>
      </c>
      <c r="Q261" s="130">
        <f>IF(O261="","",O261*GeneratorRate)</f>
        <v/>
      </c>
      <c r="R261" s="130">
        <f>IF(P261="","",P261*GovernmentRate)</f>
        <v/>
      </c>
      <c r="S261" s="130">
        <f>IF(N261="","",Q261+R261)</f>
        <v/>
      </c>
      <c r="T261" s="130">
        <f>IF(M261=0,0,S261/M261)</f>
        <v/>
      </c>
      <c r="U261" s="129" t="n"/>
      <c r="V261" s="129" t="n"/>
      <c r="W261" s="130" t="n"/>
      <c r="X261" s="130" t="n"/>
    </row>
    <row r="262" hidden="1" ht="14.25" customHeight="1" s="83">
      <c r="A262" s="103" t="n"/>
      <c r="B262" s="125" t="n"/>
      <c r="C262" s="103" t="n"/>
      <c r="D262" s="126" t="n"/>
      <c r="E262" s="126" t="n"/>
      <c r="F262" s="127">
        <f>IF(D262="","",MAX(D262-E262,0))</f>
        <v/>
      </c>
      <c r="G262" s="130">
        <f>IF(E262="","",E262*GeneratorRate)</f>
        <v/>
      </c>
      <c r="H262" s="130">
        <f>IF(F262="","",F262*GovernmentRate)</f>
        <v/>
      </c>
      <c r="I262" s="130">
        <f>IF(D262="","",G262+H262)</f>
        <v/>
      </c>
      <c r="J262" s="129">
        <f>IFERROR(I262/COUNTIFS('Client DB &amp; Bed Mgmt'!$A:$A,A262,'Client DB &amp; Bed Mgmt'!$B:$B,C262,'Client DB &amp; Bed Mgmt'!$D:$D,"&lt;&gt;"),0)</f>
        <v/>
      </c>
      <c r="K262" s="103" t="n"/>
      <c r="L262" s="103" t="n"/>
      <c r="M262" s="103">
        <f>COUNTIFS('Client DB &amp; Bed Mgmt'!$A:$A,$K262,'Client DB &amp; Bed Mgmt'!$B:$B,$L262,'Client DB &amp; Bed Mgmt'!$D:$D,"&lt;&gt;")</f>
        <v/>
      </c>
      <c r="N262" s="126" t="n"/>
      <c r="O262" s="126" t="n"/>
      <c r="P262" s="127">
        <f>IF(N262="","",MAX(N262-O262,0))</f>
        <v/>
      </c>
      <c r="Q262" s="130">
        <f>IF(O262="","",O262*GeneratorRate)</f>
        <v/>
      </c>
      <c r="R262" s="130">
        <f>IF(P262="","",P262*GovernmentRate)</f>
        <v/>
      </c>
      <c r="S262" s="130">
        <f>IF(N262="","",Q262+R262)</f>
        <v/>
      </c>
      <c r="T262" s="130">
        <f>IF(M262=0,0,S262/M262)</f>
        <v/>
      </c>
      <c r="U262" s="129" t="n"/>
      <c r="V262" s="129" t="n"/>
      <c r="W262" s="130" t="n"/>
      <c r="X262" s="130" t="n"/>
    </row>
    <row r="263" hidden="1" ht="14.25" customHeight="1" s="83">
      <c r="A263" s="103" t="n"/>
      <c r="B263" s="125" t="n"/>
      <c r="C263" s="103" t="n"/>
      <c r="D263" s="126" t="n"/>
      <c r="E263" s="126" t="n"/>
      <c r="F263" s="127">
        <f>IF(D263="","",MAX(D263-E263,0))</f>
        <v/>
      </c>
      <c r="G263" s="130">
        <f>IF(E263="","",E263*GeneratorRate)</f>
        <v/>
      </c>
      <c r="H263" s="130">
        <f>IF(F263="","",F263*GovernmentRate)</f>
        <v/>
      </c>
      <c r="I263" s="130">
        <f>IF(D263="","",G263+H263)</f>
        <v/>
      </c>
      <c r="J263" s="129">
        <f>IFERROR(I263/COUNTIFS('Client DB &amp; Bed Mgmt'!$A:$A,A263,'Client DB &amp; Bed Mgmt'!$B:$B,C263,'Client DB &amp; Bed Mgmt'!$D:$D,"&lt;&gt;"),0)</f>
        <v/>
      </c>
      <c r="K263" s="103" t="n"/>
      <c r="L263" s="103" t="n"/>
      <c r="M263" s="103">
        <f>COUNTIFS('Client DB &amp; Bed Mgmt'!$A:$A,$K263,'Client DB &amp; Bed Mgmt'!$B:$B,$L263,'Client DB &amp; Bed Mgmt'!$D:$D,"&lt;&gt;")</f>
        <v/>
      </c>
      <c r="N263" s="126" t="n"/>
      <c r="O263" s="126" t="n"/>
      <c r="P263" s="127">
        <f>IF(N263="","",MAX(N263-O263,0))</f>
        <v/>
      </c>
      <c r="Q263" s="130">
        <f>IF(O263="","",O263*GeneratorRate)</f>
        <v/>
      </c>
      <c r="R263" s="130">
        <f>IF(P263="","",P263*GovernmentRate)</f>
        <v/>
      </c>
      <c r="S263" s="130">
        <f>IF(N263="","",Q263+R263)</f>
        <v/>
      </c>
      <c r="T263" s="130">
        <f>IF(M263=0,0,S263/M263)</f>
        <v/>
      </c>
      <c r="U263" s="129" t="n"/>
      <c r="V263" s="129" t="n"/>
      <c r="W263" s="130" t="n"/>
      <c r="X263" s="130" t="n"/>
    </row>
    <row r="264" hidden="1" ht="14.25" customHeight="1" s="83">
      <c r="A264" s="103" t="n"/>
      <c r="B264" s="125" t="n"/>
      <c r="C264" s="103" t="n"/>
      <c r="D264" s="126" t="n"/>
      <c r="E264" s="126" t="n"/>
      <c r="F264" s="127">
        <f>IF(D264="","",MAX(D264-E264,0))</f>
        <v/>
      </c>
      <c r="G264" s="130">
        <f>IF(E264="","",E264*GeneratorRate)</f>
        <v/>
      </c>
      <c r="H264" s="130">
        <f>IF(F264="","",F264*GovernmentRate)</f>
        <v/>
      </c>
      <c r="I264" s="130">
        <f>IF(D264="","",G264+H264)</f>
        <v/>
      </c>
      <c r="J264" s="129">
        <f>IFERROR(I264/COUNTIFS('Client DB &amp; Bed Mgmt'!$A:$A,A264,'Client DB &amp; Bed Mgmt'!$B:$B,C264,'Client DB &amp; Bed Mgmt'!$D:$D,"&lt;&gt;"),0)</f>
        <v/>
      </c>
      <c r="K264" s="103" t="n"/>
      <c r="L264" s="103" t="n"/>
      <c r="M264" s="103">
        <f>COUNTIFS('Client DB &amp; Bed Mgmt'!$A:$A,$K264,'Client DB &amp; Bed Mgmt'!$B:$B,$L264,'Client DB &amp; Bed Mgmt'!$D:$D,"&lt;&gt;")</f>
        <v/>
      </c>
      <c r="N264" s="126" t="n"/>
      <c r="O264" s="126" t="n"/>
      <c r="P264" s="127">
        <f>IF(N264="","",MAX(N264-O264,0))</f>
        <v/>
      </c>
      <c r="Q264" s="130">
        <f>IF(O264="","",O264*GeneratorRate)</f>
        <v/>
      </c>
      <c r="R264" s="130">
        <f>IF(P264="","",P264*GovernmentRate)</f>
        <v/>
      </c>
      <c r="S264" s="130">
        <f>IF(N264="","",Q264+R264)</f>
        <v/>
      </c>
      <c r="T264" s="130">
        <f>IF(M264=0,0,S264/M264)</f>
        <v/>
      </c>
      <c r="U264" s="129" t="n"/>
      <c r="V264" s="129" t="n"/>
      <c r="W264" s="130" t="n"/>
      <c r="X264" s="130" t="n"/>
    </row>
    <row r="265" hidden="1" ht="14.25" customHeight="1" s="83">
      <c r="A265" s="103" t="n"/>
      <c r="B265" s="125" t="n"/>
      <c r="C265" s="103" t="n"/>
      <c r="D265" s="126" t="n"/>
      <c r="E265" s="126" t="n"/>
      <c r="F265" s="127">
        <f>IF(D265="","",MAX(D265-E265,0))</f>
        <v/>
      </c>
      <c r="G265" s="130">
        <f>IF(E265="","",E265*GeneratorRate)</f>
        <v/>
      </c>
      <c r="H265" s="130">
        <f>IF(F265="","",F265*GovernmentRate)</f>
        <v/>
      </c>
      <c r="I265" s="130">
        <f>IF(D265="","",G265+H265)</f>
        <v/>
      </c>
      <c r="J265" s="129">
        <f>IFERROR(I265/COUNTIFS('Client DB &amp; Bed Mgmt'!$A:$A,A265,'Client DB &amp; Bed Mgmt'!$B:$B,C265,'Client DB &amp; Bed Mgmt'!$D:$D,"&lt;&gt;"),0)</f>
        <v/>
      </c>
      <c r="K265" s="103" t="n"/>
      <c r="L265" s="103" t="n"/>
      <c r="M265" s="103">
        <f>COUNTIFS('Client DB &amp; Bed Mgmt'!$A:$A,$K265,'Client DB &amp; Bed Mgmt'!$B:$B,$L265,'Client DB &amp; Bed Mgmt'!$D:$D,"&lt;&gt;")</f>
        <v/>
      </c>
      <c r="N265" s="126" t="n"/>
      <c r="O265" s="126" t="n"/>
      <c r="P265" s="127">
        <f>IF(N265="","",MAX(N265-O265,0))</f>
        <v/>
      </c>
      <c r="Q265" s="130">
        <f>IF(O265="","",O265*GeneratorRate)</f>
        <v/>
      </c>
      <c r="R265" s="130">
        <f>IF(P265="","",P265*GovernmentRate)</f>
        <v/>
      </c>
      <c r="S265" s="130">
        <f>IF(N265="","",Q265+R265)</f>
        <v/>
      </c>
      <c r="T265" s="130">
        <f>IF(M265=0,0,S265/M265)</f>
        <v/>
      </c>
      <c r="U265" s="129" t="n"/>
      <c r="V265" s="129" t="n"/>
      <c r="W265" s="130" t="n"/>
      <c r="X265" s="130" t="n"/>
    </row>
    <row r="266" hidden="1" ht="14.25" customHeight="1" s="83">
      <c r="A266" s="103" t="n"/>
      <c r="B266" s="125" t="n"/>
      <c r="C266" s="103" t="n"/>
      <c r="D266" s="126" t="n"/>
      <c r="E266" s="126" t="n"/>
      <c r="F266" s="127">
        <f>IF(D266="","",MAX(D266-E266,0))</f>
        <v/>
      </c>
      <c r="G266" s="130">
        <f>IF(E266="","",E266*GeneratorRate)</f>
        <v/>
      </c>
      <c r="H266" s="130">
        <f>IF(F266="","",F266*GovernmentRate)</f>
        <v/>
      </c>
      <c r="I266" s="130">
        <f>IF(D266="","",G266+H266)</f>
        <v/>
      </c>
      <c r="J266" s="129">
        <f>IFERROR(I266/COUNTIFS('Client DB &amp; Bed Mgmt'!$A:$A,A266,'Client DB &amp; Bed Mgmt'!$B:$B,C266,'Client DB &amp; Bed Mgmt'!$D:$D,"&lt;&gt;"),0)</f>
        <v/>
      </c>
      <c r="K266" s="103" t="n"/>
      <c r="L266" s="103" t="n"/>
      <c r="M266" s="103">
        <f>COUNTIFS('Client DB &amp; Bed Mgmt'!$A:$A,$K266,'Client DB &amp; Bed Mgmt'!$B:$B,$L266,'Client DB &amp; Bed Mgmt'!$D:$D,"&lt;&gt;")</f>
        <v/>
      </c>
      <c r="N266" s="126" t="n"/>
      <c r="O266" s="126" t="n"/>
      <c r="P266" s="127">
        <f>IF(N266="","",MAX(N266-O266,0))</f>
        <v/>
      </c>
      <c r="Q266" s="130">
        <f>IF(O266="","",O266*GeneratorRate)</f>
        <v/>
      </c>
      <c r="R266" s="130">
        <f>IF(P266="","",P266*GovernmentRate)</f>
        <v/>
      </c>
      <c r="S266" s="130">
        <f>IF(N266="","",Q266+R266)</f>
        <v/>
      </c>
      <c r="T266" s="130">
        <f>IF(M266=0,0,S266/M266)</f>
        <v/>
      </c>
      <c r="U266" s="129" t="n"/>
      <c r="V266" s="129" t="n"/>
      <c r="W266" s="130" t="n"/>
      <c r="X266" s="130" t="n"/>
    </row>
    <row r="267" hidden="1" ht="14.25" customHeight="1" s="83">
      <c r="A267" s="103" t="n"/>
      <c r="B267" s="125" t="n"/>
      <c r="C267" s="103" t="n"/>
      <c r="D267" s="126" t="n"/>
      <c r="E267" s="126" t="n"/>
      <c r="F267" s="127">
        <f>IF(D267="","",MAX(D267-E267,0))</f>
        <v/>
      </c>
      <c r="G267" s="130">
        <f>IF(E267="","",E267*GeneratorRate)</f>
        <v/>
      </c>
      <c r="H267" s="130">
        <f>IF(F267="","",F267*GovernmentRate)</f>
        <v/>
      </c>
      <c r="I267" s="130">
        <f>IF(D267="","",G267+H267)</f>
        <v/>
      </c>
      <c r="J267" s="129">
        <f>IFERROR(I267/COUNTIFS('Client DB &amp; Bed Mgmt'!$A:$A,A267,'Client DB &amp; Bed Mgmt'!$B:$B,C267,'Client DB &amp; Bed Mgmt'!$D:$D,"&lt;&gt;"),0)</f>
        <v/>
      </c>
      <c r="K267" s="103" t="n"/>
      <c r="L267" s="103" t="n"/>
      <c r="M267" s="103">
        <f>COUNTIFS('Client DB &amp; Bed Mgmt'!$A:$A,$K267,'Client DB &amp; Bed Mgmt'!$B:$B,$L267,'Client DB &amp; Bed Mgmt'!$D:$D,"&lt;&gt;")</f>
        <v/>
      </c>
      <c r="N267" s="126" t="n"/>
      <c r="O267" s="126" t="n"/>
      <c r="P267" s="127">
        <f>IF(N267="","",MAX(N267-O267,0))</f>
        <v/>
      </c>
      <c r="Q267" s="130">
        <f>IF(O267="","",O267*GeneratorRate)</f>
        <v/>
      </c>
      <c r="R267" s="130">
        <f>IF(P267="","",P267*GovernmentRate)</f>
        <v/>
      </c>
      <c r="S267" s="130">
        <f>IF(N267="","",Q267+R267)</f>
        <v/>
      </c>
      <c r="T267" s="130">
        <f>IF(M267=0,0,S267/M267)</f>
        <v/>
      </c>
      <c r="U267" s="129" t="n"/>
      <c r="V267" s="129" t="n"/>
      <c r="W267" s="130" t="n"/>
      <c r="X267" s="130" t="n"/>
    </row>
    <row r="268" hidden="1" ht="14.25" customHeight="1" s="83">
      <c r="A268" s="103" t="n"/>
      <c r="B268" s="125" t="n"/>
      <c r="C268" s="103" t="n"/>
      <c r="D268" s="126" t="n"/>
      <c r="E268" s="126" t="n"/>
      <c r="F268" s="127">
        <f>IF(D268="","",MAX(D268-E268,0))</f>
        <v/>
      </c>
      <c r="G268" s="130">
        <f>IF(E268="","",E268*GeneratorRate)</f>
        <v/>
      </c>
      <c r="H268" s="130">
        <f>IF(F268="","",F268*GovernmentRate)</f>
        <v/>
      </c>
      <c r="I268" s="130">
        <f>IF(D268="","",G268+H268)</f>
        <v/>
      </c>
      <c r="J268" s="129">
        <f>IFERROR(I268/COUNTIFS('Client DB &amp; Bed Mgmt'!$A:$A,A268,'Client DB &amp; Bed Mgmt'!$B:$B,C268,'Client DB &amp; Bed Mgmt'!$D:$D,"&lt;&gt;"),0)</f>
        <v/>
      </c>
      <c r="K268" s="103" t="n"/>
      <c r="L268" s="103" t="n"/>
      <c r="M268" s="103">
        <f>COUNTIFS('Client DB &amp; Bed Mgmt'!$A:$A,$K268,'Client DB &amp; Bed Mgmt'!$B:$B,$L268,'Client DB &amp; Bed Mgmt'!$D:$D,"&lt;&gt;")</f>
        <v/>
      </c>
      <c r="N268" s="126" t="n"/>
      <c r="O268" s="126" t="n"/>
      <c r="P268" s="127">
        <f>IF(N268="","",MAX(N268-O268,0))</f>
        <v/>
      </c>
      <c r="Q268" s="130">
        <f>IF(O268="","",O268*GeneratorRate)</f>
        <v/>
      </c>
      <c r="R268" s="130">
        <f>IF(P268="","",P268*GovernmentRate)</f>
        <v/>
      </c>
      <c r="S268" s="130">
        <f>IF(N268="","",Q268+R268)</f>
        <v/>
      </c>
      <c r="T268" s="130">
        <f>IF(M268=0,0,S268/M268)</f>
        <v/>
      </c>
      <c r="U268" s="129" t="n"/>
      <c r="V268" s="129" t="n"/>
      <c r="W268" s="130" t="n"/>
      <c r="X268" s="130" t="n"/>
    </row>
    <row r="269" hidden="1" ht="14.25" customHeight="1" s="83">
      <c r="A269" s="103" t="n"/>
      <c r="B269" s="125" t="n"/>
      <c r="C269" s="103" t="n"/>
      <c r="D269" s="126" t="n"/>
      <c r="E269" s="126" t="n"/>
      <c r="F269" s="127">
        <f>IF(D269="","",MAX(D269-E269,0))</f>
        <v/>
      </c>
      <c r="G269" s="130">
        <f>IF(E269="","",E269*GeneratorRate)</f>
        <v/>
      </c>
      <c r="H269" s="130">
        <f>IF(F269="","",F269*GovernmentRate)</f>
        <v/>
      </c>
      <c r="I269" s="130">
        <f>IF(D269="","",G269+H269)</f>
        <v/>
      </c>
      <c r="J269" s="129">
        <f>IFERROR(I269/COUNTIFS('Client DB &amp; Bed Mgmt'!$A:$A,A269,'Client DB &amp; Bed Mgmt'!$B:$B,C269,'Client DB &amp; Bed Mgmt'!$D:$D,"&lt;&gt;"),0)</f>
        <v/>
      </c>
      <c r="K269" s="103" t="n"/>
      <c r="L269" s="103" t="n"/>
      <c r="M269" s="103">
        <f>COUNTIFS('Client DB &amp; Bed Mgmt'!$A:$A,$K269,'Client DB &amp; Bed Mgmt'!$B:$B,$L269,'Client DB &amp; Bed Mgmt'!$D:$D,"&lt;&gt;")</f>
        <v/>
      </c>
      <c r="N269" s="126" t="n"/>
      <c r="O269" s="126" t="n"/>
      <c r="P269" s="127">
        <f>IF(N269="","",MAX(N269-O269,0))</f>
        <v/>
      </c>
      <c r="Q269" s="130">
        <f>IF(O269="","",O269*GeneratorRate)</f>
        <v/>
      </c>
      <c r="R269" s="130">
        <f>IF(P269="","",P269*GovernmentRate)</f>
        <v/>
      </c>
      <c r="S269" s="130">
        <f>IF(N269="","",Q269+R269)</f>
        <v/>
      </c>
      <c r="T269" s="130">
        <f>IF(M269=0,0,S269/M269)</f>
        <v/>
      </c>
      <c r="U269" s="129" t="n"/>
      <c r="V269" s="129" t="n"/>
      <c r="W269" s="130" t="n"/>
      <c r="X269" s="130" t="n"/>
    </row>
    <row r="270" hidden="1" ht="14.25" customHeight="1" s="83">
      <c r="A270" s="103" t="n"/>
      <c r="B270" s="125" t="n"/>
      <c r="C270" s="103" t="n"/>
      <c r="D270" s="126" t="n"/>
      <c r="E270" s="126" t="n"/>
      <c r="F270" s="127">
        <f>IF(D270="","",MAX(D270-E270,0))</f>
        <v/>
      </c>
      <c r="G270" s="130">
        <f>IF(E270="","",E270*GeneratorRate)</f>
        <v/>
      </c>
      <c r="H270" s="130">
        <f>IF(F270="","",F270*GovernmentRate)</f>
        <v/>
      </c>
      <c r="I270" s="130">
        <f>IF(D270="","",G270+H270)</f>
        <v/>
      </c>
      <c r="J270" s="129">
        <f>IFERROR(I270/COUNTIFS('Client DB &amp; Bed Mgmt'!$A:$A,A270,'Client DB &amp; Bed Mgmt'!$B:$B,C270,'Client DB &amp; Bed Mgmt'!$D:$D,"&lt;&gt;"),0)</f>
        <v/>
      </c>
      <c r="K270" s="103" t="n"/>
      <c r="L270" s="103" t="n"/>
      <c r="M270" s="103">
        <f>COUNTIFS('Client DB &amp; Bed Mgmt'!$A:$A,$K270,'Client DB &amp; Bed Mgmt'!$B:$B,$L270,'Client DB &amp; Bed Mgmt'!$D:$D,"&lt;&gt;")</f>
        <v/>
      </c>
      <c r="N270" s="126" t="n"/>
      <c r="O270" s="126" t="n"/>
      <c r="P270" s="127">
        <f>IF(N270="","",MAX(N270-O270,0))</f>
        <v/>
      </c>
      <c r="Q270" s="130">
        <f>IF(O270="","",O270*GeneratorRate)</f>
        <v/>
      </c>
      <c r="R270" s="130">
        <f>IF(P270="","",P270*GovernmentRate)</f>
        <v/>
      </c>
      <c r="S270" s="130">
        <f>IF(N270="","",Q270+R270)</f>
        <v/>
      </c>
      <c r="T270" s="130">
        <f>IF(M270=0,0,S270/M270)</f>
        <v/>
      </c>
      <c r="U270" s="129" t="n"/>
      <c r="V270" s="129" t="n"/>
      <c r="W270" s="130" t="n"/>
      <c r="X270" s="130" t="n"/>
    </row>
    <row r="271" hidden="1" ht="14.25" customHeight="1" s="83">
      <c r="A271" s="103" t="n"/>
      <c r="B271" s="125" t="n"/>
      <c r="C271" s="103" t="n"/>
      <c r="D271" s="126" t="n"/>
      <c r="E271" s="126" t="n"/>
      <c r="F271" s="127">
        <f>IF(D271="","",MAX(D271-E271,0))</f>
        <v/>
      </c>
      <c r="G271" s="130">
        <f>IF(E271="","",E271*GeneratorRate)</f>
        <v/>
      </c>
      <c r="H271" s="130">
        <f>IF(F271="","",F271*GovernmentRate)</f>
        <v/>
      </c>
      <c r="I271" s="130">
        <f>IF(D271="","",G271+H271)</f>
        <v/>
      </c>
      <c r="J271" s="129">
        <f>IFERROR(I271/COUNTIFS('Client DB &amp; Bed Mgmt'!$A:$A,A271,'Client DB &amp; Bed Mgmt'!$B:$B,C271,'Client DB &amp; Bed Mgmt'!$D:$D,"&lt;&gt;"),0)</f>
        <v/>
      </c>
      <c r="K271" s="103" t="n"/>
      <c r="L271" s="103" t="n"/>
      <c r="M271" s="103">
        <f>COUNTIFS('Client DB &amp; Bed Mgmt'!$A:$A,$K271,'Client DB &amp; Bed Mgmt'!$B:$B,$L271,'Client DB &amp; Bed Mgmt'!$D:$D,"&lt;&gt;")</f>
        <v/>
      </c>
      <c r="N271" s="126" t="n"/>
      <c r="O271" s="126" t="n"/>
      <c r="P271" s="127">
        <f>IF(N271="","",MAX(N271-O271,0))</f>
        <v/>
      </c>
      <c r="Q271" s="130">
        <f>IF(O271="","",O271*GeneratorRate)</f>
        <v/>
      </c>
      <c r="R271" s="130">
        <f>IF(P271="","",P271*GovernmentRate)</f>
        <v/>
      </c>
      <c r="S271" s="130">
        <f>IF(N271="","",Q271+R271)</f>
        <v/>
      </c>
      <c r="T271" s="130">
        <f>IF(M271=0,0,S271/M271)</f>
        <v/>
      </c>
      <c r="U271" s="129" t="n"/>
      <c r="V271" s="129" t="n"/>
      <c r="W271" s="130" t="n"/>
      <c r="X271" s="130" t="n"/>
    </row>
    <row r="272" hidden="1" ht="14.25" customHeight="1" s="83">
      <c r="A272" s="103" t="n"/>
      <c r="B272" s="125" t="n"/>
      <c r="C272" s="103" t="n"/>
      <c r="D272" s="126" t="n"/>
      <c r="E272" s="126" t="n"/>
      <c r="F272" s="127">
        <f>IF(D272="","",MAX(D272-E272,0))</f>
        <v/>
      </c>
      <c r="G272" s="130">
        <f>IF(E272="","",E272*GeneratorRate)</f>
        <v/>
      </c>
      <c r="H272" s="130">
        <f>IF(F272="","",F272*GovernmentRate)</f>
        <v/>
      </c>
      <c r="I272" s="130">
        <f>IF(D272="","",G272+H272)</f>
        <v/>
      </c>
      <c r="J272" s="129">
        <f>IFERROR(I272/COUNTIFS('Client DB &amp; Bed Mgmt'!$A:$A,A272,'Client DB &amp; Bed Mgmt'!$B:$B,C272,'Client DB &amp; Bed Mgmt'!$D:$D,"&lt;&gt;"),0)</f>
        <v/>
      </c>
      <c r="K272" s="103" t="n"/>
      <c r="L272" s="103" t="n"/>
      <c r="M272" s="103">
        <f>COUNTIFS('Client DB &amp; Bed Mgmt'!$A:$A,$K272,'Client DB &amp; Bed Mgmt'!$B:$B,$L272,'Client DB &amp; Bed Mgmt'!$D:$D,"&lt;&gt;")</f>
        <v/>
      </c>
      <c r="N272" s="126" t="n"/>
      <c r="O272" s="126" t="n"/>
      <c r="P272" s="127">
        <f>IF(N272="","",MAX(N272-O272,0))</f>
        <v/>
      </c>
      <c r="Q272" s="130">
        <f>IF(O272="","",O272*GeneratorRate)</f>
        <v/>
      </c>
      <c r="R272" s="130">
        <f>IF(P272="","",P272*GovernmentRate)</f>
        <v/>
      </c>
      <c r="S272" s="130">
        <f>IF(N272="","",Q272+R272)</f>
        <v/>
      </c>
      <c r="T272" s="130">
        <f>IF(M272=0,0,S272/M272)</f>
        <v/>
      </c>
      <c r="U272" s="129" t="n"/>
      <c r="V272" s="129" t="n"/>
      <c r="W272" s="130" t="n"/>
      <c r="X272" s="130" t="n"/>
    </row>
    <row r="273" hidden="1" ht="14.25" customHeight="1" s="83">
      <c r="A273" s="103" t="n"/>
      <c r="B273" s="125" t="n"/>
      <c r="C273" s="103" t="n"/>
      <c r="D273" s="126" t="n"/>
      <c r="E273" s="126" t="n"/>
      <c r="F273" s="127">
        <f>IF(D273="","",MAX(D273-E273,0))</f>
        <v/>
      </c>
      <c r="G273" s="130">
        <f>IF(E273="","",E273*GeneratorRate)</f>
        <v/>
      </c>
      <c r="H273" s="130">
        <f>IF(F273="","",F273*GovernmentRate)</f>
        <v/>
      </c>
      <c r="I273" s="130">
        <f>IF(D273="","",G273+H273)</f>
        <v/>
      </c>
      <c r="J273" s="129">
        <f>IFERROR(I273/COUNTIFS('Client DB &amp; Bed Mgmt'!$A:$A,A273,'Client DB &amp; Bed Mgmt'!$B:$B,C273,'Client DB &amp; Bed Mgmt'!$D:$D,"&lt;&gt;"),0)</f>
        <v/>
      </c>
      <c r="K273" s="103" t="n"/>
      <c r="L273" s="103" t="n"/>
      <c r="M273" s="103">
        <f>COUNTIFS('Client DB &amp; Bed Mgmt'!$A:$A,$K273,'Client DB &amp; Bed Mgmt'!$B:$B,$L273,'Client DB &amp; Bed Mgmt'!$D:$D,"&lt;&gt;")</f>
        <v/>
      </c>
      <c r="N273" s="126" t="n"/>
      <c r="O273" s="126" t="n"/>
      <c r="P273" s="127">
        <f>IF(N273="","",MAX(N273-O273,0))</f>
        <v/>
      </c>
      <c r="Q273" s="130">
        <f>IF(O273="","",O273*GeneratorRate)</f>
        <v/>
      </c>
      <c r="R273" s="130">
        <f>IF(P273="","",P273*GovernmentRate)</f>
        <v/>
      </c>
      <c r="S273" s="130">
        <f>IF(N273="","",Q273+R273)</f>
        <v/>
      </c>
      <c r="T273" s="130">
        <f>IF(M273=0,0,S273/M273)</f>
        <v/>
      </c>
      <c r="U273" s="129" t="n"/>
      <c r="V273" s="129" t="n"/>
      <c r="W273" s="130" t="n"/>
      <c r="X273" s="130" t="n"/>
    </row>
    <row r="274" hidden="1" ht="14.25" customHeight="1" s="83">
      <c r="A274" s="103" t="n"/>
      <c r="B274" s="125" t="n"/>
      <c r="C274" s="103" t="n"/>
      <c r="D274" s="126" t="n"/>
      <c r="E274" s="126" t="n"/>
      <c r="F274" s="127">
        <f>IF(D274="","",MAX(D274-E274,0))</f>
        <v/>
      </c>
      <c r="G274" s="130">
        <f>IF(E274="","",E274*GeneratorRate)</f>
        <v/>
      </c>
      <c r="H274" s="130">
        <f>IF(F274="","",F274*GovernmentRate)</f>
        <v/>
      </c>
      <c r="I274" s="130">
        <f>IF(D274="","",G274+H274)</f>
        <v/>
      </c>
      <c r="J274" s="129">
        <f>IFERROR(I274/COUNTIFS('Client DB &amp; Bed Mgmt'!$A:$A,A274,'Client DB &amp; Bed Mgmt'!$B:$B,C274,'Client DB &amp; Bed Mgmt'!$D:$D,"&lt;&gt;"),0)</f>
        <v/>
      </c>
      <c r="K274" s="103" t="n"/>
      <c r="L274" s="103" t="n"/>
      <c r="M274" s="103">
        <f>COUNTIFS('Client DB &amp; Bed Mgmt'!$A:$A,$K274,'Client DB &amp; Bed Mgmt'!$B:$B,$L274,'Client DB &amp; Bed Mgmt'!$D:$D,"&lt;&gt;")</f>
        <v/>
      </c>
      <c r="N274" s="126" t="n"/>
      <c r="O274" s="126" t="n"/>
      <c r="P274" s="127">
        <f>IF(N274="","",MAX(N274-O274,0))</f>
        <v/>
      </c>
      <c r="Q274" s="130">
        <f>IF(O274="","",O274*GeneratorRate)</f>
        <v/>
      </c>
      <c r="R274" s="130">
        <f>IF(P274="","",P274*GovernmentRate)</f>
        <v/>
      </c>
      <c r="S274" s="130">
        <f>IF(N274="","",Q274+R274)</f>
        <v/>
      </c>
      <c r="T274" s="130">
        <f>IF(M274=0,0,S274/M274)</f>
        <v/>
      </c>
      <c r="U274" s="129" t="n"/>
      <c r="V274" s="129" t="n"/>
      <c r="W274" s="130" t="n"/>
      <c r="X274" s="130" t="n"/>
    </row>
    <row r="275" hidden="1" ht="14.25" customHeight="1" s="83">
      <c r="A275" s="103" t="n"/>
      <c r="B275" s="125" t="n"/>
      <c r="C275" s="103" t="n"/>
      <c r="D275" s="126" t="n"/>
      <c r="E275" s="126" t="n"/>
      <c r="F275" s="127">
        <f>IF(D275="","",MAX(D275-E275,0))</f>
        <v/>
      </c>
      <c r="G275" s="130">
        <f>IF(E275="","",E275*GeneratorRate)</f>
        <v/>
      </c>
      <c r="H275" s="130">
        <f>IF(F275="","",F275*GovernmentRate)</f>
        <v/>
      </c>
      <c r="I275" s="130">
        <f>IF(D275="","",G275+H275)</f>
        <v/>
      </c>
      <c r="J275" s="129">
        <f>IFERROR(I275/COUNTIFS('Client DB &amp; Bed Mgmt'!$A:$A,A275,'Client DB &amp; Bed Mgmt'!$B:$B,C275,'Client DB &amp; Bed Mgmt'!$D:$D,"&lt;&gt;"),0)</f>
        <v/>
      </c>
      <c r="K275" s="103" t="n"/>
      <c r="L275" s="103" t="n"/>
      <c r="M275" s="103">
        <f>COUNTIFS('Client DB &amp; Bed Mgmt'!$A:$A,$K275,'Client DB &amp; Bed Mgmt'!$B:$B,$L275,'Client DB &amp; Bed Mgmt'!$D:$D,"&lt;&gt;")</f>
        <v/>
      </c>
      <c r="N275" s="126" t="n"/>
      <c r="O275" s="126" t="n"/>
      <c r="P275" s="127">
        <f>IF(N275="","",MAX(N275-O275,0))</f>
        <v/>
      </c>
      <c r="Q275" s="130">
        <f>IF(O275="","",O275*GeneratorRate)</f>
        <v/>
      </c>
      <c r="R275" s="130">
        <f>IF(P275="","",P275*GovernmentRate)</f>
        <v/>
      </c>
      <c r="S275" s="130">
        <f>IF(N275="","",Q275+R275)</f>
        <v/>
      </c>
      <c r="T275" s="130">
        <f>IF(M275=0,0,S275/M275)</f>
        <v/>
      </c>
      <c r="U275" s="129" t="n"/>
      <c r="V275" s="129" t="n"/>
      <c r="W275" s="130" t="n"/>
      <c r="X275" s="130" t="n"/>
    </row>
    <row r="276" hidden="1" ht="14.25" customHeight="1" s="83">
      <c r="A276" s="103" t="n"/>
      <c r="B276" s="125" t="n"/>
      <c r="C276" s="103" t="n"/>
      <c r="D276" s="126" t="n"/>
      <c r="E276" s="126" t="n"/>
      <c r="F276" s="127">
        <f>IF(D276="","",MAX(D276-E276,0))</f>
        <v/>
      </c>
      <c r="G276" s="130">
        <f>IF(E276="","",E276*GeneratorRate)</f>
        <v/>
      </c>
      <c r="H276" s="130">
        <f>IF(F276="","",F276*GovernmentRate)</f>
        <v/>
      </c>
      <c r="I276" s="130">
        <f>IF(D276="","",G276+H276)</f>
        <v/>
      </c>
      <c r="J276" s="129">
        <f>IFERROR(I276/COUNTIFS('Client DB &amp; Bed Mgmt'!$A:$A,A276,'Client DB &amp; Bed Mgmt'!$B:$B,C276,'Client DB &amp; Bed Mgmt'!$D:$D,"&lt;&gt;"),0)</f>
        <v/>
      </c>
      <c r="K276" s="103" t="n"/>
      <c r="L276" s="103" t="n"/>
      <c r="M276" s="103">
        <f>COUNTIFS('Client DB &amp; Bed Mgmt'!$A:$A,$K276,'Client DB &amp; Bed Mgmt'!$B:$B,$L276,'Client DB &amp; Bed Mgmt'!$D:$D,"&lt;&gt;")</f>
        <v/>
      </c>
      <c r="N276" s="126" t="n"/>
      <c r="O276" s="126" t="n"/>
      <c r="P276" s="127">
        <f>IF(N276="","",MAX(N276-O276,0))</f>
        <v/>
      </c>
      <c r="Q276" s="130">
        <f>IF(O276="","",O276*GeneratorRate)</f>
        <v/>
      </c>
      <c r="R276" s="130">
        <f>IF(P276="","",P276*GovernmentRate)</f>
        <v/>
      </c>
      <c r="S276" s="130">
        <f>IF(N276="","",Q276+R276)</f>
        <v/>
      </c>
      <c r="T276" s="130">
        <f>IF(M276=0,0,S276/M276)</f>
        <v/>
      </c>
      <c r="U276" s="129" t="n"/>
      <c r="V276" s="129" t="n"/>
      <c r="W276" s="130" t="n"/>
      <c r="X276" s="130" t="n"/>
    </row>
    <row r="277" hidden="1" ht="14.25" customHeight="1" s="83">
      <c r="A277" s="103" t="n"/>
      <c r="B277" s="125" t="n"/>
      <c r="C277" s="103" t="n"/>
      <c r="D277" s="126" t="n"/>
      <c r="E277" s="126" t="n"/>
      <c r="F277" s="127">
        <f>IF(D277="","",MAX(D277-E277,0))</f>
        <v/>
      </c>
      <c r="G277" s="130">
        <f>IF(E277="","",E277*GeneratorRate)</f>
        <v/>
      </c>
      <c r="H277" s="130">
        <f>IF(F277="","",F277*GovernmentRate)</f>
        <v/>
      </c>
      <c r="I277" s="130">
        <f>IF(D277="","",G277+H277)</f>
        <v/>
      </c>
      <c r="J277" s="129">
        <f>IFERROR(I277/COUNTIFS('Client DB &amp; Bed Mgmt'!$A:$A,A277,'Client DB &amp; Bed Mgmt'!$B:$B,C277,'Client DB &amp; Bed Mgmt'!$D:$D,"&lt;&gt;"),0)</f>
        <v/>
      </c>
      <c r="K277" s="103" t="n"/>
      <c r="L277" s="103" t="n"/>
      <c r="M277" s="103">
        <f>COUNTIFS('Client DB &amp; Bed Mgmt'!$A:$A,$K277,'Client DB &amp; Bed Mgmt'!$B:$B,$L277,'Client DB &amp; Bed Mgmt'!$D:$D,"&lt;&gt;")</f>
        <v/>
      </c>
      <c r="N277" s="126" t="n"/>
      <c r="O277" s="126" t="n"/>
      <c r="P277" s="127">
        <f>IF(N277="","",MAX(N277-O277,0))</f>
        <v/>
      </c>
      <c r="Q277" s="130">
        <f>IF(O277="","",O277*GeneratorRate)</f>
        <v/>
      </c>
      <c r="R277" s="130">
        <f>IF(P277="","",P277*GovernmentRate)</f>
        <v/>
      </c>
      <c r="S277" s="130">
        <f>IF(N277="","",Q277+R277)</f>
        <v/>
      </c>
      <c r="T277" s="130">
        <f>IF(M277=0,0,S277/M277)</f>
        <v/>
      </c>
      <c r="U277" s="129" t="n"/>
      <c r="V277" s="129" t="n"/>
      <c r="W277" s="130" t="n"/>
      <c r="X277" s="130" t="n"/>
    </row>
    <row r="278" hidden="1" ht="14.25" customHeight="1" s="83">
      <c r="A278" s="103" t="n"/>
      <c r="B278" s="125" t="n"/>
      <c r="C278" s="103" t="n"/>
      <c r="D278" s="126" t="n"/>
      <c r="E278" s="126" t="n"/>
      <c r="F278" s="127">
        <f>IF(D278="","",MAX(D278-E278,0))</f>
        <v/>
      </c>
      <c r="G278" s="130">
        <f>IF(E278="","",E278*GeneratorRate)</f>
        <v/>
      </c>
      <c r="H278" s="130">
        <f>IF(F278="","",F278*GovernmentRate)</f>
        <v/>
      </c>
      <c r="I278" s="130">
        <f>IF(D278="","",G278+H278)</f>
        <v/>
      </c>
      <c r="J278" s="129">
        <f>IFERROR(I278/COUNTIFS('Client DB &amp; Bed Mgmt'!$A:$A,A278,'Client DB &amp; Bed Mgmt'!$B:$B,C278,'Client DB &amp; Bed Mgmt'!$D:$D,"&lt;&gt;"),0)</f>
        <v/>
      </c>
      <c r="K278" s="103" t="n"/>
      <c r="L278" s="103" t="n"/>
      <c r="M278" s="103">
        <f>COUNTIFS('Client DB &amp; Bed Mgmt'!$A:$A,$K278,'Client DB &amp; Bed Mgmt'!$B:$B,$L278,'Client DB &amp; Bed Mgmt'!$D:$D,"&lt;&gt;")</f>
        <v/>
      </c>
      <c r="N278" s="126" t="n"/>
      <c r="O278" s="126" t="n"/>
      <c r="P278" s="127">
        <f>IF(N278="","",MAX(N278-O278,0))</f>
        <v/>
      </c>
      <c r="Q278" s="130">
        <f>IF(O278="","",O278*GeneratorRate)</f>
        <v/>
      </c>
      <c r="R278" s="130">
        <f>IF(P278="","",P278*GovernmentRate)</f>
        <v/>
      </c>
      <c r="S278" s="130">
        <f>IF(N278="","",Q278+R278)</f>
        <v/>
      </c>
      <c r="T278" s="130">
        <f>IF(M278=0,0,S278/M278)</f>
        <v/>
      </c>
      <c r="U278" s="129" t="n"/>
      <c r="V278" s="129" t="n"/>
      <c r="W278" s="130" t="n"/>
      <c r="X278" s="130" t="n"/>
    </row>
    <row r="279" hidden="1" ht="14.25" customHeight="1" s="83">
      <c r="A279" s="103" t="n"/>
      <c r="B279" s="125" t="n"/>
      <c r="C279" s="103" t="n"/>
      <c r="D279" s="126" t="n"/>
      <c r="E279" s="126" t="n"/>
      <c r="F279" s="127">
        <f>IF(D279="","",MAX(D279-E279,0))</f>
        <v/>
      </c>
      <c r="G279" s="130">
        <f>IF(E279="","",E279*GeneratorRate)</f>
        <v/>
      </c>
      <c r="H279" s="130">
        <f>IF(F279="","",F279*GovernmentRate)</f>
        <v/>
      </c>
      <c r="I279" s="130">
        <f>IF(D279="","",G279+H279)</f>
        <v/>
      </c>
      <c r="J279" s="129">
        <f>IFERROR(I279/COUNTIFS('Client DB &amp; Bed Mgmt'!$A:$A,A279,'Client DB &amp; Bed Mgmt'!$B:$B,C279,'Client DB &amp; Bed Mgmt'!$D:$D,"&lt;&gt;"),0)</f>
        <v/>
      </c>
      <c r="K279" s="103" t="n"/>
      <c r="L279" s="103" t="n"/>
      <c r="M279" s="103">
        <f>COUNTIFS('Client DB &amp; Bed Mgmt'!$A:$A,$K279,'Client DB &amp; Bed Mgmt'!$B:$B,$L279,'Client DB &amp; Bed Mgmt'!$D:$D,"&lt;&gt;")</f>
        <v/>
      </c>
      <c r="N279" s="126" t="n"/>
      <c r="O279" s="126" t="n"/>
      <c r="P279" s="127">
        <f>IF(N279="","",MAX(N279-O279,0))</f>
        <v/>
      </c>
      <c r="Q279" s="130">
        <f>IF(O279="","",O279*GeneratorRate)</f>
        <v/>
      </c>
      <c r="R279" s="130">
        <f>IF(P279="","",P279*GovernmentRate)</f>
        <v/>
      </c>
      <c r="S279" s="130">
        <f>IF(N279="","",Q279+R279)</f>
        <v/>
      </c>
      <c r="T279" s="130">
        <f>IF(M279=0,0,S279/M279)</f>
        <v/>
      </c>
      <c r="U279" s="129" t="n"/>
      <c r="V279" s="129" t="n"/>
      <c r="W279" s="130" t="n"/>
      <c r="X279" s="130" t="n"/>
    </row>
    <row r="280" hidden="1" ht="14.25" customHeight="1" s="83">
      <c r="A280" s="103" t="n"/>
      <c r="B280" s="125" t="n"/>
      <c r="C280" s="103" t="n"/>
      <c r="D280" s="126" t="n"/>
      <c r="E280" s="126" t="n"/>
      <c r="F280" s="127">
        <f>IF(D280="","",MAX(D280-E280,0))</f>
        <v/>
      </c>
      <c r="G280" s="130">
        <f>IF(E280="","",E280*GeneratorRate)</f>
        <v/>
      </c>
      <c r="H280" s="130">
        <f>IF(F280="","",F280*GovernmentRate)</f>
        <v/>
      </c>
      <c r="I280" s="130">
        <f>IF(D280="","",G280+H280)</f>
        <v/>
      </c>
      <c r="J280" s="129">
        <f>IFERROR(I280/COUNTIFS('Client DB &amp; Bed Mgmt'!$A:$A,A280,'Client DB &amp; Bed Mgmt'!$B:$B,C280,'Client DB &amp; Bed Mgmt'!$D:$D,"&lt;&gt;"),0)</f>
        <v/>
      </c>
      <c r="K280" s="103" t="n"/>
      <c r="L280" s="103" t="n"/>
      <c r="M280" s="103">
        <f>COUNTIFS('Client DB &amp; Bed Mgmt'!$A:$A,$K280,'Client DB &amp; Bed Mgmt'!$B:$B,$L280,'Client DB &amp; Bed Mgmt'!$D:$D,"&lt;&gt;")</f>
        <v/>
      </c>
      <c r="N280" s="126" t="n"/>
      <c r="O280" s="126" t="n"/>
      <c r="P280" s="127">
        <f>IF(N280="","",MAX(N280-O280,0))</f>
        <v/>
      </c>
      <c r="Q280" s="130">
        <f>IF(O280="","",O280*GeneratorRate)</f>
        <v/>
      </c>
      <c r="R280" s="130">
        <f>IF(P280="","",P280*GovernmentRate)</f>
        <v/>
      </c>
      <c r="S280" s="130">
        <f>IF(N280="","",Q280+R280)</f>
        <v/>
      </c>
      <c r="T280" s="130">
        <f>IF(M280=0,0,S280/M280)</f>
        <v/>
      </c>
      <c r="U280" s="129" t="n"/>
      <c r="V280" s="129" t="n"/>
      <c r="W280" s="130" t="n"/>
      <c r="X280" s="130" t="n"/>
    </row>
    <row r="281" hidden="1" ht="14.25" customHeight="1" s="83">
      <c r="A281" s="103" t="n"/>
      <c r="B281" s="125" t="n"/>
      <c r="C281" s="103" t="n"/>
      <c r="D281" s="126" t="n"/>
      <c r="E281" s="126" t="n"/>
      <c r="F281" s="127">
        <f>IF(D281="","",MAX(D281-E281,0))</f>
        <v/>
      </c>
      <c r="G281" s="130">
        <f>IF(E281="","",E281*GeneratorRate)</f>
        <v/>
      </c>
      <c r="H281" s="130">
        <f>IF(F281="","",F281*GovernmentRate)</f>
        <v/>
      </c>
      <c r="I281" s="130">
        <f>IF(D281="","",G281+H281)</f>
        <v/>
      </c>
      <c r="J281" s="129">
        <f>IFERROR(I281/COUNTIFS('Client DB &amp; Bed Mgmt'!$A:$A,A281,'Client DB &amp; Bed Mgmt'!$B:$B,C281,'Client DB &amp; Bed Mgmt'!$D:$D,"&lt;&gt;"),0)</f>
        <v/>
      </c>
      <c r="K281" s="103" t="n"/>
      <c r="L281" s="103" t="n"/>
      <c r="M281" s="103">
        <f>COUNTIFS('Client DB &amp; Bed Mgmt'!$A:$A,$K281,'Client DB &amp; Bed Mgmt'!$B:$B,$L281,'Client DB &amp; Bed Mgmt'!$D:$D,"&lt;&gt;")</f>
        <v/>
      </c>
      <c r="N281" s="126" t="n"/>
      <c r="O281" s="126" t="n"/>
      <c r="P281" s="127">
        <f>IF(N281="","",MAX(N281-O281,0))</f>
        <v/>
      </c>
      <c r="Q281" s="130">
        <f>IF(O281="","",O281*GeneratorRate)</f>
        <v/>
      </c>
      <c r="R281" s="130">
        <f>IF(P281="","",P281*GovernmentRate)</f>
        <v/>
      </c>
      <c r="S281" s="130">
        <f>IF(N281="","",Q281+R281)</f>
        <v/>
      </c>
      <c r="T281" s="130">
        <f>IF(M281=0,0,S281/M281)</f>
        <v/>
      </c>
      <c r="U281" s="129" t="n"/>
      <c r="V281" s="129" t="n"/>
      <c r="W281" s="130" t="n"/>
      <c r="X281" s="130" t="n"/>
    </row>
    <row r="282" hidden="1" ht="14.25" customHeight="1" s="83">
      <c r="A282" s="103" t="n"/>
      <c r="B282" s="125" t="n"/>
      <c r="C282" s="103" t="n"/>
      <c r="D282" s="126" t="n"/>
      <c r="E282" s="126" t="n"/>
      <c r="F282" s="127">
        <f>IF(D282="","",MAX(D282-E282,0))</f>
        <v/>
      </c>
      <c r="G282" s="130">
        <f>IF(E282="","",E282*GeneratorRate)</f>
        <v/>
      </c>
      <c r="H282" s="130">
        <f>IF(F282="","",F282*GovernmentRate)</f>
        <v/>
      </c>
      <c r="I282" s="130">
        <f>IF(D282="","",G282+H282)</f>
        <v/>
      </c>
      <c r="J282" s="129">
        <f>IFERROR(I282/COUNTIFS('Client DB &amp; Bed Mgmt'!$A:$A,A282,'Client DB &amp; Bed Mgmt'!$B:$B,C282,'Client DB &amp; Bed Mgmt'!$D:$D,"&lt;&gt;"),0)</f>
        <v/>
      </c>
      <c r="K282" s="103" t="n"/>
      <c r="L282" s="103" t="n"/>
      <c r="M282" s="103">
        <f>COUNTIFS('Client DB &amp; Bed Mgmt'!$A:$A,$K282,'Client DB &amp; Bed Mgmt'!$B:$B,$L282,'Client DB &amp; Bed Mgmt'!$D:$D,"&lt;&gt;")</f>
        <v/>
      </c>
      <c r="N282" s="126" t="n"/>
      <c r="O282" s="126" t="n"/>
      <c r="P282" s="127">
        <f>IF(N282="","",MAX(N282-O282,0))</f>
        <v/>
      </c>
      <c r="Q282" s="130">
        <f>IF(O282="","",O282*GeneratorRate)</f>
        <v/>
      </c>
      <c r="R282" s="130">
        <f>IF(P282="","",P282*GovernmentRate)</f>
        <v/>
      </c>
      <c r="S282" s="130">
        <f>IF(N282="","",Q282+R282)</f>
        <v/>
      </c>
      <c r="T282" s="130">
        <f>IF(M282=0,0,S282/M282)</f>
        <v/>
      </c>
      <c r="U282" s="129" t="n"/>
      <c r="V282" s="129" t="n"/>
      <c r="W282" s="130" t="n"/>
      <c r="X282" s="130" t="n"/>
    </row>
    <row r="283" hidden="1" ht="14.25" customHeight="1" s="83">
      <c r="A283" s="103" t="n"/>
      <c r="B283" s="125" t="n"/>
      <c r="C283" s="103" t="n"/>
      <c r="D283" s="126" t="n"/>
      <c r="E283" s="126" t="n"/>
      <c r="F283" s="127">
        <f>IF(D283="","",MAX(D283-E283,0))</f>
        <v/>
      </c>
      <c r="G283" s="130">
        <f>IF(E283="","",E283*GeneratorRate)</f>
        <v/>
      </c>
      <c r="H283" s="130">
        <f>IF(F283="","",F283*GovernmentRate)</f>
        <v/>
      </c>
      <c r="I283" s="130">
        <f>IF(D283="","",G283+H283)</f>
        <v/>
      </c>
      <c r="J283" s="129">
        <f>IFERROR(I283/COUNTIFS('Client DB &amp; Bed Mgmt'!$A:$A,A283,'Client DB &amp; Bed Mgmt'!$B:$B,C283,'Client DB &amp; Bed Mgmt'!$D:$D,"&lt;&gt;"),0)</f>
        <v/>
      </c>
      <c r="K283" s="103" t="n"/>
      <c r="L283" s="103" t="n"/>
      <c r="M283" s="103">
        <f>COUNTIFS('Client DB &amp; Bed Mgmt'!$A:$A,$K283,'Client DB &amp; Bed Mgmt'!$B:$B,$L283,'Client DB &amp; Bed Mgmt'!$D:$D,"&lt;&gt;")</f>
        <v/>
      </c>
      <c r="N283" s="126" t="n"/>
      <c r="O283" s="126" t="n"/>
      <c r="P283" s="127">
        <f>IF(N283="","",MAX(N283-O283,0))</f>
        <v/>
      </c>
      <c r="Q283" s="130">
        <f>IF(O283="","",O283*GeneratorRate)</f>
        <v/>
      </c>
      <c r="R283" s="130">
        <f>IF(P283="","",P283*GovernmentRate)</f>
        <v/>
      </c>
      <c r="S283" s="130">
        <f>IF(N283="","",Q283+R283)</f>
        <v/>
      </c>
      <c r="T283" s="130">
        <f>IF(M283=0,0,S283/M283)</f>
        <v/>
      </c>
      <c r="U283" s="129" t="n"/>
      <c r="V283" s="129" t="n"/>
      <c r="W283" s="130" t="n"/>
      <c r="X283" s="130" t="n"/>
    </row>
    <row r="284" hidden="1" ht="14.25" customHeight="1" s="83">
      <c r="A284" s="103" t="n"/>
      <c r="B284" s="125" t="n"/>
      <c r="C284" s="103" t="n"/>
      <c r="D284" s="126" t="n"/>
      <c r="E284" s="126" t="n"/>
      <c r="F284" s="127">
        <f>IF(D284="","",MAX(D284-E284,0))</f>
        <v/>
      </c>
      <c r="G284" s="130">
        <f>IF(E284="","",E284*GeneratorRate)</f>
        <v/>
      </c>
      <c r="H284" s="130">
        <f>IF(F284="","",F284*GovernmentRate)</f>
        <v/>
      </c>
      <c r="I284" s="130">
        <f>IF(D284="","",G284+H284)</f>
        <v/>
      </c>
      <c r="J284" s="129">
        <f>IFERROR(I284/COUNTIFS('Client DB &amp; Bed Mgmt'!$A:$A,A284,'Client DB &amp; Bed Mgmt'!$B:$B,C284,'Client DB &amp; Bed Mgmt'!$D:$D,"&lt;&gt;"),0)</f>
        <v/>
      </c>
      <c r="K284" s="103" t="n"/>
      <c r="L284" s="103" t="n"/>
      <c r="M284" s="103">
        <f>COUNTIFS('Client DB &amp; Bed Mgmt'!$A:$A,$K284,'Client DB &amp; Bed Mgmt'!$B:$B,$L284,'Client DB &amp; Bed Mgmt'!$D:$D,"&lt;&gt;")</f>
        <v/>
      </c>
      <c r="N284" s="126" t="n"/>
      <c r="O284" s="126" t="n"/>
      <c r="P284" s="127">
        <f>IF(N284="","",MAX(N284-O284,0))</f>
        <v/>
      </c>
      <c r="Q284" s="130">
        <f>IF(O284="","",O284*GeneratorRate)</f>
        <v/>
      </c>
      <c r="R284" s="130">
        <f>IF(P284="","",P284*GovernmentRate)</f>
        <v/>
      </c>
      <c r="S284" s="130">
        <f>IF(N284="","",Q284+R284)</f>
        <v/>
      </c>
      <c r="T284" s="130">
        <f>IF(M284=0,0,S284/M284)</f>
        <v/>
      </c>
      <c r="U284" s="129" t="n"/>
      <c r="V284" s="129" t="n"/>
      <c r="W284" s="130" t="n"/>
      <c r="X284" s="130" t="n"/>
    </row>
    <row r="285" hidden="1" ht="14.25" customHeight="1" s="83">
      <c r="A285" s="103" t="n"/>
      <c r="B285" s="125" t="n"/>
      <c r="C285" s="103" t="n"/>
      <c r="D285" s="126" t="n"/>
      <c r="E285" s="126" t="n"/>
      <c r="F285" s="127">
        <f>IF(D285="","",MAX(D285-E285,0))</f>
        <v/>
      </c>
      <c r="G285" s="130">
        <f>IF(E285="","",E285*GeneratorRate)</f>
        <v/>
      </c>
      <c r="H285" s="130">
        <f>IF(F285="","",F285*GovernmentRate)</f>
        <v/>
      </c>
      <c r="I285" s="130">
        <f>IF(D285="","",G285+H285)</f>
        <v/>
      </c>
      <c r="J285" s="129">
        <f>IFERROR(I285/COUNTIFS('Client DB &amp; Bed Mgmt'!$A:$A,A285,'Client DB &amp; Bed Mgmt'!$B:$B,C285,'Client DB &amp; Bed Mgmt'!$D:$D,"&lt;&gt;"),0)</f>
        <v/>
      </c>
      <c r="K285" s="103" t="n"/>
      <c r="L285" s="103" t="n"/>
      <c r="M285" s="103">
        <f>COUNTIFS('Client DB &amp; Bed Mgmt'!$A:$A,$K285,'Client DB &amp; Bed Mgmt'!$B:$B,$L285,'Client DB &amp; Bed Mgmt'!$D:$D,"&lt;&gt;")</f>
        <v/>
      </c>
      <c r="N285" s="126" t="n"/>
      <c r="O285" s="126" t="n"/>
      <c r="P285" s="127">
        <f>IF(N285="","",MAX(N285-O285,0))</f>
        <v/>
      </c>
      <c r="Q285" s="130">
        <f>IF(O285="","",O285*GeneratorRate)</f>
        <v/>
      </c>
      <c r="R285" s="130">
        <f>IF(P285="","",P285*GovernmentRate)</f>
        <v/>
      </c>
      <c r="S285" s="130">
        <f>IF(N285="","",Q285+R285)</f>
        <v/>
      </c>
      <c r="T285" s="130">
        <f>IF(M285=0,0,S285/M285)</f>
        <v/>
      </c>
      <c r="U285" s="129" t="n"/>
      <c r="V285" s="129" t="n"/>
      <c r="W285" s="130" t="n"/>
      <c r="X285" s="130" t="n"/>
    </row>
    <row r="286" hidden="1" ht="14.25" customHeight="1" s="83">
      <c r="A286" s="103" t="n"/>
      <c r="B286" s="125" t="n"/>
      <c r="C286" s="103" t="n"/>
      <c r="D286" s="126" t="n"/>
      <c r="E286" s="126" t="n"/>
      <c r="F286" s="127">
        <f>IF(D286="","",MAX(D286-E286,0))</f>
        <v/>
      </c>
      <c r="G286" s="130">
        <f>IF(E286="","",E286*GeneratorRate)</f>
        <v/>
      </c>
      <c r="H286" s="130">
        <f>IF(F286="","",F286*GovernmentRate)</f>
        <v/>
      </c>
      <c r="I286" s="130">
        <f>IF(D286="","",G286+H286)</f>
        <v/>
      </c>
      <c r="J286" s="129">
        <f>IFERROR(I286/COUNTIFS('Client DB &amp; Bed Mgmt'!$A:$A,A286,'Client DB &amp; Bed Mgmt'!$B:$B,C286,'Client DB &amp; Bed Mgmt'!$D:$D,"&lt;&gt;"),0)</f>
        <v/>
      </c>
      <c r="K286" s="103" t="n"/>
      <c r="L286" s="103" t="n"/>
      <c r="M286" s="103">
        <f>COUNTIFS('Client DB &amp; Bed Mgmt'!$A:$A,$K286,'Client DB &amp; Bed Mgmt'!$B:$B,$L286,'Client DB &amp; Bed Mgmt'!$D:$D,"&lt;&gt;")</f>
        <v/>
      </c>
      <c r="N286" s="126" t="n"/>
      <c r="O286" s="126" t="n"/>
      <c r="P286" s="127">
        <f>IF(N286="","",MAX(N286-O286,0))</f>
        <v/>
      </c>
      <c r="Q286" s="130">
        <f>IF(O286="","",O286*GeneratorRate)</f>
        <v/>
      </c>
      <c r="R286" s="130">
        <f>IF(P286="","",P286*GovernmentRate)</f>
        <v/>
      </c>
      <c r="S286" s="130">
        <f>IF(N286="","",Q286+R286)</f>
        <v/>
      </c>
      <c r="T286" s="130">
        <f>IF(M286=0,0,S286/M286)</f>
        <v/>
      </c>
      <c r="U286" s="129" t="n"/>
      <c r="V286" s="129" t="n"/>
      <c r="W286" s="130" t="n"/>
      <c r="X286" s="130" t="n"/>
    </row>
    <row r="287" hidden="1" ht="14.25" customHeight="1" s="83">
      <c r="A287" s="103" t="n"/>
      <c r="B287" s="125" t="n"/>
      <c r="C287" s="103" t="n"/>
      <c r="D287" s="126" t="n"/>
      <c r="E287" s="126" t="n"/>
      <c r="F287" s="127">
        <f>IF(D287="","",MAX(D287-E287,0))</f>
        <v/>
      </c>
      <c r="G287" s="130">
        <f>IF(E287="","",E287*GeneratorRate)</f>
        <v/>
      </c>
      <c r="H287" s="130">
        <f>IF(F287="","",F287*GovernmentRate)</f>
        <v/>
      </c>
      <c r="I287" s="130">
        <f>IF(D287="","",G287+H287)</f>
        <v/>
      </c>
      <c r="J287" s="129">
        <f>IFERROR(I287/COUNTIFS('Client DB &amp; Bed Mgmt'!$A:$A,A287,'Client DB &amp; Bed Mgmt'!$B:$B,C287,'Client DB &amp; Bed Mgmt'!$D:$D,"&lt;&gt;"),0)</f>
        <v/>
      </c>
      <c r="K287" s="103" t="n"/>
      <c r="L287" s="103" t="n"/>
      <c r="M287" s="103">
        <f>COUNTIFS('Client DB &amp; Bed Mgmt'!$A:$A,$K287,'Client DB &amp; Bed Mgmt'!$B:$B,$L287,'Client DB &amp; Bed Mgmt'!$D:$D,"&lt;&gt;")</f>
        <v/>
      </c>
      <c r="N287" s="126" t="n"/>
      <c r="O287" s="126" t="n"/>
      <c r="P287" s="127">
        <f>IF(N287="","",MAX(N287-O287,0))</f>
        <v/>
      </c>
      <c r="Q287" s="130">
        <f>IF(O287="","",O287*GeneratorRate)</f>
        <v/>
      </c>
      <c r="R287" s="130">
        <f>IF(P287="","",P287*GovernmentRate)</f>
        <v/>
      </c>
      <c r="S287" s="130">
        <f>IF(N287="","",Q287+R287)</f>
        <v/>
      </c>
      <c r="T287" s="130">
        <f>IF(M287=0,0,S287/M287)</f>
        <v/>
      </c>
      <c r="U287" s="129" t="n"/>
      <c r="V287" s="129" t="n"/>
      <c r="W287" s="130" t="n"/>
      <c r="X287" s="130" t="n"/>
    </row>
    <row r="288" hidden="1" ht="14.25" customHeight="1" s="83">
      <c r="A288" s="103" t="n"/>
      <c r="B288" s="125" t="n"/>
      <c r="C288" s="103" t="n"/>
      <c r="D288" s="126" t="n"/>
      <c r="E288" s="126" t="n"/>
      <c r="F288" s="127">
        <f>IF(D288="","",MAX(D288-E288,0))</f>
        <v/>
      </c>
      <c r="G288" s="130">
        <f>IF(E288="","",E288*GeneratorRate)</f>
        <v/>
      </c>
      <c r="H288" s="130">
        <f>IF(F288="","",F288*GovernmentRate)</f>
        <v/>
      </c>
      <c r="I288" s="130">
        <f>IF(D288="","",G288+H288)</f>
        <v/>
      </c>
      <c r="J288" s="129">
        <f>IFERROR(I288/COUNTIFS('Client DB &amp; Bed Mgmt'!$A:$A,A288,'Client DB &amp; Bed Mgmt'!$B:$B,C288,'Client DB &amp; Bed Mgmt'!$D:$D,"&lt;&gt;"),0)</f>
        <v/>
      </c>
      <c r="K288" s="103" t="n"/>
      <c r="L288" s="103" t="n"/>
      <c r="M288" s="103">
        <f>COUNTIFS('Client DB &amp; Bed Mgmt'!$A:$A,$K288,'Client DB &amp; Bed Mgmt'!$B:$B,$L288,'Client DB &amp; Bed Mgmt'!$D:$D,"&lt;&gt;")</f>
        <v/>
      </c>
      <c r="N288" s="126" t="n"/>
      <c r="O288" s="126" t="n"/>
      <c r="P288" s="127">
        <f>IF(N288="","",MAX(N288-O288,0))</f>
        <v/>
      </c>
      <c r="Q288" s="130">
        <f>IF(O288="","",O288*GeneratorRate)</f>
        <v/>
      </c>
      <c r="R288" s="130">
        <f>IF(P288="","",P288*GovernmentRate)</f>
        <v/>
      </c>
      <c r="S288" s="130">
        <f>IF(N288="","",Q288+R288)</f>
        <v/>
      </c>
      <c r="T288" s="130">
        <f>IF(M288=0,0,S288/M288)</f>
        <v/>
      </c>
      <c r="U288" s="129" t="n"/>
      <c r="V288" s="129" t="n"/>
      <c r="W288" s="130" t="n"/>
      <c r="X288" s="130" t="n"/>
    </row>
    <row r="289" hidden="1" ht="14.25" customHeight="1" s="83">
      <c r="A289" s="103" t="n"/>
      <c r="B289" s="125" t="n"/>
      <c r="C289" s="103" t="n"/>
      <c r="D289" s="126" t="n"/>
      <c r="E289" s="126" t="n"/>
      <c r="F289" s="127">
        <f>IF(D289="","",MAX(D289-E289,0))</f>
        <v/>
      </c>
      <c r="G289" s="130">
        <f>IF(E289="","",E289*GeneratorRate)</f>
        <v/>
      </c>
      <c r="H289" s="130">
        <f>IF(F289="","",F289*GovernmentRate)</f>
        <v/>
      </c>
      <c r="I289" s="130">
        <f>IF(D289="","",G289+H289)</f>
        <v/>
      </c>
      <c r="J289" s="129">
        <f>IFERROR(I289/COUNTIFS('Client DB &amp; Bed Mgmt'!$A:$A,A289,'Client DB &amp; Bed Mgmt'!$B:$B,C289,'Client DB &amp; Bed Mgmt'!$D:$D,"&lt;&gt;"),0)</f>
        <v/>
      </c>
      <c r="K289" s="103" t="n"/>
      <c r="L289" s="103" t="n"/>
      <c r="M289" s="103">
        <f>COUNTIFS('Client DB &amp; Bed Mgmt'!$A:$A,$K289,'Client DB &amp; Bed Mgmt'!$B:$B,$L289,'Client DB &amp; Bed Mgmt'!$D:$D,"&lt;&gt;")</f>
        <v/>
      </c>
      <c r="N289" s="126" t="n"/>
      <c r="O289" s="126" t="n"/>
      <c r="P289" s="127">
        <f>IF(N289="","",MAX(N289-O289,0))</f>
        <v/>
      </c>
      <c r="Q289" s="130">
        <f>IF(O289="","",O289*GeneratorRate)</f>
        <v/>
      </c>
      <c r="R289" s="130">
        <f>IF(P289="","",P289*GovernmentRate)</f>
        <v/>
      </c>
      <c r="S289" s="130">
        <f>IF(N289="","",Q289+R289)</f>
        <v/>
      </c>
      <c r="T289" s="130">
        <f>IF(M289=0,0,S289/M289)</f>
        <v/>
      </c>
      <c r="U289" s="129" t="n"/>
      <c r="V289" s="129" t="n"/>
      <c r="W289" s="130" t="n"/>
      <c r="X289" s="130" t="n"/>
    </row>
    <row r="290" hidden="1" ht="14.25" customHeight="1" s="83">
      <c r="A290" s="103" t="n"/>
      <c r="B290" s="125" t="n"/>
      <c r="C290" s="103" t="n"/>
      <c r="D290" s="126" t="n"/>
      <c r="E290" s="126" t="n"/>
      <c r="F290" s="127">
        <f>IF(D290="","",MAX(D290-E290,0))</f>
        <v/>
      </c>
      <c r="G290" s="130">
        <f>IF(E290="","",E290*GeneratorRate)</f>
        <v/>
      </c>
      <c r="H290" s="130">
        <f>IF(F290="","",F290*GovernmentRate)</f>
        <v/>
      </c>
      <c r="I290" s="130">
        <f>IF(D290="","",G290+H290)</f>
        <v/>
      </c>
      <c r="J290" s="129">
        <f>IFERROR(I290/COUNTIFS('Client DB &amp; Bed Mgmt'!$A:$A,A290,'Client DB &amp; Bed Mgmt'!$B:$B,C290,'Client DB &amp; Bed Mgmt'!$D:$D,"&lt;&gt;"),0)</f>
        <v/>
      </c>
      <c r="K290" s="103" t="n"/>
      <c r="L290" s="103" t="n"/>
      <c r="M290" s="103">
        <f>COUNTIFS('Client DB &amp; Bed Mgmt'!$A:$A,$K290,'Client DB &amp; Bed Mgmt'!$B:$B,$L290,'Client DB &amp; Bed Mgmt'!$D:$D,"&lt;&gt;")</f>
        <v/>
      </c>
      <c r="N290" s="126" t="n"/>
      <c r="O290" s="126" t="n"/>
      <c r="P290" s="127">
        <f>IF(N290="","",MAX(N290-O290,0))</f>
        <v/>
      </c>
      <c r="Q290" s="130">
        <f>IF(O290="","",O290*GeneratorRate)</f>
        <v/>
      </c>
      <c r="R290" s="130">
        <f>IF(P290="","",P290*GovernmentRate)</f>
        <v/>
      </c>
      <c r="S290" s="130">
        <f>IF(N290="","",Q290+R290)</f>
        <v/>
      </c>
      <c r="T290" s="130">
        <f>IF(M290=0,0,S290/M290)</f>
        <v/>
      </c>
      <c r="U290" s="129" t="n"/>
      <c r="V290" s="129" t="n"/>
      <c r="W290" s="130" t="n"/>
      <c r="X290" s="130" t="n"/>
    </row>
    <row r="291" hidden="1" ht="14.25" customHeight="1" s="83">
      <c r="A291" s="103" t="n"/>
      <c r="B291" s="125" t="n"/>
      <c r="C291" s="103" t="n"/>
      <c r="D291" s="126" t="n"/>
      <c r="E291" s="126" t="n"/>
      <c r="F291" s="127">
        <f>IF(D291="","",MAX(D291-E291,0))</f>
        <v/>
      </c>
      <c r="G291" s="130">
        <f>IF(E291="","",E291*GeneratorRate)</f>
        <v/>
      </c>
      <c r="H291" s="130">
        <f>IF(F291="","",F291*GovernmentRate)</f>
        <v/>
      </c>
      <c r="I291" s="130">
        <f>IF(D291="","",G291+H291)</f>
        <v/>
      </c>
      <c r="J291" s="129">
        <f>IFERROR(I291/COUNTIFS('Client DB &amp; Bed Mgmt'!$A:$A,A291,'Client DB &amp; Bed Mgmt'!$B:$B,C291,'Client DB &amp; Bed Mgmt'!$D:$D,"&lt;&gt;"),0)</f>
        <v/>
      </c>
      <c r="K291" s="103" t="n"/>
      <c r="L291" s="103" t="n"/>
      <c r="M291" s="103">
        <f>COUNTIFS('Client DB &amp; Bed Mgmt'!$A:$A,$K291,'Client DB &amp; Bed Mgmt'!$B:$B,$L291,'Client DB &amp; Bed Mgmt'!$D:$D,"&lt;&gt;")</f>
        <v/>
      </c>
      <c r="N291" s="126" t="n"/>
      <c r="O291" s="126" t="n"/>
      <c r="P291" s="127">
        <f>IF(N291="","",MAX(N291-O291,0))</f>
        <v/>
      </c>
      <c r="Q291" s="130">
        <f>IF(O291="","",O291*GeneratorRate)</f>
        <v/>
      </c>
      <c r="R291" s="130">
        <f>IF(P291="","",P291*GovernmentRate)</f>
        <v/>
      </c>
      <c r="S291" s="130">
        <f>IF(N291="","",Q291+R291)</f>
        <v/>
      </c>
      <c r="T291" s="130">
        <f>IF(M291=0,0,S291/M291)</f>
        <v/>
      </c>
      <c r="U291" s="129" t="n"/>
      <c r="V291" s="129" t="n"/>
      <c r="W291" s="130" t="n"/>
      <c r="X291" s="130" t="n"/>
    </row>
    <row r="292" hidden="1" ht="14.25" customHeight="1" s="83">
      <c r="A292" s="103" t="n"/>
      <c r="B292" s="125" t="n"/>
      <c r="C292" s="103" t="n"/>
      <c r="D292" s="126" t="n"/>
      <c r="E292" s="126" t="n"/>
      <c r="F292" s="127">
        <f>IF(D292="","",MAX(D292-E292,0))</f>
        <v/>
      </c>
      <c r="G292" s="130">
        <f>IF(E292="","",E292*GeneratorRate)</f>
        <v/>
      </c>
      <c r="H292" s="130">
        <f>IF(F292="","",F292*GovernmentRate)</f>
        <v/>
      </c>
      <c r="I292" s="130">
        <f>IF(D292="","",G292+H292)</f>
        <v/>
      </c>
      <c r="J292" s="129">
        <f>IFERROR(I292/COUNTIFS('Client DB &amp; Bed Mgmt'!$A:$A,A292,'Client DB &amp; Bed Mgmt'!$B:$B,C292,'Client DB &amp; Bed Mgmt'!$D:$D,"&lt;&gt;"),0)</f>
        <v/>
      </c>
      <c r="K292" s="103" t="n"/>
      <c r="L292" s="103" t="n"/>
      <c r="M292" s="103">
        <f>COUNTIFS('Client DB &amp; Bed Mgmt'!$A:$A,$K292,'Client DB &amp; Bed Mgmt'!$B:$B,$L292,'Client DB &amp; Bed Mgmt'!$D:$D,"&lt;&gt;")</f>
        <v/>
      </c>
      <c r="N292" s="126" t="n"/>
      <c r="O292" s="126" t="n"/>
      <c r="P292" s="127">
        <f>IF(N292="","",MAX(N292-O292,0))</f>
        <v/>
      </c>
      <c r="Q292" s="130">
        <f>IF(O292="","",O292*GeneratorRate)</f>
        <v/>
      </c>
      <c r="R292" s="130">
        <f>IF(P292="","",P292*GovernmentRate)</f>
        <v/>
      </c>
      <c r="S292" s="130">
        <f>IF(N292="","",Q292+R292)</f>
        <v/>
      </c>
      <c r="T292" s="130">
        <f>IF(M292=0,0,S292/M292)</f>
        <v/>
      </c>
      <c r="U292" s="129" t="n"/>
      <c r="V292" s="129" t="n"/>
      <c r="W292" s="130" t="n"/>
      <c r="X292" s="130" t="n"/>
    </row>
    <row r="293" hidden="1" ht="14.25" customHeight="1" s="83">
      <c r="A293" s="103" t="n"/>
      <c r="B293" s="125" t="n"/>
      <c r="C293" s="103" t="n"/>
      <c r="D293" s="126" t="n"/>
      <c r="E293" s="126" t="n"/>
      <c r="F293" s="127">
        <f>IF(D293="","",MAX(D293-E293,0))</f>
        <v/>
      </c>
      <c r="G293" s="130">
        <f>IF(E293="","",E293*GeneratorRate)</f>
        <v/>
      </c>
      <c r="H293" s="130">
        <f>IF(F293="","",F293*GovernmentRate)</f>
        <v/>
      </c>
      <c r="I293" s="130">
        <f>IF(D293="","",G293+H293)</f>
        <v/>
      </c>
      <c r="J293" s="129">
        <f>IFERROR(I293/COUNTIFS('Client DB &amp; Bed Mgmt'!$A:$A,A293,'Client DB &amp; Bed Mgmt'!$B:$B,C293,'Client DB &amp; Bed Mgmt'!$D:$D,"&lt;&gt;"),0)</f>
        <v/>
      </c>
      <c r="K293" s="103" t="n"/>
      <c r="L293" s="103" t="n"/>
      <c r="M293" s="103">
        <f>COUNTIFS('Client DB &amp; Bed Mgmt'!$A:$A,$K293,'Client DB &amp; Bed Mgmt'!$B:$B,$L293,'Client DB &amp; Bed Mgmt'!$D:$D,"&lt;&gt;")</f>
        <v/>
      </c>
      <c r="N293" s="126" t="n"/>
      <c r="O293" s="126" t="n"/>
      <c r="P293" s="127">
        <f>IF(N293="","",MAX(N293-O293,0))</f>
        <v/>
      </c>
      <c r="Q293" s="130">
        <f>IF(O293="","",O293*GeneratorRate)</f>
        <v/>
      </c>
      <c r="R293" s="130">
        <f>IF(P293="","",P293*GovernmentRate)</f>
        <v/>
      </c>
      <c r="S293" s="130">
        <f>IF(N293="","",Q293+R293)</f>
        <v/>
      </c>
      <c r="T293" s="130">
        <f>IF(M293=0,0,S293/M293)</f>
        <v/>
      </c>
      <c r="U293" s="129" t="n"/>
      <c r="V293" s="129" t="n"/>
      <c r="W293" s="130" t="n"/>
      <c r="X293" s="130" t="n"/>
    </row>
    <row r="294" hidden="1" ht="14.25" customHeight="1" s="83">
      <c r="A294" s="103" t="n"/>
      <c r="B294" s="125" t="n"/>
      <c r="C294" s="103" t="n"/>
      <c r="D294" s="126" t="n"/>
      <c r="E294" s="126" t="n"/>
      <c r="F294" s="127">
        <f>IF(D294="","",MAX(D294-E294,0))</f>
        <v/>
      </c>
      <c r="G294" s="130">
        <f>IF(E294="","",E294*GeneratorRate)</f>
        <v/>
      </c>
      <c r="H294" s="130">
        <f>IF(F294="","",F294*GovernmentRate)</f>
        <v/>
      </c>
      <c r="I294" s="130">
        <f>IF(D294="","",G294+H294)</f>
        <v/>
      </c>
      <c r="J294" s="129">
        <f>IFERROR(I294/COUNTIFS('Client DB &amp; Bed Mgmt'!$A:$A,A294,'Client DB &amp; Bed Mgmt'!$B:$B,C294,'Client DB &amp; Bed Mgmt'!$D:$D,"&lt;&gt;"),0)</f>
        <v/>
      </c>
      <c r="K294" s="103" t="n"/>
      <c r="L294" s="103" t="n"/>
      <c r="M294" s="103">
        <f>COUNTIFS('Client DB &amp; Bed Mgmt'!$A:$A,$K294,'Client DB &amp; Bed Mgmt'!$B:$B,$L294,'Client DB &amp; Bed Mgmt'!$D:$D,"&lt;&gt;")</f>
        <v/>
      </c>
      <c r="N294" s="126" t="n"/>
      <c r="O294" s="126" t="n"/>
      <c r="P294" s="127">
        <f>IF(N294="","",MAX(N294-O294,0))</f>
        <v/>
      </c>
      <c r="Q294" s="130">
        <f>IF(O294="","",O294*GeneratorRate)</f>
        <v/>
      </c>
      <c r="R294" s="130">
        <f>IF(P294="","",P294*GovernmentRate)</f>
        <v/>
      </c>
      <c r="S294" s="130">
        <f>IF(N294="","",Q294+R294)</f>
        <v/>
      </c>
      <c r="T294" s="130">
        <f>IF(M294=0,0,S294/M294)</f>
        <v/>
      </c>
      <c r="U294" s="129" t="n"/>
      <c r="V294" s="129" t="n"/>
      <c r="W294" s="130" t="n"/>
      <c r="X294" s="130" t="n"/>
    </row>
    <row r="295" hidden="1" ht="14.25" customHeight="1" s="83">
      <c r="A295" s="103" t="n"/>
      <c r="B295" s="125" t="n"/>
      <c r="C295" s="103" t="n"/>
      <c r="D295" s="126" t="n"/>
      <c r="E295" s="126" t="n"/>
      <c r="F295" s="127">
        <f>IF(D295="","",MAX(D295-E295,0))</f>
        <v/>
      </c>
      <c r="G295" s="130">
        <f>IF(E295="","",E295*GeneratorRate)</f>
        <v/>
      </c>
      <c r="H295" s="130">
        <f>IF(F295="","",F295*GovernmentRate)</f>
        <v/>
      </c>
      <c r="I295" s="130">
        <f>IF(D295="","",G295+H295)</f>
        <v/>
      </c>
      <c r="J295" s="129">
        <f>IFERROR(I295/COUNTIFS('Client DB &amp; Bed Mgmt'!$A:$A,A295,'Client DB &amp; Bed Mgmt'!$B:$B,C295,'Client DB &amp; Bed Mgmt'!$D:$D,"&lt;&gt;"),0)</f>
        <v/>
      </c>
      <c r="K295" s="103" t="n"/>
      <c r="L295" s="103" t="n"/>
      <c r="M295" s="103">
        <f>COUNTIFS('Client DB &amp; Bed Mgmt'!$A:$A,$K295,'Client DB &amp; Bed Mgmt'!$B:$B,$L295,'Client DB &amp; Bed Mgmt'!$D:$D,"&lt;&gt;")</f>
        <v/>
      </c>
      <c r="N295" s="126" t="n"/>
      <c r="O295" s="126" t="n"/>
      <c r="P295" s="127">
        <f>IF(N295="","",MAX(N295-O295,0))</f>
        <v/>
      </c>
      <c r="Q295" s="130">
        <f>IF(O295="","",O295*GeneratorRate)</f>
        <v/>
      </c>
      <c r="R295" s="130">
        <f>IF(P295="","",P295*GovernmentRate)</f>
        <v/>
      </c>
      <c r="S295" s="130">
        <f>IF(N295="","",Q295+R295)</f>
        <v/>
      </c>
      <c r="T295" s="130">
        <f>IF(M295=0,0,S295/M295)</f>
        <v/>
      </c>
      <c r="U295" s="129" t="n"/>
      <c r="V295" s="129" t="n"/>
      <c r="W295" s="130" t="n"/>
      <c r="X295" s="130" t="n"/>
    </row>
    <row r="296" hidden="1" ht="14.25" customHeight="1" s="83">
      <c r="A296" s="103" t="n"/>
      <c r="B296" s="125" t="n"/>
      <c r="C296" s="103" t="n"/>
      <c r="D296" s="126" t="n"/>
      <c r="E296" s="126" t="n"/>
      <c r="F296" s="127">
        <f>IF(D296="","",MAX(D296-E296,0))</f>
        <v/>
      </c>
      <c r="G296" s="130">
        <f>IF(E296="","",E296*GeneratorRate)</f>
        <v/>
      </c>
      <c r="H296" s="130">
        <f>IF(F296="","",F296*GovernmentRate)</f>
        <v/>
      </c>
      <c r="I296" s="130">
        <f>IF(D296="","",G296+H296)</f>
        <v/>
      </c>
      <c r="J296" s="129">
        <f>IFERROR(I296/COUNTIFS('Client DB &amp; Bed Mgmt'!$A:$A,A296,'Client DB &amp; Bed Mgmt'!$B:$B,C296,'Client DB &amp; Bed Mgmt'!$D:$D,"&lt;&gt;"),0)</f>
        <v/>
      </c>
      <c r="K296" s="103" t="n"/>
      <c r="L296" s="103" t="n"/>
      <c r="M296" s="103">
        <f>COUNTIFS('Client DB &amp; Bed Mgmt'!$A:$A,$K296,'Client DB &amp; Bed Mgmt'!$B:$B,$L296,'Client DB &amp; Bed Mgmt'!$D:$D,"&lt;&gt;")</f>
        <v/>
      </c>
      <c r="N296" s="126" t="n"/>
      <c r="O296" s="126" t="n"/>
      <c r="P296" s="127">
        <f>IF(N296="","",MAX(N296-O296,0))</f>
        <v/>
      </c>
      <c r="Q296" s="130">
        <f>IF(O296="","",O296*GeneratorRate)</f>
        <v/>
      </c>
      <c r="R296" s="130">
        <f>IF(P296="","",P296*GovernmentRate)</f>
        <v/>
      </c>
      <c r="S296" s="130">
        <f>IF(N296="","",Q296+R296)</f>
        <v/>
      </c>
      <c r="T296" s="130">
        <f>IF(M296=0,0,S296/M296)</f>
        <v/>
      </c>
      <c r="U296" s="129" t="n"/>
      <c r="V296" s="129" t="n"/>
      <c r="W296" s="130" t="n"/>
      <c r="X296" s="130" t="n"/>
    </row>
    <row r="297" hidden="1" ht="14.25" customHeight="1" s="83">
      <c r="A297" s="103" t="n"/>
      <c r="B297" s="125" t="n"/>
      <c r="C297" s="103" t="n"/>
      <c r="D297" s="126" t="n"/>
      <c r="E297" s="126" t="n"/>
      <c r="F297" s="127">
        <f>IF(D297="","",MAX(D297-E297,0))</f>
        <v/>
      </c>
      <c r="G297" s="130">
        <f>IF(E297="","",E297*GeneratorRate)</f>
        <v/>
      </c>
      <c r="H297" s="130">
        <f>IF(F297="","",F297*GovernmentRate)</f>
        <v/>
      </c>
      <c r="I297" s="130">
        <f>IF(D297="","",G297+H297)</f>
        <v/>
      </c>
      <c r="J297" s="129">
        <f>IFERROR(I297/COUNTIFS('Client DB &amp; Bed Mgmt'!$A:$A,A297,'Client DB &amp; Bed Mgmt'!$B:$B,C297,'Client DB &amp; Bed Mgmt'!$D:$D,"&lt;&gt;"),0)</f>
        <v/>
      </c>
      <c r="K297" s="103" t="n"/>
      <c r="L297" s="103" t="n"/>
      <c r="M297" s="103">
        <f>COUNTIFS('Client DB &amp; Bed Mgmt'!$A:$A,$K297,'Client DB &amp; Bed Mgmt'!$B:$B,$L297,'Client DB &amp; Bed Mgmt'!$D:$D,"&lt;&gt;")</f>
        <v/>
      </c>
      <c r="N297" s="126" t="n"/>
      <c r="O297" s="126" t="n"/>
      <c r="P297" s="127">
        <f>IF(N297="","",MAX(N297-O297,0))</f>
        <v/>
      </c>
      <c r="Q297" s="130">
        <f>IF(O297="","",O297*GeneratorRate)</f>
        <v/>
      </c>
      <c r="R297" s="130">
        <f>IF(P297="","",P297*GovernmentRate)</f>
        <v/>
      </c>
      <c r="S297" s="130">
        <f>IF(N297="","",Q297+R297)</f>
        <v/>
      </c>
      <c r="T297" s="130">
        <f>IF(M297=0,0,S297/M297)</f>
        <v/>
      </c>
      <c r="U297" s="129" t="n"/>
      <c r="V297" s="129" t="n"/>
      <c r="W297" s="130" t="n"/>
      <c r="X297" s="130" t="n"/>
    </row>
    <row r="298" hidden="1" ht="14.25" customHeight="1" s="83">
      <c r="A298" s="103" t="n"/>
      <c r="B298" s="125" t="n"/>
      <c r="C298" s="103" t="n"/>
      <c r="D298" s="126" t="n"/>
      <c r="E298" s="126" t="n"/>
      <c r="F298" s="127">
        <f>IF(D298="","",MAX(D298-E298,0))</f>
        <v/>
      </c>
      <c r="G298" s="130">
        <f>IF(E298="","",E298*GeneratorRate)</f>
        <v/>
      </c>
      <c r="H298" s="130">
        <f>IF(F298="","",F298*GovernmentRate)</f>
        <v/>
      </c>
      <c r="I298" s="130">
        <f>IF(D298="","",G298+H298)</f>
        <v/>
      </c>
      <c r="J298" s="129">
        <f>IFERROR(I298/COUNTIFS('Client DB &amp; Bed Mgmt'!$A:$A,A298,'Client DB &amp; Bed Mgmt'!$B:$B,C298,'Client DB &amp; Bed Mgmt'!$D:$D,"&lt;&gt;"),0)</f>
        <v/>
      </c>
      <c r="K298" s="103" t="n"/>
      <c r="L298" s="103" t="n"/>
      <c r="M298" s="103">
        <f>COUNTIFS('Client DB &amp; Bed Mgmt'!$A:$A,$K298,'Client DB &amp; Bed Mgmt'!$B:$B,$L298,'Client DB &amp; Bed Mgmt'!$D:$D,"&lt;&gt;")</f>
        <v/>
      </c>
      <c r="N298" s="126" t="n"/>
      <c r="O298" s="126" t="n"/>
      <c r="P298" s="127">
        <f>IF(N298="","",MAX(N298-O298,0))</f>
        <v/>
      </c>
      <c r="Q298" s="130">
        <f>IF(O298="","",O298*GeneratorRate)</f>
        <v/>
      </c>
      <c r="R298" s="130">
        <f>IF(P298="","",P298*GovernmentRate)</f>
        <v/>
      </c>
      <c r="S298" s="130">
        <f>IF(N298="","",Q298+R298)</f>
        <v/>
      </c>
      <c r="T298" s="130">
        <f>IF(M298=0,0,S298/M298)</f>
        <v/>
      </c>
      <c r="U298" s="129" t="n"/>
      <c r="V298" s="129" t="n"/>
      <c r="W298" s="130" t="n"/>
      <c r="X298" s="130" t="n"/>
    </row>
    <row r="299" hidden="1" ht="14.25" customHeight="1" s="83">
      <c r="A299" s="103" t="n"/>
      <c r="B299" s="125" t="n"/>
      <c r="C299" s="103" t="n"/>
      <c r="D299" s="126" t="n"/>
      <c r="E299" s="126" t="n"/>
      <c r="F299" s="127">
        <f>IF(D299="","",MAX(D299-E299,0))</f>
        <v/>
      </c>
      <c r="G299" s="130">
        <f>IF(E299="","",E299*GeneratorRate)</f>
        <v/>
      </c>
      <c r="H299" s="130">
        <f>IF(F299="","",F299*GovernmentRate)</f>
        <v/>
      </c>
      <c r="I299" s="130">
        <f>IF(D299="","",G299+H299)</f>
        <v/>
      </c>
      <c r="J299" s="129">
        <f>IFERROR(I299/COUNTIFS('Client DB &amp; Bed Mgmt'!$A:$A,A299,'Client DB &amp; Bed Mgmt'!$B:$B,C299,'Client DB &amp; Bed Mgmt'!$D:$D,"&lt;&gt;"),0)</f>
        <v/>
      </c>
      <c r="K299" s="103" t="n"/>
      <c r="L299" s="103" t="n"/>
      <c r="M299" s="103">
        <f>COUNTIFS('Client DB &amp; Bed Mgmt'!$A:$A,$K299,'Client DB &amp; Bed Mgmt'!$B:$B,$L299,'Client DB &amp; Bed Mgmt'!$D:$D,"&lt;&gt;")</f>
        <v/>
      </c>
      <c r="N299" s="126" t="n"/>
      <c r="O299" s="126" t="n"/>
      <c r="P299" s="127">
        <f>IF(N299="","",MAX(N299-O299,0))</f>
        <v/>
      </c>
      <c r="Q299" s="130">
        <f>IF(O299="","",O299*GeneratorRate)</f>
        <v/>
      </c>
      <c r="R299" s="130">
        <f>IF(P299="","",P299*GovernmentRate)</f>
        <v/>
      </c>
      <c r="S299" s="130">
        <f>IF(N299="","",Q299+R299)</f>
        <v/>
      </c>
      <c r="T299" s="130">
        <f>IF(M299=0,0,S299/M299)</f>
        <v/>
      </c>
      <c r="U299" s="129" t="n"/>
      <c r="V299" s="129" t="n"/>
      <c r="W299" s="130" t="n"/>
      <c r="X299" s="130" t="n"/>
    </row>
    <row r="300" hidden="1" ht="14.25" customHeight="1" s="83">
      <c r="A300" s="103" t="n"/>
      <c r="B300" s="125" t="n"/>
      <c r="C300" s="103" t="n"/>
      <c r="D300" s="126" t="n"/>
      <c r="E300" s="126" t="n"/>
      <c r="F300" s="127">
        <f>IF(D300="","",MAX(D300-E300,0))</f>
        <v/>
      </c>
      <c r="G300" s="130">
        <f>IF(E300="","",E300*GeneratorRate)</f>
        <v/>
      </c>
      <c r="H300" s="130">
        <f>IF(F300="","",F300*GovernmentRate)</f>
        <v/>
      </c>
      <c r="I300" s="130">
        <f>IF(D300="","",G300+H300)</f>
        <v/>
      </c>
      <c r="J300" s="129">
        <f>IFERROR(I300/COUNTIFS('Client DB &amp; Bed Mgmt'!$A:$A,A300,'Client DB &amp; Bed Mgmt'!$B:$B,C300,'Client DB &amp; Bed Mgmt'!$D:$D,"&lt;&gt;"),0)</f>
        <v/>
      </c>
      <c r="K300" s="103" t="n"/>
      <c r="L300" s="103" t="n"/>
      <c r="M300" s="103">
        <f>COUNTIFS('Client DB &amp; Bed Mgmt'!$A:$A,$K300,'Client DB &amp; Bed Mgmt'!$B:$B,$L300,'Client DB &amp; Bed Mgmt'!$D:$D,"&lt;&gt;")</f>
        <v/>
      </c>
      <c r="N300" s="126" t="n"/>
      <c r="O300" s="126" t="n"/>
      <c r="P300" s="127">
        <f>IF(N300="","",MAX(N300-O300,0))</f>
        <v/>
      </c>
      <c r="Q300" s="130">
        <f>IF(O300="","",O300*GeneratorRate)</f>
        <v/>
      </c>
      <c r="R300" s="130">
        <f>IF(P300="","",P300*GovernmentRate)</f>
        <v/>
      </c>
      <c r="S300" s="130">
        <f>IF(N300="","",Q300+R300)</f>
        <v/>
      </c>
      <c r="T300" s="130">
        <f>IF(M300=0,0,S300/M300)</f>
        <v/>
      </c>
      <c r="U300" s="129" t="n"/>
      <c r="V300" s="129" t="n"/>
      <c r="W300" s="130" t="n"/>
      <c r="X300" s="130" t="n"/>
    </row>
    <row r="301" ht="14.25" customHeight="1" s="83">
      <c r="A301" s="103" t="n"/>
      <c r="B301" s="125" t="n"/>
      <c r="C301" s="103" t="n"/>
      <c r="D301" s="126" t="n"/>
      <c r="E301" s="126" t="n"/>
      <c r="F301" s="127">
        <f>IF(D301="","",MAX(D301-E301,0))</f>
        <v/>
      </c>
      <c r="G301" s="130">
        <f>IF(E301="","",E301*GeneratorRate)</f>
        <v/>
      </c>
      <c r="H301" s="130">
        <f>IF(F301="","",F301*GovernmentRate)</f>
        <v/>
      </c>
      <c r="I301" s="130">
        <f>IF(D301="","",G301+H301)</f>
        <v/>
      </c>
      <c r="J301" s="129">
        <f>IFERROR(I301/COUNTIFS('Client DB &amp; Bed Mgmt'!$A:$A,A301,'Client DB &amp; Bed Mgmt'!$B:$B,C301,'Client DB &amp; Bed Mgmt'!$D:$D,"&lt;&gt;"),0)</f>
        <v/>
      </c>
      <c r="K301" s="88" t="n"/>
      <c r="L301" s="88" t="n"/>
      <c r="M301" s="88">
        <f>COUNTIFS('Client DB &amp; Bed Mgmt'!$B:$B,L301,'Client DB &amp; Bed Mgmt'!$E:$E,"Occupied")</f>
        <v/>
      </c>
      <c r="N301" s="88" t="n"/>
      <c r="O301" s="88" t="n"/>
      <c r="P301" s="88" t="n"/>
      <c r="Q301" s="88" t="n"/>
      <c r="R301" s="88" t="n"/>
      <c r="S301" s="88" t="n"/>
      <c r="T301" s="88" t="n"/>
      <c r="U301" s="129" t="n"/>
      <c r="V301" s="129" t="n"/>
    </row>
    <row r="302" ht="14.25" customHeight="1" s="83">
      <c r="A302" s="103" t="n"/>
      <c r="B302" s="125" t="n"/>
      <c r="C302" s="103" t="n"/>
      <c r="D302" s="126" t="n"/>
      <c r="E302" s="126" t="n"/>
      <c r="F302" s="127">
        <f>IF(D302="","",MAX(D302-E302,0))</f>
        <v/>
      </c>
      <c r="G302" s="130">
        <f>IF(E302="","",E302*GeneratorRate)</f>
        <v/>
      </c>
      <c r="H302" s="130">
        <f>IF(F302="","",F302*GovernmentRate)</f>
        <v/>
      </c>
      <c r="I302" s="130">
        <f>IF(D302="","",G302+H302)</f>
        <v/>
      </c>
      <c r="J302" s="129">
        <f>IFERROR(I302/COUNTIFS('Client DB &amp; Bed Mgmt'!$A:$A,A302,'Client DB &amp; Bed Mgmt'!$B:$B,C302,'Client DB &amp; Bed Mgmt'!$D:$D,"&lt;&gt;"),0)</f>
        <v/>
      </c>
      <c r="K302" s="88" t="n"/>
      <c r="L302" s="88" t="n"/>
      <c r="M302" s="88">
        <f>COUNTIFS('Client DB &amp; Bed Mgmt'!$B:$B,L302,'Client DB &amp; Bed Mgmt'!$E:$E,"Occupied")</f>
        <v/>
      </c>
      <c r="N302" s="88" t="n"/>
      <c r="O302" s="88" t="n"/>
      <c r="P302" s="88" t="n"/>
      <c r="Q302" s="88" t="n"/>
      <c r="R302" s="88" t="n"/>
      <c r="S302" s="88" t="n"/>
      <c r="T302" s="88" t="n"/>
      <c r="U302" s="129" t="n"/>
      <c r="V302" s="129" t="n"/>
    </row>
    <row r="303" ht="14.25" customHeight="1" s="83">
      <c r="A303" s="103" t="n"/>
      <c r="B303" s="125" t="n"/>
      <c r="C303" s="103" t="n"/>
      <c r="D303" s="126" t="n"/>
      <c r="E303" s="126" t="n"/>
      <c r="F303" s="127">
        <f>IF(D303="","",MAX(D303-E303,0))</f>
        <v/>
      </c>
      <c r="G303" s="130">
        <f>IF(E303="","",E303*GeneratorRate)</f>
        <v/>
      </c>
      <c r="H303" s="130">
        <f>IF(F303="","",F303*GovernmentRate)</f>
        <v/>
      </c>
      <c r="I303" s="130">
        <f>IF(D303="","",G303+H303)</f>
        <v/>
      </c>
      <c r="J303" s="129">
        <f>IFERROR(I303/COUNTIFS('Client DB &amp; Bed Mgmt'!$A:$A,A303,'Client DB &amp; Bed Mgmt'!$B:$B,C303,'Client DB &amp; Bed Mgmt'!$D:$D,"&lt;&gt;"),0)</f>
        <v/>
      </c>
      <c r="K303" s="88" t="n"/>
      <c r="L303" s="88" t="n"/>
      <c r="M303" s="88">
        <f>COUNTIFS('Client DB &amp; Bed Mgmt'!$B:$B,L303,'Client DB &amp; Bed Mgmt'!$E:$E,"Occupied")</f>
        <v/>
      </c>
      <c r="N303" s="88" t="n"/>
      <c r="O303" s="88" t="n"/>
      <c r="P303" s="88" t="n"/>
      <c r="Q303" s="88" t="n"/>
      <c r="R303" s="88" t="n"/>
      <c r="S303" s="88" t="n"/>
      <c r="T303" s="88" t="n"/>
      <c r="U303" s="129" t="n"/>
      <c r="V303" s="129" t="n"/>
    </row>
    <row r="304" ht="14.25" customHeight="1" s="83">
      <c r="A304" s="103" t="n"/>
      <c r="B304" s="125" t="n"/>
      <c r="C304" s="103" t="n"/>
      <c r="D304" s="126" t="n"/>
      <c r="E304" s="126" t="n"/>
      <c r="F304" s="127">
        <f>IF(D304="","",MAX(D304-E304,0))</f>
        <v/>
      </c>
      <c r="G304" s="130">
        <f>IF(E304="","",E304*GeneratorRate)</f>
        <v/>
      </c>
      <c r="H304" s="130">
        <f>IF(F304="","",F304*GovernmentRate)</f>
        <v/>
      </c>
      <c r="I304" s="130">
        <f>IF(D304="","",G304+H304)</f>
        <v/>
      </c>
      <c r="J304" s="129">
        <f>IFERROR(I304/COUNTIFS('Client DB &amp; Bed Mgmt'!$A:$A,A304,'Client DB &amp; Bed Mgmt'!$B:$B,C304,'Client DB &amp; Bed Mgmt'!$D:$D,"&lt;&gt;"),0)</f>
        <v/>
      </c>
      <c r="K304" s="88" t="n"/>
      <c r="L304" s="88" t="n"/>
      <c r="M304" s="88">
        <f>COUNTIFS('Client DB &amp; Bed Mgmt'!$B:$B,L304,'Client DB &amp; Bed Mgmt'!$E:$E,"Occupied")</f>
        <v/>
      </c>
      <c r="N304" s="88" t="n"/>
      <c r="O304" s="88" t="n"/>
      <c r="P304" s="88" t="n"/>
      <c r="Q304" s="88" t="n"/>
      <c r="R304" s="88" t="n"/>
      <c r="S304" s="88" t="n"/>
      <c r="T304" s="88" t="n"/>
      <c r="U304" s="129" t="n"/>
      <c r="V304" s="129" t="n"/>
    </row>
    <row r="305" ht="14.25" customHeight="1" s="83">
      <c r="A305" s="103" t="n"/>
      <c r="B305" s="125" t="n"/>
      <c r="C305" s="103" t="n"/>
      <c r="D305" s="126" t="n"/>
      <c r="E305" s="126" t="n"/>
      <c r="F305" s="127">
        <f>IF(D305="","",MAX(D305-E305,0))</f>
        <v/>
      </c>
      <c r="G305" s="130">
        <f>IF(E305="","",E305*GeneratorRate)</f>
        <v/>
      </c>
      <c r="H305" s="130">
        <f>IF(F305="","",F305*GovernmentRate)</f>
        <v/>
      </c>
      <c r="I305" s="130">
        <f>IF(D305="","",G305+H305)</f>
        <v/>
      </c>
      <c r="J305" s="129">
        <f>IFERROR(I305/COUNTIFS('Client DB &amp; Bed Mgmt'!$A:$A,A305,'Client DB &amp; Bed Mgmt'!$B:$B,C305,'Client DB &amp; Bed Mgmt'!$D:$D,"&lt;&gt;"),0)</f>
        <v/>
      </c>
      <c r="K305" s="88" t="n"/>
      <c r="L305" s="88" t="n"/>
      <c r="M305" s="88">
        <f>COUNTIFS('Client DB &amp; Bed Mgmt'!$B:$B,L305,'Client DB &amp; Bed Mgmt'!$E:$E,"Occupied")</f>
        <v/>
      </c>
      <c r="N305" s="88" t="n"/>
      <c r="O305" s="88" t="n"/>
      <c r="P305" s="88" t="n"/>
      <c r="Q305" s="88" t="n"/>
      <c r="R305" s="88" t="n"/>
      <c r="S305" s="88" t="n"/>
      <c r="T305" s="88" t="n"/>
      <c r="U305" s="129" t="n"/>
      <c r="V305" s="129" t="n"/>
    </row>
    <row r="306" ht="14.25" customHeight="1" s="83">
      <c r="A306" s="103" t="n"/>
      <c r="B306" s="125" t="n"/>
      <c r="C306" s="103" t="n"/>
      <c r="D306" s="126" t="n"/>
      <c r="E306" s="126" t="n"/>
      <c r="F306" s="127">
        <f>IF(D306="","",MAX(D306-E306,0))</f>
        <v/>
      </c>
      <c r="G306" s="130">
        <f>IF(E306="","",E306*GeneratorRate)</f>
        <v/>
      </c>
      <c r="H306" s="130">
        <f>IF(F306="","",F306*GovernmentRate)</f>
        <v/>
      </c>
      <c r="I306" s="130">
        <f>IF(D306="","",G306+H306)</f>
        <v/>
      </c>
      <c r="J306" s="129">
        <f>IFERROR(I306/COUNTIFS('Client DB &amp; Bed Mgmt'!$A:$A,A306,'Client DB &amp; Bed Mgmt'!$B:$B,C306,'Client DB &amp; Bed Mgmt'!$D:$D,"&lt;&gt;"),0)</f>
        <v/>
      </c>
      <c r="K306" s="88" t="n"/>
      <c r="L306" s="88" t="n"/>
      <c r="M306" s="88">
        <f>COUNTIFS('Client DB &amp; Bed Mgmt'!$B:$B,L306,'Client DB &amp; Bed Mgmt'!$E:$E,"Occupied")</f>
        <v/>
      </c>
      <c r="N306" s="88" t="n"/>
      <c r="O306" s="88" t="n"/>
      <c r="P306" s="88" t="n"/>
      <c r="Q306" s="88" t="n"/>
      <c r="R306" s="88" t="n"/>
      <c r="S306" s="88" t="n"/>
      <c r="T306" s="88" t="n"/>
      <c r="U306" s="129" t="n"/>
      <c r="V306" s="129" t="n"/>
    </row>
    <row r="307" ht="14.25" customHeight="1" s="83">
      <c r="A307" s="103" t="n"/>
      <c r="B307" s="125" t="n"/>
      <c r="C307" s="103" t="n"/>
      <c r="D307" s="126" t="n"/>
      <c r="E307" s="126" t="n"/>
      <c r="F307" s="127">
        <f>IF(D307="","",MAX(D307-E307,0))</f>
        <v/>
      </c>
      <c r="G307" s="130">
        <f>IF(E307="","",E307*GeneratorRate)</f>
        <v/>
      </c>
      <c r="H307" s="130">
        <f>IF(F307="","",F307*GovernmentRate)</f>
        <v/>
      </c>
      <c r="I307" s="130">
        <f>IF(D307="","",G307+H307)</f>
        <v/>
      </c>
      <c r="J307" s="129">
        <f>IFERROR(I307/COUNTIFS('Client DB &amp; Bed Mgmt'!$A:$A,A307,'Client DB &amp; Bed Mgmt'!$B:$B,C307,'Client DB &amp; Bed Mgmt'!$D:$D,"&lt;&gt;"),0)</f>
        <v/>
      </c>
      <c r="K307" s="88" t="n"/>
      <c r="L307" s="88" t="n"/>
      <c r="M307" s="88">
        <f>COUNTIFS('Client DB &amp; Bed Mgmt'!$B:$B,L307,'Client DB &amp; Bed Mgmt'!$E:$E,"Occupied")</f>
        <v/>
      </c>
      <c r="N307" s="88" t="n"/>
      <c r="O307" s="88" t="n"/>
      <c r="P307" s="88" t="n"/>
      <c r="Q307" s="88" t="n"/>
      <c r="R307" s="88" t="n"/>
      <c r="S307" s="88" t="n"/>
      <c r="T307" s="88" t="n"/>
      <c r="U307" s="129" t="n"/>
      <c r="V307" s="129" t="n"/>
    </row>
    <row r="308" ht="14.25" customHeight="1" s="83">
      <c r="A308" s="103" t="n"/>
      <c r="B308" s="125" t="n"/>
      <c r="C308" s="103" t="n"/>
      <c r="D308" s="126" t="n"/>
      <c r="E308" s="126" t="n"/>
      <c r="F308" s="127">
        <f>IF(D308="","",MAX(D308-E308,0))</f>
        <v/>
      </c>
      <c r="G308" s="130">
        <f>IF(E308="","",E308*GeneratorRate)</f>
        <v/>
      </c>
      <c r="H308" s="130">
        <f>IF(F308="","",F308*GovernmentRate)</f>
        <v/>
      </c>
      <c r="I308" s="130">
        <f>IF(D308="","",G308+H308)</f>
        <v/>
      </c>
      <c r="J308" s="129">
        <f>IFERROR(I308/COUNTIFS('Client DB &amp; Bed Mgmt'!$A:$A,A308,'Client DB &amp; Bed Mgmt'!$B:$B,C308,'Client DB &amp; Bed Mgmt'!$D:$D,"&lt;&gt;"),0)</f>
        <v/>
      </c>
      <c r="K308" s="88" t="n"/>
      <c r="L308" s="88" t="n"/>
      <c r="M308" s="88">
        <f>COUNTIFS('Client DB &amp; Bed Mgmt'!$B:$B,L308,'Client DB &amp; Bed Mgmt'!$E:$E,"Occupied")</f>
        <v/>
      </c>
      <c r="N308" s="88" t="n"/>
      <c r="O308" s="88" t="n"/>
      <c r="P308" s="88" t="n"/>
      <c r="Q308" s="88" t="n"/>
      <c r="R308" s="88" t="n"/>
      <c r="S308" s="88" t="n"/>
      <c r="T308" s="88" t="n"/>
      <c r="U308" s="129" t="n"/>
      <c r="V308" s="129" t="n"/>
    </row>
    <row r="309" ht="14.25" customHeight="1" s="83">
      <c r="A309" s="103" t="n"/>
      <c r="B309" s="125" t="n"/>
      <c r="C309" s="103" t="n"/>
      <c r="D309" s="126" t="n"/>
      <c r="E309" s="126" t="n"/>
      <c r="F309" s="127">
        <f>IF(D309="","",MAX(D309-E309,0))</f>
        <v/>
      </c>
      <c r="G309" s="130">
        <f>IF(E309="","",E309*GeneratorRate)</f>
        <v/>
      </c>
      <c r="H309" s="130">
        <f>IF(F309="","",F309*GovernmentRate)</f>
        <v/>
      </c>
      <c r="I309" s="130">
        <f>IF(D309="","",G309+H309)</f>
        <v/>
      </c>
      <c r="J309" s="129">
        <f>IFERROR(I309/COUNTIFS('Client DB &amp; Bed Mgmt'!$A:$A,A309,'Client DB &amp; Bed Mgmt'!$B:$B,C309,'Client DB &amp; Bed Mgmt'!$D:$D,"&lt;&gt;"),0)</f>
        <v/>
      </c>
      <c r="K309" s="88" t="n"/>
      <c r="L309" s="88" t="n"/>
      <c r="M309" s="88">
        <f>COUNTIFS('Client DB &amp; Bed Mgmt'!$B:$B,L309,'Client DB &amp; Bed Mgmt'!$E:$E,"Occupied")</f>
        <v/>
      </c>
      <c r="N309" s="88" t="n"/>
      <c r="O309" s="88" t="n"/>
      <c r="P309" s="88" t="n"/>
      <c r="Q309" s="88" t="n"/>
      <c r="R309" s="88" t="n"/>
      <c r="S309" s="88" t="n"/>
      <c r="T309" s="88" t="n"/>
      <c r="U309" s="129" t="n"/>
      <c r="V309" s="129" t="n"/>
    </row>
    <row r="310" ht="14.25" customHeight="1" s="83">
      <c r="A310" s="103" t="n"/>
      <c r="B310" s="125" t="n"/>
      <c r="C310" s="103" t="n"/>
      <c r="D310" s="126" t="n"/>
      <c r="E310" s="126" t="n"/>
      <c r="F310" s="127">
        <f>IF(D310="","",MAX(D310-E310,0))</f>
        <v/>
      </c>
      <c r="G310" s="130">
        <f>IF(E310="","",E310*GeneratorRate)</f>
        <v/>
      </c>
      <c r="H310" s="130">
        <f>IF(F310="","",F310*GovernmentRate)</f>
        <v/>
      </c>
      <c r="I310" s="130">
        <f>IF(D310="","",G310+H310)</f>
        <v/>
      </c>
      <c r="J310" s="129">
        <f>IFERROR(I310/COUNTIFS('Client DB &amp; Bed Mgmt'!$A:$A,A310,'Client DB &amp; Bed Mgmt'!$B:$B,C310,'Client DB &amp; Bed Mgmt'!$D:$D,"&lt;&gt;"),0)</f>
        <v/>
      </c>
      <c r="K310" s="88" t="n"/>
      <c r="L310" s="88" t="n"/>
      <c r="M310" s="88">
        <f>COUNTIFS('Client DB &amp; Bed Mgmt'!$B:$B,L310,'Client DB &amp; Bed Mgmt'!$E:$E,"Occupied")</f>
        <v/>
      </c>
      <c r="N310" s="88" t="n"/>
      <c r="O310" s="88" t="n"/>
      <c r="P310" s="88" t="n"/>
      <c r="Q310" s="88" t="n"/>
      <c r="R310" s="88" t="n"/>
      <c r="S310" s="88" t="n"/>
      <c r="T310" s="88" t="n"/>
      <c r="U310" s="129" t="n"/>
      <c r="V310" s="129" t="n"/>
    </row>
    <row r="311" ht="14.25" customHeight="1" s="83">
      <c r="A311" s="103" t="n"/>
      <c r="B311" s="125" t="n"/>
      <c r="C311" s="103" t="n"/>
      <c r="D311" s="126" t="n"/>
      <c r="E311" s="126" t="n"/>
      <c r="F311" s="127">
        <f>IF(D311="","",MAX(D311-E311,0))</f>
        <v/>
      </c>
      <c r="G311" s="130">
        <f>IF(E311="","",E311*GeneratorRate)</f>
        <v/>
      </c>
      <c r="H311" s="130">
        <f>IF(F311="","",F311*GovernmentRate)</f>
        <v/>
      </c>
      <c r="I311" s="130">
        <f>IF(D311="","",G311+H311)</f>
        <v/>
      </c>
      <c r="J311" s="129">
        <f>IFERROR(I311/COUNTIFS('Client DB &amp; Bed Mgmt'!$A:$A,A311,'Client DB &amp; Bed Mgmt'!$B:$B,C311,'Client DB &amp; Bed Mgmt'!$D:$D,"&lt;&gt;"),0)</f>
        <v/>
      </c>
      <c r="K311" s="88" t="n"/>
      <c r="L311" s="88" t="n"/>
      <c r="M311" s="88">
        <f>COUNTIFS('Client DB &amp; Bed Mgmt'!$B:$B,L311,'Client DB &amp; Bed Mgmt'!$E:$E,"Occupied")</f>
        <v/>
      </c>
      <c r="N311" s="88" t="n"/>
      <c r="O311" s="88" t="n"/>
      <c r="P311" s="88" t="n"/>
      <c r="Q311" s="88" t="n"/>
      <c r="R311" s="88" t="n"/>
      <c r="S311" s="88" t="n"/>
      <c r="T311" s="88" t="n"/>
      <c r="U311" s="129" t="n"/>
      <c r="V311" s="129" t="n"/>
    </row>
    <row r="312" ht="14.25" customHeight="1" s="83">
      <c r="A312" s="103" t="n"/>
      <c r="B312" s="125" t="n"/>
      <c r="C312" s="103" t="n"/>
      <c r="D312" s="126" t="n"/>
      <c r="E312" s="126" t="n"/>
      <c r="F312" s="127">
        <f>IF(D312="","",MAX(D312-E312,0))</f>
        <v/>
      </c>
      <c r="G312" s="130">
        <f>IF(E312="","",E312*GeneratorRate)</f>
        <v/>
      </c>
      <c r="H312" s="130">
        <f>IF(F312="","",F312*GovernmentRate)</f>
        <v/>
      </c>
      <c r="I312" s="130">
        <f>IF(D312="","",G312+H312)</f>
        <v/>
      </c>
      <c r="J312" s="129">
        <f>IFERROR(I312/COUNTIFS('Client DB &amp; Bed Mgmt'!$A:$A,A312,'Client DB &amp; Bed Mgmt'!$B:$B,C312,'Client DB &amp; Bed Mgmt'!$D:$D,"&lt;&gt;"),0)</f>
        <v/>
      </c>
      <c r="K312" s="88" t="n"/>
      <c r="L312" s="88" t="n"/>
      <c r="M312" s="88">
        <f>COUNTIFS('Client DB &amp; Bed Mgmt'!$B:$B,L312,'Client DB &amp; Bed Mgmt'!$E:$E,"Occupied")</f>
        <v/>
      </c>
      <c r="N312" s="88" t="n"/>
      <c r="O312" s="88" t="n"/>
      <c r="P312" s="88" t="n"/>
      <c r="Q312" s="88" t="n"/>
      <c r="R312" s="88" t="n"/>
      <c r="S312" s="88" t="n"/>
      <c r="T312" s="88" t="n"/>
      <c r="U312" s="129" t="n"/>
      <c r="V312" s="129" t="n"/>
    </row>
    <row r="313" ht="14.25" customHeight="1" s="83">
      <c r="A313" s="103" t="n"/>
      <c r="B313" s="125" t="n"/>
      <c r="C313" s="103" t="n"/>
      <c r="D313" s="126" t="n"/>
      <c r="E313" s="126" t="n"/>
      <c r="F313" s="127">
        <f>IF(D313="","",MAX(D313-E313,0))</f>
        <v/>
      </c>
      <c r="G313" s="130">
        <f>IF(E313="","",E313*GeneratorRate)</f>
        <v/>
      </c>
      <c r="H313" s="130">
        <f>IF(F313="","",F313*GovernmentRate)</f>
        <v/>
      </c>
      <c r="I313" s="130">
        <f>IF(D313="","",G313+H313)</f>
        <v/>
      </c>
      <c r="J313" s="129">
        <f>IFERROR(I313/COUNTIFS('Client DB &amp; Bed Mgmt'!$A:$A,A313,'Client DB &amp; Bed Mgmt'!$B:$B,C313,'Client DB &amp; Bed Mgmt'!$D:$D,"&lt;&gt;"),0)</f>
        <v/>
      </c>
      <c r="K313" s="88" t="n"/>
      <c r="L313" s="88" t="n"/>
      <c r="M313" s="88">
        <f>COUNTIFS('Client DB &amp; Bed Mgmt'!$B:$B,L313,'Client DB &amp; Bed Mgmt'!$E:$E,"Occupied")</f>
        <v/>
      </c>
      <c r="N313" s="88" t="n"/>
      <c r="O313" s="88" t="n"/>
      <c r="P313" s="88" t="n"/>
      <c r="Q313" s="88" t="n"/>
      <c r="R313" s="88" t="n"/>
      <c r="S313" s="88" t="n"/>
      <c r="T313" s="88" t="n"/>
      <c r="U313" s="129" t="n"/>
      <c r="V313" s="129" t="n"/>
    </row>
    <row r="314" ht="14.25" customHeight="1" s="83">
      <c r="A314" s="103" t="n"/>
      <c r="B314" s="125" t="n"/>
      <c r="C314" s="103" t="n"/>
      <c r="D314" s="126" t="n"/>
      <c r="E314" s="126" t="n"/>
      <c r="F314" s="127">
        <f>IF(D314="","",MAX(D314-E314,0))</f>
        <v/>
      </c>
      <c r="G314" s="130">
        <f>IF(E314="","",E314*GeneratorRate)</f>
        <v/>
      </c>
      <c r="H314" s="130">
        <f>IF(F314="","",F314*GovernmentRate)</f>
        <v/>
      </c>
      <c r="I314" s="130">
        <f>IF(D314="","",G314+H314)</f>
        <v/>
      </c>
      <c r="J314" s="129">
        <f>IFERROR(I314/COUNTIFS('Client DB &amp; Bed Mgmt'!$A:$A,A314,'Client DB &amp; Bed Mgmt'!$B:$B,C314,'Client DB &amp; Bed Mgmt'!$D:$D,"&lt;&gt;"),0)</f>
        <v/>
      </c>
      <c r="K314" s="88" t="n"/>
      <c r="L314" s="88" t="n"/>
      <c r="M314" s="88">
        <f>COUNTIFS('Client DB &amp; Bed Mgmt'!$B:$B,L314,'Client DB &amp; Bed Mgmt'!$E:$E,"Occupied")</f>
        <v/>
      </c>
      <c r="N314" s="88" t="n"/>
      <c r="O314" s="88" t="n"/>
      <c r="P314" s="88" t="n"/>
      <c r="Q314" s="88" t="n"/>
      <c r="R314" s="88" t="n"/>
      <c r="S314" s="88" t="n"/>
      <c r="T314" s="88" t="n"/>
      <c r="U314" s="129" t="n"/>
      <c r="V314" s="129" t="n"/>
    </row>
    <row r="315" ht="14.25" customHeight="1" s="83">
      <c r="A315" s="103" t="n"/>
      <c r="B315" s="125" t="n"/>
      <c r="C315" s="103" t="n"/>
      <c r="D315" s="126" t="n"/>
      <c r="E315" s="126" t="n"/>
      <c r="F315" s="127">
        <f>IF(D315="","",MAX(D315-E315,0))</f>
        <v/>
      </c>
      <c r="G315" s="130">
        <f>IF(E315="","",E315*GeneratorRate)</f>
        <v/>
      </c>
      <c r="H315" s="130">
        <f>IF(F315="","",F315*GovernmentRate)</f>
        <v/>
      </c>
      <c r="I315" s="130">
        <f>IF(D315="","",G315+H315)</f>
        <v/>
      </c>
      <c r="J315" s="129">
        <f>IFERROR(I315/COUNTIFS('Client DB &amp; Bed Mgmt'!$A:$A,A315,'Client DB &amp; Bed Mgmt'!$B:$B,C315,'Client DB &amp; Bed Mgmt'!$D:$D,"&lt;&gt;"),0)</f>
        <v/>
      </c>
      <c r="K315" s="88" t="n"/>
      <c r="L315" s="88" t="n"/>
      <c r="M315" s="88">
        <f>COUNTIFS('Client DB &amp; Bed Mgmt'!$B:$B,L315,'Client DB &amp; Bed Mgmt'!$E:$E,"Occupied")</f>
        <v/>
      </c>
      <c r="N315" s="88" t="n"/>
      <c r="O315" s="88" t="n"/>
      <c r="P315" s="88" t="n"/>
      <c r="Q315" s="88" t="n"/>
      <c r="R315" s="88" t="n"/>
      <c r="S315" s="88" t="n"/>
      <c r="T315" s="88" t="n"/>
      <c r="U315" s="129" t="n"/>
      <c r="V315" s="129" t="n"/>
    </row>
    <row r="316" ht="14.25" customHeight="1" s="83">
      <c r="A316" s="103" t="n"/>
      <c r="B316" s="125" t="n"/>
      <c r="C316" s="103" t="n"/>
      <c r="D316" s="126" t="n"/>
      <c r="E316" s="126" t="n"/>
      <c r="F316" s="127">
        <f>IF(D316="","",MAX(D316-E316,0))</f>
        <v/>
      </c>
      <c r="G316" s="130">
        <f>IF(E316="","",E316*GeneratorRate)</f>
        <v/>
      </c>
      <c r="H316" s="130">
        <f>IF(F316="","",F316*GovernmentRate)</f>
        <v/>
      </c>
      <c r="I316" s="130">
        <f>IF(D316="","",G316+H316)</f>
        <v/>
      </c>
      <c r="J316" s="129">
        <f>IFERROR(I316/COUNTIFS('Client DB &amp; Bed Mgmt'!$A:$A,A316,'Client DB &amp; Bed Mgmt'!$B:$B,C316,'Client DB &amp; Bed Mgmt'!$D:$D,"&lt;&gt;"),0)</f>
        <v/>
      </c>
      <c r="K316" s="88" t="n"/>
      <c r="L316" s="88" t="n"/>
      <c r="M316" s="88">
        <f>COUNTIFS('Client DB &amp; Bed Mgmt'!$B:$B,L316,'Client DB &amp; Bed Mgmt'!$E:$E,"Occupied")</f>
        <v/>
      </c>
      <c r="N316" s="88" t="n"/>
      <c r="O316" s="88" t="n"/>
      <c r="P316" s="88" t="n"/>
      <c r="Q316" s="88" t="n"/>
      <c r="R316" s="88" t="n"/>
      <c r="S316" s="88" t="n"/>
      <c r="T316" s="88" t="n"/>
      <c r="U316" s="129" t="n"/>
      <c r="V316" s="129" t="n"/>
    </row>
    <row r="317" ht="14.25" customHeight="1" s="83">
      <c r="A317" s="103" t="n"/>
      <c r="B317" s="125" t="n"/>
      <c r="C317" s="103" t="n"/>
      <c r="D317" s="126" t="n"/>
      <c r="E317" s="126" t="n"/>
      <c r="F317" s="127">
        <f>IF(D317="","",MAX(D317-E317,0))</f>
        <v/>
      </c>
      <c r="G317" s="130">
        <f>IF(E317="","",E317*GeneratorRate)</f>
        <v/>
      </c>
      <c r="H317" s="130">
        <f>IF(F317="","",F317*GovernmentRate)</f>
        <v/>
      </c>
      <c r="I317" s="130">
        <f>IF(D317="","",G317+H317)</f>
        <v/>
      </c>
      <c r="J317" s="129">
        <f>IFERROR(I317/COUNTIFS('Client DB &amp; Bed Mgmt'!$A:$A,A317,'Client DB &amp; Bed Mgmt'!$B:$B,C317,'Client DB &amp; Bed Mgmt'!$D:$D,"&lt;&gt;"),0)</f>
        <v/>
      </c>
      <c r="K317" s="88" t="n"/>
      <c r="L317" s="88" t="n"/>
      <c r="M317" s="88">
        <f>COUNTIFS('Client DB &amp; Bed Mgmt'!$B:$B,L317,'Client DB &amp; Bed Mgmt'!$E:$E,"Occupied")</f>
        <v/>
      </c>
      <c r="N317" s="88" t="n"/>
      <c r="O317" s="88" t="n"/>
      <c r="P317" s="88" t="n"/>
      <c r="Q317" s="88" t="n"/>
      <c r="R317" s="88" t="n"/>
      <c r="S317" s="88" t="n"/>
      <c r="T317" s="88" t="n"/>
      <c r="U317" s="129" t="n"/>
      <c r="V317" s="129" t="n"/>
    </row>
    <row r="318" ht="14.25" customHeight="1" s="83">
      <c r="A318" s="103" t="n"/>
      <c r="B318" s="125" t="n"/>
      <c r="C318" s="103" t="n"/>
      <c r="D318" s="126" t="n"/>
      <c r="E318" s="126" t="n"/>
      <c r="F318" s="127">
        <f>IF(D318="","",MAX(D318-E318,0))</f>
        <v/>
      </c>
      <c r="G318" s="130">
        <f>IF(E318="","",E318*GeneratorRate)</f>
        <v/>
      </c>
      <c r="H318" s="130">
        <f>IF(F318="","",F318*GovernmentRate)</f>
        <v/>
      </c>
      <c r="I318" s="130">
        <f>IF(D318="","",G318+H318)</f>
        <v/>
      </c>
      <c r="J318" s="129">
        <f>IFERROR(I318/COUNTIFS('Client DB &amp; Bed Mgmt'!$A:$A,A318,'Client DB &amp; Bed Mgmt'!$B:$B,C318,'Client DB &amp; Bed Mgmt'!$D:$D,"&lt;&gt;"),0)</f>
        <v/>
      </c>
      <c r="K318" s="88" t="n"/>
      <c r="L318" s="88" t="n"/>
      <c r="M318" s="88">
        <f>COUNTIFS('Client DB &amp; Bed Mgmt'!$B:$B,L318,'Client DB &amp; Bed Mgmt'!$E:$E,"Occupied")</f>
        <v/>
      </c>
      <c r="N318" s="88" t="n"/>
      <c r="O318" s="88" t="n"/>
      <c r="P318" s="88" t="n"/>
      <c r="Q318" s="88" t="n"/>
      <c r="R318" s="88" t="n"/>
      <c r="S318" s="88" t="n"/>
      <c r="T318" s="88" t="n"/>
      <c r="U318" s="129" t="n"/>
      <c r="V318" s="129" t="n"/>
    </row>
    <row r="319" ht="14.25" customHeight="1" s="83">
      <c r="A319" s="103" t="n"/>
      <c r="B319" s="125" t="n"/>
      <c r="C319" s="103" t="n"/>
      <c r="D319" s="126" t="n"/>
      <c r="E319" s="126" t="n"/>
      <c r="F319" s="127">
        <f>IF(D319="","",MAX(D319-E319,0))</f>
        <v/>
      </c>
      <c r="G319" s="130">
        <f>IF(E319="","",E319*GeneratorRate)</f>
        <v/>
      </c>
      <c r="H319" s="130">
        <f>IF(F319="","",F319*GovernmentRate)</f>
        <v/>
      </c>
      <c r="I319" s="130">
        <f>IF(D319="","",G319+H319)</f>
        <v/>
      </c>
      <c r="J319" s="129">
        <f>IFERROR(I319/COUNTIFS('Client DB &amp; Bed Mgmt'!$A:$A,A319,'Client DB &amp; Bed Mgmt'!$B:$B,C319,'Client DB &amp; Bed Mgmt'!$D:$D,"&lt;&gt;"),0)</f>
        <v/>
      </c>
      <c r="K319" s="88" t="n"/>
      <c r="L319" s="88" t="n"/>
      <c r="M319" s="88">
        <f>COUNTIFS('Client DB &amp; Bed Mgmt'!$B:$B,L319,'Client DB &amp; Bed Mgmt'!$E:$E,"Occupied")</f>
        <v/>
      </c>
      <c r="N319" s="88" t="n"/>
      <c r="O319" s="88" t="n"/>
      <c r="P319" s="88" t="n"/>
      <c r="Q319" s="88" t="n"/>
      <c r="R319" s="88" t="n"/>
      <c r="S319" s="88" t="n"/>
      <c r="T319" s="88" t="n"/>
      <c r="U319" s="129" t="n"/>
      <c r="V319" s="129" t="n"/>
    </row>
    <row r="320" ht="14.25" customHeight="1" s="83">
      <c r="A320" s="103" t="n"/>
      <c r="B320" s="125" t="n"/>
      <c r="C320" s="103" t="n"/>
      <c r="D320" s="126" t="n"/>
      <c r="E320" s="126" t="n"/>
      <c r="F320" s="127">
        <f>IF(D320="","",MAX(D320-E320,0))</f>
        <v/>
      </c>
      <c r="G320" s="130">
        <f>IF(E320="","",E320*GeneratorRate)</f>
        <v/>
      </c>
      <c r="H320" s="130">
        <f>IF(F320="","",F320*GovernmentRate)</f>
        <v/>
      </c>
      <c r="I320" s="130">
        <f>IF(D320="","",G320+H320)</f>
        <v/>
      </c>
      <c r="J320" s="129">
        <f>IFERROR(I320/COUNTIFS('Client DB &amp; Bed Mgmt'!$A:$A,A320,'Client DB &amp; Bed Mgmt'!$B:$B,C320,'Client DB &amp; Bed Mgmt'!$D:$D,"&lt;&gt;"),0)</f>
        <v/>
      </c>
      <c r="K320" s="88" t="n"/>
      <c r="L320" s="88" t="n"/>
      <c r="M320" s="88">
        <f>COUNTIFS('Client DB &amp; Bed Mgmt'!$B:$B,L320,'Client DB &amp; Bed Mgmt'!$E:$E,"Occupied")</f>
        <v/>
      </c>
      <c r="N320" s="88" t="n"/>
      <c r="O320" s="88" t="n"/>
      <c r="P320" s="88" t="n"/>
      <c r="Q320" s="88" t="n"/>
      <c r="R320" s="88" t="n"/>
      <c r="S320" s="88" t="n"/>
      <c r="T320" s="88" t="n"/>
      <c r="U320" s="129" t="n"/>
      <c r="V320" s="129" t="n"/>
    </row>
    <row r="321" ht="14.25" customHeight="1" s="83">
      <c r="A321" s="103" t="n"/>
      <c r="B321" s="125" t="n"/>
      <c r="C321" s="103" t="n"/>
      <c r="D321" s="126" t="n"/>
      <c r="E321" s="126" t="n"/>
      <c r="F321" s="127">
        <f>IF(D321="","",MAX(D321-E321,0))</f>
        <v/>
      </c>
      <c r="G321" s="130">
        <f>IF(E321="","",E321*GeneratorRate)</f>
        <v/>
      </c>
      <c r="H321" s="130">
        <f>IF(F321="","",F321*GovernmentRate)</f>
        <v/>
      </c>
      <c r="I321" s="130">
        <f>IF(D321="","",G321+H321)</f>
        <v/>
      </c>
      <c r="J321" s="129">
        <f>IFERROR(I321/COUNTIFS('Client DB &amp; Bed Mgmt'!$A:$A,A321,'Client DB &amp; Bed Mgmt'!$B:$B,C321,'Client DB &amp; Bed Mgmt'!$D:$D,"&lt;&gt;"),0)</f>
        <v/>
      </c>
      <c r="K321" s="88" t="n"/>
      <c r="L321" s="88" t="n"/>
      <c r="M321" s="88">
        <f>COUNTIFS('Client DB &amp; Bed Mgmt'!$B:$B,L321,'Client DB &amp; Bed Mgmt'!$E:$E,"Occupied")</f>
        <v/>
      </c>
      <c r="N321" s="88" t="n"/>
      <c r="O321" s="88" t="n"/>
      <c r="P321" s="88" t="n"/>
      <c r="Q321" s="88" t="n"/>
      <c r="R321" s="88" t="n"/>
      <c r="S321" s="88" t="n"/>
      <c r="T321" s="88" t="n"/>
      <c r="U321" s="129" t="n"/>
      <c r="V321" s="129" t="n"/>
    </row>
    <row r="322" ht="14.25" customHeight="1" s="83">
      <c r="A322" s="103" t="n"/>
      <c r="B322" s="125" t="n"/>
      <c r="C322" s="103" t="n"/>
      <c r="D322" s="126" t="n"/>
      <c r="E322" s="126" t="n"/>
      <c r="F322" s="127">
        <f>IF(D322="","",MAX(D322-E322,0))</f>
        <v/>
      </c>
      <c r="G322" s="130">
        <f>IF(E322="","",E322*GeneratorRate)</f>
        <v/>
      </c>
      <c r="H322" s="130">
        <f>IF(F322="","",F322*GovernmentRate)</f>
        <v/>
      </c>
      <c r="I322" s="130">
        <f>IF(D322="","",G322+H322)</f>
        <v/>
      </c>
      <c r="J322" s="129">
        <f>IFERROR(I322/COUNTIFS('Client DB &amp; Bed Mgmt'!$A:$A,A322,'Client DB &amp; Bed Mgmt'!$B:$B,C322,'Client DB &amp; Bed Mgmt'!$D:$D,"&lt;&gt;"),0)</f>
        <v/>
      </c>
      <c r="K322" s="88" t="n"/>
      <c r="L322" s="88" t="n"/>
      <c r="M322" s="88">
        <f>COUNTIFS('Client DB &amp; Bed Mgmt'!$B:$B,L322,'Client DB &amp; Bed Mgmt'!$E:$E,"Occupied")</f>
        <v/>
      </c>
      <c r="N322" s="88" t="n"/>
      <c r="O322" s="88" t="n"/>
      <c r="P322" s="88" t="n"/>
      <c r="Q322" s="88" t="n"/>
      <c r="R322" s="88" t="n"/>
      <c r="S322" s="88" t="n"/>
      <c r="T322" s="88" t="n"/>
      <c r="U322" s="129" t="n"/>
      <c r="V322" s="129" t="n"/>
    </row>
    <row r="323" ht="14.25" customHeight="1" s="83">
      <c r="A323" s="103" t="n"/>
      <c r="B323" s="125" t="n"/>
      <c r="C323" s="103" t="n"/>
      <c r="D323" s="126" t="n"/>
      <c r="E323" s="126" t="n"/>
      <c r="F323" s="127">
        <f>IF(D323="","",MAX(D323-E323,0))</f>
        <v/>
      </c>
      <c r="G323" s="130">
        <f>IF(E323="","",E323*GeneratorRate)</f>
        <v/>
      </c>
      <c r="H323" s="130">
        <f>IF(F323="","",F323*GovernmentRate)</f>
        <v/>
      </c>
      <c r="I323" s="130">
        <f>IF(D323="","",G323+H323)</f>
        <v/>
      </c>
      <c r="J323" s="129">
        <f>IFERROR(I323/COUNTIFS('Client DB &amp; Bed Mgmt'!$A:$A,A323,'Client DB &amp; Bed Mgmt'!$B:$B,C323,'Client DB &amp; Bed Mgmt'!$D:$D,"&lt;&gt;"),0)</f>
        <v/>
      </c>
      <c r="K323" s="88" t="n"/>
      <c r="L323" s="88" t="n"/>
      <c r="M323" s="88">
        <f>COUNTIFS('Client DB &amp; Bed Mgmt'!$B:$B,L323,'Client DB &amp; Bed Mgmt'!$E:$E,"Occupied")</f>
        <v/>
      </c>
      <c r="N323" s="88" t="n"/>
      <c r="O323" s="88" t="n"/>
      <c r="P323" s="88" t="n"/>
      <c r="Q323" s="88" t="n"/>
      <c r="R323" s="88" t="n"/>
      <c r="S323" s="88" t="n"/>
      <c r="T323" s="88" t="n"/>
      <c r="U323" s="129" t="n"/>
      <c r="V323" s="129" t="n"/>
    </row>
    <row r="324" ht="14.25" customHeight="1" s="83">
      <c r="A324" s="103" t="n"/>
      <c r="B324" s="125" t="n"/>
      <c r="C324" s="103" t="n"/>
      <c r="D324" s="126" t="n"/>
      <c r="E324" s="126" t="n"/>
      <c r="F324" s="127">
        <f>IF(D324="","",MAX(D324-E324,0))</f>
        <v/>
      </c>
      <c r="G324" s="130">
        <f>IF(E324="","",E324*GeneratorRate)</f>
        <v/>
      </c>
      <c r="H324" s="130">
        <f>IF(F324="","",F324*GovernmentRate)</f>
        <v/>
      </c>
      <c r="I324" s="130">
        <f>IF(D324="","",G324+H324)</f>
        <v/>
      </c>
      <c r="J324" s="129">
        <f>IFERROR(I324/COUNTIFS('Client DB &amp; Bed Mgmt'!$A:$A,A324,'Client DB &amp; Bed Mgmt'!$B:$B,C324,'Client DB &amp; Bed Mgmt'!$D:$D,"&lt;&gt;"),0)</f>
        <v/>
      </c>
      <c r="K324" s="88" t="n"/>
      <c r="L324" s="88" t="n"/>
      <c r="M324" s="88">
        <f>COUNTIFS('Client DB &amp; Bed Mgmt'!$B:$B,L324,'Client DB &amp; Bed Mgmt'!$E:$E,"Occupied")</f>
        <v/>
      </c>
      <c r="N324" s="88" t="n"/>
      <c r="O324" s="88" t="n"/>
      <c r="P324" s="88" t="n"/>
      <c r="Q324" s="88" t="n"/>
      <c r="R324" s="88" t="n"/>
      <c r="S324" s="88" t="n"/>
      <c r="T324" s="88" t="n"/>
      <c r="U324" s="129" t="n"/>
      <c r="V324" s="129" t="n"/>
    </row>
    <row r="325" ht="14.25" customHeight="1" s="83">
      <c r="A325" s="103" t="n"/>
      <c r="B325" s="125" t="n"/>
      <c r="C325" s="103" t="n"/>
      <c r="D325" s="126" t="n"/>
      <c r="E325" s="126" t="n"/>
      <c r="F325" s="127">
        <f>IF(D325="","",MAX(D325-E325,0))</f>
        <v/>
      </c>
      <c r="G325" s="130">
        <f>IF(E325="","",E325*GeneratorRate)</f>
        <v/>
      </c>
      <c r="H325" s="130">
        <f>IF(F325="","",F325*GovernmentRate)</f>
        <v/>
      </c>
      <c r="I325" s="130">
        <f>IF(D325="","",G325+H325)</f>
        <v/>
      </c>
      <c r="J325" s="129">
        <f>IFERROR(I325/COUNTIFS('Client DB &amp; Bed Mgmt'!$A:$A,A325,'Client DB &amp; Bed Mgmt'!$B:$B,C325,'Client DB &amp; Bed Mgmt'!$D:$D,"&lt;&gt;"),0)</f>
        <v/>
      </c>
      <c r="K325" s="88" t="n"/>
      <c r="L325" s="88" t="n"/>
      <c r="M325" s="88">
        <f>COUNTIFS('Client DB &amp; Bed Mgmt'!$B:$B,L325,'Client DB &amp; Bed Mgmt'!$E:$E,"Occupied")</f>
        <v/>
      </c>
      <c r="N325" s="88" t="n"/>
      <c r="O325" s="88" t="n"/>
      <c r="P325" s="88" t="n"/>
      <c r="Q325" s="88" t="n"/>
      <c r="R325" s="88" t="n"/>
      <c r="S325" s="88" t="n"/>
      <c r="T325" s="88" t="n"/>
      <c r="U325" s="129" t="n"/>
      <c r="V325" s="129" t="n"/>
    </row>
    <row r="326" ht="14.25" customHeight="1" s="83">
      <c r="A326" s="103" t="n"/>
      <c r="B326" s="125" t="n"/>
      <c r="C326" s="103" t="n"/>
      <c r="D326" s="126" t="n"/>
      <c r="E326" s="126" t="n"/>
      <c r="F326" s="127">
        <f>IF(D326="","",MAX(D326-E326,0))</f>
        <v/>
      </c>
      <c r="G326" s="130">
        <f>IF(E326="","",E326*GeneratorRate)</f>
        <v/>
      </c>
      <c r="H326" s="130">
        <f>IF(F326="","",F326*GovernmentRate)</f>
        <v/>
      </c>
      <c r="I326" s="130">
        <f>IF(D326="","",G326+H326)</f>
        <v/>
      </c>
      <c r="J326" s="129">
        <f>IFERROR(I326/COUNTIFS('Client DB &amp; Bed Mgmt'!$A:$A,A326,'Client DB &amp; Bed Mgmt'!$B:$B,C326,'Client DB &amp; Bed Mgmt'!$D:$D,"&lt;&gt;"),0)</f>
        <v/>
      </c>
      <c r="K326" s="88" t="n"/>
      <c r="L326" s="88" t="n"/>
      <c r="M326" s="88">
        <f>COUNTIFS('Client DB &amp; Bed Mgmt'!$B:$B,L326,'Client DB &amp; Bed Mgmt'!$E:$E,"Occupied")</f>
        <v/>
      </c>
      <c r="N326" s="88" t="n"/>
      <c r="O326" s="88" t="n"/>
      <c r="P326" s="88" t="n"/>
      <c r="Q326" s="88" t="n"/>
      <c r="R326" s="88" t="n"/>
      <c r="S326" s="88" t="n"/>
      <c r="T326" s="88" t="n"/>
      <c r="U326" s="129" t="n"/>
      <c r="V326" s="129" t="n"/>
    </row>
    <row r="327" ht="14.25" customHeight="1" s="83">
      <c r="A327" s="103" t="n"/>
      <c r="B327" s="125" t="n"/>
      <c r="C327" s="103" t="n"/>
      <c r="D327" s="126" t="n"/>
      <c r="E327" s="126" t="n"/>
      <c r="F327" s="127">
        <f>IF(D327="","",MAX(D327-E327,0))</f>
        <v/>
      </c>
      <c r="G327" s="130">
        <f>IF(E327="","",E327*GeneratorRate)</f>
        <v/>
      </c>
      <c r="H327" s="130">
        <f>IF(F327="","",F327*GovernmentRate)</f>
        <v/>
      </c>
      <c r="I327" s="130">
        <f>IF(D327="","",G327+H327)</f>
        <v/>
      </c>
      <c r="J327" s="129">
        <f>IFERROR(I327/COUNTIFS('Client DB &amp; Bed Mgmt'!$A:$A,A327,'Client DB &amp; Bed Mgmt'!$B:$B,C327,'Client DB &amp; Bed Mgmt'!$D:$D,"&lt;&gt;"),0)</f>
        <v/>
      </c>
      <c r="K327" s="88" t="n"/>
      <c r="L327" s="88" t="n"/>
      <c r="M327" s="88">
        <f>COUNTIFS('Client DB &amp; Bed Mgmt'!$B:$B,L327,'Client DB &amp; Bed Mgmt'!$E:$E,"Occupied")</f>
        <v/>
      </c>
      <c r="N327" s="88" t="n"/>
      <c r="O327" s="88" t="n"/>
      <c r="P327" s="88" t="n"/>
      <c r="Q327" s="88" t="n"/>
      <c r="R327" s="88" t="n"/>
      <c r="S327" s="88" t="n"/>
      <c r="T327" s="88" t="n"/>
      <c r="U327" s="129" t="n"/>
      <c r="V327" s="129" t="n"/>
    </row>
    <row r="328" ht="14.25" customHeight="1" s="83">
      <c r="A328" s="103" t="n"/>
      <c r="B328" s="125" t="n"/>
      <c r="C328" s="103" t="n"/>
      <c r="D328" s="126" t="n"/>
      <c r="E328" s="126" t="n"/>
      <c r="F328" s="127">
        <f>IF(D328="","",MAX(D328-E328,0))</f>
        <v/>
      </c>
      <c r="G328" s="130">
        <f>IF(E328="","",E328*GeneratorRate)</f>
        <v/>
      </c>
      <c r="H328" s="130">
        <f>IF(F328="","",F328*GovernmentRate)</f>
        <v/>
      </c>
      <c r="I328" s="130">
        <f>IF(D328="","",G328+H328)</f>
        <v/>
      </c>
      <c r="J328" s="129">
        <f>IFERROR(I328/COUNTIFS('Client DB &amp; Bed Mgmt'!$A:$A,A328,'Client DB &amp; Bed Mgmt'!$B:$B,C328,'Client DB &amp; Bed Mgmt'!$D:$D,"&lt;&gt;"),0)</f>
        <v/>
      </c>
      <c r="K328" s="88" t="n"/>
      <c r="L328" s="88" t="n"/>
      <c r="M328" s="88">
        <f>COUNTIFS('Client DB &amp; Bed Mgmt'!$B:$B,L328,'Client DB &amp; Bed Mgmt'!$E:$E,"Occupied")</f>
        <v/>
      </c>
      <c r="N328" s="88" t="n"/>
      <c r="O328" s="88" t="n"/>
      <c r="P328" s="88" t="n"/>
      <c r="Q328" s="88" t="n"/>
      <c r="R328" s="88" t="n"/>
      <c r="S328" s="88" t="n"/>
      <c r="T328" s="88" t="n"/>
      <c r="U328" s="129" t="n"/>
      <c r="V328" s="129" t="n"/>
    </row>
    <row r="329" ht="14.25" customHeight="1" s="83">
      <c r="A329" s="103" t="n"/>
      <c r="B329" s="125" t="n"/>
      <c r="C329" s="103" t="n"/>
      <c r="D329" s="126" t="n"/>
      <c r="E329" s="126" t="n"/>
      <c r="F329" s="127">
        <f>IF(D329="","",MAX(D329-E329,0))</f>
        <v/>
      </c>
      <c r="G329" s="130">
        <f>IF(E329="","",E329*GeneratorRate)</f>
        <v/>
      </c>
      <c r="H329" s="130">
        <f>IF(F329="","",F329*GovernmentRate)</f>
        <v/>
      </c>
      <c r="I329" s="130">
        <f>IF(D329="","",G329+H329)</f>
        <v/>
      </c>
      <c r="J329" s="129">
        <f>IFERROR(I329/COUNTIFS('Client DB &amp; Bed Mgmt'!$A:$A,A329,'Client DB &amp; Bed Mgmt'!$B:$B,C329,'Client DB &amp; Bed Mgmt'!$D:$D,"&lt;&gt;"),0)</f>
        <v/>
      </c>
      <c r="K329" s="88" t="n"/>
      <c r="L329" s="88" t="n"/>
      <c r="M329" s="88">
        <f>COUNTIFS('Client DB &amp; Bed Mgmt'!$B:$B,L329,'Client DB &amp; Bed Mgmt'!$E:$E,"Occupied")</f>
        <v/>
      </c>
      <c r="N329" s="88" t="n"/>
      <c r="O329" s="88" t="n"/>
      <c r="P329" s="88" t="n"/>
      <c r="Q329" s="88" t="n"/>
      <c r="R329" s="88" t="n"/>
      <c r="S329" s="88" t="n"/>
      <c r="T329" s="88" t="n"/>
      <c r="U329" s="129" t="n"/>
      <c r="V329" s="129" t="n"/>
    </row>
    <row r="330" ht="14.25" customHeight="1" s="83">
      <c r="A330" s="103" t="n"/>
      <c r="B330" s="125" t="n"/>
      <c r="C330" s="103" t="n"/>
      <c r="D330" s="126" t="n"/>
      <c r="E330" s="126" t="n"/>
      <c r="F330" s="127">
        <f>IF(D330="","",MAX(D330-E330,0))</f>
        <v/>
      </c>
      <c r="G330" s="130">
        <f>IF(E330="","",E330*GeneratorRate)</f>
        <v/>
      </c>
      <c r="H330" s="130">
        <f>IF(F330="","",F330*GovernmentRate)</f>
        <v/>
      </c>
      <c r="I330" s="130">
        <f>IF(D330="","",G330+H330)</f>
        <v/>
      </c>
      <c r="J330" s="129">
        <f>IFERROR(I330/COUNTIFS('Client DB &amp; Bed Mgmt'!$A:$A,A330,'Client DB &amp; Bed Mgmt'!$B:$B,C330,'Client DB &amp; Bed Mgmt'!$D:$D,"&lt;&gt;"),0)</f>
        <v/>
      </c>
      <c r="K330" s="88" t="n"/>
      <c r="L330" s="88" t="n"/>
      <c r="M330" s="88">
        <f>COUNTIFS('Client DB &amp; Bed Mgmt'!$B:$B,L330,'Client DB &amp; Bed Mgmt'!$E:$E,"Occupied")</f>
        <v/>
      </c>
      <c r="N330" s="88" t="n"/>
      <c r="O330" s="88" t="n"/>
      <c r="P330" s="88" t="n"/>
      <c r="Q330" s="88" t="n"/>
      <c r="R330" s="88" t="n"/>
      <c r="S330" s="88" t="n"/>
      <c r="T330" s="88" t="n"/>
      <c r="U330" s="129" t="n"/>
      <c r="V330" s="129" t="n"/>
    </row>
    <row r="331" ht="14.25" customHeight="1" s="83">
      <c r="A331" s="103" t="n"/>
      <c r="B331" s="125" t="n"/>
      <c r="C331" s="103" t="n"/>
      <c r="D331" s="126" t="n"/>
      <c r="E331" s="126" t="n"/>
      <c r="F331" s="127">
        <f>IF(D331="","",MAX(D331-E331,0))</f>
        <v/>
      </c>
      <c r="G331" s="130">
        <f>IF(E331="","",E331*GeneratorRate)</f>
        <v/>
      </c>
      <c r="H331" s="130">
        <f>IF(F331="","",F331*GovernmentRate)</f>
        <v/>
      </c>
      <c r="I331" s="130">
        <f>IF(D331="","",G331+H331)</f>
        <v/>
      </c>
      <c r="J331" s="129">
        <f>IFERROR(I331/COUNTIFS('Client DB &amp; Bed Mgmt'!$A:$A,A331,'Client DB &amp; Bed Mgmt'!$B:$B,C331,'Client DB &amp; Bed Mgmt'!$D:$D,"&lt;&gt;"),0)</f>
        <v/>
      </c>
      <c r="K331" s="88" t="n"/>
      <c r="L331" s="88" t="n"/>
      <c r="M331" s="88">
        <f>COUNTIFS('Client DB &amp; Bed Mgmt'!$B:$B,L331,'Client DB &amp; Bed Mgmt'!$E:$E,"Occupied")</f>
        <v/>
      </c>
      <c r="N331" s="88" t="n"/>
      <c r="O331" s="88" t="n"/>
      <c r="P331" s="88" t="n"/>
      <c r="Q331" s="88" t="n"/>
      <c r="R331" s="88" t="n"/>
      <c r="S331" s="88" t="n"/>
      <c r="T331" s="88" t="n"/>
      <c r="U331" s="129" t="n"/>
      <c r="V331" s="129" t="n"/>
    </row>
    <row r="332" ht="14.25" customHeight="1" s="83">
      <c r="A332" s="103" t="n"/>
      <c r="B332" s="125" t="n"/>
      <c r="C332" s="103" t="n"/>
      <c r="D332" s="126" t="n"/>
      <c r="E332" s="126" t="n"/>
      <c r="F332" s="127">
        <f>IF(D332="","",MAX(D332-E332,0))</f>
        <v/>
      </c>
      <c r="G332" s="130">
        <f>IF(E332="","",E332*GeneratorRate)</f>
        <v/>
      </c>
      <c r="H332" s="130">
        <f>IF(F332="","",F332*GovernmentRate)</f>
        <v/>
      </c>
      <c r="I332" s="130">
        <f>IF(D332="","",G332+H332)</f>
        <v/>
      </c>
      <c r="J332" s="129">
        <f>IFERROR(I332/COUNTIFS('Client DB &amp; Bed Mgmt'!$A:$A,A332,'Client DB &amp; Bed Mgmt'!$B:$B,C332,'Client DB &amp; Bed Mgmt'!$D:$D,"&lt;&gt;"),0)</f>
        <v/>
      </c>
      <c r="K332" s="88" t="n"/>
      <c r="L332" s="88" t="n"/>
      <c r="M332" s="88">
        <f>COUNTIFS('Client DB &amp; Bed Mgmt'!$B:$B,L332,'Client DB &amp; Bed Mgmt'!$E:$E,"Occupied")</f>
        <v/>
      </c>
      <c r="N332" s="88" t="n"/>
      <c r="O332" s="88" t="n"/>
      <c r="P332" s="88" t="n"/>
      <c r="Q332" s="88" t="n"/>
      <c r="R332" s="88" t="n"/>
      <c r="S332" s="88" t="n"/>
      <c r="T332" s="88" t="n"/>
      <c r="U332" s="129" t="n"/>
      <c r="V332" s="129" t="n"/>
    </row>
    <row r="333" ht="14.25" customHeight="1" s="83">
      <c r="A333" s="103" t="n"/>
      <c r="B333" s="125" t="n"/>
      <c r="C333" s="103" t="n"/>
      <c r="D333" s="126" t="n"/>
      <c r="E333" s="126" t="n"/>
      <c r="F333" s="127">
        <f>IF(D333="","",MAX(D333-E333,0))</f>
        <v/>
      </c>
      <c r="G333" s="130">
        <f>IF(E333="","",E333*GeneratorRate)</f>
        <v/>
      </c>
      <c r="H333" s="130">
        <f>IF(F333="","",F333*GovernmentRate)</f>
        <v/>
      </c>
      <c r="I333" s="130">
        <f>IF(D333="","",G333+H333)</f>
        <v/>
      </c>
      <c r="J333" s="129">
        <f>IFERROR(I333/COUNTIFS('Client DB &amp; Bed Mgmt'!$A:$A,A333,'Client DB &amp; Bed Mgmt'!$B:$B,C333,'Client DB &amp; Bed Mgmt'!$D:$D,"&lt;&gt;"),0)</f>
        <v/>
      </c>
      <c r="K333" s="88" t="n"/>
      <c r="L333" s="88" t="n"/>
      <c r="M333" s="88">
        <f>COUNTIFS('Client DB &amp; Bed Mgmt'!$B:$B,L333,'Client DB &amp; Bed Mgmt'!$E:$E,"Occupied")</f>
        <v/>
      </c>
      <c r="N333" s="88" t="n"/>
      <c r="O333" s="88" t="n"/>
      <c r="P333" s="88" t="n"/>
      <c r="Q333" s="88" t="n"/>
      <c r="R333" s="88" t="n"/>
      <c r="S333" s="88" t="n"/>
      <c r="T333" s="88" t="n"/>
      <c r="U333" s="129" t="n"/>
      <c r="V333" s="129" t="n"/>
    </row>
    <row r="334" ht="14.25" customHeight="1" s="83">
      <c r="A334" s="103" t="n"/>
      <c r="B334" s="125" t="n"/>
      <c r="C334" s="103" t="n"/>
      <c r="D334" s="126" t="n"/>
      <c r="E334" s="126" t="n"/>
      <c r="F334" s="127">
        <f>IF(D334="","",MAX(D334-E334,0))</f>
        <v/>
      </c>
      <c r="G334" s="130">
        <f>IF(E334="","",E334*GeneratorRate)</f>
        <v/>
      </c>
      <c r="H334" s="130">
        <f>IF(F334="","",F334*GovernmentRate)</f>
        <v/>
      </c>
      <c r="I334" s="130">
        <f>IF(D334="","",G334+H334)</f>
        <v/>
      </c>
      <c r="J334" s="129">
        <f>IFERROR(I334/COUNTIFS('Client DB &amp; Bed Mgmt'!$A:$A,A334,'Client DB &amp; Bed Mgmt'!$B:$B,C334,'Client DB &amp; Bed Mgmt'!$D:$D,"&lt;&gt;"),0)</f>
        <v/>
      </c>
      <c r="K334" s="88" t="n"/>
      <c r="L334" s="88" t="n"/>
      <c r="M334" s="88">
        <f>COUNTIFS('Client DB &amp; Bed Mgmt'!$B:$B,L334,'Client DB &amp; Bed Mgmt'!$E:$E,"Occupied")</f>
        <v/>
      </c>
      <c r="N334" s="88" t="n"/>
      <c r="O334" s="88" t="n"/>
      <c r="P334" s="88" t="n"/>
      <c r="Q334" s="88" t="n"/>
      <c r="R334" s="88" t="n"/>
      <c r="S334" s="88" t="n"/>
      <c r="T334" s="88" t="n"/>
      <c r="U334" s="129" t="n"/>
      <c r="V334" s="129" t="n"/>
    </row>
    <row r="335" ht="14.25" customHeight="1" s="83">
      <c r="A335" s="103" t="n"/>
      <c r="B335" s="125" t="n"/>
      <c r="C335" s="103" t="n"/>
      <c r="D335" s="126" t="n"/>
      <c r="E335" s="126" t="n"/>
      <c r="F335" s="127">
        <f>IF(D335="","",MAX(D335-E335,0))</f>
        <v/>
      </c>
      <c r="G335" s="130">
        <f>IF(E335="","",E335*GeneratorRate)</f>
        <v/>
      </c>
      <c r="H335" s="130">
        <f>IF(F335="","",F335*GovernmentRate)</f>
        <v/>
      </c>
      <c r="I335" s="130">
        <f>IF(D335="","",G335+H335)</f>
        <v/>
      </c>
      <c r="J335" s="129">
        <f>IFERROR(I335/COUNTIFS('Client DB &amp; Bed Mgmt'!$A:$A,A335,'Client DB &amp; Bed Mgmt'!$B:$B,C335,'Client DB &amp; Bed Mgmt'!$D:$D,"&lt;&gt;"),0)</f>
        <v/>
      </c>
      <c r="K335" s="88" t="n"/>
      <c r="L335" s="88" t="n"/>
      <c r="M335" s="88">
        <f>COUNTIFS('Client DB &amp; Bed Mgmt'!$B:$B,L335,'Client DB &amp; Bed Mgmt'!$E:$E,"Occupied")</f>
        <v/>
      </c>
      <c r="N335" s="88" t="n"/>
      <c r="O335" s="88" t="n"/>
      <c r="P335" s="88" t="n"/>
      <c r="Q335" s="88" t="n"/>
      <c r="R335" s="88" t="n"/>
      <c r="S335" s="88" t="n"/>
      <c r="T335" s="88" t="n"/>
      <c r="U335" s="129" t="n"/>
      <c r="V335" s="129" t="n"/>
    </row>
    <row r="336" ht="14.25" customHeight="1" s="83">
      <c r="A336" s="103" t="n"/>
      <c r="B336" s="125" t="n"/>
      <c r="C336" s="103" t="n"/>
      <c r="D336" s="126" t="n"/>
      <c r="E336" s="126" t="n"/>
      <c r="F336" s="127">
        <f>IF(D336="","",MAX(D336-E336,0))</f>
        <v/>
      </c>
      <c r="G336" s="130">
        <f>IF(E336="","",E336*GeneratorRate)</f>
        <v/>
      </c>
      <c r="H336" s="130">
        <f>IF(F336="","",F336*GovernmentRate)</f>
        <v/>
      </c>
      <c r="I336" s="130">
        <f>IF(D336="","",G336+H336)</f>
        <v/>
      </c>
      <c r="J336" s="129">
        <f>IFERROR(I336/COUNTIFS('Client DB &amp; Bed Mgmt'!$A:$A,A336,'Client DB &amp; Bed Mgmt'!$B:$B,C336,'Client DB &amp; Bed Mgmt'!$D:$D,"&lt;&gt;"),0)</f>
        <v/>
      </c>
      <c r="K336" s="88" t="n"/>
      <c r="L336" s="88" t="n"/>
      <c r="M336" s="88">
        <f>COUNTIFS('Client DB &amp; Bed Mgmt'!$B:$B,L336,'Client DB &amp; Bed Mgmt'!$E:$E,"Occupied")</f>
        <v/>
      </c>
      <c r="N336" s="88" t="n"/>
      <c r="O336" s="88" t="n"/>
      <c r="P336" s="88" t="n"/>
      <c r="Q336" s="88" t="n"/>
      <c r="R336" s="88" t="n"/>
      <c r="S336" s="88" t="n"/>
      <c r="T336" s="88" t="n"/>
      <c r="U336" s="129" t="n"/>
      <c r="V336" s="129" t="n"/>
    </row>
    <row r="337" ht="14.25" customHeight="1" s="83">
      <c r="A337" s="103" t="n"/>
      <c r="B337" s="125" t="n"/>
      <c r="C337" s="103" t="n"/>
      <c r="D337" s="126" t="n"/>
      <c r="E337" s="126" t="n"/>
      <c r="F337" s="127">
        <f>IF(D337="","",MAX(D337-E337,0))</f>
        <v/>
      </c>
      <c r="G337" s="130">
        <f>IF(E337="","",E337*GeneratorRate)</f>
        <v/>
      </c>
      <c r="H337" s="130">
        <f>IF(F337="","",F337*GovernmentRate)</f>
        <v/>
      </c>
      <c r="I337" s="130">
        <f>IF(D337="","",G337+H337)</f>
        <v/>
      </c>
      <c r="J337" s="129">
        <f>IFERROR(I337/COUNTIFS('Client DB &amp; Bed Mgmt'!$A:$A,A337,'Client DB &amp; Bed Mgmt'!$B:$B,C337,'Client DB &amp; Bed Mgmt'!$D:$D,"&lt;&gt;"),0)</f>
        <v/>
      </c>
      <c r="K337" s="88" t="n"/>
      <c r="L337" s="88" t="n"/>
      <c r="M337" s="88">
        <f>COUNTIFS('Client DB &amp; Bed Mgmt'!$B:$B,L337,'Client DB &amp; Bed Mgmt'!$E:$E,"Occupied")</f>
        <v/>
      </c>
      <c r="N337" s="88" t="n"/>
      <c r="O337" s="88" t="n"/>
      <c r="P337" s="88" t="n"/>
      <c r="Q337" s="88" t="n"/>
      <c r="R337" s="88" t="n"/>
      <c r="S337" s="88" t="n"/>
      <c r="T337" s="88" t="n"/>
      <c r="U337" s="129" t="n"/>
      <c r="V337" s="129" t="n"/>
    </row>
    <row r="338" ht="14.25" customHeight="1" s="83">
      <c r="A338" s="103" t="n"/>
      <c r="B338" s="125" t="n"/>
      <c r="C338" s="103" t="n"/>
      <c r="D338" s="126" t="n"/>
      <c r="E338" s="126" t="n"/>
      <c r="F338" s="127">
        <f>IF(D338="","",MAX(D338-E338,0))</f>
        <v/>
      </c>
      <c r="G338" s="130">
        <f>IF(E338="","",E338*GeneratorRate)</f>
        <v/>
      </c>
      <c r="H338" s="130">
        <f>IF(F338="","",F338*GovernmentRate)</f>
        <v/>
      </c>
      <c r="I338" s="130">
        <f>IF(D338="","",G338+H338)</f>
        <v/>
      </c>
      <c r="J338" s="129">
        <f>IFERROR(I338/COUNTIFS('Client DB &amp; Bed Mgmt'!$A:$A,A338,'Client DB &amp; Bed Mgmt'!$B:$B,C338,'Client DB &amp; Bed Mgmt'!$D:$D,"&lt;&gt;"),0)</f>
        <v/>
      </c>
      <c r="K338" s="88" t="n"/>
      <c r="L338" s="88" t="n"/>
      <c r="M338" s="88">
        <f>COUNTIFS('Client DB &amp; Bed Mgmt'!$B:$B,L338,'Client DB &amp; Bed Mgmt'!$E:$E,"Occupied")</f>
        <v/>
      </c>
      <c r="N338" s="88" t="n"/>
      <c r="O338" s="88" t="n"/>
      <c r="P338" s="88" t="n"/>
      <c r="Q338" s="88" t="n"/>
      <c r="R338" s="88" t="n"/>
      <c r="S338" s="88" t="n"/>
      <c r="T338" s="88" t="n"/>
      <c r="U338" s="129" t="n"/>
      <c r="V338" s="129" t="n"/>
    </row>
    <row r="339" ht="14.25" customHeight="1" s="83">
      <c r="A339" s="103" t="n"/>
      <c r="B339" s="125" t="n"/>
      <c r="C339" s="103" t="n"/>
      <c r="D339" s="126" t="n"/>
      <c r="E339" s="126" t="n"/>
      <c r="F339" s="127">
        <f>IF(D339="","",MAX(D339-E339,0))</f>
        <v/>
      </c>
      <c r="G339" s="130">
        <f>IF(E339="","",E339*GeneratorRate)</f>
        <v/>
      </c>
      <c r="H339" s="130">
        <f>IF(F339="","",F339*GovernmentRate)</f>
        <v/>
      </c>
      <c r="I339" s="130">
        <f>IF(D339="","",G339+H339)</f>
        <v/>
      </c>
      <c r="J339" s="129">
        <f>IFERROR(I339/COUNTIFS('Client DB &amp; Bed Mgmt'!$A:$A,A339,'Client DB &amp; Bed Mgmt'!$B:$B,C339,'Client DB &amp; Bed Mgmt'!$D:$D,"&lt;&gt;"),0)</f>
        <v/>
      </c>
      <c r="K339" s="88" t="n"/>
      <c r="L339" s="88" t="n"/>
      <c r="M339" s="88">
        <f>COUNTIFS('Client DB &amp; Bed Mgmt'!$B:$B,L339,'Client DB &amp; Bed Mgmt'!$E:$E,"Occupied")</f>
        <v/>
      </c>
      <c r="N339" s="88" t="n"/>
      <c r="O339" s="88" t="n"/>
      <c r="P339" s="88" t="n"/>
      <c r="Q339" s="88" t="n"/>
      <c r="R339" s="88" t="n"/>
      <c r="S339" s="88" t="n"/>
      <c r="T339" s="88" t="n"/>
      <c r="U339" s="129" t="n"/>
      <c r="V339" s="129" t="n"/>
    </row>
    <row r="340" ht="14.25" customHeight="1" s="83">
      <c r="A340" s="103" t="n"/>
      <c r="B340" s="125" t="n"/>
      <c r="C340" s="103" t="n"/>
      <c r="D340" s="126" t="n"/>
      <c r="E340" s="126" t="n"/>
      <c r="F340" s="127">
        <f>IF(D340="","",MAX(D340-E340,0))</f>
        <v/>
      </c>
      <c r="G340" s="130">
        <f>IF(E340="","",E340*GeneratorRate)</f>
        <v/>
      </c>
      <c r="H340" s="130">
        <f>IF(F340="","",F340*GovernmentRate)</f>
        <v/>
      </c>
      <c r="I340" s="130">
        <f>IF(D340="","",G340+H340)</f>
        <v/>
      </c>
      <c r="J340" s="129">
        <f>IFERROR(I340/COUNTIFS('Client DB &amp; Bed Mgmt'!$A:$A,A340,'Client DB &amp; Bed Mgmt'!$B:$B,C340,'Client DB &amp; Bed Mgmt'!$D:$D,"&lt;&gt;"),0)</f>
        <v/>
      </c>
      <c r="K340" s="88" t="n"/>
      <c r="L340" s="88" t="n"/>
      <c r="M340" s="88">
        <f>COUNTIFS('Client DB &amp; Bed Mgmt'!$B:$B,L340,'Client DB &amp; Bed Mgmt'!$E:$E,"Occupied")</f>
        <v/>
      </c>
      <c r="N340" s="88" t="n"/>
      <c r="O340" s="88" t="n"/>
      <c r="P340" s="88" t="n"/>
      <c r="Q340" s="88" t="n"/>
      <c r="R340" s="88" t="n"/>
      <c r="S340" s="88" t="n"/>
      <c r="T340" s="88" t="n"/>
      <c r="U340" s="129" t="n"/>
      <c r="V340" s="129" t="n"/>
    </row>
    <row r="341" ht="14.25" customHeight="1" s="83">
      <c r="A341" s="103" t="n"/>
      <c r="B341" s="125" t="n"/>
      <c r="C341" s="103" t="n"/>
      <c r="D341" s="126" t="n"/>
      <c r="E341" s="126" t="n"/>
      <c r="F341" s="127">
        <f>IF(D341="","",MAX(D341-E341,0))</f>
        <v/>
      </c>
      <c r="G341" s="130">
        <f>IF(E341="","",E341*GeneratorRate)</f>
        <v/>
      </c>
      <c r="H341" s="130">
        <f>IF(F341="","",F341*GovernmentRate)</f>
        <v/>
      </c>
      <c r="I341" s="130">
        <f>IF(D341="","",G341+H341)</f>
        <v/>
      </c>
      <c r="J341" s="129">
        <f>IFERROR(I341/COUNTIFS('Client DB &amp; Bed Mgmt'!$A:$A,A341,'Client DB &amp; Bed Mgmt'!$B:$B,C341,'Client DB &amp; Bed Mgmt'!$D:$D,"&lt;&gt;"),0)</f>
        <v/>
      </c>
      <c r="K341" s="88" t="n"/>
      <c r="L341" s="88" t="n"/>
      <c r="M341" s="88">
        <f>COUNTIFS('Client DB &amp; Bed Mgmt'!$B:$B,L341,'Client DB &amp; Bed Mgmt'!$E:$E,"Occupied")</f>
        <v/>
      </c>
      <c r="N341" s="88" t="n"/>
      <c r="O341" s="88" t="n"/>
      <c r="P341" s="88" t="n"/>
      <c r="Q341" s="88" t="n"/>
      <c r="R341" s="88" t="n"/>
      <c r="S341" s="88" t="n"/>
      <c r="T341" s="88" t="n"/>
      <c r="U341" s="129" t="n"/>
      <c r="V341" s="129" t="n"/>
    </row>
    <row r="342" ht="14.25" customHeight="1" s="83">
      <c r="A342" s="103" t="n"/>
      <c r="B342" s="125" t="n"/>
      <c r="C342" s="103" t="n"/>
      <c r="D342" s="126" t="n"/>
      <c r="E342" s="126" t="n"/>
      <c r="F342" s="127">
        <f>IF(D342="","",MAX(D342-E342,0))</f>
        <v/>
      </c>
      <c r="G342" s="130">
        <f>IF(E342="","",E342*GeneratorRate)</f>
        <v/>
      </c>
      <c r="H342" s="130">
        <f>IF(F342="","",F342*GovernmentRate)</f>
        <v/>
      </c>
      <c r="I342" s="130">
        <f>IF(D342="","",G342+H342)</f>
        <v/>
      </c>
      <c r="J342" s="129">
        <f>IFERROR(I342/COUNTIFS('Client DB &amp; Bed Mgmt'!$A:$A,A342,'Client DB &amp; Bed Mgmt'!$B:$B,C342,'Client DB &amp; Bed Mgmt'!$D:$D,"&lt;&gt;"),0)</f>
        <v/>
      </c>
      <c r="K342" s="88" t="n"/>
      <c r="L342" s="88" t="n"/>
      <c r="M342" s="88">
        <f>COUNTIFS('Client DB &amp; Bed Mgmt'!$B:$B,L342,'Client DB &amp; Bed Mgmt'!$E:$E,"Occupied")</f>
        <v/>
      </c>
      <c r="N342" s="88" t="n"/>
      <c r="O342" s="88" t="n"/>
      <c r="P342" s="88" t="n"/>
      <c r="Q342" s="88" t="n"/>
      <c r="R342" s="88" t="n"/>
      <c r="S342" s="88" t="n"/>
      <c r="T342" s="88" t="n"/>
      <c r="U342" s="129" t="n"/>
      <c r="V342" s="129" t="n"/>
    </row>
    <row r="343" ht="14.25" customHeight="1" s="83">
      <c r="A343" s="103" t="n"/>
      <c r="B343" s="125" t="n"/>
      <c r="C343" s="103" t="n"/>
      <c r="D343" s="126" t="n"/>
      <c r="E343" s="126" t="n"/>
      <c r="F343" s="127">
        <f>IF(D343="","",MAX(D343-E343,0))</f>
        <v/>
      </c>
      <c r="G343" s="130">
        <f>IF(E343="","",E343*GeneratorRate)</f>
        <v/>
      </c>
      <c r="H343" s="130">
        <f>IF(F343="","",F343*GovernmentRate)</f>
        <v/>
      </c>
      <c r="I343" s="130">
        <f>IF(D343="","",G343+H343)</f>
        <v/>
      </c>
      <c r="J343" s="129">
        <f>IFERROR(I343/COUNTIFS('Client DB &amp; Bed Mgmt'!$A:$A,A343,'Client DB &amp; Bed Mgmt'!$B:$B,C343,'Client DB &amp; Bed Mgmt'!$D:$D,"&lt;&gt;"),0)</f>
        <v/>
      </c>
      <c r="K343" s="88" t="n"/>
      <c r="L343" s="88" t="n"/>
      <c r="M343" s="88">
        <f>COUNTIFS('Client DB &amp; Bed Mgmt'!$B:$B,L343,'Client DB &amp; Bed Mgmt'!$E:$E,"Occupied")</f>
        <v/>
      </c>
      <c r="N343" s="88" t="n"/>
      <c r="O343" s="88" t="n"/>
      <c r="P343" s="88" t="n"/>
      <c r="Q343" s="88" t="n"/>
      <c r="R343" s="88" t="n"/>
      <c r="S343" s="88" t="n"/>
      <c r="T343" s="88" t="n"/>
      <c r="U343" s="129" t="n"/>
      <c r="V343" s="129" t="n"/>
    </row>
    <row r="344" ht="14.25" customHeight="1" s="83">
      <c r="A344" s="103" t="n"/>
      <c r="B344" s="125" t="n"/>
      <c r="C344" s="103" t="n"/>
      <c r="D344" s="126" t="n"/>
      <c r="E344" s="126" t="n"/>
      <c r="F344" s="127">
        <f>IF(D344="","",MAX(D344-E344,0))</f>
        <v/>
      </c>
      <c r="G344" s="130">
        <f>IF(E344="","",E344*GeneratorRate)</f>
        <v/>
      </c>
      <c r="H344" s="130">
        <f>IF(F344="","",F344*GovernmentRate)</f>
        <v/>
      </c>
      <c r="I344" s="130">
        <f>IF(D344="","",G344+H344)</f>
        <v/>
      </c>
      <c r="J344" s="129">
        <f>IFERROR(I344/COUNTIFS('Client DB &amp; Bed Mgmt'!$A:$A,A344,'Client DB &amp; Bed Mgmt'!$B:$B,C344,'Client DB &amp; Bed Mgmt'!$D:$D,"&lt;&gt;"),0)</f>
        <v/>
      </c>
      <c r="K344" s="88" t="n"/>
      <c r="L344" s="88" t="n"/>
      <c r="M344" s="88">
        <f>COUNTIFS('Client DB &amp; Bed Mgmt'!$B:$B,L344,'Client DB &amp; Bed Mgmt'!$E:$E,"Occupied")</f>
        <v/>
      </c>
      <c r="N344" s="88" t="n"/>
      <c r="O344" s="88" t="n"/>
      <c r="P344" s="88" t="n"/>
      <c r="Q344" s="88" t="n"/>
      <c r="R344" s="88" t="n"/>
      <c r="S344" s="88" t="n"/>
      <c r="T344" s="88" t="n"/>
      <c r="U344" s="129" t="n"/>
      <c r="V344" s="129" t="n"/>
    </row>
    <row r="345" ht="14.25" customHeight="1" s="83">
      <c r="A345" s="103" t="n"/>
      <c r="B345" s="125" t="n"/>
      <c r="C345" s="103" t="n"/>
      <c r="D345" s="126" t="n"/>
      <c r="E345" s="126" t="n"/>
      <c r="F345" s="127">
        <f>IF(D345="","",MAX(D345-E345,0))</f>
        <v/>
      </c>
      <c r="G345" s="130">
        <f>IF(E345="","",E345*GeneratorRate)</f>
        <v/>
      </c>
      <c r="H345" s="130">
        <f>IF(F345="","",F345*GovernmentRate)</f>
        <v/>
      </c>
      <c r="I345" s="130">
        <f>IF(D345="","",G345+H345)</f>
        <v/>
      </c>
      <c r="J345" s="129">
        <f>IFERROR(I345/COUNTIFS('Client DB &amp; Bed Mgmt'!$A:$A,A345,'Client DB &amp; Bed Mgmt'!$B:$B,C345,'Client DB &amp; Bed Mgmt'!$D:$D,"&lt;&gt;"),0)</f>
        <v/>
      </c>
      <c r="K345" s="88" t="n"/>
      <c r="L345" s="88" t="n"/>
      <c r="M345" s="88">
        <f>COUNTIFS('Client DB &amp; Bed Mgmt'!$B:$B,L345,'Client DB &amp; Bed Mgmt'!$E:$E,"Occupied")</f>
        <v/>
      </c>
      <c r="N345" s="88" t="n"/>
      <c r="O345" s="88" t="n"/>
      <c r="P345" s="88" t="n"/>
      <c r="Q345" s="88" t="n"/>
      <c r="R345" s="88" t="n"/>
      <c r="S345" s="88" t="n"/>
      <c r="T345" s="88" t="n"/>
      <c r="U345" s="129" t="n"/>
      <c r="V345" s="129" t="n"/>
    </row>
    <row r="346" ht="14.25" customHeight="1" s="83">
      <c r="A346" s="103" t="n"/>
      <c r="B346" s="125" t="n"/>
      <c r="C346" s="103" t="n"/>
      <c r="D346" s="126" t="n"/>
      <c r="E346" s="126" t="n"/>
      <c r="F346" s="127">
        <f>IF(D346="","",MAX(D346-E346,0))</f>
        <v/>
      </c>
      <c r="G346" s="130">
        <f>IF(E346="","",E346*GeneratorRate)</f>
        <v/>
      </c>
      <c r="H346" s="130">
        <f>IF(F346="","",F346*GovernmentRate)</f>
        <v/>
      </c>
      <c r="I346" s="130">
        <f>IF(D346="","",G346+H346)</f>
        <v/>
      </c>
      <c r="J346" s="129">
        <f>IFERROR(I346/COUNTIFS('Client DB &amp; Bed Mgmt'!$A:$A,A346,'Client DB &amp; Bed Mgmt'!$B:$B,C346,'Client DB &amp; Bed Mgmt'!$D:$D,"&lt;&gt;"),0)</f>
        <v/>
      </c>
      <c r="K346" s="88" t="n"/>
      <c r="L346" s="88" t="n"/>
      <c r="M346" s="88">
        <f>COUNTIFS('Client DB &amp; Bed Mgmt'!$B:$B,L346,'Client DB &amp; Bed Mgmt'!$E:$E,"Occupied")</f>
        <v/>
      </c>
      <c r="N346" s="88" t="n"/>
      <c r="O346" s="88" t="n"/>
      <c r="P346" s="88" t="n"/>
      <c r="Q346" s="88" t="n"/>
      <c r="R346" s="88" t="n"/>
      <c r="S346" s="88" t="n"/>
      <c r="T346" s="88" t="n"/>
      <c r="U346" s="129" t="n"/>
      <c r="V346" s="129" t="n"/>
    </row>
    <row r="347" ht="14.25" customHeight="1" s="83">
      <c r="A347" s="103" t="n"/>
      <c r="B347" s="125" t="n"/>
      <c r="C347" s="103" t="n"/>
      <c r="D347" s="126" t="n"/>
      <c r="E347" s="126" t="n"/>
      <c r="F347" s="127">
        <f>IF(D347="","",MAX(D347-E347,0))</f>
        <v/>
      </c>
      <c r="G347" s="130">
        <f>IF(E347="","",E347*GeneratorRate)</f>
        <v/>
      </c>
      <c r="H347" s="130">
        <f>IF(F347="","",F347*GovernmentRate)</f>
        <v/>
      </c>
      <c r="I347" s="130">
        <f>IF(D347="","",G347+H347)</f>
        <v/>
      </c>
      <c r="J347" s="129">
        <f>IFERROR(I347/COUNTIFS('Client DB &amp; Bed Mgmt'!$A:$A,A347,'Client DB &amp; Bed Mgmt'!$B:$B,C347,'Client DB &amp; Bed Mgmt'!$D:$D,"&lt;&gt;"),0)</f>
        <v/>
      </c>
      <c r="K347" s="88" t="n"/>
      <c r="L347" s="88" t="n"/>
      <c r="M347" s="88">
        <f>COUNTIFS('Client DB &amp; Bed Mgmt'!$B:$B,L347,'Client DB &amp; Bed Mgmt'!$E:$E,"Occupied")</f>
        <v/>
      </c>
      <c r="N347" s="88" t="n"/>
      <c r="O347" s="88" t="n"/>
      <c r="P347" s="88" t="n"/>
      <c r="Q347" s="88" t="n"/>
      <c r="R347" s="88" t="n"/>
      <c r="S347" s="88" t="n"/>
      <c r="T347" s="88" t="n"/>
      <c r="U347" s="129" t="n"/>
      <c r="V347" s="129" t="n"/>
    </row>
    <row r="348" ht="14.25" customHeight="1" s="83">
      <c r="A348" s="103" t="n"/>
      <c r="B348" s="125" t="n"/>
      <c r="C348" s="103" t="n"/>
      <c r="D348" s="126" t="n"/>
      <c r="E348" s="126" t="n"/>
      <c r="F348" s="127">
        <f>IF(D348="","",MAX(D348-E348,0))</f>
        <v/>
      </c>
      <c r="G348" s="130">
        <f>IF(E348="","",E348*GeneratorRate)</f>
        <v/>
      </c>
      <c r="H348" s="130">
        <f>IF(F348="","",F348*GovernmentRate)</f>
        <v/>
      </c>
      <c r="I348" s="130">
        <f>IF(D348="","",G348+H348)</f>
        <v/>
      </c>
      <c r="J348" s="129">
        <f>IFERROR(I348/COUNTIFS('Client DB &amp; Bed Mgmt'!$A:$A,A348,'Client DB &amp; Bed Mgmt'!$B:$B,C348,'Client DB &amp; Bed Mgmt'!$D:$D,"&lt;&gt;"),0)</f>
        <v/>
      </c>
      <c r="K348" s="88" t="n"/>
      <c r="L348" s="88" t="n"/>
      <c r="M348" s="88">
        <f>COUNTIFS('Client DB &amp; Bed Mgmt'!$B:$B,L348,'Client DB &amp; Bed Mgmt'!$E:$E,"Occupied")</f>
        <v/>
      </c>
      <c r="N348" s="88" t="n"/>
      <c r="O348" s="88" t="n"/>
      <c r="P348" s="88" t="n"/>
      <c r="Q348" s="88" t="n"/>
      <c r="R348" s="88" t="n"/>
      <c r="S348" s="88" t="n"/>
      <c r="T348" s="88" t="n"/>
      <c r="U348" s="129" t="n"/>
      <c r="V348" s="129" t="n"/>
    </row>
    <row r="349" ht="14.25" customHeight="1" s="83">
      <c r="A349" s="103" t="n"/>
      <c r="B349" s="125" t="n"/>
      <c r="C349" s="103" t="n"/>
      <c r="D349" s="126" t="n"/>
      <c r="E349" s="126" t="n"/>
      <c r="F349" s="127">
        <f>IF(D349="","",MAX(D349-E349,0))</f>
        <v/>
      </c>
      <c r="G349" s="130">
        <f>IF(E349="","",E349*GeneratorRate)</f>
        <v/>
      </c>
      <c r="H349" s="130">
        <f>IF(F349="","",F349*GovernmentRate)</f>
        <v/>
      </c>
      <c r="I349" s="130">
        <f>IF(D349="","",G349+H349)</f>
        <v/>
      </c>
      <c r="J349" s="129">
        <f>IFERROR(I349/COUNTIFS('Client DB &amp; Bed Mgmt'!$A:$A,A349,'Client DB &amp; Bed Mgmt'!$B:$B,C349,'Client DB &amp; Bed Mgmt'!$D:$D,"&lt;&gt;"),0)</f>
        <v/>
      </c>
      <c r="K349" s="88" t="n"/>
      <c r="L349" s="88" t="n"/>
      <c r="M349" s="88">
        <f>COUNTIFS('Client DB &amp; Bed Mgmt'!$B:$B,L349,'Client DB &amp; Bed Mgmt'!$E:$E,"Occupied")</f>
        <v/>
      </c>
      <c r="N349" s="88" t="n"/>
      <c r="O349" s="88" t="n"/>
      <c r="P349" s="88" t="n"/>
      <c r="Q349" s="88" t="n"/>
      <c r="R349" s="88" t="n"/>
      <c r="S349" s="88" t="n"/>
      <c r="T349" s="88" t="n"/>
      <c r="U349" s="129" t="n"/>
      <c r="V349" s="129" t="n"/>
    </row>
    <row r="350" ht="14.25" customHeight="1" s="83">
      <c r="A350" s="103" t="n"/>
      <c r="B350" s="125" t="n"/>
      <c r="C350" s="103" t="n"/>
      <c r="D350" s="126" t="n"/>
      <c r="E350" s="126" t="n"/>
      <c r="F350" s="127">
        <f>IF(D350="","",MAX(D350-E350,0))</f>
        <v/>
      </c>
      <c r="G350" s="130">
        <f>IF(E350="","",E350*GeneratorRate)</f>
        <v/>
      </c>
      <c r="H350" s="130">
        <f>IF(F350="","",F350*GovernmentRate)</f>
        <v/>
      </c>
      <c r="I350" s="130">
        <f>IF(D350="","",G350+H350)</f>
        <v/>
      </c>
      <c r="J350" s="129">
        <f>IFERROR(I350/COUNTIFS('Client DB &amp; Bed Mgmt'!$A:$A,A350,'Client DB &amp; Bed Mgmt'!$B:$B,C350,'Client DB &amp; Bed Mgmt'!$D:$D,"&lt;&gt;"),0)</f>
        <v/>
      </c>
      <c r="K350" s="88" t="n"/>
      <c r="L350" s="88" t="n"/>
      <c r="M350" s="88">
        <f>COUNTIFS('Client DB &amp; Bed Mgmt'!$B:$B,L350,'Client DB &amp; Bed Mgmt'!$E:$E,"Occupied")</f>
        <v/>
      </c>
      <c r="N350" s="88" t="n"/>
      <c r="O350" s="88" t="n"/>
      <c r="P350" s="88" t="n"/>
      <c r="Q350" s="88" t="n"/>
      <c r="R350" s="88" t="n"/>
      <c r="S350" s="88" t="n"/>
      <c r="T350" s="88" t="n"/>
      <c r="U350" s="129" t="n"/>
      <c r="V350" s="129" t="n"/>
    </row>
    <row r="351" ht="14.25" customHeight="1" s="83">
      <c r="A351" s="103" t="n"/>
      <c r="B351" s="125" t="n"/>
      <c r="C351" s="103" t="n"/>
      <c r="D351" s="126" t="n"/>
      <c r="E351" s="126" t="n"/>
      <c r="F351" s="127">
        <f>IF(D351="","",MAX(D351-E351,0))</f>
        <v/>
      </c>
      <c r="G351" s="130">
        <f>IF(E351="","",E351*GeneratorRate)</f>
        <v/>
      </c>
      <c r="H351" s="130">
        <f>IF(F351="","",F351*GovernmentRate)</f>
        <v/>
      </c>
      <c r="I351" s="130">
        <f>IF(D351="","",G351+H351)</f>
        <v/>
      </c>
      <c r="J351" s="129">
        <f>IFERROR(I351/COUNTIFS('Client DB &amp; Bed Mgmt'!$A:$A,A351,'Client DB &amp; Bed Mgmt'!$B:$B,C351,'Client DB &amp; Bed Mgmt'!$D:$D,"&lt;&gt;"),0)</f>
        <v/>
      </c>
      <c r="K351" s="88" t="n"/>
      <c r="L351" s="88" t="n"/>
      <c r="M351" s="88">
        <f>COUNTIFS('Client DB &amp; Bed Mgmt'!$B:$B,L351,'Client DB &amp; Bed Mgmt'!$E:$E,"Occupied")</f>
        <v/>
      </c>
      <c r="N351" s="88" t="n"/>
      <c r="O351" s="88" t="n"/>
      <c r="P351" s="88" t="n"/>
      <c r="Q351" s="88" t="n"/>
      <c r="R351" s="88" t="n"/>
      <c r="S351" s="88" t="n"/>
      <c r="T351" s="88" t="n"/>
      <c r="U351" s="129" t="n"/>
      <c r="V351" s="129" t="n"/>
    </row>
    <row r="352" ht="14.25" customHeight="1" s="83">
      <c r="A352" s="103" t="n"/>
      <c r="B352" s="125" t="n"/>
      <c r="C352" s="103" t="n"/>
      <c r="D352" s="126" t="n"/>
      <c r="E352" s="126" t="n"/>
      <c r="F352" s="127">
        <f>IF(D352="","",MAX(D352-E352,0))</f>
        <v/>
      </c>
      <c r="G352" s="130">
        <f>IF(E352="","",E352*GeneratorRate)</f>
        <v/>
      </c>
      <c r="H352" s="130">
        <f>IF(F352="","",F352*GovernmentRate)</f>
        <v/>
      </c>
      <c r="I352" s="130">
        <f>IF(D352="","",G352+H352)</f>
        <v/>
      </c>
      <c r="J352" s="129">
        <f>IFERROR(I352/COUNTIFS('Client DB &amp; Bed Mgmt'!$A:$A,A352,'Client DB &amp; Bed Mgmt'!$B:$B,C352,'Client DB &amp; Bed Mgmt'!$D:$D,"&lt;&gt;"),0)</f>
        <v/>
      </c>
      <c r="K352" s="88" t="n"/>
      <c r="L352" s="88" t="n"/>
      <c r="M352" s="88">
        <f>COUNTIFS('Client DB &amp; Bed Mgmt'!$B:$B,L352,'Client DB &amp; Bed Mgmt'!$E:$E,"Occupied")</f>
        <v/>
      </c>
      <c r="N352" s="88" t="n"/>
      <c r="O352" s="88" t="n"/>
      <c r="P352" s="88" t="n"/>
      <c r="Q352" s="88" t="n"/>
      <c r="R352" s="88" t="n"/>
      <c r="S352" s="88" t="n"/>
      <c r="T352" s="88" t="n"/>
      <c r="U352" s="129" t="n"/>
      <c r="V352" s="129" t="n"/>
    </row>
    <row r="353" ht="14.25" customHeight="1" s="83">
      <c r="A353" s="103" t="n"/>
      <c r="B353" s="125" t="n"/>
      <c r="C353" s="103" t="n"/>
      <c r="D353" s="126" t="n"/>
      <c r="E353" s="126" t="n"/>
      <c r="F353" s="127">
        <f>IF(D353="","",MAX(D353-E353,0))</f>
        <v/>
      </c>
      <c r="G353" s="130">
        <f>IF(E353="","",E353*GeneratorRate)</f>
        <v/>
      </c>
      <c r="H353" s="130">
        <f>IF(F353="","",F353*GovernmentRate)</f>
        <v/>
      </c>
      <c r="I353" s="130">
        <f>IF(D353="","",G353+H353)</f>
        <v/>
      </c>
      <c r="J353" s="129">
        <f>IFERROR(I353/COUNTIFS('Client DB &amp; Bed Mgmt'!$A:$A,A353,'Client DB &amp; Bed Mgmt'!$B:$B,C353,'Client DB &amp; Bed Mgmt'!$D:$D,"&lt;&gt;"),0)</f>
        <v/>
      </c>
      <c r="K353" s="88" t="n"/>
      <c r="L353" s="88" t="n"/>
      <c r="M353" s="88">
        <f>COUNTIFS('Client DB &amp; Bed Mgmt'!$B:$B,L353,'Client DB &amp; Bed Mgmt'!$E:$E,"Occupied")</f>
        <v/>
      </c>
      <c r="N353" s="88" t="n"/>
      <c r="O353" s="88" t="n"/>
      <c r="P353" s="88" t="n"/>
      <c r="Q353" s="88" t="n"/>
      <c r="R353" s="88" t="n"/>
      <c r="S353" s="88" t="n"/>
      <c r="T353" s="88" t="n"/>
      <c r="U353" s="129" t="n"/>
      <c r="V353" s="129" t="n"/>
    </row>
    <row r="354" ht="14.25" customHeight="1" s="83">
      <c r="A354" s="103" t="n"/>
      <c r="B354" s="125" t="n"/>
      <c r="C354" s="103" t="n"/>
      <c r="D354" s="126" t="n"/>
      <c r="E354" s="126" t="n"/>
      <c r="F354" s="127">
        <f>IF(D354="","",MAX(D354-E354,0))</f>
        <v/>
      </c>
      <c r="G354" s="130">
        <f>IF(E354="","",E354*GeneratorRate)</f>
        <v/>
      </c>
      <c r="H354" s="130">
        <f>IF(F354="","",F354*GovernmentRate)</f>
        <v/>
      </c>
      <c r="I354" s="130">
        <f>IF(D354="","",G354+H354)</f>
        <v/>
      </c>
      <c r="J354" s="129">
        <f>IFERROR(I354/COUNTIFS('Client DB &amp; Bed Mgmt'!$A:$A,A354,'Client DB &amp; Bed Mgmt'!$B:$B,C354,'Client DB &amp; Bed Mgmt'!$D:$D,"&lt;&gt;"),0)</f>
        <v/>
      </c>
      <c r="K354" s="88" t="n"/>
      <c r="L354" s="88" t="n"/>
      <c r="M354" s="88">
        <f>COUNTIFS('Client DB &amp; Bed Mgmt'!$B:$B,L354,'Client DB &amp; Bed Mgmt'!$E:$E,"Occupied")</f>
        <v/>
      </c>
      <c r="N354" s="88" t="n"/>
      <c r="O354" s="88" t="n"/>
      <c r="P354" s="88" t="n"/>
      <c r="Q354" s="88" t="n"/>
      <c r="R354" s="88" t="n"/>
      <c r="S354" s="88" t="n"/>
      <c r="T354" s="88" t="n"/>
      <c r="U354" s="129" t="n"/>
      <c r="V354" s="129" t="n"/>
    </row>
    <row r="355" ht="14.25" customHeight="1" s="83">
      <c r="A355" s="103" t="n"/>
      <c r="B355" s="125" t="n"/>
      <c r="C355" s="103" t="n"/>
      <c r="D355" s="126" t="n"/>
      <c r="E355" s="126" t="n"/>
      <c r="F355" s="127">
        <f>IF(D355="","",MAX(D355-E355,0))</f>
        <v/>
      </c>
      <c r="G355" s="130">
        <f>IF(E355="","",E355*GeneratorRate)</f>
        <v/>
      </c>
      <c r="H355" s="130">
        <f>IF(F355="","",F355*GovernmentRate)</f>
        <v/>
      </c>
      <c r="I355" s="130">
        <f>IF(D355="","",G355+H355)</f>
        <v/>
      </c>
      <c r="J355" s="129">
        <f>IFERROR(I355/COUNTIFS('Client DB &amp; Bed Mgmt'!$A:$A,A355,'Client DB &amp; Bed Mgmt'!$B:$B,C355,'Client DB &amp; Bed Mgmt'!$D:$D,"&lt;&gt;"),0)</f>
        <v/>
      </c>
      <c r="K355" s="88" t="n"/>
      <c r="L355" s="88" t="n"/>
      <c r="M355" s="88">
        <f>COUNTIFS('Client DB &amp; Bed Mgmt'!$B:$B,L355,'Client DB &amp; Bed Mgmt'!$E:$E,"Occupied")</f>
        <v/>
      </c>
      <c r="N355" s="88" t="n"/>
      <c r="O355" s="88" t="n"/>
      <c r="P355" s="88" t="n"/>
      <c r="Q355" s="88" t="n"/>
      <c r="R355" s="88" t="n"/>
      <c r="S355" s="88" t="n"/>
      <c r="T355" s="88" t="n"/>
      <c r="U355" s="129" t="n"/>
      <c r="V355" s="129" t="n"/>
    </row>
    <row r="356" ht="14.25" customHeight="1" s="83">
      <c r="A356" s="103" t="n"/>
      <c r="B356" s="125" t="n"/>
      <c r="C356" s="103" t="n"/>
      <c r="D356" s="126" t="n"/>
      <c r="E356" s="126" t="n"/>
      <c r="F356" s="127">
        <f>IF(D356="","",MAX(D356-E356,0))</f>
        <v/>
      </c>
      <c r="G356" s="130">
        <f>IF(E356="","",E356*GeneratorRate)</f>
        <v/>
      </c>
      <c r="H356" s="130">
        <f>IF(F356="","",F356*GovernmentRate)</f>
        <v/>
      </c>
      <c r="I356" s="130">
        <f>IF(D356="","",G356+H356)</f>
        <v/>
      </c>
      <c r="J356" s="129">
        <f>IFERROR(I356/COUNTIFS('Client DB &amp; Bed Mgmt'!$A:$A,A356,'Client DB &amp; Bed Mgmt'!$B:$B,C356,'Client DB &amp; Bed Mgmt'!$D:$D,"&lt;&gt;"),0)</f>
        <v/>
      </c>
      <c r="K356" s="88" t="n"/>
      <c r="L356" s="88" t="n"/>
      <c r="M356" s="88">
        <f>COUNTIFS('Client DB &amp; Bed Mgmt'!$B:$B,L356,'Client DB &amp; Bed Mgmt'!$E:$E,"Occupied")</f>
        <v/>
      </c>
      <c r="N356" s="88" t="n"/>
      <c r="O356" s="88" t="n"/>
      <c r="P356" s="88" t="n"/>
      <c r="Q356" s="88" t="n"/>
      <c r="R356" s="88" t="n"/>
      <c r="S356" s="88" t="n"/>
      <c r="T356" s="88" t="n"/>
      <c r="U356" s="129" t="n"/>
      <c r="V356" s="129" t="n"/>
    </row>
    <row r="357" ht="14.25" customHeight="1" s="83">
      <c r="A357" s="103" t="n"/>
      <c r="B357" s="125" t="n"/>
      <c r="C357" s="103" t="n"/>
      <c r="D357" s="126" t="n"/>
      <c r="E357" s="126" t="n"/>
      <c r="F357" s="127">
        <f>IF(D357="","",MAX(D357-E357,0))</f>
        <v/>
      </c>
      <c r="G357" s="130">
        <f>IF(E357="","",E357*GeneratorRate)</f>
        <v/>
      </c>
      <c r="H357" s="130">
        <f>IF(F357="","",F357*GovernmentRate)</f>
        <v/>
      </c>
      <c r="I357" s="130">
        <f>IF(D357="","",G357+H357)</f>
        <v/>
      </c>
      <c r="J357" s="129">
        <f>IFERROR(I357/COUNTIFS('Client DB &amp; Bed Mgmt'!$A:$A,A357,'Client DB &amp; Bed Mgmt'!$B:$B,C357,'Client DB &amp; Bed Mgmt'!$D:$D,"&lt;&gt;"),0)</f>
        <v/>
      </c>
      <c r="K357" s="88" t="n"/>
      <c r="L357" s="88" t="n"/>
      <c r="M357" s="88">
        <f>COUNTIFS('Client DB &amp; Bed Mgmt'!$B:$B,L357,'Client DB &amp; Bed Mgmt'!$E:$E,"Occupied")</f>
        <v/>
      </c>
      <c r="N357" s="88" t="n"/>
      <c r="O357" s="88" t="n"/>
      <c r="P357" s="88" t="n"/>
      <c r="Q357" s="88" t="n"/>
      <c r="R357" s="88" t="n"/>
      <c r="S357" s="88" t="n"/>
      <c r="T357" s="88" t="n"/>
      <c r="U357" s="129" t="n"/>
      <c r="V357" s="129" t="n"/>
    </row>
    <row r="358" ht="14.25" customHeight="1" s="83">
      <c r="A358" s="103" t="n"/>
      <c r="B358" s="125" t="n"/>
      <c r="C358" s="103" t="n"/>
      <c r="D358" s="126" t="n"/>
      <c r="E358" s="126" t="n"/>
      <c r="F358" s="127">
        <f>IF(D358="","",MAX(D358-E358,0))</f>
        <v/>
      </c>
      <c r="G358" s="130">
        <f>IF(E358="","",E358*GeneratorRate)</f>
        <v/>
      </c>
      <c r="H358" s="130">
        <f>IF(F358="","",F358*GovernmentRate)</f>
        <v/>
      </c>
      <c r="I358" s="130">
        <f>IF(D358="","",G358+H358)</f>
        <v/>
      </c>
      <c r="J358" s="129">
        <f>IFERROR(I358/COUNTIFS('Client DB &amp; Bed Mgmt'!$A:$A,A358,'Client DB &amp; Bed Mgmt'!$B:$B,C358,'Client DB &amp; Bed Mgmt'!$D:$D,"&lt;&gt;"),0)</f>
        <v/>
      </c>
      <c r="K358" s="88" t="n"/>
      <c r="L358" s="88" t="n"/>
      <c r="M358" s="88">
        <f>COUNTIFS('Client DB &amp; Bed Mgmt'!$B:$B,L358,'Client DB &amp; Bed Mgmt'!$E:$E,"Occupied")</f>
        <v/>
      </c>
      <c r="N358" s="88" t="n"/>
      <c r="O358" s="88" t="n"/>
      <c r="P358" s="88" t="n"/>
      <c r="Q358" s="88" t="n"/>
      <c r="R358" s="88" t="n"/>
      <c r="S358" s="88" t="n"/>
      <c r="T358" s="88" t="n"/>
      <c r="U358" s="129" t="n"/>
      <c r="V358" s="129" t="n"/>
    </row>
    <row r="359" ht="14.25" customHeight="1" s="83">
      <c r="A359" s="103" t="n"/>
      <c r="B359" s="125" t="n"/>
      <c r="C359" s="103" t="n"/>
      <c r="D359" s="126" t="n"/>
      <c r="E359" s="126" t="n"/>
      <c r="F359" s="127">
        <f>IF(D359="","",MAX(D359-E359,0))</f>
        <v/>
      </c>
      <c r="G359" s="130">
        <f>IF(E359="","",E359*GeneratorRate)</f>
        <v/>
      </c>
      <c r="H359" s="130">
        <f>IF(F359="","",F359*GovernmentRate)</f>
        <v/>
      </c>
      <c r="I359" s="130">
        <f>IF(D359="","",G359+H359)</f>
        <v/>
      </c>
      <c r="J359" s="129">
        <f>IFERROR(I359/COUNTIFS('Client DB &amp; Bed Mgmt'!$A:$A,A359,'Client DB &amp; Bed Mgmt'!$B:$B,C359,'Client DB &amp; Bed Mgmt'!$D:$D,"&lt;&gt;"),0)</f>
        <v/>
      </c>
      <c r="K359" s="88" t="n"/>
      <c r="L359" s="88" t="n"/>
      <c r="M359" s="88">
        <f>COUNTIFS('Client DB &amp; Bed Mgmt'!$B:$B,L359,'Client DB &amp; Bed Mgmt'!$E:$E,"Occupied")</f>
        <v/>
      </c>
      <c r="N359" s="88" t="n"/>
      <c r="O359" s="88" t="n"/>
      <c r="P359" s="88" t="n"/>
      <c r="Q359" s="88" t="n"/>
      <c r="R359" s="88" t="n"/>
      <c r="S359" s="88" t="n"/>
      <c r="T359" s="88" t="n"/>
      <c r="U359" s="129" t="n"/>
      <c r="V359" s="129" t="n"/>
    </row>
    <row r="360" ht="14.25" customHeight="1" s="83">
      <c r="A360" s="103" t="n"/>
      <c r="B360" s="125" t="n"/>
      <c r="C360" s="103" t="n"/>
      <c r="D360" s="126" t="n"/>
      <c r="E360" s="126" t="n"/>
      <c r="F360" s="127">
        <f>IF(D360="","",MAX(D360-E360,0))</f>
        <v/>
      </c>
      <c r="G360" s="130">
        <f>IF(E360="","",E360*GeneratorRate)</f>
        <v/>
      </c>
      <c r="H360" s="130">
        <f>IF(F360="","",F360*GovernmentRate)</f>
        <v/>
      </c>
      <c r="I360" s="130">
        <f>IF(D360="","",G360+H360)</f>
        <v/>
      </c>
      <c r="J360" s="129">
        <f>IFERROR(I360/COUNTIFS('Client DB &amp; Bed Mgmt'!$A:$A,A360,'Client DB &amp; Bed Mgmt'!$B:$B,C360,'Client DB &amp; Bed Mgmt'!$D:$D,"&lt;&gt;"),0)</f>
        <v/>
      </c>
      <c r="K360" s="88" t="n"/>
      <c r="L360" s="88" t="n"/>
      <c r="M360" s="88">
        <f>COUNTIFS('Client DB &amp; Bed Mgmt'!$B:$B,L360,'Client DB &amp; Bed Mgmt'!$E:$E,"Occupied")</f>
        <v/>
      </c>
      <c r="N360" s="88" t="n"/>
      <c r="O360" s="88" t="n"/>
      <c r="P360" s="88" t="n"/>
      <c r="Q360" s="88" t="n"/>
      <c r="R360" s="88" t="n"/>
      <c r="S360" s="88" t="n"/>
      <c r="T360" s="88" t="n"/>
      <c r="U360" s="129" t="n"/>
      <c r="V360" s="129" t="n"/>
    </row>
    <row r="361" ht="14.25" customHeight="1" s="83">
      <c r="A361" s="103" t="n"/>
      <c r="B361" s="125" t="n"/>
      <c r="C361" s="103" t="n"/>
      <c r="D361" s="126" t="n"/>
      <c r="E361" s="126" t="n"/>
      <c r="F361" s="127">
        <f>IF(D361="","",MAX(D361-E361,0))</f>
        <v/>
      </c>
      <c r="G361" s="130">
        <f>IF(E361="","",E361*GeneratorRate)</f>
        <v/>
      </c>
      <c r="H361" s="130">
        <f>IF(F361="","",F361*GovernmentRate)</f>
        <v/>
      </c>
      <c r="I361" s="130">
        <f>IF(D361="","",G361+H361)</f>
        <v/>
      </c>
      <c r="J361" s="129">
        <f>IFERROR(I361/COUNTIFS('Client DB &amp; Bed Mgmt'!$A:$A,A361,'Client DB &amp; Bed Mgmt'!$B:$B,C361,'Client DB &amp; Bed Mgmt'!$D:$D,"&lt;&gt;"),0)</f>
        <v/>
      </c>
      <c r="K361" s="88" t="n"/>
      <c r="L361" s="88" t="n"/>
      <c r="M361" s="88">
        <f>COUNTIFS('Client DB &amp; Bed Mgmt'!$B:$B,L361,'Client DB &amp; Bed Mgmt'!$E:$E,"Occupied")</f>
        <v/>
      </c>
      <c r="N361" s="88" t="n"/>
      <c r="O361" s="88" t="n"/>
      <c r="P361" s="88" t="n"/>
      <c r="Q361" s="88" t="n"/>
      <c r="R361" s="88" t="n"/>
      <c r="S361" s="88" t="n"/>
      <c r="T361" s="88" t="n"/>
      <c r="U361" s="129" t="n"/>
      <c r="V361" s="129" t="n"/>
    </row>
    <row r="362" ht="14.25" customHeight="1" s="83">
      <c r="A362" s="103" t="n"/>
      <c r="B362" s="125" t="n"/>
      <c r="C362" s="103" t="n"/>
      <c r="D362" s="126" t="n"/>
      <c r="E362" s="126" t="n"/>
      <c r="F362" s="127">
        <f>IF(D362="","",MAX(D362-E362,0))</f>
        <v/>
      </c>
      <c r="G362" s="130">
        <f>IF(E362="","",E362*GeneratorRate)</f>
        <v/>
      </c>
      <c r="H362" s="130">
        <f>IF(F362="","",F362*GovernmentRate)</f>
        <v/>
      </c>
      <c r="I362" s="130">
        <f>IF(D362="","",G362+H362)</f>
        <v/>
      </c>
      <c r="J362" s="129">
        <f>IFERROR(I362/COUNTIFS('Client DB &amp; Bed Mgmt'!$A:$A,A362,'Client DB &amp; Bed Mgmt'!$B:$B,C362,'Client DB &amp; Bed Mgmt'!$D:$D,"&lt;&gt;"),0)</f>
        <v/>
      </c>
      <c r="K362" s="88" t="n"/>
      <c r="L362" s="88" t="n"/>
      <c r="M362" s="88">
        <f>COUNTIFS('Client DB &amp; Bed Mgmt'!$B:$B,L362,'Client DB &amp; Bed Mgmt'!$E:$E,"Occupied")</f>
        <v/>
      </c>
      <c r="N362" s="88" t="n"/>
      <c r="O362" s="88" t="n"/>
      <c r="P362" s="88" t="n"/>
      <c r="Q362" s="88" t="n"/>
      <c r="R362" s="88" t="n"/>
      <c r="S362" s="88" t="n"/>
      <c r="T362" s="88" t="n"/>
      <c r="U362" s="129" t="n"/>
      <c r="V362" s="129" t="n"/>
    </row>
    <row r="363" ht="14.25" customHeight="1" s="83">
      <c r="A363" s="103" t="n"/>
      <c r="B363" s="125" t="n"/>
      <c r="C363" s="103" t="n"/>
      <c r="D363" s="126" t="n"/>
      <c r="E363" s="126" t="n"/>
      <c r="F363" s="127">
        <f>IF(D363="","",MAX(D363-E363,0))</f>
        <v/>
      </c>
      <c r="G363" s="130">
        <f>IF(E363="","",E363*GeneratorRate)</f>
        <v/>
      </c>
      <c r="H363" s="130">
        <f>IF(F363="","",F363*GovernmentRate)</f>
        <v/>
      </c>
      <c r="I363" s="130">
        <f>IF(D363="","",G363+H363)</f>
        <v/>
      </c>
      <c r="J363" s="129">
        <f>IFERROR(I363/COUNTIFS('Client DB &amp; Bed Mgmt'!$A:$A,A363,'Client DB &amp; Bed Mgmt'!$B:$B,C363,'Client DB &amp; Bed Mgmt'!$D:$D,"&lt;&gt;"),0)</f>
        <v/>
      </c>
      <c r="K363" s="88" t="n"/>
      <c r="L363" s="88" t="n"/>
      <c r="M363" s="88">
        <f>COUNTIFS('Client DB &amp; Bed Mgmt'!$B:$B,L363,'Client DB &amp; Bed Mgmt'!$E:$E,"Occupied")</f>
        <v/>
      </c>
      <c r="N363" s="88" t="n"/>
      <c r="O363" s="88" t="n"/>
      <c r="P363" s="88" t="n"/>
      <c r="Q363" s="88" t="n"/>
      <c r="R363" s="88" t="n"/>
      <c r="S363" s="88" t="n"/>
      <c r="T363" s="88" t="n"/>
      <c r="U363" s="129" t="n"/>
      <c r="V363" s="129" t="n"/>
    </row>
    <row r="364" ht="14.25" customHeight="1" s="83">
      <c r="A364" s="103" t="n"/>
      <c r="B364" s="125" t="n"/>
      <c r="C364" s="103" t="n"/>
      <c r="D364" s="126" t="n"/>
      <c r="E364" s="126" t="n"/>
      <c r="F364" s="127">
        <f>IF(D364="","",MAX(D364-E364,0))</f>
        <v/>
      </c>
      <c r="G364" s="130">
        <f>IF(E364="","",E364*GeneratorRate)</f>
        <v/>
      </c>
      <c r="H364" s="130">
        <f>IF(F364="","",F364*GovernmentRate)</f>
        <v/>
      </c>
      <c r="I364" s="130">
        <f>IF(D364="","",G364+H364)</f>
        <v/>
      </c>
      <c r="J364" s="129">
        <f>IFERROR(I364/COUNTIFS('Client DB &amp; Bed Mgmt'!$A:$A,A364,'Client DB &amp; Bed Mgmt'!$B:$B,C364,'Client DB &amp; Bed Mgmt'!$D:$D,"&lt;&gt;"),0)</f>
        <v/>
      </c>
      <c r="K364" s="88" t="n"/>
      <c r="L364" s="88" t="n"/>
      <c r="M364" s="88">
        <f>COUNTIFS('Client DB &amp; Bed Mgmt'!$B:$B,L364,'Client DB &amp; Bed Mgmt'!$E:$E,"Occupied")</f>
        <v/>
      </c>
      <c r="N364" s="88" t="n"/>
      <c r="O364" s="88" t="n"/>
      <c r="P364" s="88" t="n"/>
      <c r="Q364" s="88" t="n"/>
      <c r="R364" s="88" t="n"/>
      <c r="S364" s="88" t="n"/>
      <c r="T364" s="88" t="n"/>
      <c r="U364" s="129" t="n"/>
      <c r="V364" s="129" t="n"/>
    </row>
    <row r="365" ht="14.25" customHeight="1" s="83">
      <c r="A365" s="103" t="n"/>
      <c r="B365" s="125" t="n"/>
      <c r="C365" s="103" t="n"/>
      <c r="D365" s="126" t="n"/>
      <c r="E365" s="126" t="n"/>
      <c r="F365" s="127">
        <f>IF(D365="","",MAX(D365-E365,0))</f>
        <v/>
      </c>
      <c r="G365" s="130">
        <f>IF(E365="","",E365*GeneratorRate)</f>
        <v/>
      </c>
      <c r="H365" s="130">
        <f>IF(F365="","",F365*GovernmentRate)</f>
        <v/>
      </c>
      <c r="I365" s="130">
        <f>IF(D365="","",G365+H365)</f>
        <v/>
      </c>
      <c r="J365" s="129">
        <f>IFERROR(I365/COUNTIFS('Client DB &amp; Bed Mgmt'!$A:$A,A365,'Client DB &amp; Bed Mgmt'!$B:$B,C365,'Client DB &amp; Bed Mgmt'!$D:$D,"&lt;&gt;"),0)</f>
        <v/>
      </c>
      <c r="K365" s="88" t="n"/>
      <c r="L365" s="88" t="n"/>
      <c r="M365" s="88">
        <f>COUNTIFS('Client DB &amp; Bed Mgmt'!$B:$B,L365,'Client DB &amp; Bed Mgmt'!$E:$E,"Occupied")</f>
        <v/>
      </c>
      <c r="N365" s="88" t="n"/>
      <c r="O365" s="88" t="n"/>
      <c r="P365" s="88" t="n"/>
      <c r="Q365" s="88" t="n"/>
      <c r="R365" s="88" t="n"/>
      <c r="S365" s="88" t="n"/>
      <c r="T365" s="88" t="n"/>
      <c r="U365" s="129" t="n"/>
      <c r="V365" s="129" t="n"/>
    </row>
    <row r="366" ht="14.25" customHeight="1" s="83">
      <c r="A366" s="103" t="n"/>
      <c r="B366" s="125" t="n"/>
      <c r="C366" s="103" t="n"/>
      <c r="D366" s="126" t="n"/>
      <c r="E366" s="126" t="n"/>
      <c r="F366" s="127">
        <f>IF(D366="","",MAX(D366-E366,0))</f>
        <v/>
      </c>
      <c r="G366" s="130">
        <f>IF(E366="","",E366*GeneratorRate)</f>
        <v/>
      </c>
      <c r="H366" s="130">
        <f>IF(F366="","",F366*GovernmentRate)</f>
        <v/>
      </c>
      <c r="I366" s="130">
        <f>IF(D366="","",G366+H366)</f>
        <v/>
      </c>
      <c r="J366" s="129">
        <f>IFERROR(I366/COUNTIFS('Client DB &amp; Bed Mgmt'!$A:$A,A366,'Client DB &amp; Bed Mgmt'!$B:$B,C366,'Client DB &amp; Bed Mgmt'!$D:$D,"&lt;&gt;"),0)</f>
        <v/>
      </c>
      <c r="K366" s="88" t="n"/>
      <c r="L366" s="88" t="n"/>
      <c r="M366" s="88">
        <f>COUNTIFS('Client DB &amp; Bed Mgmt'!$B:$B,L366,'Client DB &amp; Bed Mgmt'!$E:$E,"Occupied")</f>
        <v/>
      </c>
      <c r="N366" s="88" t="n"/>
      <c r="O366" s="88" t="n"/>
      <c r="P366" s="88" t="n"/>
      <c r="Q366" s="88" t="n"/>
      <c r="R366" s="88" t="n"/>
      <c r="S366" s="88" t="n"/>
      <c r="T366" s="88" t="n"/>
      <c r="U366" s="129" t="n"/>
      <c r="V366" s="129" t="n"/>
    </row>
    <row r="367" ht="14.25" customHeight="1" s="83">
      <c r="A367" s="103" t="n"/>
      <c r="B367" s="125" t="n"/>
      <c r="C367" s="103" t="n"/>
      <c r="D367" s="126" t="n"/>
      <c r="E367" s="126" t="n"/>
      <c r="F367" s="127">
        <f>IF(D367="","",MAX(D367-E367,0))</f>
        <v/>
      </c>
      <c r="G367" s="130">
        <f>IF(E367="","",E367*GeneratorRate)</f>
        <v/>
      </c>
      <c r="H367" s="130">
        <f>IF(F367="","",F367*GovernmentRate)</f>
        <v/>
      </c>
      <c r="I367" s="130">
        <f>IF(D367="","",G367+H367)</f>
        <v/>
      </c>
      <c r="J367" s="129">
        <f>IFERROR(I367/COUNTIFS('Client DB &amp; Bed Mgmt'!$A:$A,A367,'Client DB &amp; Bed Mgmt'!$B:$B,C367,'Client DB &amp; Bed Mgmt'!$D:$D,"&lt;&gt;"),0)</f>
        <v/>
      </c>
      <c r="K367" s="88" t="n"/>
      <c r="L367" s="88" t="n"/>
      <c r="M367" s="88">
        <f>COUNTIFS('Client DB &amp; Bed Mgmt'!$B:$B,L367,'Client DB &amp; Bed Mgmt'!$E:$E,"Occupied")</f>
        <v/>
      </c>
      <c r="N367" s="88" t="n"/>
      <c r="O367" s="88" t="n"/>
      <c r="P367" s="88" t="n"/>
      <c r="Q367" s="88" t="n"/>
      <c r="R367" s="88" t="n"/>
      <c r="S367" s="88" t="n"/>
      <c r="T367" s="88" t="n"/>
      <c r="U367" s="129" t="n"/>
      <c r="V367" s="129" t="n"/>
    </row>
    <row r="368" ht="14.25" customHeight="1" s="83">
      <c r="A368" s="103" t="n"/>
      <c r="B368" s="125" t="n"/>
      <c r="C368" s="103" t="n"/>
      <c r="D368" s="126" t="n"/>
      <c r="E368" s="126" t="n"/>
      <c r="F368" s="127">
        <f>IF(D368="","",MAX(D368-E368,0))</f>
        <v/>
      </c>
      <c r="G368" s="130">
        <f>IF(E368="","",E368*GeneratorRate)</f>
        <v/>
      </c>
      <c r="H368" s="130">
        <f>IF(F368="","",F368*GovernmentRate)</f>
        <v/>
      </c>
      <c r="I368" s="130">
        <f>IF(D368="","",G368+H368)</f>
        <v/>
      </c>
      <c r="J368" s="129">
        <f>IFERROR(I368/COUNTIFS('Client DB &amp; Bed Mgmt'!$A:$A,A368,'Client DB &amp; Bed Mgmt'!$B:$B,C368,'Client DB &amp; Bed Mgmt'!$D:$D,"&lt;&gt;"),0)</f>
        <v/>
      </c>
      <c r="K368" s="88" t="n"/>
      <c r="L368" s="88" t="n"/>
      <c r="M368" s="88">
        <f>COUNTIFS('Client DB &amp; Bed Mgmt'!$B:$B,L368,'Client DB &amp; Bed Mgmt'!$E:$E,"Occupied")</f>
        <v/>
      </c>
      <c r="N368" s="88" t="n"/>
      <c r="O368" s="88" t="n"/>
      <c r="P368" s="88" t="n"/>
      <c r="Q368" s="88" t="n"/>
      <c r="R368" s="88" t="n"/>
      <c r="S368" s="88" t="n"/>
      <c r="T368" s="88" t="n"/>
      <c r="U368" s="129" t="n"/>
      <c r="V368" s="129" t="n"/>
    </row>
    <row r="369" ht="14.25" customHeight="1" s="83">
      <c r="A369" s="103" t="n"/>
      <c r="B369" s="125" t="n"/>
      <c r="C369" s="103" t="n"/>
      <c r="D369" s="126" t="n"/>
      <c r="E369" s="126" t="n"/>
      <c r="F369" s="127">
        <f>IF(D369="","",MAX(D369-E369,0))</f>
        <v/>
      </c>
      <c r="G369" s="130">
        <f>IF(E369="","",E369*GeneratorRate)</f>
        <v/>
      </c>
      <c r="H369" s="130">
        <f>IF(F369="","",F369*GovernmentRate)</f>
        <v/>
      </c>
      <c r="I369" s="130">
        <f>IF(D369="","",G369+H369)</f>
        <v/>
      </c>
      <c r="J369" s="129">
        <f>IFERROR(I369/COUNTIFS('Client DB &amp; Bed Mgmt'!$A:$A,A369,'Client DB &amp; Bed Mgmt'!$B:$B,C369,'Client DB &amp; Bed Mgmt'!$D:$D,"&lt;&gt;"),0)</f>
        <v/>
      </c>
      <c r="K369" s="88" t="n"/>
      <c r="L369" s="88" t="n"/>
      <c r="M369" s="88">
        <f>COUNTIFS('Client DB &amp; Bed Mgmt'!$B:$B,L369,'Client DB &amp; Bed Mgmt'!$E:$E,"Occupied")</f>
        <v/>
      </c>
      <c r="N369" s="88" t="n"/>
      <c r="O369" s="88" t="n"/>
      <c r="P369" s="88" t="n"/>
      <c r="Q369" s="88" t="n"/>
      <c r="R369" s="88" t="n"/>
      <c r="S369" s="88" t="n"/>
      <c r="T369" s="88" t="n"/>
      <c r="U369" s="129" t="n"/>
      <c r="V369" s="129" t="n"/>
    </row>
    <row r="370" ht="14.25" customHeight="1" s="83">
      <c r="A370" s="103" t="n"/>
      <c r="B370" s="125" t="n"/>
      <c r="C370" s="103" t="n"/>
      <c r="D370" s="126" t="n"/>
      <c r="E370" s="126" t="n"/>
      <c r="F370" s="127">
        <f>IF(D370="","",MAX(D370-E370,0))</f>
        <v/>
      </c>
      <c r="G370" s="130">
        <f>IF(E370="","",E370*GeneratorRate)</f>
        <v/>
      </c>
      <c r="H370" s="130">
        <f>IF(F370="","",F370*GovernmentRate)</f>
        <v/>
      </c>
      <c r="I370" s="130">
        <f>IF(D370="","",G370+H370)</f>
        <v/>
      </c>
      <c r="J370" s="129">
        <f>IFERROR(I370/COUNTIFS('Client DB &amp; Bed Mgmt'!$A:$A,A370,'Client DB &amp; Bed Mgmt'!$B:$B,C370,'Client DB &amp; Bed Mgmt'!$D:$D,"&lt;&gt;"),0)</f>
        <v/>
      </c>
      <c r="K370" s="88" t="n"/>
      <c r="L370" s="88" t="n"/>
      <c r="M370" s="88">
        <f>COUNTIFS('Client DB &amp; Bed Mgmt'!$B:$B,L370,'Client DB &amp; Bed Mgmt'!$E:$E,"Occupied")</f>
        <v/>
      </c>
      <c r="N370" s="88" t="n"/>
      <c r="O370" s="88" t="n"/>
      <c r="P370" s="88" t="n"/>
      <c r="Q370" s="88" t="n"/>
      <c r="R370" s="88" t="n"/>
      <c r="S370" s="88" t="n"/>
      <c r="T370" s="88" t="n"/>
      <c r="U370" s="129" t="n"/>
      <c r="V370" s="129" t="n"/>
    </row>
    <row r="371" ht="14.25" customHeight="1" s="83">
      <c r="A371" s="103" t="n"/>
      <c r="B371" s="125" t="n"/>
      <c r="C371" s="103" t="n"/>
      <c r="D371" s="126" t="n"/>
      <c r="E371" s="126" t="n"/>
      <c r="F371" s="127">
        <f>IF(D371="","",MAX(D371-E371,0))</f>
        <v/>
      </c>
      <c r="G371" s="130">
        <f>IF(E371="","",E371*GeneratorRate)</f>
        <v/>
      </c>
      <c r="H371" s="130">
        <f>IF(F371="","",F371*GovernmentRate)</f>
        <v/>
      </c>
      <c r="I371" s="130">
        <f>IF(D371="","",G371+H371)</f>
        <v/>
      </c>
      <c r="J371" s="129">
        <f>IFERROR(I371/COUNTIFS('Client DB &amp; Bed Mgmt'!$A:$A,A371,'Client DB &amp; Bed Mgmt'!$B:$B,C371,'Client DB &amp; Bed Mgmt'!$D:$D,"&lt;&gt;"),0)</f>
        <v/>
      </c>
      <c r="K371" s="88" t="n"/>
      <c r="L371" s="88" t="n"/>
      <c r="M371" s="88">
        <f>COUNTIFS('Client DB &amp; Bed Mgmt'!$B:$B,L371,'Client DB &amp; Bed Mgmt'!$E:$E,"Occupied")</f>
        <v/>
      </c>
      <c r="N371" s="88" t="n"/>
      <c r="O371" s="88" t="n"/>
      <c r="P371" s="88" t="n"/>
      <c r="Q371" s="88" t="n"/>
      <c r="R371" s="88" t="n"/>
      <c r="S371" s="88" t="n"/>
      <c r="T371" s="88" t="n"/>
      <c r="U371" s="129" t="n"/>
      <c r="V371" s="129" t="n"/>
    </row>
    <row r="372" ht="14.25" customHeight="1" s="83">
      <c r="A372" s="103" t="n"/>
      <c r="B372" s="125" t="n"/>
      <c r="C372" s="103" t="n"/>
      <c r="D372" s="126" t="n"/>
      <c r="E372" s="126" t="n"/>
      <c r="F372" s="127">
        <f>IF(D372="","",MAX(D372-E372,0))</f>
        <v/>
      </c>
      <c r="G372" s="130">
        <f>IF(E372="","",E372*GeneratorRate)</f>
        <v/>
      </c>
      <c r="H372" s="130">
        <f>IF(F372="","",F372*GovernmentRate)</f>
        <v/>
      </c>
      <c r="I372" s="130">
        <f>IF(D372="","",G372+H372)</f>
        <v/>
      </c>
      <c r="J372" s="129">
        <f>IFERROR(I372/COUNTIFS('Client DB &amp; Bed Mgmt'!$A:$A,A372,'Client DB &amp; Bed Mgmt'!$B:$B,C372,'Client DB &amp; Bed Mgmt'!$D:$D,"&lt;&gt;"),0)</f>
        <v/>
      </c>
      <c r="K372" s="88" t="n"/>
      <c r="L372" s="88" t="n"/>
      <c r="M372" s="88">
        <f>COUNTIFS('Client DB &amp; Bed Mgmt'!$B:$B,L372,'Client DB &amp; Bed Mgmt'!$E:$E,"Occupied")</f>
        <v/>
      </c>
      <c r="N372" s="88" t="n"/>
      <c r="O372" s="88" t="n"/>
      <c r="P372" s="88" t="n"/>
      <c r="Q372" s="88" t="n"/>
      <c r="R372" s="88" t="n"/>
      <c r="S372" s="88" t="n"/>
      <c r="T372" s="88" t="n"/>
      <c r="U372" s="129" t="n"/>
      <c r="V372" s="129" t="n"/>
    </row>
    <row r="373" ht="14.25" customHeight="1" s="83">
      <c r="A373" s="103" t="n"/>
      <c r="B373" s="125" t="n"/>
      <c r="C373" s="103" t="n"/>
      <c r="D373" s="126" t="n"/>
      <c r="E373" s="126" t="n"/>
      <c r="F373" s="127">
        <f>IF(D373="","",MAX(D373-E373,0))</f>
        <v/>
      </c>
      <c r="G373" s="130">
        <f>IF(E373="","",E373*GeneratorRate)</f>
        <v/>
      </c>
      <c r="H373" s="130">
        <f>IF(F373="","",F373*GovernmentRate)</f>
        <v/>
      </c>
      <c r="I373" s="130">
        <f>IF(D373="","",G373+H373)</f>
        <v/>
      </c>
      <c r="J373" s="129">
        <f>IFERROR(I373/COUNTIFS('Client DB &amp; Bed Mgmt'!$A:$A,A373,'Client DB &amp; Bed Mgmt'!$B:$B,C373,'Client DB &amp; Bed Mgmt'!$D:$D,"&lt;&gt;"),0)</f>
        <v/>
      </c>
      <c r="K373" s="88" t="n"/>
      <c r="L373" s="88" t="n"/>
      <c r="M373" s="88">
        <f>COUNTIFS('Client DB &amp; Bed Mgmt'!$B:$B,L373,'Client DB &amp; Bed Mgmt'!$E:$E,"Occupied")</f>
        <v/>
      </c>
      <c r="N373" s="88" t="n"/>
      <c r="O373" s="88" t="n"/>
      <c r="P373" s="88" t="n"/>
      <c r="Q373" s="88" t="n"/>
      <c r="R373" s="88" t="n"/>
      <c r="S373" s="88" t="n"/>
      <c r="T373" s="88" t="n"/>
      <c r="U373" s="129" t="n"/>
      <c r="V373" s="129" t="n"/>
    </row>
    <row r="374" ht="14.25" customHeight="1" s="83">
      <c r="A374" s="103" t="n"/>
      <c r="B374" s="125" t="n"/>
      <c r="C374" s="103" t="n"/>
      <c r="D374" s="126" t="n"/>
      <c r="E374" s="126" t="n"/>
      <c r="F374" s="127">
        <f>IF(D374="","",MAX(D374-E374,0))</f>
        <v/>
      </c>
      <c r="G374" s="130">
        <f>IF(E374="","",E374*GeneratorRate)</f>
        <v/>
      </c>
      <c r="H374" s="130">
        <f>IF(F374="","",F374*GovernmentRate)</f>
        <v/>
      </c>
      <c r="I374" s="130">
        <f>IF(D374="","",G374+H374)</f>
        <v/>
      </c>
      <c r="J374" s="129">
        <f>IFERROR(I374/COUNTIFS('Client DB &amp; Bed Mgmt'!$A:$A,A374,'Client DB &amp; Bed Mgmt'!$B:$B,C374,'Client DB &amp; Bed Mgmt'!$D:$D,"&lt;&gt;"),0)</f>
        <v/>
      </c>
      <c r="K374" s="88" t="n"/>
      <c r="L374" s="88" t="n"/>
      <c r="M374" s="88">
        <f>COUNTIFS('Client DB &amp; Bed Mgmt'!$B:$B,L374,'Client DB &amp; Bed Mgmt'!$E:$E,"Occupied")</f>
        <v/>
      </c>
      <c r="N374" s="88" t="n"/>
      <c r="O374" s="88" t="n"/>
      <c r="P374" s="88" t="n"/>
      <c r="Q374" s="88" t="n"/>
      <c r="R374" s="88" t="n"/>
      <c r="S374" s="88" t="n"/>
      <c r="T374" s="88" t="n"/>
      <c r="U374" s="129" t="n"/>
      <c r="V374" s="129" t="n"/>
    </row>
    <row r="375" ht="14.25" customHeight="1" s="83">
      <c r="A375" s="103" t="n"/>
      <c r="B375" s="125" t="n"/>
      <c r="C375" s="103" t="n"/>
      <c r="D375" s="126" t="n"/>
      <c r="E375" s="126" t="n"/>
      <c r="F375" s="127">
        <f>IF(D375="","",MAX(D375-E375,0))</f>
        <v/>
      </c>
      <c r="G375" s="130">
        <f>IF(E375="","",E375*GeneratorRate)</f>
        <v/>
      </c>
      <c r="H375" s="130">
        <f>IF(F375="","",F375*GovernmentRate)</f>
        <v/>
      </c>
      <c r="I375" s="130">
        <f>IF(D375="","",G375+H375)</f>
        <v/>
      </c>
      <c r="J375" s="129">
        <f>IFERROR(I375/COUNTIFS('Client DB &amp; Bed Mgmt'!$A:$A,A375,'Client DB &amp; Bed Mgmt'!$B:$B,C375,'Client DB &amp; Bed Mgmt'!$D:$D,"&lt;&gt;"),0)</f>
        <v/>
      </c>
      <c r="K375" s="88" t="n"/>
      <c r="L375" s="88" t="n"/>
      <c r="M375" s="88">
        <f>COUNTIFS('Client DB &amp; Bed Mgmt'!$B:$B,L375,'Client DB &amp; Bed Mgmt'!$E:$E,"Occupied")</f>
        <v/>
      </c>
      <c r="N375" s="88" t="n"/>
      <c r="O375" s="88" t="n"/>
      <c r="P375" s="88" t="n"/>
      <c r="Q375" s="88" t="n"/>
      <c r="R375" s="88" t="n"/>
      <c r="S375" s="88" t="n"/>
      <c r="T375" s="88" t="n"/>
      <c r="U375" s="129" t="n"/>
      <c r="V375" s="129" t="n"/>
    </row>
    <row r="376" ht="14.25" customHeight="1" s="83">
      <c r="A376" s="103" t="n"/>
      <c r="B376" s="125" t="n"/>
      <c r="C376" s="103" t="n"/>
      <c r="D376" s="126" t="n"/>
      <c r="E376" s="126" t="n"/>
      <c r="F376" s="127">
        <f>IF(D376="","",MAX(D376-E376,0))</f>
        <v/>
      </c>
      <c r="G376" s="130">
        <f>IF(E376="","",E376*GeneratorRate)</f>
        <v/>
      </c>
      <c r="H376" s="130">
        <f>IF(F376="","",F376*GovernmentRate)</f>
        <v/>
      </c>
      <c r="I376" s="130">
        <f>IF(D376="","",G376+H376)</f>
        <v/>
      </c>
      <c r="J376" s="129">
        <f>IFERROR(I376/COUNTIFS('Client DB &amp; Bed Mgmt'!$A:$A,A376,'Client DB &amp; Bed Mgmt'!$B:$B,C376,'Client DB &amp; Bed Mgmt'!$D:$D,"&lt;&gt;"),0)</f>
        <v/>
      </c>
      <c r="K376" s="88" t="n"/>
      <c r="L376" s="88" t="n"/>
      <c r="M376" s="88">
        <f>COUNTIFS('Client DB &amp; Bed Mgmt'!$B:$B,L376,'Client DB &amp; Bed Mgmt'!$E:$E,"Occupied")</f>
        <v/>
      </c>
      <c r="N376" s="88" t="n"/>
      <c r="O376" s="88" t="n"/>
      <c r="P376" s="88" t="n"/>
      <c r="Q376" s="88" t="n"/>
      <c r="R376" s="88" t="n"/>
      <c r="S376" s="88" t="n"/>
      <c r="T376" s="88" t="n"/>
      <c r="U376" s="129" t="n"/>
      <c r="V376" s="129" t="n"/>
    </row>
    <row r="377" ht="14.25" customHeight="1" s="83">
      <c r="A377" s="103" t="n"/>
      <c r="B377" s="125" t="n"/>
      <c r="C377" s="103" t="n"/>
      <c r="D377" s="126" t="n"/>
      <c r="E377" s="126" t="n"/>
      <c r="F377" s="127">
        <f>IF(D377="","",MAX(D377-E377,0))</f>
        <v/>
      </c>
      <c r="G377" s="130">
        <f>IF(E377="","",E377*GeneratorRate)</f>
        <v/>
      </c>
      <c r="H377" s="130">
        <f>IF(F377="","",F377*GovernmentRate)</f>
        <v/>
      </c>
      <c r="I377" s="130">
        <f>IF(D377="","",G377+H377)</f>
        <v/>
      </c>
      <c r="J377" s="129">
        <f>IFERROR(I377/COUNTIFS('Client DB &amp; Bed Mgmt'!$A:$A,A377,'Client DB &amp; Bed Mgmt'!$B:$B,C377,'Client DB &amp; Bed Mgmt'!$D:$D,"&lt;&gt;"),0)</f>
        <v/>
      </c>
      <c r="K377" s="88" t="n"/>
      <c r="L377" s="88" t="n"/>
      <c r="M377" s="88">
        <f>COUNTIFS('Client DB &amp; Bed Mgmt'!$B:$B,L377,'Client DB &amp; Bed Mgmt'!$E:$E,"Occupied")</f>
        <v/>
      </c>
      <c r="N377" s="88" t="n"/>
      <c r="O377" s="88" t="n"/>
      <c r="P377" s="88" t="n"/>
      <c r="Q377" s="88" t="n"/>
      <c r="R377" s="88" t="n"/>
      <c r="S377" s="88" t="n"/>
      <c r="T377" s="88" t="n"/>
      <c r="U377" s="129" t="n"/>
      <c r="V377" s="129" t="n"/>
    </row>
    <row r="378" ht="14.25" customHeight="1" s="83">
      <c r="A378" s="103" t="n"/>
      <c r="B378" s="125" t="n"/>
      <c r="C378" s="103" t="n"/>
      <c r="D378" s="126" t="n"/>
      <c r="E378" s="126" t="n"/>
      <c r="F378" s="127">
        <f>IF(D378="","",MAX(D378-E378,0))</f>
        <v/>
      </c>
      <c r="G378" s="130">
        <f>IF(E378="","",E378*GeneratorRate)</f>
        <v/>
      </c>
      <c r="H378" s="130">
        <f>IF(F378="","",F378*GovernmentRate)</f>
        <v/>
      </c>
      <c r="I378" s="130">
        <f>IF(D378="","",G378+H378)</f>
        <v/>
      </c>
      <c r="J378" s="129">
        <f>IFERROR(I378/COUNTIFS('Client DB &amp; Bed Mgmt'!$A:$A,A378,'Client DB &amp; Bed Mgmt'!$B:$B,C378,'Client DB &amp; Bed Mgmt'!$D:$D,"&lt;&gt;"),0)</f>
        <v/>
      </c>
      <c r="K378" s="88" t="n"/>
      <c r="L378" s="88" t="n"/>
      <c r="M378" s="88">
        <f>COUNTIFS('Client DB &amp; Bed Mgmt'!$B:$B,L378,'Client DB &amp; Bed Mgmt'!$E:$E,"Occupied")</f>
        <v/>
      </c>
      <c r="N378" s="88" t="n"/>
      <c r="O378" s="88" t="n"/>
      <c r="P378" s="88" t="n"/>
      <c r="Q378" s="88" t="n"/>
      <c r="R378" s="88" t="n"/>
      <c r="S378" s="88" t="n"/>
      <c r="T378" s="88" t="n"/>
      <c r="U378" s="129" t="n"/>
      <c r="V378" s="129" t="n"/>
    </row>
    <row r="379" ht="14.25" customHeight="1" s="83">
      <c r="A379" s="103" t="n"/>
      <c r="B379" s="125" t="n"/>
      <c r="C379" s="103" t="n"/>
      <c r="D379" s="126" t="n"/>
      <c r="E379" s="126" t="n"/>
      <c r="F379" s="127">
        <f>IF(D379="","",MAX(D379-E379,0))</f>
        <v/>
      </c>
      <c r="G379" s="130">
        <f>IF(E379="","",E379*GeneratorRate)</f>
        <v/>
      </c>
      <c r="H379" s="130">
        <f>IF(F379="","",F379*GovernmentRate)</f>
        <v/>
      </c>
      <c r="I379" s="130">
        <f>IF(D379="","",G379+H379)</f>
        <v/>
      </c>
      <c r="J379" s="129">
        <f>IFERROR(I379/COUNTIFS('Client DB &amp; Bed Mgmt'!$A:$A,A379,'Client DB &amp; Bed Mgmt'!$B:$B,C379,'Client DB &amp; Bed Mgmt'!$D:$D,"&lt;&gt;"),0)</f>
        <v/>
      </c>
      <c r="K379" s="88" t="n"/>
      <c r="L379" s="88" t="n"/>
      <c r="M379" s="88">
        <f>COUNTIFS('Client DB &amp; Bed Mgmt'!$B:$B,L379,'Client DB &amp; Bed Mgmt'!$E:$E,"Occupied")</f>
        <v/>
      </c>
      <c r="N379" s="88" t="n"/>
      <c r="O379" s="88" t="n"/>
      <c r="P379" s="88" t="n"/>
      <c r="Q379" s="88" t="n"/>
      <c r="R379" s="88" t="n"/>
      <c r="S379" s="88" t="n"/>
      <c r="T379" s="88" t="n"/>
      <c r="U379" s="129" t="n"/>
      <c r="V379" s="129" t="n"/>
    </row>
    <row r="380" ht="14.25" customHeight="1" s="83">
      <c r="A380" s="103" t="n"/>
      <c r="B380" s="125" t="n"/>
      <c r="C380" s="103" t="n"/>
      <c r="D380" s="126" t="n"/>
      <c r="E380" s="126" t="n"/>
      <c r="F380" s="127">
        <f>IF(D380="","",MAX(D380-E380,0))</f>
        <v/>
      </c>
      <c r="G380" s="130">
        <f>IF(E380="","",E380*GeneratorRate)</f>
        <v/>
      </c>
      <c r="H380" s="130">
        <f>IF(F380="","",F380*GovernmentRate)</f>
        <v/>
      </c>
      <c r="I380" s="130">
        <f>IF(D380="","",G380+H380)</f>
        <v/>
      </c>
      <c r="J380" s="129">
        <f>IFERROR(I380/COUNTIFS('Client DB &amp; Bed Mgmt'!$A:$A,A380,'Client DB &amp; Bed Mgmt'!$B:$B,C380,'Client DB &amp; Bed Mgmt'!$D:$D,"&lt;&gt;"),0)</f>
        <v/>
      </c>
      <c r="K380" s="88" t="n"/>
      <c r="L380" s="88" t="n"/>
      <c r="M380" s="88">
        <f>COUNTIFS('Client DB &amp; Bed Mgmt'!$B:$B,L380,'Client DB &amp; Bed Mgmt'!$E:$E,"Occupied")</f>
        <v/>
      </c>
      <c r="N380" s="88" t="n"/>
      <c r="O380" s="88" t="n"/>
      <c r="P380" s="88" t="n"/>
      <c r="Q380" s="88" t="n"/>
      <c r="R380" s="88" t="n"/>
      <c r="S380" s="88" t="n"/>
      <c r="T380" s="88" t="n"/>
      <c r="U380" s="129" t="n"/>
      <c r="V380" s="129" t="n"/>
    </row>
    <row r="381" ht="14.25" customHeight="1" s="83">
      <c r="A381" s="103" t="n"/>
      <c r="B381" s="125" t="n"/>
      <c r="C381" s="103" t="n"/>
      <c r="D381" s="126" t="n"/>
      <c r="E381" s="126" t="n"/>
      <c r="F381" s="127">
        <f>IF(D381="","",MAX(D381-E381,0))</f>
        <v/>
      </c>
      <c r="G381" s="130">
        <f>IF(E381="","",E381*GeneratorRate)</f>
        <v/>
      </c>
      <c r="H381" s="130">
        <f>IF(F381="","",F381*GovernmentRate)</f>
        <v/>
      </c>
      <c r="I381" s="130">
        <f>IF(D381="","",G381+H381)</f>
        <v/>
      </c>
      <c r="J381" s="129">
        <f>IFERROR(I381/COUNTIFS('Client DB &amp; Bed Mgmt'!$A:$A,A381,'Client DB &amp; Bed Mgmt'!$B:$B,C381,'Client DB &amp; Bed Mgmt'!$D:$D,"&lt;&gt;"),0)</f>
        <v/>
      </c>
      <c r="K381" s="88" t="n"/>
      <c r="L381" s="88" t="n"/>
      <c r="M381" s="88">
        <f>COUNTIFS('Client DB &amp; Bed Mgmt'!$B:$B,L381,'Client DB &amp; Bed Mgmt'!$E:$E,"Occupied")</f>
        <v/>
      </c>
      <c r="N381" s="88" t="n"/>
      <c r="O381" s="88" t="n"/>
      <c r="P381" s="88" t="n"/>
      <c r="Q381" s="88" t="n"/>
      <c r="R381" s="88" t="n"/>
      <c r="S381" s="88" t="n"/>
      <c r="T381" s="88" t="n"/>
      <c r="U381" s="129" t="n"/>
      <c r="V381" s="129" t="n"/>
    </row>
    <row r="382" ht="14.25" customHeight="1" s="83">
      <c r="A382" s="103" t="n"/>
      <c r="B382" s="125" t="n"/>
      <c r="C382" s="103" t="n"/>
      <c r="D382" s="126" t="n"/>
      <c r="E382" s="126" t="n"/>
      <c r="F382" s="127">
        <f>IF(D382="","",MAX(D382-E382,0))</f>
        <v/>
      </c>
      <c r="G382" s="130">
        <f>IF(E382="","",E382*GeneratorRate)</f>
        <v/>
      </c>
      <c r="H382" s="130">
        <f>IF(F382="","",F382*GovernmentRate)</f>
        <v/>
      </c>
      <c r="I382" s="130">
        <f>IF(D382="","",G382+H382)</f>
        <v/>
      </c>
      <c r="J382" s="129">
        <f>IFERROR(I382/COUNTIFS('Client DB &amp; Bed Mgmt'!$A:$A,A382,'Client DB &amp; Bed Mgmt'!$B:$B,C382,'Client DB &amp; Bed Mgmt'!$D:$D,"&lt;&gt;"),0)</f>
        <v/>
      </c>
      <c r="K382" s="88" t="n"/>
      <c r="L382" s="88" t="n"/>
      <c r="M382" s="88">
        <f>COUNTIFS('Client DB &amp; Bed Mgmt'!$B:$B,L382,'Client DB &amp; Bed Mgmt'!$E:$E,"Occupied")</f>
        <v/>
      </c>
      <c r="N382" s="88" t="n"/>
      <c r="O382" s="88" t="n"/>
      <c r="P382" s="88" t="n"/>
      <c r="Q382" s="88" t="n"/>
      <c r="R382" s="88" t="n"/>
      <c r="S382" s="88" t="n"/>
      <c r="T382" s="88" t="n"/>
      <c r="U382" s="129" t="n"/>
      <c r="V382" s="129" t="n"/>
    </row>
    <row r="383" ht="14.25" customHeight="1" s="83">
      <c r="A383" s="103" t="n"/>
      <c r="B383" s="125" t="n"/>
      <c r="C383" s="103" t="n"/>
      <c r="D383" s="126" t="n"/>
      <c r="E383" s="126" t="n"/>
      <c r="F383" s="127">
        <f>IF(D383="","",MAX(D383-E383,0))</f>
        <v/>
      </c>
      <c r="G383" s="130">
        <f>IF(E383="","",E383*GeneratorRate)</f>
        <v/>
      </c>
      <c r="H383" s="130">
        <f>IF(F383="","",F383*GovernmentRate)</f>
        <v/>
      </c>
      <c r="I383" s="130">
        <f>IF(D383="","",G383+H383)</f>
        <v/>
      </c>
      <c r="J383" s="129">
        <f>IFERROR(I383/COUNTIFS('Client DB &amp; Bed Mgmt'!$A:$A,A383,'Client DB &amp; Bed Mgmt'!$B:$B,C383,'Client DB &amp; Bed Mgmt'!$D:$D,"&lt;&gt;"),0)</f>
        <v/>
      </c>
      <c r="K383" s="88" t="n"/>
      <c r="L383" s="88" t="n"/>
      <c r="M383" s="88">
        <f>COUNTIFS('Client DB &amp; Bed Mgmt'!$B:$B,L383,'Client DB &amp; Bed Mgmt'!$E:$E,"Occupied")</f>
        <v/>
      </c>
      <c r="N383" s="88" t="n"/>
      <c r="O383" s="88" t="n"/>
      <c r="P383" s="88" t="n"/>
      <c r="Q383" s="88" t="n"/>
      <c r="R383" s="88" t="n"/>
      <c r="S383" s="88" t="n"/>
      <c r="T383" s="88" t="n"/>
      <c r="U383" s="129" t="n"/>
      <c r="V383" s="129" t="n"/>
    </row>
    <row r="384" ht="14.25" customHeight="1" s="83">
      <c r="A384" s="103" t="n"/>
      <c r="B384" s="125" t="n"/>
      <c r="C384" s="103" t="n"/>
      <c r="D384" s="126" t="n"/>
      <c r="E384" s="126" t="n"/>
      <c r="F384" s="127">
        <f>IF(D384="","",MAX(D384-E384,0))</f>
        <v/>
      </c>
      <c r="G384" s="130">
        <f>IF(E384="","",E384*GeneratorRate)</f>
        <v/>
      </c>
      <c r="H384" s="130">
        <f>IF(F384="","",F384*GovernmentRate)</f>
        <v/>
      </c>
      <c r="I384" s="130">
        <f>IF(D384="","",G384+H384)</f>
        <v/>
      </c>
      <c r="J384" s="129">
        <f>IFERROR(I384/COUNTIFS('Client DB &amp; Bed Mgmt'!$A:$A,A384,'Client DB &amp; Bed Mgmt'!$B:$B,C384,'Client DB &amp; Bed Mgmt'!$D:$D,"&lt;&gt;"),0)</f>
        <v/>
      </c>
      <c r="K384" s="88" t="n"/>
      <c r="L384" s="88" t="n"/>
      <c r="M384" s="88">
        <f>COUNTIFS('Client DB &amp; Bed Mgmt'!$B:$B,L384,'Client DB &amp; Bed Mgmt'!$E:$E,"Occupied")</f>
        <v/>
      </c>
      <c r="N384" s="88" t="n"/>
      <c r="O384" s="88" t="n"/>
      <c r="P384" s="88" t="n"/>
      <c r="Q384" s="88" t="n"/>
      <c r="R384" s="88" t="n"/>
      <c r="S384" s="88" t="n"/>
      <c r="T384" s="88" t="n"/>
      <c r="U384" s="129" t="n"/>
      <c r="V384" s="129" t="n"/>
    </row>
    <row r="385" ht="14.25" customHeight="1" s="83">
      <c r="A385" s="103" t="n"/>
      <c r="B385" s="125" t="n"/>
      <c r="C385" s="103" t="n"/>
      <c r="D385" s="126" t="n"/>
      <c r="E385" s="126" t="n"/>
      <c r="F385" s="127">
        <f>IF(D385="","",MAX(D385-E385,0))</f>
        <v/>
      </c>
      <c r="G385" s="130">
        <f>IF(E385="","",E385*GeneratorRate)</f>
        <v/>
      </c>
      <c r="H385" s="130">
        <f>IF(F385="","",F385*GovernmentRate)</f>
        <v/>
      </c>
      <c r="I385" s="130">
        <f>IF(D385="","",G385+H385)</f>
        <v/>
      </c>
      <c r="J385" s="129">
        <f>IFERROR(I385/COUNTIFS('Client DB &amp; Bed Mgmt'!$A:$A,A385,'Client DB &amp; Bed Mgmt'!$B:$B,C385,'Client DB &amp; Bed Mgmt'!$D:$D,"&lt;&gt;"),0)</f>
        <v/>
      </c>
      <c r="K385" s="88" t="n"/>
      <c r="L385" s="88" t="n"/>
      <c r="M385" s="88">
        <f>COUNTIFS('Client DB &amp; Bed Mgmt'!$B:$B,L385,'Client DB &amp; Bed Mgmt'!$E:$E,"Occupied")</f>
        <v/>
      </c>
      <c r="N385" s="88" t="n"/>
      <c r="O385" s="88" t="n"/>
      <c r="P385" s="88" t="n"/>
      <c r="Q385" s="88" t="n"/>
      <c r="R385" s="88" t="n"/>
      <c r="S385" s="88" t="n"/>
      <c r="T385" s="88" t="n"/>
      <c r="U385" s="129" t="n"/>
      <c r="V385" s="129" t="n"/>
    </row>
    <row r="386" ht="14.25" customHeight="1" s="83">
      <c r="A386" s="103" t="n"/>
      <c r="B386" s="125" t="n"/>
      <c r="C386" s="103" t="n"/>
      <c r="D386" s="126" t="n"/>
      <c r="E386" s="126" t="n"/>
      <c r="F386" s="127">
        <f>IF(D386="","",MAX(D386-E386,0))</f>
        <v/>
      </c>
      <c r="G386" s="130">
        <f>IF(E386="","",E386*GeneratorRate)</f>
        <v/>
      </c>
      <c r="H386" s="130">
        <f>IF(F386="","",F386*GovernmentRate)</f>
        <v/>
      </c>
      <c r="I386" s="130">
        <f>IF(D386="","",G386+H386)</f>
        <v/>
      </c>
      <c r="J386" s="129">
        <f>IFERROR(I386/COUNTIFS('Client DB &amp; Bed Mgmt'!$A:$A,A386,'Client DB &amp; Bed Mgmt'!$B:$B,C386,'Client DB &amp; Bed Mgmt'!$D:$D,"&lt;&gt;"),0)</f>
        <v/>
      </c>
      <c r="K386" s="88" t="n"/>
      <c r="L386" s="88" t="n"/>
      <c r="M386" s="88">
        <f>COUNTIFS('Client DB &amp; Bed Mgmt'!$B:$B,L386,'Client DB &amp; Bed Mgmt'!$E:$E,"Occupied")</f>
        <v/>
      </c>
      <c r="N386" s="88" t="n"/>
      <c r="O386" s="88" t="n"/>
      <c r="P386" s="88" t="n"/>
      <c r="Q386" s="88" t="n"/>
      <c r="R386" s="88" t="n"/>
      <c r="S386" s="88" t="n"/>
      <c r="T386" s="88" t="n"/>
      <c r="U386" s="129" t="n"/>
      <c r="V386" s="129" t="n"/>
    </row>
    <row r="387" ht="14.25" customHeight="1" s="83">
      <c r="A387" s="103" t="n"/>
      <c r="B387" s="125" t="n"/>
      <c r="C387" s="103" t="n"/>
      <c r="D387" s="126" t="n"/>
      <c r="E387" s="126" t="n"/>
      <c r="F387" s="127">
        <f>IF(D387="","",MAX(D387-E387,0))</f>
        <v/>
      </c>
      <c r="G387" s="130">
        <f>IF(E387="","",E387*GeneratorRate)</f>
        <v/>
      </c>
      <c r="H387" s="130">
        <f>IF(F387="","",F387*GovernmentRate)</f>
        <v/>
      </c>
      <c r="I387" s="130">
        <f>IF(D387="","",G387+H387)</f>
        <v/>
      </c>
      <c r="J387" s="129">
        <f>IFERROR(I387/COUNTIFS('Client DB &amp; Bed Mgmt'!$A:$A,A387,'Client DB &amp; Bed Mgmt'!$B:$B,C387,'Client DB &amp; Bed Mgmt'!$D:$D,"&lt;&gt;"),0)</f>
        <v/>
      </c>
      <c r="K387" s="88" t="n"/>
      <c r="L387" s="88" t="n"/>
      <c r="M387" s="88">
        <f>COUNTIFS('Client DB &amp; Bed Mgmt'!$B:$B,L387,'Client DB &amp; Bed Mgmt'!$E:$E,"Occupied")</f>
        <v/>
      </c>
      <c r="N387" s="88" t="n"/>
      <c r="O387" s="88" t="n"/>
      <c r="P387" s="88" t="n"/>
      <c r="Q387" s="88" t="n"/>
      <c r="R387" s="88" t="n"/>
      <c r="S387" s="88" t="n"/>
      <c r="T387" s="88" t="n"/>
      <c r="U387" s="129" t="n"/>
      <c r="V387" s="129" t="n"/>
    </row>
    <row r="388" ht="14.25" customHeight="1" s="83">
      <c r="A388" s="103" t="n"/>
      <c r="B388" s="125" t="n"/>
      <c r="C388" s="103" t="n"/>
      <c r="D388" s="126" t="n"/>
      <c r="E388" s="126" t="n"/>
      <c r="F388" s="127">
        <f>IF(D388="","",MAX(D388-E388,0))</f>
        <v/>
      </c>
      <c r="G388" s="130">
        <f>IF(E388="","",E388*GeneratorRate)</f>
        <v/>
      </c>
      <c r="H388" s="130">
        <f>IF(F388="","",F388*GovernmentRate)</f>
        <v/>
      </c>
      <c r="I388" s="130">
        <f>IF(D388="","",G388+H388)</f>
        <v/>
      </c>
      <c r="J388" s="129">
        <f>IFERROR(I388/COUNTIFS('Client DB &amp; Bed Mgmt'!$A:$A,A388,'Client DB &amp; Bed Mgmt'!$B:$B,C388,'Client DB &amp; Bed Mgmt'!$D:$D,"&lt;&gt;"),0)</f>
        <v/>
      </c>
      <c r="K388" s="88" t="n"/>
      <c r="L388" s="88" t="n"/>
      <c r="M388" s="88">
        <f>COUNTIFS('Client DB &amp; Bed Mgmt'!$B:$B,L388,'Client DB &amp; Bed Mgmt'!$E:$E,"Occupied")</f>
        <v/>
      </c>
      <c r="N388" s="88" t="n"/>
      <c r="O388" s="88" t="n"/>
      <c r="P388" s="88" t="n"/>
      <c r="Q388" s="88" t="n"/>
      <c r="R388" s="88" t="n"/>
      <c r="S388" s="88" t="n"/>
      <c r="T388" s="88" t="n"/>
      <c r="U388" s="129" t="n"/>
      <c r="V388" s="129" t="n"/>
    </row>
    <row r="389" ht="14.25" customHeight="1" s="83">
      <c r="A389" s="103" t="n"/>
      <c r="B389" s="125" t="n"/>
      <c r="C389" s="103" t="n"/>
      <c r="D389" s="126" t="n"/>
      <c r="E389" s="126" t="n"/>
      <c r="F389" s="127">
        <f>IF(D389="","",MAX(D389-E389,0))</f>
        <v/>
      </c>
      <c r="G389" s="130">
        <f>IF(E389="","",E389*GeneratorRate)</f>
        <v/>
      </c>
      <c r="H389" s="130">
        <f>IF(F389="","",F389*GovernmentRate)</f>
        <v/>
      </c>
      <c r="I389" s="130">
        <f>IF(D389="","",G389+H389)</f>
        <v/>
      </c>
      <c r="J389" s="129">
        <f>IFERROR(I389/COUNTIFS('Client DB &amp; Bed Mgmt'!$A:$A,A389,'Client DB &amp; Bed Mgmt'!$B:$B,C389,'Client DB &amp; Bed Mgmt'!$D:$D,"&lt;&gt;"),0)</f>
        <v/>
      </c>
      <c r="K389" s="88" t="n"/>
      <c r="L389" s="88" t="n"/>
      <c r="M389" s="88">
        <f>COUNTIFS('Client DB &amp; Bed Mgmt'!$B:$B,L389,'Client DB &amp; Bed Mgmt'!$E:$E,"Occupied")</f>
        <v/>
      </c>
      <c r="N389" s="88" t="n"/>
      <c r="O389" s="88" t="n"/>
      <c r="P389" s="88" t="n"/>
      <c r="Q389" s="88" t="n"/>
      <c r="R389" s="88" t="n"/>
      <c r="S389" s="88" t="n"/>
      <c r="T389" s="88" t="n"/>
      <c r="U389" s="129" t="n"/>
      <c r="V389" s="129" t="n"/>
    </row>
    <row r="390" ht="14.25" customHeight="1" s="83">
      <c r="A390" s="103" t="n"/>
      <c r="B390" s="125" t="n"/>
      <c r="C390" s="103" t="n"/>
      <c r="D390" s="126" t="n"/>
      <c r="E390" s="126" t="n"/>
      <c r="F390" s="127">
        <f>IF(D390="","",MAX(D390-E390,0))</f>
        <v/>
      </c>
      <c r="G390" s="130">
        <f>IF(E390="","",E390*GeneratorRate)</f>
        <v/>
      </c>
      <c r="H390" s="130">
        <f>IF(F390="","",F390*GovernmentRate)</f>
        <v/>
      </c>
      <c r="I390" s="130">
        <f>IF(D390="","",G390+H390)</f>
        <v/>
      </c>
      <c r="J390" s="129">
        <f>IFERROR(I390/COUNTIFS('Client DB &amp; Bed Mgmt'!$A:$A,A390,'Client DB &amp; Bed Mgmt'!$B:$B,C390,'Client DB &amp; Bed Mgmt'!$D:$D,"&lt;&gt;"),0)</f>
        <v/>
      </c>
      <c r="K390" s="88" t="n"/>
      <c r="L390" s="88" t="n"/>
      <c r="M390" s="88">
        <f>COUNTIFS('Client DB &amp; Bed Mgmt'!$B:$B,L390,'Client DB &amp; Bed Mgmt'!$E:$E,"Occupied")</f>
        <v/>
      </c>
      <c r="N390" s="88" t="n"/>
      <c r="O390" s="88" t="n"/>
      <c r="P390" s="88" t="n"/>
      <c r="Q390" s="88" t="n"/>
      <c r="R390" s="88" t="n"/>
      <c r="S390" s="88" t="n"/>
      <c r="T390" s="88" t="n"/>
      <c r="U390" s="129" t="n"/>
      <c r="V390" s="129" t="n"/>
    </row>
    <row r="391" ht="14.25" customHeight="1" s="83">
      <c r="A391" s="103" t="n"/>
      <c r="B391" s="125" t="n"/>
      <c r="C391" s="103" t="n"/>
      <c r="D391" s="126" t="n"/>
      <c r="E391" s="126" t="n"/>
      <c r="F391" s="127">
        <f>IF(D391="","",MAX(D391-E391,0))</f>
        <v/>
      </c>
      <c r="G391" s="130">
        <f>IF(E391="","",E391*GeneratorRate)</f>
        <v/>
      </c>
      <c r="H391" s="130">
        <f>IF(F391="","",F391*GovernmentRate)</f>
        <v/>
      </c>
      <c r="I391" s="130">
        <f>IF(D391="","",G391+H391)</f>
        <v/>
      </c>
      <c r="J391" s="129">
        <f>IFERROR(I391/COUNTIFS('Client DB &amp; Bed Mgmt'!$A:$A,A391,'Client DB &amp; Bed Mgmt'!$B:$B,C391,'Client DB &amp; Bed Mgmt'!$D:$D,"&lt;&gt;"),0)</f>
        <v/>
      </c>
      <c r="K391" s="88" t="n"/>
      <c r="L391" s="88" t="n"/>
      <c r="M391" s="88">
        <f>COUNTIFS('Client DB &amp; Bed Mgmt'!$B:$B,L391,'Client DB &amp; Bed Mgmt'!$E:$E,"Occupied")</f>
        <v/>
      </c>
      <c r="N391" s="88" t="n"/>
      <c r="O391" s="88" t="n"/>
      <c r="P391" s="88" t="n"/>
      <c r="Q391" s="88" t="n"/>
      <c r="R391" s="88" t="n"/>
      <c r="S391" s="88" t="n"/>
      <c r="T391" s="88" t="n"/>
      <c r="U391" s="129" t="n"/>
      <c r="V391" s="129" t="n"/>
    </row>
    <row r="392" ht="14.25" customHeight="1" s="83">
      <c r="A392" s="103" t="n"/>
      <c r="B392" s="125" t="n"/>
      <c r="C392" s="103" t="n"/>
      <c r="D392" s="126" t="n"/>
      <c r="E392" s="126" t="n"/>
      <c r="F392" s="127">
        <f>IF(D392="","",MAX(D392-E392,0))</f>
        <v/>
      </c>
      <c r="G392" s="130">
        <f>IF(E392="","",E392*GeneratorRate)</f>
        <v/>
      </c>
      <c r="H392" s="130">
        <f>IF(F392="","",F392*GovernmentRate)</f>
        <v/>
      </c>
      <c r="I392" s="130">
        <f>IF(D392="","",G392+H392)</f>
        <v/>
      </c>
      <c r="J392" s="129">
        <f>IFERROR(I392/COUNTIFS('Client DB &amp; Bed Mgmt'!$A:$A,A392,'Client DB &amp; Bed Mgmt'!$B:$B,C392,'Client DB &amp; Bed Mgmt'!$D:$D,"&lt;&gt;"),0)</f>
        <v/>
      </c>
      <c r="K392" s="88" t="n"/>
      <c r="L392" s="88" t="n"/>
      <c r="M392" s="88">
        <f>COUNTIFS('Client DB &amp; Bed Mgmt'!$B:$B,L392,'Client DB &amp; Bed Mgmt'!$E:$E,"Occupied")</f>
        <v/>
      </c>
      <c r="N392" s="88" t="n"/>
      <c r="O392" s="88" t="n"/>
      <c r="P392" s="88" t="n"/>
      <c r="Q392" s="88" t="n"/>
      <c r="R392" s="88" t="n"/>
      <c r="S392" s="88" t="n"/>
      <c r="T392" s="88" t="n"/>
      <c r="U392" s="129" t="n"/>
      <c r="V392" s="129" t="n"/>
    </row>
    <row r="393" ht="14.25" customHeight="1" s="83">
      <c r="A393" s="103" t="n"/>
      <c r="B393" s="125" t="n"/>
      <c r="C393" s="103" t="n"/>
      <c r="D393" s="126" t="n"/>
      <c r="E393" s="126" t="n"/>
      <c r="F393" s="127">
        <f>IF(D393="","",MAX(D393-E393,0))</f>
        <v/>
      </c>
      <c r="G393" s="130">
        <f>IF(E393="","",E393*GeneratorRate)</f>
        <v/>
      </c>
      <c r="H393" s="130">
        <f>IF(F393="","",F393*GovernmentRate)</f>
        <v/>
      </c>
      <c r="I393" s="130">
        <f>IF(D393="","",G393+H393)</f>
        <v/>
      </c>
      <c r="J393" s="129">
        <f>IFERROR(I393/COUNTIFS('Client DB &amp; Bed Mgmt'!$A:$A,A393,'Client DB &amp; Bed Mgmt'!$B:$B,C393,'Client DB &amp; Bed Mgmt'!$D:$D,"&lt;&gt;"),0)</f>
        <v/>
      </c>
      <c r="K393" s="88" t="n"/>
      <c r="L393" s="88" t="n"/>
      <c r="M393" s="88">
        <f>COUNTIFS('Client DB &amp; Bed Mgmt'!$B:$B,L393,'Client DB &amp; Bed Mgmt'!$E:$E,"Occupied")</f>
        <v/>
      </c>
      <c r="N393" s="88" t="n"/>
      <c r="O393" s="88" t="n"/>
      <c r="P393" s="88" t="n"/>
      <c r="Q393" s="88" t="n"/>
      <c r="R393" s="88" t="n"/>
      <c r="S393" s="88" t="n"/>
      <c r="T393" s="88" t="n"/>
      <c r="U393" s="129" t="n"/>
      <c r="V393" s="129" t="n"/>
    </row>
    <row r="394" ht="14.25" customHeight="1" s="83">
      <c r="A394" s="103" t="n"/>
      <c r="B394" s="125" t="n"/>
      <c r="C394" s="103" t="n"/>
      <c r="D394" s="126" t="n"/>
      <c r="E394" s="126" t="n"/>
      <c r="F394" s="127">
        <f>IF(D394="","",MAX(D394-E394,0))</f>
        <v/>
      </c>
      <c r="G394" s="130">
        <f>IF(E394="","",E394*GeneratorRate)</f>
        <v/>
      </c>
      <c r="H394" s="130">
        <f>IF(F394="","",F394*GovernmentRate)</f>
        <v/>
      </c>
      <c r="I394" s="130">
        <f>IF(D394="","",G394+H394)</f>
        <v/>
      </c>
      <c r="J394" s="129">
        <f>IFERROR(I394/COUNTIFS('Client DB &amp; Bed Mgmt'!$A:$A,A394,'Client DB &amp; Bed Mgmt'!$B:$B,C394,'Client DB &amp; Bed Mgmt'!$D:$D,"&lt;&gt;"),0)</f>
        <v/>
      </c>
      <c r="K394" s="88" t="n"/>
      <c r="L394" s="88" t="n"/>
      <c r="M394" s="88">
        <f>COUNTIFS('Client DB &amp; Bed Mgmt'!$B:$B,L394,'Client DB &amp; Bed Mgmt'!$E:$E,"Occupied")</f>
        <v/>
      </c>
      <c r="N394" s="88" t="n"/>
      <c r="O394" s="88" t="n"/>
      <c r="P394" s="88" t="n"/>
      <c r="Q394" s="88" t="n"/>
      <c r="R394" s="88" t="n"/>
      <c r="S394" s="88" t="n"/>
      <c r="T394" s="88" t="n"/>
      <c r="U394" s="129" t="n"/>
      <c r="V394" s="129" t="n"/>
    </row>
    <row r="395" ht="14.25" customHeight="1" s="83">
      <c r="A395" s="103" t="n"/>
      <c r="B395" s="125" t="n"/>
      <c r="C395" s="103" t="n"/>
      <c r="D395" s="126" t="n"/>
      <c r="E395" s="126" t="n"/>
      <c r="F395" s="127">
        <f>IF(D395="","",MAX(D395-E395,0))</f>
        <v/>
      </c>
      <c r="G395" s="130">
        <f>IF(E395="","",E395*GeneratorRate)</f>
        <v/>
      </c>
      <c r="H395" s="130">
        <f>IF(F395="","",F395*GovernmentRate)</f>
        <v/>
      </c>
      <c r="I395" s="130">
        <f>IF(D395="","",G395+H395)</f>
        <v/>
      </c>
      <c r="J395" s="129">
        <f>IFERROR(I395/COUNTIFS('Client DB &amp; Bed Mgmt'!$A:$A,A395,'Client DB &amp; Bed Mgmt'!$B:$B,C395,'Client DB &amp; Bed Mgmt'!$D:$D,"&lt;&gt;"),0)</f>
        <v/>
      </c>
      <c r="K395" s="88" t="n"/>
      <c r="L395" s="88" t="n"/>
      <c r="M395" s="88">
        <f>COUNTIFS('Client DB &amp; Bed Mgmt'!$B:$B,L395,'Client DB &amp; Bed Mgmt'!$E:$E,"Occupied")</f>
        <v/>
      </c>
      <c r="N395" s="88" t="n"/>
      <c r="O395" s="88" t="n"/>
      <c r="P395" s="88" t="n"/>
      <c r="Q395" s="88" t="n"/>
      <c r="R395" s="88" t="n"/>
      <c r="S395" s="88" t="n"/>
      <c r="T395" s="88" t="n"/>
      <c r="U395" s="129" t="n"/>
      <c r="V395" s="129" t="n"/>
    </row>
    <row r="396" ht="14.25" customHeight="1" s="83">
      <c r="A396" s="103" t="n"/>
      <c r="B396" s="125" t="n"/>
      <c r="C396" s="103" t="n"/>
      <c r="D396" s="126" t="n"/>
      <c r="E396" s="126" t="n"/>
      <c r="F396" s="127">
        <f>IF(D396="","",MAX(D396-E396,0))</f>
        <v/>
      </c>
      <c r="G396" s="130">
        <f>IF(E396="","",E396*GeneratorRate)</f>
        <v/>
      </c>
      <c r="H396" s="130">
        <f>IF(F396="","",F396*GovernmentRate)</f>
        <v/>
      </c>
      <c r="I396" s="130">
        <f>IF(D396="","",G396+H396)</f>
        <v/>
      </c>
      <c r="J396" s="129">
        <f>IFERROR(I396/COUNTIFS('Client DB &amp; Bed Mgmt'!$A:$A,A396,'Client DB &amp; Bed Mgmt'!$B:$B,C396,'Client DB &amp; Bed Mgmt'!$D:$D,"&lt;&gt;"),0)</f>
        <v/>
      </c>
      <c r="K396" s="88" t="n"/>
      <c r="L396" s="88" t="n"/>
      <c r="M396" s="88">
        <f>COUNTIFS('Client DB &amp; Bed Mgmt'!$B:$B,L396,'Client DB &amp; Bed Mgmt'!$E:$E,"Occupied")</f>
        <v/>
      </c>
      <c r="N396" s="88" t="n"/>
      <c r="O396" s="88" t="n"/>
      <c r="P396" s="88" t="n"/>
      <c r="Q396" s="88" t="n"/>
      <c r="R396" s="88" t="n"/>
      <c r="S396" s="88" t="n"/>
      <c r="T396" s="88" t="n"/>
      <c r="U396" s="129" t="n"/>
      <c r="V396" s="129" t="n"/>
    </row>
    <row r="397" ht="14.25" customHeight="1" s="83">
      <c r="A397" s="103" t="n"/>
      <c r="B397" s="125" t="n"/>
      <c r="C397" s="103" t="n"/>
      <c r="D397" s="126" t="n"/>
      <c r="E397" s="126" t="n"/>
      <c r="F397" s="127">
        <f>IF(D397="","",MAX(D397-E397,0))</f>
        <v/>
      </c>
      <c r="G397" s="130">
        <f>IF(E397="","",E397*GeneratorRate)</f>
        <v/>
      </c>
      <c r="H397" s="130">
        <f>IF(F397="","",F397*GovernmentRate)</f>
        <v/>
      </c>
      <c r="I397" s="130">
        <f>IF(D397="","",G397+H397)</f>
        <v/>
      </c>
      <c r="J397" s="129">
        <f>IFERROR(I397/COUNTIFS('Client DB &amp; Bed Mgmt'!$A:$A,A397,'Client DB &amp; Bed Mgmt'!$B:$B,C397,'Client DB &amp; Bed Mgmt'!$D:$D,"&lt;&gt;"),0)</f>
        <v/>
      </c>
      <c r="K397" s="88" t="n"/>
      <c r="L397" s="88" t="n"/>
      <c r="M397" s="88">
        <f>COUNTIFS('Client DB &amp; Bed Mgmt'!$B:$B,L397,'Client DB &amp; Bed Mgmt'!$E:$E,"Occupied")</f>
        <v/>
      </c>
      <c r="N397" s="88" t="n"/>
      <c r="O397" s="88" t="n"/>
      <c r="P397" s="88" t="n"/>
      <c r="Q397" s="88" t="n"/>
      <c r="R397" s="88" t="n"/>
      <c r="S397" s="88" t="n"/>
      <c r="T397" s="88" t="n"/>
      <c r="U397" s="129" t="n"/>
      <c r="V397" s="129" t="n"/>
    </row>
    <row r="398" ht="14.25" customHeight="1" s="83">
      <c r="A398" s="103" t="n"/>
      <c r="B398" s="125" t="n"/>
      <c r="C398" s="103" t="n"/>
      <c r="D398" s="126" t="n"/>
      <c r="E398" s="126" t="n"/>
      <c r="F398" s="127">
        <f>IF(D398="","",MAX(D398-E398,0))</f>
        <v/>
      </c>
      <c r="G398" s="130">
        <f>IF(E398="","",E398*GeneratorRate)</f>
        <v/>
      </c>
      <c r="H398" s="130">
        <f>IF(F398="","",F398*GovernmentRate)</f>
        <v/>
      </c>
      <c r="I398" s="130">
        <f>IF(D398="","",G398+H398)</f>
        <v/>
      </c>
      <c r="J398" s="129">
        <f>IFERROR(I398/COUNTIFS('Client DB &amp; Bed Mgmt'!$A:$A,A398,'Client DB &amp; Bed Mgmt'!$B:$B,C398,'Client DB &amp; Bed Mgmt'!$D:$D,"&lt;&gt;"),0)</f>
        <v/>
      </c>
      <c r="K398" s="88" t="n"/>
      <c r="L398" s="88" t="n"/>
      <c r="M398" s="88">
        <f>COUNTIFS('Client DB &amp; Bed Mgmt'!$B:$B,L398,'Client DB &amp; Bed Mgmt'!$E:$E,"Occupied")</f>
        <v/>
      </c>
      <c r="N398" s="88" t="n"/>
      <c r="O398" s="88" t="n"/>
      <c r="P398" s="88" t="n"/>
      <c r="Q398" s="88" t="n"/>
      <c r="R398" s="88" t="n"/>
      <c r="S398" s="88" t="n"/>
      <c r="T398" s="88" t="n"/>
      <c r="U398" s="129" t="n"/>
      <c r="V398" s="129" t="n"/>
    </row>
    <row r="399" ht="14.25" customHeight="1" s="83">
      <c r="A399" s="103" t="n"/>
      <c r="B399" s="125" t="n"/>
      <c r="C399" s="103" t="n"/>
      <c r="D399" s="126" t="n"/>
      <c r="E399" s="126" t="n"/>
      <c r="F399" s="127">
        <f>IF(D399="","",MAX(D399-E399,0))</f>
        <v/>
      </c>
      <c r="G399" s="130">
        <f>IF(E399="","",E399*GeneratorRate)</f>
        <v/>
      </c>
      <c r="H399" s="130">
        <f>IF(F399="","",F399*GovernmentRate)</f>
        <v/>
      </c>
      <c r="I399" s="130">
        <f>IF(D399="","",G399+H399)</f>
        <v/>
      </c>
      <c r="J399" s="129">
        <f>IFERROR(I399/COUNTIFS('Client DB &amp; Bed Mgmt'!$A:$A,A399,'Client DB &amp; Bed Mgmt'!$B:$B,C399,'Client DB &amp; Bed Mgmt'!$D:$D,"&lt;&gt;"),0)</f>
        <v/>
      </c>
      <c r="K399" s="88" t="n"/>
      <c r="L399" s="88" t="n"/>
      <c r="M399" s="88">
        <f>COUNTIFS('Client DB &amp; Bed Mgmt'!$B:$B,L399,'Client DB &amp; Bed Mgmt'!$E:$E,"Occupied")</f>
        <v/>
      </c>
      <c r="N399" s="88" t="n"/>
      <c r="O399" s="88" t="n"/>
      <c r="P399" s="88" t="n"/>
      <c r="Q399" s="88" t="n"/>
      <c r="R399" s="88" t="n"/>
      <c r="S399" s="88" t="n"/>
      <c r="T399" s="88" t="n"/>
      <c r="U399" s="129" t="n"/>
      <c r="V399" s="129" t="n"/>
    </row>
    <row r="400" ht="14.25" customHeight="1" s="83">
      <c r="A400" s="103" t="n"/>
      <c r="B400" s="125" t="n"/>
      <c r="C400" s="103" t="n"/>
      <c r="D400" s="126" t="n"/>
      <c r="E400" s="126" t="n"/>
      <c r="F400" s="127">
        <f>IF(D400="","",MAX(D400-E400,0))</f>
        <v/>
      </c>
      <c r="G400" s="130">
        <f>IF(E400="","",E400*GeneratorRate)</f>
        <v/>
      </c>
      <c r="H400" s="130">
        <f>IF(F400="","",F400*GovernmentRate)</f>
        <v/>
      </c>
      <c r="I400" s="130">
        <f>IF(D400="","",G400+H400)</f>
        <v/>
      </c>
      <c r="J400" s="129">
        <f>IFERROR(I400/COUNTIFS('Client DB &amp; Bed Mgmt'!$A:$A,A400,'Client DB &amp; Bed Mgmt'!$B:$B,C400,'Client DB &amp; Bed Mgmt'!$D:$D,"&lt;&gt;"),0)</f>
        <v/>
      </c>
      <c r="K400" s="88" t="n"/>
      <c r="L400" s="88" t="n"/>
      <c r="M400" s="88">
        <f>COUNTIFS('Client DB &amp; Bed Mgmt'!$B:$B,L400,'Client DB &amp; Bed Mgmt'!$E:$E,"Occupied")</f>
        <v/>
      </c>
      <c r="N400" s="88" t="n"/>
      <c r="O400" s="88" t="n"/>
      <c r="P400" s="88" t="n"/>
      <c r="Q400" s="88" t="n"/>
      <c r="R400" s="88" t="n"/>
      <c r="S400" s="88" t="n"/>
      <c r="T400" s="88" t="n"/>
      <c r="U400" s="129" t="n"/>
      <c r="V400" s="129" t="n"/>
    </row>
    <row r="401" ht="14.25" customHeight="1" s="83">
      <c r="A401" s="103" t="n"/>
      <c r="B401" s="125" t="n"/>
      <c r="C401" s="103" t="n"/>
      <c r="D401" s="126" t="n"/>
      <c r="E401" s="126" t="n"/>
      <c r="F401" s="127">
        <f>IF(D401="","",MAX(D401-E401,0))</f>
        <v/>
      </c>
      <c r="G401" s="130">
        <f>IF(E401="","",E401*GeneratorRate)</f>
        <v/>
      </c>
      <c r="H401" s="130">
        <f>IF(F401="","",F401*GovernmentRate)</f>
        <v/>
      </c>
      <c r="I401" s="130">
        <f>IF(D401="","",G401+H401)</f>
        <v/>
      </c>
      <c r="J401" s="129">
        <f>IFERROR(I401/COUNTIFS('Client DB &amp; Bed Mgmt'!$A:$A,A401,'Client DB &amp; Bed Mgmt'!$B:$B,C401,'Client DB &amp; Bed Mgmt'!$D:$D,"&lt;&gt;"),0)</f>
        <v/>
      </c>
      <c r="K401" s="88" t="n"/>
      <c r="L401" s="88" t="n"/>
      <c r="M401" s="88">
        <f>COUNTIFS('Client DB &amp; Bed Mgmt'!$B:$B,L401,'Client DB &amp; Bed Mgmt'!$E:$E,"Occupied")</f>
        <v/>
      </c>
      <c r="N401" s="88" t="n"/>
      <c r="O401" s="88" t="n"/>
      <c r="P401" s="88" t="n"/>
      <c r="Q401" s="88" t="n"/>
      <c r="R401" s="88" t="n"/>
      <c r="S401" s="88" t="n"/>
      <c r="T401" s="88" t="n"/>
      <c r="U401" s="129" t="n"/>
      <c r="V401" s="129" t="n"/>
    </row>
    <row r="402" ht="14.25" customHeight="1" s="83">
      <c r="A402" s="103" t="n"/>
      <c r="B402" s="125" t="n"/>
      <c r="C402" s="103" t="n"/>
      <c r="D402" s="126" t="n"/>
      <c r="E402" s="126" t="n"/>
      <c r="F402" s="127">
        <f>IF(D402="","",MAX(D402-E402,0))</f>
        <v/>
      </c>
      <c r="G402" s="130">
        <f>IF(E402="","",E402*GeneratorRate)</f>
        <v/>
      </c>
      <c r="H402" s="130">
        <f>IF(F402="","",F402*GovernmentRate)</f>
        <v/>
      </c>
      <c r="I402" s="130">
        <f>IF(D402="","",G402+H402)</f>
        <v/>
      </c>
      <c r="J402" s="129">
        <f>IFERROR(I402/COUNTIFS('Client DB &amp; Bed Mgmt'!$A:$A,A402,'Client DB &amp; Bed Mgmt'!$B:$B,C402,'Client DB &amp; Bed Mgmt'!$D:$D,"&lt;&gt;"),0)</f>
        <v/>
      </c>
      <c r="K402" s="88" t="n"/>
      <c r="L402" s="88" t="n"/>
      <c r="M402" s="88">
        <f>COUNTIFS('Client DB &amp; Bed Mgmt'!$B:$B,L402,'Client DB &amp; Bed Mgmt'!$E:$E,"Occupied")</f>
        <v/>
      </c>
      <c r="N402" s="88" t="n"/>
      <c r="O402" s="88" t="n"/>
      <c r="P402" s="88" t="n"/>
      <c r="Q402" s="88" t="n"/>
      <c r="R402" s="88" t="n"/>
      <c r="S402" s="88" t="n"/>
      <c r="T402" s="88" t="n"/>
      <c r="U402" s="129" t="n"/>
      <c r="V402" s="129" t="n"/>
    </row>
    <row r="403" ht="14.25" customHeight="1" s="83">
      <c r="A403" s="103" t="n"/>
      <c r="B403" s="125" t="n"/>
      <c r="C403" s="103" t="n"/>
      <c r="D403" s="126" t="n"/>
      <c r="E403" s="126" t="n"/>
      <c r="F403" s="127">
        <f>IF(D403="","",MAX(D403-E403,0))</f>
        <v/>
      </c>
      <c r="G403" s="130">
        <f>IF(E403="","",E403*GeneratorRate)</f>
        <v/>
      </c>
      <c r="H403" s="130">
        <f>IF(F403="","",F403*GovernmentRate)</f>
        <v/>
      </c>
      <c r="I403" s="130">
        <f>IF(D403="","",G403+H403)</f>
        <v/>
      </c>
      <c r="J403" s="129">
        <f>IFERROR(I403/COUNTIFS('Client DB &amp; Bed Mgmt'!$A:$A,A403,'Client DB &amp; Bed Mgmt'!$B:$B,C403,'Client DB &amp; Bed Mgmt'!$D:$D,"&lt;&gt;"),0)</f>
        <v/>
      </c>
      <c r="K403" s="88" t="n"/>
      <c r="L403" s="88" t="n"/>
      <c r="M403" s="88">
        <f>COUNTIFS('Client DB &amp; Bed Mgmt'!$B:$B,L403,'Client DB &amp; Bed Mgmt'!$E:$E,"Occupied")</f>
        <v/>
      </c>
      <c r="N403" s="88" t="n"/>
      <c r="O403" s="88" t="n"/>
      <c r="P403" s="88" t="n"/>
      <c r="Q403" s="88" t="n"/>
      <c r="R403" s="88" t="n"/>
      <c r="S403" s="88" t="n"/>
      <c r="T403" s="88" t="n"/>
      <c r="U403" s="129" t="n"/>
      <c r="V403" s="129" t="n"/>
    </row>
    <row r="404" ht="14.25" customHeight="1" s="83">
      <c r="A404" s="103" t="n"/>
      <c r="B404" s="125" t="n"/>
      <c r="C404" s="103" t="n"/>
      <c r="D404" s="126" t="n"/>
      <c r="E404" s="126" t="n"/>
      <c r="F404" s="127">
        <f>IF(D404="","",MAX(D404-E404,0))</f>
        <v/>
      </c>
      <c r="G404" s="130">
        <f>IF(E404="","",E404*GeneratorRate)</f>
        <v/>
      </c>
      <c r="H404" s="130">
        <f>IF(F404="","",F404*GovernmentRate)</f>
        <v/>
      </c>
      <c r="I404" s="130">
        <f>IF(D404="","",G404+H404)</f>
        <v/>
      </c>
      <c r="J404" s="129">
        <f>IFERROR(I404/COUNTIFS('Client DB &amp; Bed Mgmt'!$A:$A,A404,'Client DB &amp; Bed Mgmt'!$B:$B,C404,'Client DB &amp; Bed Mgmt'!$D:$D,"&lt;&gt;"),0)</f>
        <v/>
      </c>
      <c r="K404" s="88" t="n"/>
      <c r="L404" s="88" t="n"/>
      <c r="M404" s="88">
        <f>COUNTIFS('Client DB &amp; Bed Mgmt'!$B:$B,L404,'Client DB &amp; Bed Mgmt'!$E:$E,"Occupied")</f>
        <v/>
      </c>
      <c r="N404" s="88" t="n"/>
      <c r="O404" s="88" t="n"/>
      <c r="P404" s="88" t="n"/>
      <c r="Q404" s="88" t="n"/>
      <c r="R404" s="88" t="n"/>
      <c r="S404" s="88" t="n"/>
      <c r="T404" s="88" t="n"/>
      <c r="U404" s="129" t="n"/>
      <c r="V404" s="129" t="n"/>
    </row>
    <row r="405" ht="14.25" customHeight="1" s="83">
      <c r="A405" s="103" t="n"/>
      <c r="B405" s="125" t="n"/>
      <c r="C405" s="103" t="n"/>
      <c r="D405" s="126" t="n"/>
      <c r="E405" s="126" t="n"/>
      <c r="F405" s="127">
        <f>IF(D405="","",MAX(D405-E405,0))</f>
        <v/>
      </c>
      <c r="G405" s="130">
        <f>IF(E405="","",E405*GeneratorRate)</f>
        <v/>
      </c>
      <c r="H405" s="130">
        <f>IF(F405="","",F405*GovernmentRate)</f>
        <v/>
      </c>
      <c r="I405" s="130">
        <f>IF(D405="","",G405+H405)</f>
        <v/>
      </c>
      <c r="J405" s="129">
        <f>IFERROR(I405/COUNTIFS('Client DB &amp; Bed Mgmt'!$A:$A,A405,'Client DB &amp; Bed Mgmt'!$B:$B,C405,'Client DB &amp; Bed Mgmt'!$D:$D,"&lt;&gt;"),0)</f>
        <v/>
      </c>
      <c r="K405" s="88" t="n"/>
      <c r="L405" s="88" t="n"/>
      <c r="M405" s="88">
        <f>COUNTIFS('Client DB &amp; Bed Mgmt'!$B:$B,L405,'Client DB &amp; Bed Mgmt'!$E:$E,"Occupied")</f>
        <v/>
      </c>
      <c r="N405" s="88" t="n"/>
      <c r="O405" s="88" t="n"/>
      <c r="P405" s="88" t="n"/>
      <c r="Q405" s="88" t="n"/>
      <c r="R405" s="88" t="n"/>
      <c r="S405" s="88" t="n"/>
      <c r="T405" s="88" t="n"/>
      <c r="U405" s="129" t="n"/>
      <c r="V405" s="129" t="n"/>
    </row>
    <row r="406" ht="14.25" customHeight="1" s="83">
      <c r="A406" s="103" t="n"/>
      <c r="B406" s="125" t="n"/>
      <c r="C406" s="103" t="n"/>
      <c r="D406" s="126" t="n"/>
      <c r="E406" s="126" t="n"/>
      <c r="F406" s="127">
        <f>IF(D406="","",MAX(D406-E406,0))</f>
        <v/>
      </c>
      <c r="G406" s="130">
        <f>IF(E406="","",E406*GeneratorRate)</f>
        <v/>
      </c>
      <c r="H406" s="130">
        <f>IF(F406="","",F406*GovernmentRate)</f>
        <v/>
      </c>
      <c r="I406" s="130">
        <f>IF(D406="","",G406+H406)</f>
        <v/>
      </c>
      <c r="J406" s="129">
        <f>IFERROR(I406/COUNTIFS('Client DB &amp; Bed Mgmt'!$A:$A,A406,'Client DB &amp; Bed Mgmt'!$B:$B,C406,'Client DB &amp; Bed Mgmt'!$D:$D,"&lt;&gt;"),0)</f>
        <v/>
      </c>
      <c r="K406" s="88" t="n"/>
      <c r="L406" s="88" t="n"/>
      <c r="M406" s="88">
        <f>COUNTIFS('Client DB &amp; Bed Mgmt'!$B:$B,L406,'Client DB &amp; Bed Mgmt'!$E:$E,"Occupied")</f>
        <v/>
      </c>
      <c r="N406" s="88" t="n"/>
      <c r="O406" s="88" t="n"/>
      <c r="P406" s="88" t="n"/>
      <c r="Q406" s="88" t="n"/>
      <c r="R406" s="88" t="n"/>
      <c r="S406" s="88" t="n"/>
      <c r="T406" s="88" t="n"/>
      <c r="U406" s="129" t="n"/>
      <c r="V406" s="129" t="n"/>
    </row>
    <row r="407" ht="14.25" customHeight="1" s="83">
      <c r="A407" s="103" t="n"/>
      <c r="B407" s="125" t="n"/>
      <c r="C407" s="103" t="n"/>
      <c r="D407" s="126" t="n"/>
      <c r="E407" s="126" t="n"/>
      <c r="F407" s="127">
        <f>IF(D407="","",MAX(D407-E407,0))</f>
        <v/>
      </c>
      <c r="G407" s="130">
        <f>IF(E407="","",E407*GeneratorRate)</f>
        <v/>
      </c>
      <c r="H407" s="130">
        <f>IF(F407="","",F407*GovernmentRate)</f>
        <v/>
      </c>
      <c r="I407" s="130">
        <f>IF(D407="","",G407+H407)</f>
        <v/>
      </c>
      <c r="J407" s="129">
        <f>IFERROR(I407/COUNTIFS('Client DB &amp; Bed Mgmt'!$A:$A,A407,'Client DB &amp; Bed Mgmt'!$B:$B,C407,'Client DB &amp; Bed Mgmt'!$D:$D,"&lt;&gt;"),0)</f>
        <v/>
      </c>
      <c r="K407" s="88" t="n"/>
      <c r="L407" s="88" t="n"/>
      <c r="M407" s="88">
        <f>COUNTIFS('Client DB &amp; Bed Mgmt'!$B:$B,L407,'Client DB &amp; Bed Mgmt'!$E:$E,"Occupied")</f>
        <v/>
      </c>
      <c r="N407" s="88" t="n"/>
      <c r="O407" s="88" t="n"/>
      <c r="P407" s="88" t="n"/>
      <c r="Q407" s="88" t="n"/>
      <c r="R407" s="88" t="n"/>
      <c r="S407" s="88" t="n"/>
      <c r="T407" s="88" t="n"/>
      <c r="U407" s="129" t="n"/>
      <c r="V407" s="129" t="n"/>
    </row>
    <row r="408" ht="14.25" customHeight="1" s="83">
      <c r="A408" s="103" t="n"/>
      <c r="B408" s="125" t="n"/>
      <c r="C408" s="103" t="n"/>
      <c r="D408" s="126" t="n"/>
      <c r="E408" s="126" t="n"/>
      <c r="F408" s="127">
        <f>IF(D408="","",MAX(D408-E408,0))</f>
        <v/>
      </c>
      <c r="G408" s="130">
        <f>IF(E408="","",E408*GeneratorRate)</f>
        <v/>
      </c>
      <c r="H408" s="130">
        <f>IF(F408="","",F408*GovernmentRate)</f>
        <v/>
      </c>
      <c r="I408" s="130">
        <f>IF(D408="","",G408+H408)</f>
        <v/>
      </c>
      <c r="J408" s="129">
        <f>IFERROR(I408/COUNTIFS('Client DB &amp; Bed Mgmt'!$A:$A,A408,'Client DB &amp; Bed Mgmt'!$B:$B,C408,'Client DB &amp; Bed Mgmt'!$D:$D,"&lt;&gt;"),0)</f>
        <v/>
      </c>
      <c r="K408" s="88" t="n"/>
      <c r="L408" s="88" t="n"/>
      <c r="M408" s="88">
        <f>COUNTIFS('Client DB &amp; Bed Mgmt'!$B:$B,L408,'Client DB &amp; Bed Mgmt'!$E:$E,"Occupied")</f>
        <v/>
      </c>
      <c r="N408" s="88" t="n"/>
      <c r="O408" s="88" t="n"/>
      <c r="P408" s="88" t="n"/>
      <c r="Q408" s="88" t="n"/>
      <c r="R408" s="88" t="n"/>
      <c r="S408" s="88" t="n"/>
      <c r="T408" s="88" t="n"/>
      <c r="U408" s="129" t="n"/>
      <c r="V408" s="129" t="n"/>
    </row>
    <row r="409" ht="14.25" customHeight="1" s="83">
      <c r="A409" s="103" t="n"/>
      <c r="B409" s="125" t="n"/>
      <c r="C409" s="103" t="n"/>
      <c r="D409" s="126" t="n"/>
      <c r="E409" s="126" t="n"/>
      <c r="F409" s="127">
        <f>IF(D409="","",MAX(D409-E409,0))</f>
        <v/>
      </c>
      <c r="G409" s="130">
        <f>IF(E409="","",E409*GeneratorRate)</f>
        <v/>
      </c>
      <c r="H409" s="130">
        <f>IF(F409="","",F409*GovernmentRate)</f>
        <v/>
      </c>
      <c r="I409" s="130">
        <f>IF(D409="","",G409+H409)</f>
        <v/>
      </c>
      <c r="J409" s="129">
        <f>IFERROR(I409/COUNTIFS('Client DB &amp; Bed Mgmt'!$A:$A,A409,'Client DB &amp; Bed Mgmt'!$B:$B,C409,'Client DB &amp; Bed Mgmt'!$D:$D,"&lt;&gt;"),0)</f>
        <v/>
      </c>
      <c r="K409" s="88" t="n"/>
      <c r="L409" s="88" t="n"/>
      <c r="M409" s="88">
        <f>COUNTIFS('Client DB &amp; Bed Mgmt'!$B:$B,L409,'Client DB &amp; Bed Mgmt'!$E:$E,"Occupied")</f>
        <v/>
      </c>
      <c r="N409" s="88" t="n"/>
      <c r="O409" s="88" t="n"/>
      <c r="P409" s="88" t="n"/>
      <c r="Q409" s="88" t="n"/>
      <c r="R409" s="88" t="n"/>
      <c r="S409" s="88" t="n"/>
      <c r="T409" s="88" t="n"/>
      <c r="U409" s="129" t="n"/>
      <c r="V409" s="129" t="n"/>
    </row>
    <row r="410" ht="14.25" customHeight="1" s="83">
      <c r="A410" s="103" t="n"/>
      <c r="B410" s="125" t="n"/>
      <c r="C410" s="103" t="n"/>
      <c r="D410" s="126" t="n"/>
      <c r="E410" s="126" t="n"/>
      <c r="F410" s="127">
        <f>IF(D410="","",MAX(D410-E410,0))</f>
        <v/>
      </c>
      <c r="G410" s="130">
        <f>IF(E410="","",E410*GeneratorRate)</f>
        <v/>
      </c>
      <c r="H410" s="130">
        <f>IF(F410="","",F410*GovernmentRate)</f>
        <v/>
      </c>
      <c r="I410" s="130">
        <f>IF(D410="","",G410+H410)</f>
        <v/>
      </c>
      <c r="J410" s="129">
        <f>IFERROR(I410/COUNTIFS('Client DB &amp; Bed Mgmt'!$A:$A,A410,'Client DB &amp; Bed Mgmt'!$B:$B,C410,'Client DB &amp; Bed Mgmt'!$D:$D,"&lt;&gt;"),0)</f>
        <v/>
      </c>
      <c r="K410" s="88" t="n"/>
      <c r="L410" s="88" t="n"/>
      <c r="M410" s="88">
        <f>COUNTIFS('Client DB &amp; Bed Mgmt'!$B:$B,L410,'Client DB &amp; Bed Mgmt'!$E:$E,"Occupied")</f>
        <v/>
      </c>
      <c r="N410" s="88" t="n"/>
      <c r="O410" s="88" t="n"/>
      <c r="P410" s="88" t="n"/>
      <c r="Q410" s="88" t="n"/>
      <c r="R410" s="88" t="n"/>
      <c r="S410" s="88" t="n"/>
      <c r="T410" s="88" t="n"/>
      <c r="U410" s="129" t="n"/>
      <c r="V410" s="129" t="n"/>
    </row>
    <row r="411" ht="14.25" customHeight="1" s="83">
      <c r="A411" s="103" t="n"/>
      <c r="B411" s="125" t="n"/>
      <c r="C411" s="103" t="n"/>
      <c r="D411" s="126" t="n"/>
      <c r="E411" s="126" t="n"/>
      <c r="F411" s="127">
        <f>IF(D411="","",MAX(D411-E411,0))</f>
        <v/>
      </c>
      <c r="G411" s="130">
        <f>IF(E411="","",E411*GeneratorRate)</f>
        <v/>
      </c>
      <c r="H411" s="130">
        <f>IF(F411="","",F411*GovernmentRate)</f>
        <v/>
      </c>
      <c r="I411" s="130">
        <f>IF(D411="","",G411+H411)</f>
        <v/>
      </c>
      <c r="J411" s="129">
        <f>IFERROR(I411/COUNTIFS('Client DB &amp; Bed Mgmt'!$A:$A,A411,'Client DB &amp; Bed Mgmt'!$B:$B,C411,'Client DB &amp; Bed Mgmt'!$D:$D,"&lt;&gt;"),0)</f>
        <v/>
      </c>
      <c r="K411" s="88" t="n"/>
      <c r="L411" s="88" t="n"/>
      <c r="M411" s="88">
        <f>COUNTIFS('Client DB &amp; Bed Mgmt'!$B:$B,L411,'Client DB &amp; Bed Mgmt'!$E:$E,"Occupied")</f>
        <v/>
      </c>
      <c r="N411" s="88" t="n"/>
      <c r="O411" s="88" t="n"/>
      <c r="P411" s="88" t="n"/>
      <c r="Q411" s="88" t="n"/>
      <c r="R411" s="88" t="n"/>
      <c r="S411" s="88" t="n"/>
      <c r="T411" s="88" t="n"/>
      <c r="U411" s="129" t="n"/>
      <c r="V411" s="129" t="n"/>
    </row>
    <row r="412" ht="14.25" customHeight="1" s="83">
      <c r="A412" s="103" t="n"/>
      <c r="B412" s="125" t="n"/>
      <c r="C412" s="103" t="n"/>
      <c r="D412" s="126" t="n"/>
      <c r="E412" s="126" t="n"/>
      <c r="F412" s="127">
        <f>IF(D412="","",MAX(D412-E412,0))</f>
        <v/>
      </c>
      <c r="G412" s="130">
        <f>IF(E412="","",E412*GeneratorRate)</f>
        <v/>
      </c>
      <c r="H412" s="130">
        <f>IF(F412="","",F412*GovernmentRate)</f>
        <v/>
      </c>
      <c r="I412" s="130">
        <f>IF(D412="","",G412+H412)</f>
        <v/>
      </c>
      <c r="J412" s="129">
        <f>IFERROR(I412/COUNTIFS('Client DB &amp; Bed Mgmt'!$A:$A,A412,'Client DB &amp; Bed Mgmt'!$B:$B,C412,'Client DB &amp; Bed Mgmt'!$D:$D,"&lt;&gt;"),0)</f>
        <v/>
      </c>
      <c r="K412" s="88" t="n"/>
      <c r="L412" s="88" t="n"/>
      <c r="M412" s="88">
        <f>COUNTIFS('Client DB &amp; Bed Mgmt'!$B:$B,L412,'Client DB &amp; Bed Mgmt'!$E:$E,"Occupied")</f>
        <v/>
      </c>
      <c r="N412" s="88" t="n"/>
      <c r="O412" s="88" t="n"/>
      <c r="P412" s="88" t="n"/>
      <c r="Q412" s="88" t="n"/>
      <c r="R412" s="88" t="n"/>
      <c r="S412" s="88" t="n"/>
      <c r="T412" s="88" t="n"/>
      <c r="U412" s="129" t="n"/>
      <c r="V412" s="129" t="n"/>
    </row>
    <row r="413" ht="14.25" customHeight="1" s="83">
      <c r="A413" s="103" t="n"/>
      <c r="B413" s="125" t="n"/>
      <c r="C413" s="103" t="n"/>
      <c r="D413" s="126" t="n"/>
      <c r="E413" s="126" t="n"/>
      <c r="F413" s="127">
        <f>IF(D413="","",MAX(D413-E413,0))</f>
        <v/>
      </c>
      <c r="G413" s="130">
        <f>IF(E413="","",E413*GeneratorRate)</f>
        <v/>
      </c>
      <c r="H413" s="130">
        <f>IF(F413="","",F413*GovernmentRate)</f>
        <v/>
      </c>
      <c r="I413" s="130">
        <f>IF(D413="","",G413+H413)</f>
        <v/>
      </c>
      <c r="J413" s="129">
        <f>IFERROR(I413/COUNTIFS('Client DB &amp; Bed Mgmt'!$A:$A,A413,'Client DB &amp; Bed Mgmt'!$B:$B,C413,'Client DB &amp; Bed Mgmt'!$D:$D,"&lt;&gt;"),0)</f>
        <v/>
      </c>
      <c r="K413" s="88" t="n"/>
      <c r="L413" s="88" t="n"/>
      <c r="M413" s="88">
        <f>COUNTIFS('Client DB &amp; Bed Mgmt'!$B:$B,L413,'Client DB &amp; Bed Mgmt'!$E:$E,"Occupied")</f>
        <v/>
      </c>
      <c r="N413" s="88" t="n"/>
      <c r="O413" s="88" t="n"/>
      <c r="P413" s="88" t="n"/>
      <c r="Q413" s="88" t="n"/>
      <c r="R413" s="88" t="n"/>
      <c r="S413" s="88" t="n"/>
      <c r="T413" s="88" t="n"/>
      <c r="U413" s="129" t="n"/>
      <c r="V413" s="129" t="n"/>
    </row>
    <row r="414" ht="14.25" customHeight="1" s="83">
      <c r="A414" s="103" t="n"/>
      <c r="B414" s="125" t="n"/>
      <c r="C414" s="103" t="n"/>
      <c r="D414" s="126" t="n"/>
      <c r="E414" s="126" t="n"/>
      <c r="F414" s="127">
        <f>IF(D414="","",MAX(D414-E414,0))</f>
        <v/>
      </c>
      <c r="G414" s="130">
        <f>IF(E414="","",E414*GeneratorRate)</f>
        <v/>
      </c>
      <c r="H414" s="130">
        <f>IF(F414="","",F414*GovernmentRate)</f>
        <v/>
      </c>
      <c r="I414" s="130">
        <f>IF(D414="","",G414+H414)</f>
        <v/>
      </c>
      <c r="J414" s="129">
        <f>IFERROR(I414/COUNTIFS('Client DB &amp; Bed Mgmt'!$A:$A,A414,'Client DB &amp; Bed Mgmt'!$B:$B,C414,'Client DB &amp; Bed Mgmt'!$D:$D,"&lt;&gt;"),0)</f>
        <v/>
      </c>
      <c r="K414" s="88" t="n"/>
      <c r="L414" s="88" t="n"/>
      <c r="M414" s="88">
        <f>COUNTIFS('Client DB &amp; Bed Mgmt'!$B:$B,L414,'Client DB &amp; Bed Mgmt'!$E:$E,"Occupied")</f>
        <v/>
      </c>
      <c r="N414" s="88" t="n"/>
      <c r="O414" s="88" t="n"/>
      <c r="P414" s="88" t="n"/>
      <c r="Q414" s="88" t="n"/>
      <c r="R414" s="88" t="n"/>
      <c r="S414" s="88" t="n"/>
      <c r="T414" s="88" t="n"/>
      <c r="U414" s="129" t="n"/>
      <c r="V414" s="129" t="n"/>
    </row>
    <row r="415" ht="14.25" customHeight="1" s="83">
      <c r="A415" s="103" t="n"/>
      <c r="B415" s="125" t="n"/>
      <c r="C415" s="103" t="n"/>
      <c r="D415" s="126" t="n"/>
      <c r="E415" s="126" t="n"/>
      <c r="F415" s="127">
        <f>IF(D415="","",MAX(D415-E415,0))</f>
        <v/>
      </c>
      <c r="G415" s="130">
        <f>IF(E415="","",E415*GeneratorRate)</f>
        <v/>
      </c>
      <c r="H415" s="130">
        <f>IF(F415="","",F415*GovernmentRate)</f>
        <v/>
      </c>
      <c r="I415" s="130">
        <f>IF(D415="","",G415+H415)</f>
        <v/>
      </c>
      <c r="J415" s="129">
        <f>IFERROR(I415/COUNTIFS('Client DB &amp; Bed Mgmt'!$A:$A,A415,'Client DB &amp; Bed Mgmt'!$B:$B,C415,'Client DB &amp; Bed Mgmt'!$D:$D,"&lt;&gt;"),0)</f>
        <v/>
      </c>
      <c r="K415" s="88" t="n"/>
      <c r="L415" s="88" t="n"/>
      <c r="M415" s="88">
        <f>COUNTIFS('Client DB &amp; Bed Mgmt'!$B:$B,L415,'Client DB &amp; Bed Mgmt'!$E:$E,"Occupied")</f>
        <v/>
      </c>
      <c r="N415" s="88" t="n"/>
      <c r="O415" s="88" t="n"/>
      <c r="P415" s="88" t="n"/>
      <c r="Q415" s="88" t="n"/>
      <c r="R415" s="88" t="n"/>
      <c r="S415" s="88" t="n"/>
      <c r="T415" s="88" t="n"/>
      <c r="U415" s="129" t="n"/>
      <c r="V415" s="129" t="n"/>
    </row>
    <row r="416" ht="14.25" customHeight="1" s="83">
      <c r="A416" s="103" t="n"/>
      <c r="B416" s="125" t="n"/>
      <c r="C416" s="103" t="n"/>
      <c r="D416" s="126" t="n"/>
      <c r="E416" s="126" t="n"/>
      <c r="F416" s="127">
        <f>IF(D416="","",MAX(D416-E416,0))</f>
        <v/>
      </c>
      <c r="G416" s="130">
        <f>IF(E416="","",E416*GeneratorRate)</f>
        <v/>
      </c>
      <c r="H416" s="130">
        <f>IF(F416="","",F416*GovernmentRate)</f>
        <v/>
      </c>
      <c r="I416" s="130">
        <f>IF(D416="","",G416+H416)</f>
        <v/>
      </c>
      <c r="J416" s="129">
        <f>IFERROR(I416/COUNTIFS('Client DB &amp; Bed Mgmt'!$A:$A,A416,'Client DB &amp; Bed Mgmt'!$B:$B,C416,'Client DB &amp; Bed Mgmt'!$D:$D,"&lt;&gt;"),0)</f>
        <v/>
      </c>
      <c r="K416" s="88" t="n"/>
      <c r="L416" s="88" t="n"/>
      <c r="M416" s="88">
        <f>COUNTIFS('Client DB &amp; Bed Mgmt'!$B:$B,L416,'Client DB &amp; Bed Mgmt'!$E:$E,"Occupied")</f>
        <v/>
      </c>
      <c r="N416" s="88" t="n"/>
      <c r="O416" s="88" t="n"/>
      <c r="P416" s="88" t="n"/>
      <c r="Q416" s="88" t="n"/>
      <c r="R416" s="88" t="n"/>
      <c r="S416" s="88" t="n"/>
      <c r="T416" s="88" t="n"/>
      <c r="U416" s="129" t="n"/>
      <c r="V416" s="129" t="n"/>
    </row>
    <row r="417" ht="14.25" customHeight="1" s="83">
      <c r="A417" s="103" t="n"/>
      <c r="B417" s="125" t="n"/>
      <c r="C417" s="103" t="n"/>
      <c r="D417" s="126" t="n"/>
      <c r="E417" s="126" t="n"/>
      <c r="F417" s="127">
        <f>IF(D417="","",MAX(D417-E417,0))</f>
        <v/>
      </c>
      <c r="G417" s="130">
        <f>IF(E417="","",E417*GeneratorRate)</f>
        <v/>
      </c>
      <c r="H417" s="130">
        <f>IF(F417="","",F417*GovernmentRate)</f>
        <v/>
      </c>
      <c r="I417" s="130">
        <f>IF(D417="","",G417+H417)</f>
        <v/>
      </c>
      <c r="J417" s="129">
        <f>IFERROR(I417/COUNTIFS('Client DB &amp; Bed Mgmt'!$A:$A,A417,'Client DB &amp; Bed Mgmt'!$B:$B,C417,'Client DB &amp; Bed Mgmt'!$D:$D,"&lt;&gt;"),0)</f>
        <v/>
      </c>
      <c r="K417" s="88" t="n"/>
      <c r="L417" s="88" t="n"/>
      <c r="M417" s="88">
        <f>COUNTIFS('Client DB &amp; Bed Mgmt'!$B:$B,L417,'Client DB &amp; Bed Mgmt'!$E:$E,"Occupied")</f>
        <v/>
      </c>
      <c r="N417" s="88" t="n"/>
      <c r="O417" s="88" t="n"/>
      <c r="P417" s="88" t="n"/>
      <c r="Q417" s="88" t="n"/>
      <c r="R417" s="88" t="n"/>
      <c r="S417" s="88" t="n"/>
      <c r="T417" s="88" t="n"/>
      <c r="U417" s="129" t="n"/>
      <c r="V417" s="129" t="n"/>
    </row>
    <row r="418" ht="14.25" customHeight="1" s="83">
      <c r="A418" s="103" t="n"/>
      <c r="B418" s="125" t="n"/>
      <c r="C418" s="103" t="n"/>
      <c r="D418" s="126" t="n"/>
      <c r="E418" s="126" t="n"/>
      <c r="F418" s="127">
        <f>IF(D418="","",MAX(D418-E418,0))</f>
        <v/>
      </c>
      <c r="G418" s="130">
        <f>IF(E418="","",E418*GeneratorRate)</f>
        <v/>
      </c>
      <c r="H418" s="130">
        <f>IF(F418="","",F418*GovernmentRate)</f>
        <v/>
      </c>
      <c r="I418" s="130">
        <f>IF(D418="","",G418+H418)</f>
        <v/>
      </c>
      <c r="J418" s="129">
        <f>IFERROR(I418/COUNTIFS('Client DB &amp; Bed Mgmt'!$A:$A,A418,'Client DB &amp; Bed Mgmt'!$B:$B,C418,'Client DB &amp; Bed Mgmt'!$D:$D,"&lt;&gt;"),0)</f>
        <v/>
      </c>
      <c r="K418" s="88" t="n"/>
      <c r="L418" s="88" t="n"/>
      <c r="M418" s="88">
        <f>COUNTIFS('Client DB &amp; Bed Mgmt'!$B:$B,L418,'Client DB &amp; Bed Mgmt'!$E:$E,"Occupied")</f>
        <v/>
      </c>
      <c r="N418" s="88" t="n"/>
      <c r="O418" s="88" t="n"/>
      <c r="P418" s="88" t="n"/>
      <c r="Q418" s="88" t="n"/>
      <c r="R418" s="88" t="n"/>
      <c r="S418" s="88" t="n"/>
      <c r="T418" s="88" t="n"/>
      <c r="U418" s="129" t="n"/>
      <c r="V418" s="129" t="n"/>
    </row>
    <row r="419" ht="14.25" customHeight="1" s="83">
      <c r="A419" s="103" t="n"/>
      <c r="B419" s="125" t="n"/>
      <c r="C419" s="103" t="n"/>
      <c r="D419" s="126" t="n"/>
      <c r="E419" s="126" t="n"/>
      <c r="F419" s="127">
        <f>IF(D419="","",MAX(D419-E419,0))</f>
        <v/>
      </c>
      <c r="G419" s="130">
        <f>IF(E419="","",E419*GeneratorRate)</f>
        <v/>
      </c>
      <c r="H419" s="130">
        <f>IF(F419="","",F419*GovernmentRate)</f>
        <v/>
      </c>
      <c r="I419" s="130">
        <f>IF(D419="","",G419+H419)</f>
        <v/>
      </c>
      <c r="J419" s="129">
        <f>IFERROR(I419/COUNTIFS('Client DB &amp; Bed Mgmt'!$A:$A,A419,'Client DB &amp; Bed Mgmt'!$B:$B,C419,'Client DB &amp; Bed Mgmt'!$D:$D,"&lt;&gt;"),0)</f>
        <v/>
      </c>
      <c r="K419" s="88" t="n"/>
      <c r="L419" s="88" t="n"/>
      <c r="M419" s="88">
        <f>COUNTIFS('Client DB &amp; Bed Mgmt'!$B:$B,L419,'Client DB &amp; Bed Mgmt'!$E:$E,"Occupied")</f>
        <v/>
      </c>
      <c r="N419" s="88" t="n"/>
      <c r="O419" s="88" t="n"/>
      <c r="P419" s="88" t="n"/>
      <c r="Q419" s="88" t="n"/>
      <c r="R419" s="88" t="n"/>
      <c r="S419" s="88" t="n"/>
      <c r="T419" s="88" t="n"/>
      <c r="U419" s="129" t="n"/>
      <c r="V419" s="129" t="n"/>
    </row>
    <row r="420" ht="14.25" customHeight="1" s="83">
      <c r="A420" s="103" t="n"/>
      <c r="B420" s="125" t="n"/>
      <c r="C420" s="103" t="n"/>
      <c r="D420" s="126" t="n"/>
      <c r="E420" s="126" t="n"/>
      <c r="F420" s="127">
        <f>IF(D420="","",MAX(D420-E420,0))</f>
        <v/>
      </c>
      <c r="G420" s="130">
        <f>IF(E420="","",E420*GeneratorRate)</f>
        <v/>
      </c>
      <c r="H420" s="130">
        <f>IF(F420="","",F420*GovernmentRate)</f>
        <v/>
      </c>
      <c r="I420" s="130">
        <f>IF(D420="","",G420+H420)</f>
        <v/>
      </c>
      <c r="J420" s="129">
        <f>IFERROR(I420/COUNTIFS('Client DB &amp; Bed Mgmt'!$A:$A,A420,'Client DB &amp; Bed Mgmt'!$B:$B,C420,'Client DB &amp; Bed Mgmt'!$D:$D,"&lt;&gt;"),0)</f>
        <v/>
      </c>
      <c r="K420" s="88" t="n"/>
      <c r="L420" s="88" t="n"/>
      <c r="M420" s="88">
        <f>COUNTIFS('Client DB &amp; Bed Mgmt'!$B:$B,L420,'Client DB &amp; Bed Mgmt'!$E:$E,"Occupied")</f>
        <v/>
      </c>
      <c r="N420" s="88" t="n"/>
      <c r="O420" s="88" t="n"/>
      <c r="P420" s="88" t="n"/>
      <c r="Q420" s="88" t="n"/>
      <c r="R420" s="88" t="n"/>
      <c r="S420" s="88" t="n"/>
      <c r="T420" s="88" t="n"/>
      <c r="U420" s="129" t="n"/>
      <c r="V420" s="129" t="n"/>
    </row>
    <row r="421" ht="14.25" customHeight="1" s="83">
      <c r="A421" s="103" t="n"/>
      <c r="B421" s="125" t="n"/>
      <c r="C421" s="103" t="n"/>
      <c r="D421" s="126" t="n"/>
      <c r="E421" s="126" t="n"/>
      <c r="F421" s="127">
        <f>IF(D421="","",MAX(D421-E421,0))</f>
        <v/>
      </c>
      <c r="G421" s="130">
        <f>IF(E421="","",E421*GeneratorRate)</f>
        <v/>
      </c>
      <c r="H421" s="130">
        <f>IF(F421="","",F421*GovernmentRate)</f>
        <v/>
      </c>
      <c r="I421" s="130">
        <f>IF(D421="","",G421+H421)</f>
        <v/>
      </c>
      <c r="J421" s="129">
        <f>IFERROR(I421/COUNTIFS('Client DB &amp; Bed Mgmt'!$A:$A,A421,'Client DB &amp; Bed Mgmt'!$B:$B,C421,'Client DB &amp; Bed Mgmt'!$D:$D,"&lt;&gt;"),0)</f>
        <v/>
      </c>
      <c r="K421" s="88" t="n"/>
      <c r="L421" s="88" t="n"/>
      <c r="M421" s="88">
        <f>COUNTIFS('Client DB &amp; Bed Mgmt'!$B:$B,L421,'Client DB &amp; Bed Mgmt'!$E:$E,"Occupied")</f>
        <v/>
      </c>
      <c r="N421" s="88" t="n"/>
      <c r="O421" s="88" t="n"/>
      <c r="P421" s="88" t="n"/>
      <c r="Q421" s="88" t="n"/>
      <c r="R421" s="88" t="n"/>
      <c r="S421" s="88" t="n"/>
      <c r="T421" s="88" t="n"/>
      <c r="U421" s="129" t="n"/>
      <c r="V421" s="129" t="n"/>
    </row>
    <row r="422" ht="14.25" customHeight="1" s="83">
      <c r="A422" s="103" t="n"/>
      <c r="B422" s="125" t="n"/>
      <c r="C422" s="103" t="n"/>
      <c r="D422" s="126" t="n"/>
      <c r="E422" s="126" t="n"/>
      <c r="F422" s="127">
        <f>IF(D422="","",MAX(D422-E422,0))</f>
        <v/>
      </c>
      <c r="G422" s="130">
        <f>IF(E422="","",E422*GeneratorRate)</f>
        <v/>
      </c>
      <c r="H422" s="130">
        <f>IF(F422="","",F422*GovernmentRate)</f>
        <v/>
      </c>
      <c r="I422" s="130">
        <f>IF(D422="","",G422+H422)</f>
        <v/>
      </c>
      <c r="J422" s="129">
        <f>IFERROR(I422/COUNTIFS('Client DB &amp; Bed Mgmt'!$A:$A,A422,'Client DB &amp; Bed Mgmt'!$B:$B,C422,'Client DB &amp; Bed Mgmt'!$D:$D,"&lt;&gt;"),0)</f>
        <v/>
      </c>
      <c r="K422" s="88" t="n"/>
      <c r="L422" s="88" t="n"/>
      <c r="M422" s="88">
        <f>COUNTIFS('Client DB &amp; Bed Mgmt'!$B:$B,L422,'Client DB &amp; Bed Mgmt'!$E:$E,"Occupied")</f>
        <v/>
      </c>
      <c r="N422" s="88" t="n"/>
      <c r="O422" s="88" t="n"/>
      <c r="P422" s="88" t="n"/>
      <c r="Q422" s="88" t="n"/>
      <c r="R422" s="88" t="n"/>
      <c r="S422" s="88" t="n"/>
      <c r="T422" s="88" t="n"/>
      <c r="U422" s="129" t="n"/>
      <c r="V422" s="129" t="n"/>
    </row>
    <row r="423" ht="14.25" customHeight="1" s="83">
      <c r="A423" s="103" t="n"/>
      <c r="B423" s="125" t="n"/>
      <c r="C423" s="103" t="n"/>
      <c r="D423" s="126" t="n"/>
      <c r="E423" s="126" t="n"/>
      <c r="F423" s="127">
        <f>IF(D423="","",MAX(D423-E423,0))</f>
        <v/>
      </c>
      <c r="G423" s="130">
        <f>IF(E423="","",E423*GeneratorRate)</f>
        <v/>
      </c>
      <c r="H423" s="130">
        <f>IF(F423="","",F423*GovernmentRate)</f>
        <v/>
      </c>
      <c r="I423" s="130">
        <f>IF(D423="","",G423+H423)</f>
        <v/>
      </c>
      <c r="J423" s="129">
        <f>IFERROR(I423/COUNTIFS('Client DB &amp; Bed Mgmt'!$A:$A,A423,'Client DB &amp; Bed Mgmt'!$B:$B,C423,'Client DB &amp; Bed Mgmt'!$D:$D,"&lt;&gt;"),0)</f>
        <v/>
      </c>
      <c r="K423" s="88" t="n"/>
      <c r="L423" s="88" t="n"/>
      <c r="M423" s="88">
        <f>COUNTIFS('Client DB &amp; Bed Mgmt'!$B:$B,L423,'Client DB &amp; Bed Mgmt'!$E:$E,"Occupied")</f>
        <v/>
      </c>
      <c r="N423" s="88" t="n"/>
      <c r="O423" s="88" t="n"/>
      <c r="P423" s="88" t="n"/>
      <c r="Q423" s="88" t="n"/>
      <c r="R423" s="88" t="n"/>
      <c r="S423" s="88" t="n"/>
      <c r="T423" s="88" t="n"/>
      <c r="U423" s="129" t="n"/>
      <c r="V423" s="129" t="n"/>
    </row>
    <row r="424" ht="14.25" customHeight="1" s="83">
      <c r="A424" s="103" t="n"/>
      <c r="B424" s="125" t="n"/>
      <c r="C424" s="103" t="n"/>
      <c r="D424" s="126" t="n"/>
      <c r="E424" s="126" t="n"/>
      <c r="F424" s="127">
        <f>IF(D424="","",MAX(D424-E424,0))</f>
        <v/>
      </c>
      <c r="G424" s="130">
        <f>IF(E424="","",E424*GeneratorRate)</f>
        <v/>
      </c>
      <c r="H424" s="130">
        <f>IF(F424="","",F424*GovernmentRate)</f>
        <v/>
      </c>
      <c r="I424" s="130">
        <f>IF(D424="","",G424+H424)</f>
        <v/>
      </c>
      <c r="J424" s="129">
        <f>IFERROR(I424/COUNTIFS('Client DB &amp; Bed Mgmt'!$A:$A,A424,'Client DB &amp; Bed Mgmt'!$B:$B,C424,'Client DB &amp; Bed Mgmt'!$D:$D,"&lt;&gt;"),0)</f>
        <v/>
      </c>
      <c r="K424" s="88" t="n"/>
      <c r="L424" s="88" t="n"/>
      <c r="M424" s="88">
        <f>COUNTIFS('Client DB &amp; Bed Mgmt'!$B:$B,L424,'Client DB &amp; Bed Mgmt'!$E:$E,"Occupied")</f>
        <v/>
      </c>
      <c r="N424" s="88" t="n"/>
      <c r="O424" s="88" t="n"/>
      <c r="P424" s="88" t="n"/>
      <c r="Q424" s="88" t="n"/>
      <c r="R424" s="88" t="n"/>
      <c r="S424" s="88" t="n"/>
      <c r="T424" s="88" t="n"/>
      <c r="U424" s="129" t="n"/>
      <c r="V424" s="129" t="n"/>
    </row>
    <row r="425" ht="14.25" customHeight="1" s="83">
      <c r="A425" s="103" t="n"/>
      <c r="B425" s="125" t="n"/>
      <c r="C425" s="103" t="n"/>
      <c r="D425" s="126" t="n"/>
      <c r="E425" s="126" t="n"/>
      <c r="F425" s="127">
        <f>IF(D425="","",MAX(D425-E425,0))</f>
        <v/>
      </c>
      <c r="G425" s="130">
        <f>IF(E425="","",E425*GeneratorRate)</f>
        <v/>
      </c>
      <c r="H425" s="130">
        <f>IF(F425="","",F425*GovernmentRate)</f>
        <v/>
      </c>
      <c r="I425" s="130">
        <f>IF(D425="","",G425+H425)</f>
        <v/>
      </c>
      <c r="J425" s="129">
        <f>IFERROR(I425/COUNTIFS('Client DB &amp; Bed Mgmt'!$A:$A,A425,'Client DB &amp; Bed Mgmt'!$B:$B,C425,'Client DB &amp; Bed Mgmt'!$D:$D,"&lt;&gt;"),0)</f>
        <v/>
      </c>
      <c r="K425" s="88" t="n"/>
      <c r="L425" s="88" t="n"/>
      <c r="M425" s="88">
        <f>COUNTIFS('Client DB &amp; Bed Mgmt'!$B:$B,L425,'Client DB &amp; Bed Mgmt'!$E:$E,"Occupied")</f>
        <v/>
      </c>
      <c r="N425" s="88" t="n"/>
      <c r="O425" s="88" t="n"/>
      <c r="P425" s="88" t="n"/>
      <c r="Q425" s="88" t="n"/>
      <c r="R425" s="88" t="n"/>
      <c r="S425" s="88" t="n"/>
      <c r="T425" s="88" t="n"/>
      <c r="U425" s="129" t="n"/>
      <c r="V425" s="129" t="n"/>
    </row>
    <row r="426" ht="14.25" customHeight="1" s="83">
      <c r="A426" s="103" t="n"/>
      <c r="B426" s="125" t="n"/>
      <c r="C426" s="103" t="n"/>
      <c r="D426" s="126" t="n"/>
      <c r="E426" s="126" t="n"/>
      <c r="F426" s="127">
        <f>IF(D426="","",MAX(D426-E426,0))</f>
        <v/>
      </c>
      <c r="G426" s="130">
        <f>IF(E426="","",E426*GeneratorRate)</f>
        <v/>
      </c>
      <c r="H426" s="130">
        <f>IF(F426="","",F426*GovernmentRate)</f>
        <v/>
      </c>
      <c r="I426" s="130">
        <f>IF(D426="","",G426+H426)</f>
        <v/>
      </c>
      <c r="J426" s="129">
        <f>IFERROR(I426/COUNTIFS('Client DB &amp; Bed Mgmt'!$A:$A,A426,'Client DB &amp; Bed Mgmt'!$B:$B,C426,'Client DB &amp; Bed Mgmt'!$D:$D,"&lt;&gt;"),0)</f>
        <v/>
      </c>
      <c r="K426" s="88" t="n"/>
      <c r="L426" s="88" t="n"/>
      <c r="M426" s="88">
        <f>COUNTIFS('Client DB &amp; Bed Mgmt'!$B:$B,L426,'Client DB &amp; Bed Mgmt'!$E:$E,"Occupied")</f>
        <v/>
      </c>
      <c r="N426" s="88" t="n"/>
      <c r="O426" s="88" t="n"/>
      <c r="P426" s="88" t="n"/>
      <c r="Q426" s="88" t="n"/>
      <c r="R426" s="88" t="n"/>
      <c r="S426" s="88" t="n"/>
      <c r="T426" s="88" t="n"/>
      <c r="U426" s="129" t="n"/>
      <c r="V426" s="129" t="n"/>
    </row>
    <row r="427" ht="14.25" customHeight="1" s="83">
      <c r="A427" s="103" t="n"/>
      <c r="B427" s="125" t="n"/>
      <c r="C427" s="103" t="n"/>
      <c r="D427" s="126" t="n"/>
      <c r="E427" s="126" t="n"/>
      <c r="F427" s="127">
        <f>IF(D427="","",MAX(D427-E427,0))</f>
        <v/>
      </c>
      <c r="G427" s="130">
        <f>IF(E427="","",E427*GeneratorRate)</f>
        <v/>
      </c>
      <c r="H427" s="130">
        <f>IF(F427="","",F427*GovernmentRate)</f>
        <v/>
      </c>
      <c r="I427" s="130">
        <f>IF(D427="","",G427+H427)</f>
        <v/>
      </c>
      <c r="J427" s="129">
        <f>IFERROR(I427/COUNTIFS('Client DB &amp; Bed Mgmt'!$A:$A,A427,'Client DB &amp; Bed Mgmt'!$B:$B,C427,'Client DB &amp; Bed Mgmt'!$D:$D,"&lt;&gt;"),0)</f>
        <v/>
      </c>
      <c r="K427" s="88" t="n"/>
      <c r="L427" s="88" t="n"/>
      <c r="M427" s="88">
        <f>COUNTIFS('Client DB &amp; Bed Mgmt'!$B:$B,L427,'Client DB &amp; Bed Mgmt'!$E:$E,"Occupied")</f>
        <v/>
      </c>
      <c r="N427" s="88" t="n"/>
      <c r="O427" s="88" t="n"/>
      <c r="P427" s="88" t="n"/>
      <c r="Q427" s="88" t="n"/>
      <c r="R427" s="88" t="n"/>
      <c r="S427" s="88" t="n"/>
      <c r="T427" s="88" t="n"/>
      <c r="U427" s="129" t="n"/>
      <c r="V427" s="129" t="n"/>
    </row>
    <row r="428" ht="14.25" customHeight="1" s="83">
      <c r="A428" s="103" t="n"/>
      <c r="B428" s="125" t="n"/>
      <c r="C428" s="103" t="n"/>
      <c r="D428" s="126" t="n"/>
      <c r="E428" s="126" t="n"/>
      <c r="F428" s="127">
        <f>IF(D428="","",MAX(D428-E428,0))</f>
        <v/>
      </c>
      <c r="G428" s="130">
        <f>IF(E428="","",E428*GeneratorRate)</f>
        <v/>
      </c>
      <c r="H428" s="130">
        <f>IF(F428="","",F428*GovernmentRate)</f>
        <v/>
      </c>
      <c r="I428" s="130">
        <f>IF(D428="","",G428+H428)</f>
        <v/>
      </c>
      <c r="J428" s="129">
        <f>IFERROR(I428/COUNTIFS('Client DB &amp; Bed Mgmt'!$A:$A,A428,'Client DB &amp; Bed Mgmt'!$B:$B,C428,'Client DB &amp; Bed Mgmt'!$D:$D,"&lt;&gt;"),0)</f>
        <v/>
      </c>
      <c r="K428" s="88" t="n"/>
      <c r="L428" s="88" t="n"/>
      <c r="M428" s="88">
        <f>COUNTIFS('Client DB &amp; Bed Mgmt'!$B:$B,L428,'Client DB &amp; Bed Mgmt'!$E:$E,"Occupied")</f>
        <v/>
      </c>
      <c r="N428" s="88" t="n"/>
      <c r="O428" s="88" t="n"/>
      <c r="P428" s="88" t="n"/>
      <c r="Q428" s="88" t="n"/>
      <c r="R428" s="88" t="n"/>
      <c r="S428" s="88" t="n"/>
      <c r="T428" s="88" t="n"/>
      <c r="U428" s="129" t="n"/>
      <c r="V428" s="129" t="n"/>
    </row>
    <row r="429" ht="14.25" customHeight="1" s="83">
      <c r="A429" s="103" t="n"/>
      <c r="B429" s="125" t="n"/>
      <c r="C429" s="103" t="n"/>
      <c r="D429" s="126" t="n"/>
      <c r="E429" s="126" t="n"/>
      <c r="F429" s="127">
        <f>IF(D429="","",MAX(D429-E429,0))</f>
        <v/>
      </c>
      <c r="G429" s="130">
        <f>IF(E429="","",E429*GeneratorRate)</f>
        <v/>
      </c>
      <c r="H429" s="130">
        <f>IF(F429="","",F429*GovernmentRate)</f>
        <v/>
      </c>
      <c r="I429" s="130">
        <f>IF(D429="","",G429+H429)</f>
        <v/>
      </c>
      <c r="J429" s="129">
        <f>IFERROR(I429/COUNTIFS('Client DB &amp; Bed Mgmt'!$A:$A,A429,'Client DB &amp; Bed Mgmt'!$B:$B,C429,'Client DB &amp; Bed Mgmt'!$D:$D,"&lt;&gt;"),0)</f>
        <v/>
      </c>
      <c r="K429" s="88" t="n"/>
      <c r="L429" s="88" t="n"/>
      <c r="M429" s="88">
        <f>COUNTIFS('Client DB &amp; Bed Mgmt'!$B:$B,L429,'Client DB &amp; Bed Mgmt'!$E:$E,"Occupied")</f>
        <v/>
      </c>
      <c r="N429" s="88" t="n"/>
      <c r="O429" s="88" t="n"/>
      <c r="P429" s="88" t="n"/>
      <c r="Q429" s="88" t="n"/>
      <c r="R429" s="88" t="n"/>
      <c r="S429" s="88" t="n"/>
      <c r="T429" s="88" t="n"/>
      <c r="U429" s="129" t="n"/>
      <c r="V429" s="129" t="n"/>
    </row>
    <row r="430" ht="14.25" customHeight="1" s="83">
      <c r="A430" s="103" t="n"/>
      <c r="B430" s="125" t="n"/>
      <c r="C430" s="103" t="n"/>
      <c r="D430" s="126" t="n"/>
      <c r="E430" s="126" t="n"/>
      <c r="F430" s="127">
        <f>IF(D430="","",MAX(D430-E430,0))</f>
        <v/>
      </c>
      <c r="G430" s="130">
        <f>IF(E430="","",E430*GeneratorRate)</f>
        <v/>
      </c>
      <c r="H430" s="130">
        <f>IF(F430="","",F430*GovernmentRate)</f>
        <v/>
      </c>
      <c r="I430" s="130">
        <f>IF(D430="","",G430+H430)</f>
        <v/>
      </c>
      <c r="J430" s="129">
        <f>IFERROR(I430/COUNTIFS('Client DB &amp; Bed Mgmt'!$A:$A,A430,'Client DB &amp; Bed Mgmt'!$B:$B,C430,'Client DB &amp; Bed Mgmt'!$D:$D,"&lt;&gt;"),0)</f>
        <v/>
      </c>
      <c r="K430" s="88" t="n"/>
      <c r="L430" s="88" t="n"/>
      <c r="M430" s="88">
        <f>COUNTIFS('Client DB &amp; Bed Mgmt'!$B:$B,L430,'Client DB &amp; Bed Mgmt'!$E:$E,"Occupied")</f>
        <v/>
      </c>
      <c r="N430" s="88" t="n"/>
      <c r="O430" s="88" t="n"/>
      <c r="P430" s="88" t="n"/>
      <c r="Q430" s="88" t="n"/>
      <c r="R430" s="88" t="n"/>
      <c r="S430" s="88" t="n"/>
      <c r="T430" s="88" t="n"/>
      <c r="U430" s="129" t="n"/>
      <c r="V430" s="129" t="n"/>
    </row>
    <row r="431" ht="14.25" customHeight="1" s="83">
      <c r="A431" s="103" t="n"/>
      <c r="B431" s="125" t="n"/>
      <c r="C431" s="103" t="n"/>
      <c r="D431" s="126" t="n"/>
      <c r="E431" s="126" t="n"/>
      <c r="F431" s="127">
        <f>IF(D431="","",MAX(D431-E431,0))</f>
        <v/>
      </c>
      <c r="G431" s="130">
        <f>IF(E431="","",E431*GeneratorRate)</f>
        <v/>
      </c>
      <c r="H431" s="130">
        <f>IF(F431="","",F431*GovernmentRate)</f>
        <v/>
      </c>
      <c r="I431" s="130">
        <f>IF(D431="","",G431+H431)</f>
        <v/>
      </c>
      <c r="J431" s="129">
        <f>IFERROR(I431/COUNTIFS('Client DB &amp; Bed Mgmt'!$A:$A,A431,'Client DB &amp; Bed Mgmt'!$B:$B,C431,'Client DB &amp; Bed Mgmt'!$D:$D,"&lt;&gt;"),0)</f>
        <v/>
      </c>
      <c r="K431" s="88" t="n"/>
      <c r="L431" s="88" t="n"/>
      <c r="M431" s="88">
        <f>COUNTIFS('Client DB &amp; Bed Mgmt'!$B:$B,L431,'Client DB &amp; Bed Mgmt'!$E:$E,"Occupied")</f>
        <v/>
      </c>
      <c r="N431" s="88" t="n"/>
      <c r="O431" s="88" t="n"/>
      <c r="P431" s="88" t="n"/>
      <c r="Q431" s="88" t="n"/>
      <c r="R431" s="88" t="n"/>
      <c r="S431" s="88" t="n"/>
      <c r="T431" s="88" t="n"/>
      <c r="U431" s="129" t="n"/>
      <c r="V431" s="129" t="n"/>
    </row>
    <row r="432" ht="14.25" customHeight="1" s="83">
      <c r="A432" s="103" t="n"/>
      <c r="B432" s="125" t="n"/>
      <c r="C432" s="103" t="n"/>
      <c r="D432" s="126" t="n"/>
      <c r="E432" s="126" t="n"/>
      <c r="F432" s="127">
        <f>IF(D432="","",MAX(D432-E432,0))</f>
        <v/>
      </c>
      <c r="G432" s="130">
        <f>IF(E432="","",E432*GeneratorRate)</f>
        <v/>
      </c>
      <c r="H432" s="130">
        <f>IF(F432="","",F432*GovernmentRate)</f>
        <v/>
      </c>
      <c r="I432" s="130">
        <f>IF(D432="","",G432+H432)</f>
        <v/>
      </c>
      <c r="J432" s="129">
        <f>IFERROR(I432/COUNTIFS('Client DB &amp; Bed Mgmt'!$A:$A,A432,'Client DB &amp; Bed Mgmt'!$B:$B,C432,'Client DB &amp; Bed Mgmt'!$D:$D,"&lt;&gt;"),0)</f>
        <v/>
      </c>
      <c r="K432" s="88" t="n"/>
      <c r="L432" s="88" t="n"/>
      <c r="M432" s="88">
        <f>COUNTIFS('Client DB &amp; Bed Mgmt'!$B:$B,L432,'Client DB &amp; Bed Mgmt'!$E:$E,"Occupied")</f>
        <v/>
      </c>
      <c r="N432" s="88" t="n"/>
      <c r="O432" s="88" t="n"/>
      <c r="P432" s="88" t="n"/>
      <c r="Q432" s="88" t="n"/>
      <c r="R432" s="88" t="n"/>
      <c r="S432" s="88" t="n"/>
      <c r="T432" s="88" t="n"/>
      <c r="U432" s="129" t="n"/>
      <c r="V432" s="129" t="n"/>
    </row>
    <row r="433" ht="14.25" customHeight="1" s="83">
      <c r="A433" s="103" t="n"/>
      <c r="B433" s="125" t="n"/>
      <c r="C433" s="103" t="n"/>
      <c r="D433" s="126" t="n"/>
      <c r="E433" s="126" t="n"/>
      <c r="F433" s="127">
        <f>IF(D433="","",MAX(D433-E433,0))</f>
        <v/>
      </c>
      <c r="G433" s="130">
        <f>IF(E433="","",E433*GeneratorRate)</f>
        <v/>
      </c>
      <c r="H433" s="130">
        <f>IF(F433="","",F433*GovernmentRate)</f>
        <v/>
      </c>
      <c r="I433" s="130">
        <f>IF(D433="","",G433+H433)</f>
        <v/>
      </c>
      <c r="J433" s="129">
        <f>IFERROR(I433/COUNTIFS('Client DB &amp; Bed Mgmt'!$A:$A,A433,'Client DB &amp; Bed Mgmt'!$B:$B,C433,'Client DB &amp; Bed Mgmt'!$D:$D,"&lt;&gt;"),0)</f>
        <v/>
      </c>
      <c r="K433" s="88" t="n"/>
      <c r="L433" s="88" t="n"/>
      <c r="M433" s="88">
        <f>COUNTIFS('Client DB &amp; Bed Mgmt'!$B:$B,L433,'Client DB &amp; Bed Mgmt'!$E:$E,"Occupied")</f>
        <v/>
      </c>
      <c r="N433" s="88" t="n"/>
      <c r="O433" s="88" t="n"/>
      <c r="P433" s="88" t="n"/>
      <c r="Q433" s="88" t="n"/>
      <c r="R433" s="88" t="n"/>
      <c r="S433" s="88" t="n"/>
      <c r="T433" s="88" t="n"/>
      <c r="U433" s="129" t="n"/>
      <c r="V433" s="129" t="n"/>
    </row>
    <row r="434" ht="14.25" customHeight="1" s="83">
      <c r="A434" s="103" t="n"/>
      <c r="B434" s="125" t="n"/>
      <c r="C434" s="103" t="n"/>
      <c r="D434" s="126" t="n"/>
      <c r="E434" s="126" t="n"/>
      <c r="F434" s="127">
        <f>IF(D434="","",MAX(D434-E434,0))</f>
        <v/>
      </c>
      <c r="G434" s="130">
        <f>IF(E434="","",E434*GeneratorRate)</f>
        <v/>
      </c>
      <c r="H434" s="130">
        <f>IF(F434="","",F434*GovernmentRate)</f>
        <v/>
      </c>
      <c r="I434" s="130">
        <f>IF(D434="","",G434+H434)</f>
        <v/>
      </c>
      <c r="J434" s="129">
        <f>IFERROR(I434/COUNTIFS('Client DB &amp; Bed Mgmt'!$A:$A,A434,'Client DB &amp; Bed Mgmt'!$B:$B,C434,'Client DB &amp; Bed Mgmt'!$D:$D,"&lt;&gt;"),0)</f>
        <v/>
      </c>
      <c r="K434" s="88" t="n"/>
      <c r="L434" s="88" t="n"/>
      <c r="M434" s="88">
        <f>COUNTIFS('Client DB &amp; Bed Mgmt'!$B:$B,L434,'Client DB &amp; Bed Mgmt'!$E:$E,"Occupied")</f>
        <v/>
      </c>
      <c r="N434" s="88" t="n"/>
      <c r="O434" s="88" t="n"/>
      <c r="P434" s="88" t="n"/>
      <c r="Q434" s="88" t="n"/>
      <c r="R434" s="88" t="n"/>
      <c r="S434" s="88" t="n"/>
      <c r="T434" s="88" t="n"/>
      <c r="U434" s="129" t="n"/>
      <c r="V434" s="129" t="n"/>
    </row>
    <row r="435" ht="14.25" customHeight="1" s="83">
      <c r="A435" s="103" t="n"/>
      <c r="B435" s="125" t="n"/>
      <c r="C435" s="103" t="n"/>
      <c r="D435" s="126" t="n"/>
      <c r="E435" s="126" t="n"/>
      <c r="F435" s="127">
        <f>IF(D435="","",MAX(D435-E435,0))</f>
        <v/>
      </c>
      <c r="G435" s="130">
        <f>IF(E435="","",E435*GeneratorRate)</f>
        <v/>
      </c>
      <c r="H435" s="130">
        <f>IF(F435="","",F435*GovernmentRate)</f>
        <v/>
      </c>
      <c r="I435" s="130">
        <f>IF(D435="","",G435+H435)</f>
        <v/>
      </c>
      <c r="J435" s="129">
        <f>IFERROR(I435/COUNTIFS('Client DB &amp; Bed Mgmt'!$A:$A,A435,'Client DB &amp; Bed Mgmt'!$B:$B,C435,'Client DB &amp; Bed Mgmt'!$D:$D,"&lt;&gt;"),0)</f>
        <v/>
      </c>
      <c r="K435" s="88" t="n"/>
      <c r="L435" s="88" t="n"/>
      <c r="M435" s="88">
        <f>COUNTIFS('Client DB &amp; Bed Mgmt'!$B:$B,L435,'Client DB &amp; Bed Mgmt'!$E:$E,"Occupied")</f>
        <v/>
      </c>
      <c r="N435" s="88" t="n"/>
      <c r="O435" s="88" t="n"/>
      <c r="P435" s="88" t="n"/>
      <c r="Q435" s="88" t="n"/>
      <c r="R435" s="88" t="n"/>
      <c r="S435" s="88" t="n"/>
      <c r="T435" s="88" t="n"/>
      <c r="U435" s="129" t="n"/>
      <c r="V435" s="129" t="n"/>
    </row>
    <row r="436" ht="14.25" customHeight="1" s="83">
      <c r="A436" s="103" t="n"/>
      <c r="B436" s="125" t="n"/>
      <c r="C436" s="103" t="n"/>
      <c r="D436" s="126" t="n"/>
      <c r="E436" s="126" t="n"/>
      <c r="F436" s="127">
        <f>IF(D436="","",MAX(D436-E436,0))</f>
        <v/>
      </c>
      <c r="G436" s="130">
        <f>IF(E436="","",E436*GeneratorRate)</f>
        <v/>
      </c>
      <c r="H436" s="130">
        <f>IF(F436="","",F436*GovernmentRate)</f>
        <v/>
      </c>
      <c r="I436" s="130">
        <f>IF(D436="","",G436+H436)</f>
        <v/>
      </c>
      <c r="J436" s="129">
        <f>IFERROR(I436/COUNTIFS('Client DB &amp; Bed Mgmt'!$A:$A,A436,'Client DB &amp; Bed Mgmt'!$B:$B,C436,'Client DB &amp; Bed Mgmt'!$D:$D,"&lt;&gt;"),0)</f>
        <v/>
      </c>
      <c r="K436" s="88" t="n"/>
      <c r="L436" s="88" t="n"/>
      <c r="M436" s="88">
        <f>COUNTIFS('Client DB &amp; Bed Mgmt'!$B:$B,L436,'Client DB &amp; Bed Mgmt'!$E:$E,"Occupied")</f>
        <v/>
      </c>
      <c r="N436" s="88" t="n"/>
      <c r="O436" s="88" t="n"/>
      <c r="P436" s="88" t="n"/>
      <c r="Q436" s="88" t="n"/>
      <c r="R436" s="88" t="n"/>
      <c r="S436" s="88" t="n"/>
      <c r="T436" s="88" t="n"/>
      <c r="U436" s="129" t="n"/>
      <c r="V436" s="129" t="n"/>
    </row>
    <row r="437" ht="14.25" customHeight="1" s="83">
      <c r="A437" s="103" t="n"/>
      <c r="B437" s="125" t="n"/>
      <c r="C437" s="103" t="n"/>
      <c r="D437" s="126" t="n"/>
      <c r="E437" s="126" t="n"/>
      <c r="F437" s="127">
        <f>IF(D437="","",MAX(D437-E437,0))</f>
        <v/>
      </c>
      <c r="G437" s="130">
        <f>IF(E437="","",E437*GeneratorRate)</f>
        <v/>
      </c>
      <c r="H437" s="130">
        <f>IF(F437="","",F437*GovernmentRate)</f>
        <v/>
      </c>
      <c r="I437" s="130">
        <f>IF(D437="","",G437+H437)</f>
        <v/>
      </c>
      <c r="J437" s="129">
        <f>IFERROR(I437/COUNTIFS('Client DB &amp; Bed Mgmt'!$A:$A,A437,'Client DB &amp; Bed Mgmt'!$B:$B,C437,'Client DB &amp; Bed Mgmt'!$D:$D,"&lt;&gt;"),0)</f>
        <v/>
      </c>
      <c r="K437" s="88" t="n"/>
      <c r="L437" s="88" t="n"/>
      <c r="M437" s="88">
        <f>COUNTIFS('Client DB &amp; Bed Mgmt'!$B:$B,L437,'Client DB &amp; Bed Mgmt'!$E:$E,"Occupied")</f>
        <v/>
      </c>
      <c r="N437" s="88" t="n"/>
      <c r="O437" s="88" t="n"/>
      <c r="P437" s="88" t="n"/>
      <c r="Q437" s="88" t="n"/>
      <c r="R437" s="88" t="n"/>
      <c r="S437" s="88" t="n"/>
      <c r="T437" s="88" t="n"/>
      <c r="U437" s="129" t="n"/>
      <c r="V437" s="129" t="n"/>
    </row>
    <row r="438" ht="14.25" customHeight="1" s="83">
      <c r="A438" s="103" t="n"/>
      <c r="B438" s="125" t="n"/>
      <c r="C438" s="103" t="n"/>
      <c r="D438" s="126" t="n"/>
      <c r="E438" s="126" t="n"/>
      <c r="F438" s="127">
        <f>IF(D438="","",MAX(D438-E438,0))</f>
        <v/>
      </c>
      <c r="G438" s="130">
        <f>IF(E438="","",E438*GeneratorRate)</f>
        <v/>
      </c>
      <c r="H438" s="130">
        <f>IF(F438="","",F438*GovernmentRate)</f>
        <v/>
      </c>
      <c r="I438" s="130">
        <f>IF(D438="","",G438+H438)</f>
        <v/>
      </c>
      <c r="J438" s="129">
        <f>IFERROR(I438/COUNTIFS('Client DB &amp; Bed Mgmt'!$A:$A,A438,'Client DB &amp; Bed Mgmt'!$B:$B,C438,'Client DB &amp; Bed Mgmt'!$D:$D,"&lt;&gt;"),0)</f>
        <v/>
      </c>
      <c r="K438" s="88" t="n"/>
      <c r="L438" s="88" t="n"/>
      <c r="M438" s="88">
        <f>COUNTIFS('Client DB &amp; Bed Mgmt'!$B:$B,L438,'Client DB &amp; Bed Mgmt'!$E:$E,"Occupied")</f>
        <v/>
      </c>
      <c r="N438" s="88" t="n"/>
      <c r="O438" s="88" t="n"/>
      <c r="P438" s="88" t="n"/>
      <c r="Q438" s="88" t="n"/>
      <c r="R438" s="88" t="n"/>
      <c r="S438" s="88" t="n"/>
      <c r="T438" s="88" t="n"/>
      <c r="U438" s="129" t="n"/>
      <c r="V438" s="129" t="n"/>
    </row>
    <row r="439" ht="14.25" customHeight="1" s="83">
      <c r="A439" s="103" t="n"/>
      <c r="B439" s="125" t="n"/>
      <c r="C439" s="103" t="n"/>
      <c r="D439" s="126" t="n"/>
      <c r="E439" s="126" t="n"/>
      <c r="F439" s="127">
        <f>IF(D439="","",MAX(D439-E439,0))</f>
        <v/>
      </c>
      <c r="G439" s="130">
        <f>IF(E439="","",E439*GeneratorRate)</f>
        <v/>
      </c>
      <c r="H439" s="130">
        <f>IF(F439="","",F439*GovernmentRate)</f>
        <v/>
      </c>
      <c r="I439" s="130">
        <f>IF(D439="","",G439+H439)</f>
        <v/>
      </c>
      <c r="J439" s="129">
        <f>IFERROR(I439/COUNTIFS('Client DB &amp; Bed Mgmt'!$A:$A,A439,'Client DB &amp; Bed Mgmt'!$B:$B,C439,'Client DB &amp; Bed Mgmt'!$D:$D,"&lt;&gt;"),0)</f>
        <v/>
      </c>
      <c r="K439" s="88" t="n"/>
      <c r="L439" s="88" t="n"/>
      <c r="M439" s="88">
        <f>COUNTIFS('Client DB &amp; Bed Mgmt'!$B:$B,L439,'Client DB &amp; Bed Mgmt'!$E:$E,"Occupied")</f>
        <v/>
      </c>
      <c r="N439" s="88" t="n"/>
      <c r="O439" s="88" t="n"/>
      <c r="P439" s="88" t="n"/>
      <c r="Q439" s="88" t="n"/>
      <c r="R439" s="88" t="n"/>
      <c r="S439" s="88" t="n"/>
      <c r="T439" s="88" t="n"/>
      <c r="U439" s="129" t="n"/>
      <c r="V439" s="129" t="n"/>
    </row>
    <row r="440" ht="14.25" customHeight="1" s="83">
      <c r="A440" s="103" t="n"/>
      <c r="B440" s="125" t="n"/>
      <c r="C440" s="103" t="n"/>
      <c r="D440" s="126" t="n"/>
      <c r="E440" s="126" t="n"/>
      <c r="F440" s="127">
        <f>IF(D440="","",MAX(D440-E440,0))</f>
        <v/>
      </c>
      <c r="G440" s="130">
        <f>IF(E440="","",E440*GeneratorRate)</f>
        <v/>
      </c>
      <c r="H440" s="130">
        <f>IF(F440="","",F440*GovernmentRate)</f>
        <v/>
      </c>
      <c r="I440" s="130">
        <f>IF(D440="","",G440+H440)</f>
        <v/>
      </c>
      <c r="J440" s="129">
        <f>IFERROR(I440/COUNTIFS('Client DB &amp; Bed Mgmt'!$A:$A,A440,'Client DB &amp; Bed Mgmt'!$B:$B,C440,'Client DB &amp; Bed Mgmt'!$D:$D,"&lt;&gt;"),0)</f>
        <v/>
      </c>
      <c r="K440" s="88" t="n"/>
      <c r="L440" s="88" t="n"/>
      <c r="M440" s="88">
        <f>COUNTIFS('Client DB &amp; Bed Mgmt'!$B:$B,L440,'Client DB &amp; Bed Mgmt'!$E:$E,"Occupied")</f>
        <v/>
      </c>
      <c r="N440" s="88" t="n"/>
      <c r="O440" s="88" t="n"/>
      <c r="P440" s="88" t="n"/>
      <c r="Q440" s="88" t="n"/>
      <c r="R440" s="88" t="n"/>
      <c r="S440" s="88" t="n"/>
      <c r="T440" s="88" t="n"/>
      <c r="U440" s="129" t="n"/>
      <c r="V440" s="129" t="n"/>
    </row>
    <row r="441" ht="14.25" customHeight="1" s="83">
      <c r="A441" s="103" t="n"/>
      <c r="B441" s="125" t="n"/>
      <c r="C441" s="103" t="n"/>
      <c r="D441" s="126" t="n"/>
      <c r="E441" s="126" t="n"/>
      <c r="F441" s="127">
        <f>IF(D441="","",MAX(D441-E441,0))</f>
        <v/>
      </c>
      <c r="G441" s="130">
        <f>IF(E441="","",E441*GeneratorRate)</f>
        <v/>
      </c>
      <c r="H441" s="130">
        <f>IF(F441="","",F441*GovernmentRate)</f>
        <v/>
      </c>
      <c r="I441" s="130">
        <f>IF(D441="","",G441+H441)</f>
        <v/>
      </c>
      <c r="J441" s="129">
        <f>IFERROR(I441/COUNTIFS('Client DB &amp; Bed Mgmt'!$A:$A,A441,'Client DB &amp; Bed Mgmt'!$B:$B,C441,'Client DB &amp; Bed Mgmt'!$D:$D,"&lt;&gt;"),0)</f>
        <v/>
      </c>
      <c r="K441" s="88" t="n"/>
      <c r="L441" s="88" t="n"/>
      <c r="M441" s="88">
        <f>COUNTIFS('Client DB &amp; Bed Mgmt'!$B:$B,L441,'Client DB &amp; Bed Mgmt'!$E:$E,"Occupied")</f>
        <v/>
      </c>
      <c r="N441" s="88" t="n"/>
      <c r="O441" s="88" t="n"/>
      <c r="P441" s="88" t="n"/>
      <c r="Q441" s="88" t="n"/>
      <c r="R441" s="88" t="n"/>
      <c r="S441" s="88" t="n"/>
      <c r="T441" s="88" t="n"/>
      <c r="U441" s="129" t="n"/>
      <c r="V441" s="129" t="n"/>
    </row>
    <row r="442" ht="14.25" customHeight="1" s="83">
      <c r="A442" s="103" t="n"/>
      <c r="B442" s="125" t="n"/>
      <c r="C442" s="103" t="n"/>
      <c r="D442" s="126" t="n"/>
      <c r="E442" s="126" t="n"/>
      <c r="F442" s="127">
        <f>IF(D442="","",MAX(D442-E442,0))</f>
        <v/>
      </c>
      <c r="G442" s="130">
        <f>IF(E442="","",E442*GeneratorRate)</f>
        <v/>
      </c>
      <c r="H442" s="130">
        <f>IF(F442="","",F442*GovernmentRate)</f>
        <v/>
      </c>
      <c r="I442" s="130">
        <f>IF(D442="","",G442+H442)</f>
        <v/>
      </c>
      <c r="J442" s="129">
        <f>IFERROR(I442/COUNTIFS('Client DB &amp; Bed Mgmt'!$A:$A,A442,'Client DB &amp; Bed Mgmt'!$B:$B,C442,'Client DB &amp; Bed Mgmt'!$D:$D,"&lt;&gt;"),0)</f>
        <v/>
      </c>
      <c r="K442" s="88" t="n"/>
      <c r="L442" s="88" t="n"/>
      <c r="M442" s="88">
        <f>COUNTIFS('Client DB &amp; Bed Mgmt'!$B:$B,L442,'Client DB &amp; Bed Mgmt'!$E:$E,"Occupied")</f>
        <v/>
      </c>
      <c r="N442" s="88" t="n"/>
      <c r="O442" s="88" t="n"/>
      <c r="P442" s="88" t="n"/>
      <c r="Q442" s="88" t="n"/>
      <c r="R442" s="88" t="n"/>
      <c r="S442" s="88" t="n"/>
      <c r="T442" s="88" t="n"/>
      <c r="U442" s="129" t="n"/>
      <c r="V442" s="129" t="n"/>
    </row>
    <row r="443" ht="14.25" customHeight="1" s="83">
      <c r="A443" s="103" t="n"/>
      <c r="B443" s="125" t="n"/>
      <c r="C443" s="103" t="n"/>
      <c r="D443" s="126" t="n"/>
      <c r="E443" s="126" t="n"/>
      <c r="F443" s="127">
        <f>IF(D443="","",MAX(D443-E443,0))</f>
        <v/>
      </c>
      <c r="G443" s="130">
        <f>IF(E443="","",E443*GeneratorRate)</f>
        <v/>
      </c>
      <c r="H443" s="130">
        <f>IF(F443="","",F443*GovernmentRate)</f>
        <v/>
      </c>
      <c r="I443" s="130">
        <f>IF(D443="","",G443+H443)</f>
        <v/>
      </c>
      <c r="J443" s="129">
        <f>IFERROR(I443/COUNTIFS('Client DB &amp; Bed Mgmt'!$A:$A,A443,'Client DB &amp; Bed Mgmt'!$B:$B,C443,'Client DB &amp; Bed Mgmt'!$D:$D,"&lt;&gt;"),0)</f>
        <v/>
      </c>
      <c r="K443" s="88" t="n"/>
      <c r="L443" s="88" t="n"/>
      <c r="M443" s="88">
        <f>COUNTIFS('Client DB &amp; Bed Mgmt'!$B:$B,L443,'Client DB &amp; Bed Mgmt'!$E:$E,"Occupied")</f>
        <v/>
      </c>
      <c r="N443" s="88" t="n"/>
      <c r="O443" s="88" t="n"/>
      <c r="P443" s="88" t="n"/>
      <c r="Q443" s="88" t="n"/>
      <c r="R443" s="88" t="n"/>
      <c r="S443" s="88" t="n"/>
      <c r="T443" s="88" t="n"/>
      <c r="U443" s="129" t="n"/>
      <c r="V443" s="129" t="n"/>
    </row>
    <row r="444" ht="14.25" customHeight="1" s="83">
      <c r="A444" s="103" t="n"/>
      <c r="B444" s="125" t="n"/>
      <c r="C444" s="103" t="n"/>
      <c r="D444" s="126" t="n"/>
      <c r="E444" s="126" t="n"/>
      <c r="F444" s="127">
        <f>IF(D444="","",MAX(D444-E444,0))</f>
        <v/>
      </c>
      <c r="G444" s="130">
        <f>IF(E444="","",E444*GeneratorRate)</f>
        <v/>
      </c>
      <c r="H444" s="130">
        <f>IF(F444="","",F444*GovernmentRate)</f>
        <v/>
      </c>
      <c r="I444" s="130">
        <f>IF(D444="","",G444+H444)</f>
        <v/>
      </c>
      <c r="J444" s="129">
        <f>IFERROR(I444/COUNTIFS('Client DB &amp; Bed Mgmt'!$A:$A,A444,'Client DB &amp; Bed Mgmt'!$B:$B,C444,'Client DB &amp; Bed Mgmt'!$D:$D,"&lt;&gt;"),0)</f>
        <v/>
      </c>
      <c r="K444" s="88" t="n"/>
      <c r="L444" s="88" t="n"/>
      <c r="M444" s="88">
        <f>COUNTIFS('Client DB &amp; Bed Mgmt'!$B:$B,L444,'Client DB &amp; Bed Mgmt'!$E:$E,"Occupied")</f>
        <v/>
      </c>
      <c r="N444" s="88" t="n"/>
      <c r="O444" s="88" t="n"/>
      <c r="P444" s="88" t="n"/>
      <c r="Q444" s="88" t="n"/>
      <c r="R444" s="88" t="n"/>
      <c r="S444" s="88" t="n"/>
      <c r="T444" s="88" t="n"/>
      <c r="U444" s="129" t="n"/>
      <c r="V444" s="129" t="n"/>
    </row>
    <row r="445" ht="14.25" customHeight="1" s="83">
      <c r="A445" s="103" t="n"/>
      <c r="B445" s="125" t="n"/>
      <c r="C445" s="103" t="n"/>
      <c r="D445" s="126" t="n"/>
      <c r="E445" s="126" t="n"/>
      <c r="F445" s="127">
        <f>IF(D445="","",MAX(D445-E445,0))</f>
        <v/>
      </c>
      <c r="G445" s="130">
        <f>IF(E445="","",E445*GeneratorRate)</f>
        <v/>
      </c>
      <c r="H445" s="130">
        <f>IF(F445="","",F445*GovernmentRate)</f>
        <v/>
      </c>
      <c r="I445" s="130">
        <f>IF(D445="","",G445+H445)</f>
        <v/>
      </c>
      <c r="J445" s="129">
        <f>IFERROR(I445/COUNTIFS('Client DB &amp; Bed Mgmt'!$A:$A,A445,'Client DB &amp; Bed Mgmt'!$B:$B,C445,'Client DB &amp; Bed Mgmt'!$D:$D,"&lt;&gt;"),0)</f>
        <v/>
      </c>
      <c r="K445" s="88" t="n"/>
      <c r="L445" s="88" t="n"/>
      <c r="M445" s="88">
        <f>COUNTIFS('Client DB &amp; Bed Mgmt'!$B:$B,L445,'Client DB &amp; Bed Mgmt'!$E:$E,"Occupied")</f>
        <v/>
      </c>
      <c r="N445" s="88" t="n"/>
      <c r="O445" s="88" t="n"/>
      <c r="P445" s="88" t="n"/>
      <c r="Q445" s="88" t="n"/>
      <c r="R445" s="88" t="n"/>
      <c r="S445" s="88" t="n"/>
      <c r="T445" s="88" t="n"/>
      <c r="U445" s="129" t="n"/>
      <c r="V445" s="129" t="n"/>
    </row>
    <row r="446" ht="14.25" customHeight="1" s="83">
      <c r="A446" s="103" t="n"/>
      <c r="B446" s="125" t="n"/>
      <c r="C446" s="103" t="n"/>
      <c r="D446" s="126" t="n"/>
      <c r="E446" s="126" t="n"/>
      <c r="F446" s="127">
        <f>IF(D446="","",MAX(D446-E446,0))</f>
        <v/>
      </c>
      <c r="G446" s="130">
        <f>IF(E446="","",E446*GeneratorRate)</f>
        <v/>
      </c>
      <c r="H446" s="130">
        <f>IF(F446="","",F446*GovernmentRate)</f>
        <v/>
      </c>
      <c r="I446" s="130">
        <f>IF(D446="","",G446+H446)</f>
        <v/>
      </c>
      <c r="J446" s="129">
        <f>IFERROR(I446/COUNTIFS('Client DB &amp; Bed Mgmt'!$A:$A,A446,'Client DB &amp; Bed Mgmt'!$B:$B,C446,'Client DB &amp; Bed Mgmt'!$D:$D,"&lt;&gt;"),0)</f>
        <v/>
      </c>
      <c r="K446" s="88" t="n"/>
      <c r="L446" s="88" t="n"/>
      <c r="M446" s="88">
        <f>COUNTIFS('Client DB &amp; Bed Mgmt'!$B:$B,L446,'Client DB &amp; Bed Mgmt'!$E:$E,"Occupied")</f>
        <v/>
      </c>
      <c r="N446" s="88" t="n"/>
      <c r="O446" s="88" t="n"/>
      <c r="P446" s="88" t="n"/>
      <c r="Q446" s="88" t="n"/>
      <c r="R446" s="88" t="n"/>
      <c r="S446" s="88" t="n"/>
      <c r="T446" s="88" t="n"/>
      <c r="U446" s="129" t="n"/>
      <c r="V446" s="129" t="n"/>
    </row>
    <row r="447" ht="14.25" customHeight="1" s="83">
      <c r="A447" s="103" t="n"/>
      <c r="B447" s="125" t="n"/>
      <c r="C447" s="103" t="n"/>
      <c r="D447" s="126" t="n"/>
      <c r="E447" s="126" t="n"/>
      <c r="F447" s="127">
        <f>IF(D447="","",MAX(D447-E447,0))</f>
        <v/>
      </c>
      <c r="G447" s="130">
        <f>IF(E447="","",E447*GeneratorRate)</f>
        <v/>
      </c>
      <c r="H447" s="130">
        <f>IF(F447="","",F447*GovernmentRate)</f>
        <v/>
      </c>
      <c r="I447" s="130">
        <f>IF(D447="","",G447+H447)</f>
        <v/>
      </c>
      <c r="J447" s="129">
        <f>IFERROR(I447/COUNTIFS('Client DB &amp; Bed Mgmt'!$A:$A,A447,'Client DB &amp; Bed Mgmt'!$B:$B,C447,'Client DB &amp; Bed Mgmt'!$D:$D,"&lt;&gt;"),0)</f>
        <v/>
      </c>
      <c r="K447" s="88" t="n"/>
      <c r="L447" s="88" t="n"/>
      <c r="M447" s="88">
        <f>COUNTIFS('Client DB &amp; Bed Mgmt'!$B:$B,L447,'Client DB &amp; Bed Mgmt'!$E:$E,"Occupied")</f>
        <v/>
      </c>
      <c r="N447" s="88" t="n"/>
      <c r="O447" s="88" t="n"/>
      <c r="P447" s="88" t="n"/>
      <c r="Q447" s="88" t="n"/>
      <c r="R447" s="88" t="n"/>
      <c r="S447" s="88" t="n"/>
      <c r="T447" s="88" t="n"/>
      <c r="U447" s="129" t="n"/>
      <c r="V447" s="129" t="n"/>
    </row>
    <row r="448" ht="14.25" customHeight="1" s="83">
      <c r="A448" s="103" t="n"/>
      <c r="B448" s="125" t="n"/>
      <c r="C448" s="103" t="n"/>
      <c r="D448" s="126" t="n"/>
      <c r="E448" s="126" t="n"/>
      <c r="F448" s="127">
        <f>IF(D448="","",MAX(D448-E448,0))</f>
        <v/>
      </c>
      <c r="G448" s="130">
        <f>IF(E448="","",E448*GeneratorRate)</f>
        <v/>
      </c>
      <c r="H448" s="130">
        <f>IF(F448="","",F448*GovernmentRate)</f>
        <v/>
      </c>
      <c r="I448" s="130">
        <f>IF(D448="","",G448+H448)</f>
        <v/>
      </c>
      <c r="J448" s="129">
        <f>IFERROR(I448/COUNTIFS('Client DB &amp; Bed Mgmt'!$A:$A,A448,'Client DB &amp; Bed Mgmt'!$B:$B,C448,'Client DB &amp; Bed Mgmt'!$D:$D,"&lt;&gt;"),0)</f>
        <v/>
      </c>
      <c r="K448" s="88" t="n"/>
      <c r="L448" s="88" t="n"/>
      <c r="M448" s="88">
        <f>COUNTIFS('Client DB &amp; Bed Mgmt'!$B:$B,L448,'Client DB &amp; Bed Mgmt'!$E:$E,"Occupied")</f>
        <v/>
      </c>
      <c r="N448" s="88" t="n"/>
      <c r="O448" s="88" t="n"/>
      <c r="P448" s="88" t="n"/>
      <c r="Q448" s="88" t="n"/>
      <c r="R448" s="88" t="n"/>
      <c r="S448" s="88" t="n"/>
      <c r="T448" s="88" t="n"/>
      <c r="U448" s="129" t="n"/>
      <c r="V448" s="129" t="n"/>
    </row>
    <row r="449" ht="14.25" customHeight="1" s="83">
      <c r="A449" s="103" t="n"/>
      <c r="B449" s="125" t="n"/>
      <c r="C449" s="103" t="n"/>
      <c r="D449" s="126" t="n"/>
      <c r="E449" s="126" t="n"/>
      <c r="F449" s="127">
        <f>IF(D449="","",MAX(D449-E449,0))</f>
        <v/>
      </c>
      <c r="G449" s="130">
        <f>IF(E449="","",E449*GeneratorRate)</f>
        <v/>
      </c>
      <c r="H449" s="130">
        <f>IF(F449="","",F449*GovernmentRate)</f>
        <v/>
      </c>
      <c r="I449" s="130">
        <f>IF(D449="","",G449+H449)</f>
        <v/>
      </c>
      <c r="J449" s="129">
        <f>IFERROR(I449/COUNTIFS('Client DB &amp; Bed Mgmt'!$A:$A,A449,'Client DB &amp; Bed Mgmt'!$B:$B,C449,'Client DB &amp; Bed Mgmt'!$D:$D,"&lt;&gt;"),0)</f>
        <v/>
      </c>
      <c r="K449" s="88" t="n"/>
      <c r="L449" s="88" t="n"/>
      <c r="M449" s="88">
        <f>COUNTIFS('Client DB &amp; Bed Mgmt'!$B:$B,L449,'Client DB &amp; Bed Mgmt'!$E:$E,"Occupied")</f>
        <v/>
      </c>
      <c r="N449" s="88" t="n"/>
      <c r="O449" s="88" t="n"/>
      <c r="P449" s="88" t="n"/>
      <c r="Q449" s="88" t="n"/>
      <c r="R449" s="88" t="n"/>
      <c r="S449" s="88" t="n"/>
      <c r="T449" s="88" t="n"/>
      <c r="U449" s="129" t="n"/>
      <c r="V449" s="129" t="n"/>
    </row>
    <row r="450" ht="14.25" customHeight="1" s="83">
      <c r="A450" s="103" t="n"/>
      <c r="B450" s="125" t="n"/>
      <c r="C450" s="103" t="n"/>
      <c r="D450" s="126" t="n"/>
      <c r="E450" s="126" t="n"/>
      <c r="F450" s="127">
        <f>IF(D450="","",MAX(D450-E450,0))</f>
        <v/>
      </c>
      <c r="G450" s="130">
        <f>IF(E450="","",E450*GeneratorRate)</f>
        <v/>
      </c>
      <c r="H450" s="130">
        <f>IF(F450="","",F450*GovernmentRate)</f>
        <v/>
      </c>
      <c r="I450" s="130">
        <f>IF(D450="","",G450+H450)</f>
        <v/>
      </c>
      <c r="J450" s="129">
        <f>IFERROR(I450/COUNTIFS('Client DB &amp; Bed Mgmt'!$A:$A,A450,'Client DB &amp; Bed Mgmt'!$B:$B,C450,'Client DB &amp; Bed Mgmt'!$D:$D,"&lt;&gt;"),0)</f>
        <v/>
      </c>
      <c r="K450" s="88" t="n"/>
      <c r="L450" s="88" t="n"/>
      <c r="M450" s="88">
        <f>COUNTIFS('Client DB &amp; Bed Mgmt'!$B:$B,L450,'Client DB &amp; Bed Mgmt'!$E:$E,"Occupied")</f>
        <v/>
      </c>
      <c r="N450" s="88" t="n"/>
      <c r="O450" s="88" t="n"/>
      <c r="P450" s="88" t="n"/>
      <c r="Q450" s="88" t="n"/>
      <c r="R450" s="88" t="n"/>
      <c r="S450" s="88" t="n"/>
      <c r="T450" s="88" t="n"/>
      <c r="U450" s="129" t="n"/>
      <c r="V450" s="129" t="n"/>
    </row>
    <row r="451" ht="14.25" customHeight="1" s="83">
      <c r="A451" s="103" t="n"/>
      <c r="B451" s="125" t="n"/>
      <c r="C451" s="103" t="n"/>
      <c r="D451" s="126" t="n"/>
      <c r="E451" s="126" t="n"/>
      <c r="F451" s="127">
        <f>IF(D451="","",MAX(D451-E451,0))</f>
        <v/>
      </c>
      <c r="G451" s="130">
        <f>IF(E451="","",E451*GeneratorRate)</f>
        <v/>
      </c>
      <c r="H451" s="130">
        <f>IF(F451="","",F451*GovernmentRate)</f>
        <v/>
      </c>
      <c r="I451" s="130">
        <f>IF(D451="","",G451+H451)</f>
        <v/>
      </c>
      <c r="J451" s="129">
        <f>IFERROR(I451/COUNTIFS('Client DB &amp; Bed Mgmt'!$A:$A,A451,'Client DB &amp; Bed Mgmt'!$B:$B,C451,'Client DB &amp; Bed Mgmt'!$D:$D,"&lt;&gt;"),0)</f>
        <v/>
      </c>
      <c r="K451" s="88" t="n"/>
      <c r="L451" s="88" t="n"/>
      <c r="M451" s="88">
        <f>COUNTIFS('Client DB &amp; Bed Mgmt'!$B:$B,L451,'Client DB &amp; Bed Mgmt'!$E:$E,"Occupied")</f>
        <v/>
      </c>
      <c r="N451" s="88" t="n"/>
      <c r="O451" s="88" t="n"/>
      <c r="P451" s="88" t="n"/>
      <c r="Q451" s="88" t="n"/>
      <c r="R451" s="88" t="n"/>
      <c r="S451" s="88" t="n"/>
      <c r="T451" s="88" t="n"/>
      <c r="U451" s="129" t="n"/>
      <c r="V451" s="129" t="n"/>
    </row>
    <row r="452" ht="14.25" customHeight="1" s="83">
      <c r="A452" s="103" t="n"/>
      <c r="B452" s="125" t="n"/>
      <c r="C452" s="103" t="n"/>
      <c r="D452" s="126" t="n"/>
      <c r="E452" s="126" t="n"/>
      <c r="F452" s="127">
        <f>IF(D452="","",MAX(D452-E452,0))</f>
        <v/>
      </c>
      <c r="G452" s="130">
        <f>IF(E452="","",E452*GeneratorRate)</f>
        <v/>
      </c>
      <c r="H452" s="130">
        <f>IF(F452="","",F452*GovernmentRate)</f>
        <v/>
      </c>
      <c r="I452" s="130">
        <f>IF(D452="","",G452+H452)</f>
        <v/>
      </c>
      <c r="J452" s="129">
        <f>IFERROR(I452/COUNTIFS('Client DB &amp; Bed Mgmt'!$A:$A,A452,'Client DB &amp; Bed Mgmt'!$B:$B,C452,'Client DB &amp; Bed Mgmt'!$D:$D,"&lt;&gt;"),0)</f>
        <v/>
      </c>
      <c r="K452" s="88" t="n"/>
      <c r="L452" s="88" t="n"/>
      <c r="M452" s="88">
        <f>COUNTIFS('Client DB &amp; Bed Mgmt'!$B:$B,L452,'Client DB &amp; Bed Mgmt'!$E:$E,"Occupied")</f>
        <v/>
      </c>
      <c r="N452" s="88" t="n"/>
      <c r="O452" s="88" t="n"/>
      <c r="P452" s="88" t="n"/>
      <c r="Q452" s="88" t="n"/>
      <c r="R452" s="88" t="n"/>
      <c r="S452" s="88" t="n"/>
      <c r="T452" s="88" t="n"/>
      <c r="U452" s="129" t="n"/>
      <c r="V452" s="129" t="n"/>
    </row>
    <row r="453" ht="14.25" customHeight="1" s="83">
      <c r="A453" s="103" t="n"/>
      <c r="B453" s="125" t="n"/>
      <c r="C453" s="103" t="n"/>
      <c r="D453" s="126" t="n"/>
      <c r="E453" s="126" t="n"/>
      <c r="F453" s="127">
        <f>IF(D453="","",MAX(D453-E453,0))</f>
        <v/>
      </c>
      <c r="G453" s="130">
        <f>IF(E453="","",E453*GeneratorRate)</f>
        <v/>
      </c>
      <c r="H453" s="130">
        <f>IF(F453="","",F453*GovernmentRate)</f>
        <v/>
      </c>
      <c r="I453" s="130">
        <f>IF(D453="","",G453+H453)</f>
        <v/>
      </c>
      <c r="J453" s="129">
        <f>IFERROR(I453/COUNTIFS('Client DB &amp; Bed Mgmt'!$A:$A,A453,'Client DB &amp; Bed Mgmt'!$B:$B,C453,'Client DB &amp; Bed Mgmt'!$D:$D,"&lt;&gt;"),0)</f>
        <v/>
      </c>
      <c r="K453" s="88" t="n"/>
      <c r="L453" s="88" t="n"/>
      <c r="M453" s="88">
        <f>COUNTIFS('Client DB &amp; Bed Mgmt'!$B:$B,L453,'Client DB &amp; Bed Mgmt'!$E:$E,"Occupied")</f>
        <v/>
      </c>
      <c r="N453" s="88" t="n"/>
      <c r="O453" s="88" t="n"/>
      <c r="P453" s="88" t="n"/>
      <c r="Q453" s="88" t="n"/>
      <c r="R453" s="88" t="n"/>
      <c r="S453" s="88" t="n"/>
      <c r="T453" s="88" t="n"/>
      <c r="U453" s="129" t="n"/>
      <c r="V453" s="129" t="n"/>
    </row>
    <row r="454" ht="14.25" customHeight="1" s="83">
      <c r="A454" s="103" t="n"/>
      <c r="B454" s="125" t="n"/>
      <c r="C454" s="103" t="n"/>
      <c r="D454" s="126" t="n"/>
      <c r="E454" s="126" t="n"/>
      <c r="F454" s="127">
        <f>IF(D454="","",MAX(D454-E454,0))</f>
        <v/>
      </c>
      <c r="G454" s="130">
        <f>IF(E454="","",E454*GeneratorRate)</f>
        <v/>
      </c>
      <c r="H454" s="130">
        <f>IF(F454="","",F454*GovernmentRate)</f>
        <v/>
      </c>
      <c r="I454" s="130">
        <f>IF(D454="","",G454+H454)</f>
        <v/>
      </c>
      <c r="J454" s="129">
        <f>IFERROR(I454/COUNTIFS('Client DB &amp; Bed Mgmt'!$A:$A,A454,'Client DB &amp; Bed Mgmt'!$B:$B,C454,'Client DB &amp; Bed Mgmt'!$D:$D,"&lt;&gt;"),0)</f>
        <v/>
      </c>
      <c r="K454" s="88" t="n"/>
      <c r="L454" s="88" t="n"/>
      <c r="M454" s="88">
        <f>COUNTIFS('Client DB &amp; Bed Mgmt'!$B:$B,L454,'Client DB &amp; Bed Mgmt'!$E:$E,"Occupied")</f>
        <v/>
      </c>
      <c r="N454" s="88" t="n"/>
      <c r="O454" s="88" t="n"/>
      <c r="P454" s="88" t="n"/>
      <c r="Q454" s="88" t="n"/>
      <c r="R454" s="88" t="n"/>
      <c r="S454" s="88" t="n"/>
      <c r="T454" s="88" t="n"/>
      <c r="U454" s="129" t="n"/>
      <c r="V454" s="129" t="n"/>
    </row>
    <row r="455" ht="14.25" customHeight="1" s="83">
      <c r="A455" s="103" t="n"/>
      <c r="B455" s="125" t="n"/>
      <c r="C455" s="103" t="n"/>
      <c r="D455" s="126" t="n"/>
      <c r="E455" s="126" t="n"/>
      <c r="F455" s="127">
        <f>IF(D455="","",MAX(D455-E455,0))</f>
        <v/>
      </c>
      <c r="G455" s="130">
        <f>IF(E455="","",E455*GeneratorRate)</f>
        <v/>
      </c>
      <c r="H455" s="130">
        <f>IF(F455="","",F455*GovernmentRate)</f>
        <v/>
      </c>
      <c r="I455" s="130">
        <f>IF(D455="","",G455+H455)</f>
        <v/>
      </c>
      <c r="J455" s="129">
        <f>IFERROR(I455/COUNTIFS('Client DB &amp; Bed Mgmt'!$A:$A,A455,'Client DB &amp; Bed Mgmt'!$B:$B,C455,'Client DB &amp; Bed Mgmt'!$D:$D,"&lt;&gt;"),0)</f>
        <v/>
      </c>
      <c r="K455" s="88" t="n"/>
      <c r="L455" s="88" t="n"/>
      <c r="M455" s="88">
        <f>COUNTIFS('Client DB &amp; Bed Mgmt'!$B:$B,L455,'Client DB &amp; Bed Mgmt'!$E:$E,"Occupied")</f>
        <v/>
      </c>
      <c r="N455" s="88" t="n"/>
      <c r="O455" s="88" t="n"/>
      <c r="P455" s="88" t="n"/>
      <c r="Q455" s="88" t="n"/>
      <c r="R455" s="88" t="n"/>
      <c r="S455" s="88" t="n"/>
      <c r="T455" s="88" t="n"/>
      <c r="U455" s="129" t="n"/>
      <c r="V455" s="129" t="n"/>
    </row>
    <row r="456" ht="14.25" customHeight="1" s="83">
      <c r="A456" s="103" t="n"/>
      <c r="B456" s="125" t="n"/>
      <c r="C456" s="103" t="n"/>
      <c r="D456" s="126" t="n"/>
      <c r="E456" s="126" t="n"/>
      <c r="F456" s="127">
        <f>IF(D456="","",MAX(D456-E456,0))</f>
        <v/>
      </c>
      <c r="G456" s="130">
        <f>IF(E456="","",E456*GeneratorRate)</f>
        <v/>
      </c>
      <c r="H456" s="130">
        <f>IF(F456="","",F456*GovernmentRate)</f>
        <v/>
      </c>
      <c r="I456" s="130">
        <f>IF(D456="","",G456+H456)</f>
        <v/>
      </c>
      <c r="J456" s="129">
        <f>IFERROR(I456/COUNTIFS('Client DB &amp; Bed Mgmt'!$A:$A,A456,'Client DB &amp; Bed Mgmt'!$B:$B,C456,'Client DB &amp; Bed Mgmt'!$D:$D,"&lt;&gt;"),0)</f>
        <v/>
      </c>
      <c r="K456" s="88" t="n"/>
      <c r="L456" s="88" t="n"/>
      <c r="M456" s="88">
        <f>COUNTIFS('Client DB &amp; Bed Mgmt'!$B:$B,L456,'Client DB &amp; Bed Mgmt'!$E:$E,"Occupied")</f>
        <v/>
      </c>
      <c r="N456" s="88" t="n"/>
      <c r="O456" s="88" t="n"/>
      <c r="P456" s="88" t="n"/>
      <c r="Q456" s="88" t="n"/>
      <c r="R456" s="88" t="n"/>
      <c r="S456" s="88" t="n"/>
      <c r="T456" s="88" t="n"/>
      <c r="U456" s="129" t="n"/>
      <c r="V456" s="129" t="n"/>
    </row>
    <row r="457" ht="14.25" customHeight="1" s="83">
      <c r="A457" s="103" t="n"/>
      <c r="B457" s="125" t="n"/>
      <c r="C457" s="103" t="n"/>
      <c r="D457" s="126" t="n"/>
      <c r="E457" s="126" t="n"/>
      <c r="F457" s="127">
        <f>IF(D457="","",MAX(D457-E457,0))</f>
        <v/>
      </c>
      <c r="G457" s="130">
        <f>IF(E457="","",E457*GeneratorRate)</f>
        <v/>
      </c>
      <c r="H457" s="130">
        <f>IF(F457="","",F457*GovernmentRate)</f>
        <v/>
      </c>
      <c r="I457" s="130">
        <f>IF(D457="","",G457+H457)</f>
        <v/>
      </c>
      <c r="J457" s="129">
        <f>IFERROR(I457/COUNTIFS('Client DB &amp; Bed Mgmt'!$A:$A,A457,'Client DB &amp; Bed Mgmt'!$B:$B,C457,'Client DB &amp; Bed Mgmt'!$D:$D,"&lt;&gt;"),0)</f>
        <v/>
      </c>
      <c r="K457" s="88" t="n"/>
      <c r="L457" s="88" t="n"/>
      <c r="M457" s="88">
        <f>COUNTIFS('Client DB &amp; Bed Mgmt'!$B:$B,L457,'Client DB &amp; Bed Mgmt'!$E:$E,"Occupied")</f>
        <v/>
      </c>
      <c r="N457" s="88" t="n"/>
      <c r="O457" s="88" t="n"/>
      <c r="P457" s="88" t="n"/>
      <c r="Q457" s="88" t="n"/>
      <c r="R457" s="88" t="n"/>
      <c r="S457" s="88" t="n"/>
      <c r="T457" s="88" t="n"/>
      <c r="U457" s="129" t="n"/>
      <c r="V457" s="129" t="n"/>
    </row>
    <row r="458" ht="14.25" customHeight="1" s="83">
      <c r="A458" s="103" t="n"/>
      <c r="B458" s="125" t="n"/>
      <c r="C458" s="103" t="n"/>
      <c r="D458" s="126" t="n"/>
      <c r="E458" s="126" t="n"/>
      <c r="F458" s="127">
        <f>IF(D458="","",MAX(D458-E458,0))</f>
        <v/>
      </c>
      <c r="G458" s="130">
        <f>IF(E458="","",E458*GeneratorRate)</f>
        <v/>
      </c>
      <c r="H458" s="130">
        <f>IF(F458="","",F458*GovernmentRate)</f>
        <v/>
      </c>
      <c r="I458" s="130">
        <f>IF(D458="","",G458+H458)</f>
        <v/>
      </c>
      <c r="J458" s="129">
        <f>IFERROR(I458/COUNTIFS('Client DB &amp; Bed Mgmt'!$A:$A,A458,'Client DB &amp; Bed Mgmt'!$B:$B,C458,'Client DB &amp; Bed Mgmt'!$D:$D,"&lt;&gt;"),0)</f>
        <v/>
      </c>
      <c r="K458" s="88" t="n"/>
      <c r="L458" s="88" t="n"/>
      <c r="M458" s="88">
        <f>COUNTIFS('Client DB &amp; Bed Mgmt'!$B:$B,L458,'Client DB &amp; Bed Mgmt'!$E:$E,"Occupied")</f>
        <v/>
      </c>
      <c r="N458" s="88" t="n"/>
      <c r="O458" s="88" t="n"/>
      <c r="P458" s="88" t="n"/>
      <c r="Q458" s="88" t="n"/>
      <c r="R458" s="88" t="n"/>
      <c r="S458" s="88" t="n"/>
      <c r="T458" s="88" t="n"/>
      <c r="U458" s="129" t="n"/>
      <c r="V458" s="129" t="n"/>
    </row>
    <row r="459" ht="14.25" customHeight="1" s="83">
      <c r="A459" s="103" t="n"/>
      <c r="B459" s="125" t="n"/>
      <c r="C459" s="103" t="n"/>
      <c r="D459" s="126" t="n"/>
      <c r="E459" s="126" t="n"/>
      <c r="F459" s="127">
        <f>IF(D459="","",MAX(D459-E459,0))</f>
        <v/>
      </c>
      <c r="G459" s="130">
        <f>IF(E459="","",E459*GeneratorRate)</f>
        <v/>
      </c>
      <c r="H459" s="130">
        <f>IF(F459="","",F459*GovernmentRate)</f>
        <v/>
      </c>
      <c r="I459" s="130">
        <f>IF(D459="","",G459+H459)</f>
        <v/>
      </c>
      <c r="J459" s="129">
        <f>IFERROR(I459/COUNTIFS('Client DB &amp; Bed Mgmt'!$A:$A,A459,'Client DB &amp; Bed Mgmt'!$B:$B,C459,'Client DB &amp; Bed Mgmt'!$D:$D,"&lt;&gt;"),0)</f>
        <v/>
      </c>
      <c r="K459" s="88" t="n"/>
      <c r="L459" s="88" t="n"/>
      <c r="M459" s="88">
        <f>COUNTIFS('Client DB &amp; Bed Mgmt'!$B:$B,L459,'Client DB &amp; Bed Mgmt'!$E:$E,"Occupied")</f>
        <v/>
      </c>
      <c r="N459" s="88" t="n"/>
      <c r="O459" s="88" t="n"/>
      <c r="P459" s="88" t="n"/>
      <c r="Q459" s="88" t="n"/>
      <c r="R459" s="88" t="n"/>
      <c r="S459" s="88" t="n"/>
      <c r="T459" s="88" t="n"/>
      <c r="U459" s="129" t="n"/>
      <c r="V459" s="129" t="n"/>
    </row>
    <row r="460" ht="14.25" customHeight="1" s="83">
      <c r="A460" s="103" t="n"/>
      <c r="B460" s="125" t="n"/>
      <c r="C460" s="103" t="n"/>
      <c r="D460" s="126" t="n"/>
      <c r="E460" s="126" t="n"/>
      <c r="F460" s="127">
        <f>IF(D460="","",MAX(D460-E460,0))</f>
        <v/>
      </c>
      <c r="G460" s="130">
        <f>IF(E460="","",E460*GeneratorRate)</f>
        <v/>
      </c>
      <c r="H460" s="130">
        <f>IF(F460="","",F460*GovernmentRate)</f>
        <v/>
      </c>
      <c r="I460" s="130">
        <f>IF(D460="","",G460+H460)</f>
        <v/>
      </c>
      <c r="J460" s="129">
        <f>IFERROR(I460/COUNTIFS('Client DB &amp; Bed Mgmt'!$A:$A,A460,'Client DB &amp; Bed Mgmt'!$B:$B,C460,'Client DB &amp; Bed Mgmt'!$D:$D,"&lt;&gt;"),0)</f>
        <v/>
      </c>
      <c r="K460" s="88" t="n"/>
      <c r="L460" s="88" t="n"/>
      <c r="M460" s="88">
        <f>COUNTIFS('Client DB &amp; Bed Mgmt'!$B:$B,L460,'Client DB &amp; Bed Mgmt'!$E:$E,"Occupied")</f>
        <v/>
      </c>
      <c r="N460" s="88" t="n"/>
      <c r="O460" s="88" t="n"/>
      <c r="P460" s="88" t="n"/>
      <c r="Q460" s="88" t="n"/>
      <c r="R460" s="88" t="n"/>
      <c r="S460" s="88" t="n"/>
      <c r="T460" s="88" t="n"/>
      <c r="U460" s="129" t="n"/>
      <c r="V460" s="129" t="n"/>
    </row>
    <row r="461" ht="14.25" customHeight="1" s="83">
      <c r="A461" s="103" t="n"/>
      <c r="B461" s="125" t="n"/>
      <c r="C461" s="103" t="n"/>
      <c r="D461" s="126" t="n"/>
      <c r="E461" s="126" t="n"/>
      <c r="F461" s="127">
        <f>IF(D461="","",MAX(D461-E461,0))</f>
        <v/>
      </c>
      <c r="G461" s="130">
        <f>IF(E461="","",E461*GeneratorRate)</f>
        <v/>
      </c>
      <c r="H461" s="130">
        <f>IF(F461="","",F461*GovernmentRate)</f>
        <v/>
      </c>
      <c r="I461" s="130">
        <f>IF(D461="","",G461+H461)</f>
        <v/>
      </c>
      <c r="J461" s="129">
        <f>IFERROR(I461/COUNTIFS('Client DB &amp; Bed Mgmt'!$A:$A,A461,'Client DB &amp; Bed Mgmt'!$B:$B,C461,'Client DB &amp; Bed Mgmt'!$D:$D,"&lt;&gt;"),0)</f>
        <v/>
      </c>
      <c r="K461" s="88" t="n"/>
      <c r="L461" s="88" t="n"/>
      <c r="M461" s="88">
        <f>COUNTIFS('Client DB &amp; Bed Mgmt'!$B:$B,L461,'Client DB &amp; Bed Mgmt'!$E:$E,"Occupied")</f>
        <v/>
      </c>
      <c r="N461" s="88" t="n"/>
      <c r="O461" s="88" t="n"/>
      <c r="P461" s="88" t="n"/>
      <c r="Q461" s="88" t="n"/>
      <c r="R461" s="88" t="n"/>
      <c r="S461" s="88" t="n"/>
      <c r="T461" s="88" t="n"/>
      <c r="U461" s="129" t="n"/>
      <c r="V461" s="129" t="n"/>
    </row>
    <row r="462" ht="14.25" customHeight="1" s="83">
      <c r="A462" s="103" t="n"/>
      <c r="B462" s="125" t="n"/>
      <c r="C462" s="103" t="n"/>
      <c r="D462" s="126" t="n"/>
      <c r="E462" s="126" t="n"/>
      <c r="F462" s="127">
        <f>IF(D462="","",MAX(D462-E462,0))</f>
        <v/>
      </c>
      <c r="G462" s="130">
        <f>IF(E462="","",E462*GeneratorRate)</f>
        <v/>
      </c>
      <c r="H462" s="130">
        <f>IF(F462="","",F462*GovernmentRate)</f>
        <v/>
      </c>
      <c r="I462" s="130">
        <f>IF(D462="","",G462+H462)</f>
        <v/>
      </c>
      <c r="J462" s="129">
        <f>IFERROR(I462/COUNTIFS('Client DB &amp; Bed Mgmt'!$A:$A,A462,'Client DB &amp; Bed Mgmt'!$B:$B,C462,'Client DB &amp; Bed Mgmt'!$D:$D,"&lt;&gt;"),0)</f>
        <v/>
      </c>
      <c r="K462" s="88" t="n"/>
      <c r="L462" s="88" t="n"/>
      <c r="M462" s="88">
        <f>COUNTIFS('Client DB &amp; Bed Mgmt'!$B:$B,L462,'Client DB &amp; Bed Mgmt'!$E:$E,"Occupied")</f>
        <v/>
      </c>
      <c r="N462" s="88" t="n"/>
      <c r="O462" s="88" t="n"/>
      <c r="P462" s="88" t="n"/>
      <c r="Q462" s="88" t="n"/>
      <c r="R462" s="88" t="n"/>
      <c r="S462" s="88" t="n"/>
      <c r="T462" s="88" t="n"/>
      <c r="U462" s="129" t="n"/>
      <c r="V462" s="129" t="n"/>
    </row>
    <row r="463" ht="14.25" customHeight="1" s="83">
      <c r="A463" s="103" t="n"/>
      <c r="B463" s="125" t="n"/>
      <c r="C463" s="103" t="n"/>
      <c r="D463" s="126" t="n"/>
      <c r="E463" s="126" t="n"/>
      <c r="F463" s="127">
        <f>IF(D463="","",MAX(D463-E463,0))</f>
        <v/>
      </c>
      <c r="G463" s="130">
        <f>IF(E463="","",E463*GeneratorRate)</f>
        <v/>
      </c>
      <c r="H463" s="130">
        <f>IF(F463="","",F463*GovernmentRate)</f>
        <v/>
      </c>
      <c r="I463" s="130">
        <f>IF(D463="","",G463+H463)</f>
        <v/>
      </c>
      <c r="J463" s="129">
        <f>IFERROR(I463/COUNTIFS('Client DB &amp; Bed Mgmt'!$A:$A,A463,'Client DB &amp; Bed Mgmt'!$B:$B,C463,'Client DB &amp; Bed Mgmt'!$D:$D,"&lt;&gt;"),0)</f>
        <v/>
      </c>
      <c r="K463" s="88" t="n"/>
      <c r="L463" s="88" t="n"/>
      <c r="M463" s="88">
        <f>COUNTIFS('Client DB &amp; Bed Mgmt'!$B:$B,L463,'Client DB &amp; Bed Mgmt'!$E:$E,"Occupied")</f>
        <v/>
      </c>
      <c r="N463" s="88" t="n"/>
      <c r="O463" s="88" t="n"/>
      <c r="P463" s="88" t="n"/>
      <c r="Q463" s="88" t="n"/>
      <c r="R463" s="88" t="n"/>
      <c r="S463" s="88" t="n"/>
      <c r="T463" s="88" t="n"/>
      <c r="U463" s="129" t="n"/>
      <c r="V463" s="129" t="n"/>
    </row>
    <row r="464" ht="14.25" customHeight="1" s="83">
      <c r="A464" s="103" t="n"/>
      <c r="B464" s="125" t="n"/>
      <c r="C464" s="103" t="n"/>
      <c r="D464" s="126" t="n"/>
      <c r="E464" s="126" t="n"/>
      <c r="F464" s="127">
        <f>IF(D464="","",MAX(D464-E464,0))</f>
        <v/>
      </c>
      <c r="G464" s="130">
        <f>IF(E464="","",E464*GeneratorRate)</f>
        <v/>
      </c>
      <c r="H464" s="130">
        <f>IF(F464="","",F464*GovernmentRate)</f>
        <v/>
      </c>
      <c r="I464" s="130">
        <f>IF(D464="","",G464+H464)</f>
        <v/>
      </c>
      <c r="J464" s="129">
        <f>IFERROR(I464/COUNTIFS('Client DB &amp; Bed Mgmt'!$A:$A,A464,'Client DB &amp; Bed Mgmt'!$B:$B,C464,'Client DB &amp; Bed Mgmt'!$D:$D,"&lt;&gt;"),0)</f>
        <v/>
      </c>
      <c r="K464" s="88" t="n"/>
      <c r="L464" s="88" t="n"/>
      <c r="M464" s="88">
        <f>COUNTIFS('Client DB &amp; Bed Mgmt'!$B:$B,L464,'Client DB &amp; Bed Mgmt'!$E:$E,"Occupied")</f>
        <v/>
      </c>
      <c r="N464" s="88" t="n"/>
      <c r="O464" s="88" t="n"/>
      <c r="P464" s="88" t="n"/>
      <c r="Q464" s="88" t="n"/>
      <c r="R464" s="88" t="n"/>
      <c r="S464" s="88" t="n"/>
      <c r="T464" s="88" t="n"/>
      <c r="U464" s="129" t="n"/>
      <c r="V464" s="129" t="n"/>
    </row>
    <row r="465" ht="14.25" customHeight="1" s="83">
      <c r="A465" s="103" t="n"/>
      <c r="B465" s="125" t="n"/>
      <c r="C465" s="103" t="n"/>
      <c r="D465" s="126" t="n"/>
      <c r="E465" s="126" t="n"/>
      <c r="F465" s="127">
        <f>IF(D465="","",MAX(D465-E465,0))</f>
        <v/>
      </c>
      <c r="G465" s="130">
        <f>IF(E465="","",E465*GeneratorRate)</f>
        <v/>
      </c>
      <c r="H465" s="130">
        <f>IF(F465="","",F465*GovernmentRate)</f>
        <v/>
      </c>
      <c r="I465" s="130">
        <f>IF(D465="","",G465+H465)</f>
        <v/>
      </c>
      <c r="J465" s="129">
        <f>IFERROR(I465/COUNTIFS('Client DB &amp; Bed Mgmt'!$A:$A,A465,'Client DB &amp; Bed Mgmt'!$B:$B,C465,'Client DB &amp; Bed Mgmt'!$D:$D,"&lt;&gt;"),0)</f>
        <v/>
      </c>
      <c r="K465" s="88" t="n"/>
      <c r="L465" s="88" t="n"/>
      <c r="M465" s="88">
        <f>COUNTIFS('Client DB &amp; Bed Mgmt'!$B:$B,L465,'Client DB &amp; Bed Mgmt'!$E:$E,"Occupied")</f>
        <v/>
      </c>
      <c r="N465" s="88" t="n"/>
      <c r="O465" s="88" t="n"/>
      <c r="P465" s="88" t="n"/>
      <c r="Q465" s="88" t="n"/>
      <c r="R465" s="88" t="n"/>
      <c r="S465" s="88" t="n"/>
      <c r="T465" s="88" t="n"/>
      <c r="U465" s="129" t="n"/>
      <c r="V465" s="129" t="n"/>
    </row>
    <row r="466" ht="14.25" customHeight="1" s="83">
      <c r="A466" s="103" t="n"/>
      <c r="B466" s="125" t="n"/>
      <c r="C466" s="103" t="n"/>
      <c r="D466" s="126" t="n"/>
      <c r="E466" s="126" t="n"/>
      <c r="F466" s="127">
        <f>IF(D466="","",MAX(D466-E466,0))</f>
        <v/>
      </c>
      <c r="G466" s="130">
        <f>IF(E466="","",E466*GeneratorRate)</f>
        <v/>
      </c>
      <c r="H466" s="130">
        <f>IF(F466="","",F466*GovernmentRate)</f>
        <v/>
      </c>
      <c r="I466" s="130">
        <f>IF(D466="","",G466+H466)</f>
        <v/>
      </c>
      <c r="J466" s="129">
        <f>IFERROR(I466/COUNTIFS('Client DB &amp; Bed Mgmt'!$A:$A,A466,'Client DB &amp; Bed Mgmt'!$B:$B,C466,'Client DB &amp; Bed Mgmt'!$D:$D,"&lt;&gt;"),0)</f>
        <v/>
      </c>
      <c r="K466" s="88" t="n"/>
      <c r="L466" s="88" t="n"/>
      <c r="M466" s="88">
        <f>COUNTIFS('Client DB &amp; Bed Mgmt'!$B:$B,L466,'Client DB &amp; Bed Mgmt'!$E:$E,"Occupied")</f>
        <v/>
      </c>
      <c r="N466" s="88" t="n"/>
      <c r="O466" s="88" t="n"/>
      <c r="P466" s="88" t="n"/>
      <c r="Q466" s="88" t="n"/>
      <c r="R466" s="88" t="n"/>
      <c r="S466" s="88" t="n"/>
      <c r="T466" s="88" t="n"/>
      <c r="U466" s="129" t="n"/>
      <c r="V466" s="129" t="n"/>
    </row>
    <row r="467" ht="14.25" customHeight="1" s="83">
      <c r="A467" s="103" t="n"/>
      <c r="B467" s="125" t="n"/>
      <c r="C467" s="103" t="n"/>
      <c r="D467" s="126" t="n"/>
      <c r="E467" s="126" t="n"/>
      <c r="F467" s="127">
        <f>IF(D467="","",MAX(D467-E467,0))</f>
        <v/>
      </c>
      <c r="G467" s="130">
        <f>IF(E467="","",E467*GeneratorRate)</f>
        <v/>
      </c>
      <c r="H467" s="130">
        <f>IF(F467="","",F467*GovernmentRate)</f>
        <v/>
      </c>
      <c r="I467" s="130">
        <f>IF(D467="","",G467+H467)</f>
        <v/>
      </c>
      <c r="J467" s="129">
        <f>IFERROR(I467/COUNTIFS('Client DB &amp; Bed Mgmt'!$A:$A,A467,'Client DB &amp; Bed Mgmt'!$B:$B,C467,'Client DB &amp; Bed Mgmt'!$D:$D,"&lt;&gt;"),0)</f>
        <v/>
      </c>
      <c r="K467" s="88" t="n"/>
      <c r="L467" s="88" t="n"/>
      <c r="M467" s="88">
        <f>COUNTIFS('Client DB &amp; Bed Mgmt'!$B:$B,L467,'Client DB &amp; Bed Mgmt'!$E:$E,"Occupied")</f>
        <v/>
      </c>
      <c r="N467" s="88" t="n"/>
      <c r="O467" s="88" t="n"/>
      <c r="P467" s="88" t="n"/>
      <c r="Q467" s="88" t="n"/>
      <c r="R467" s="88" t="n"/>
      <c r="S467" s="88" t="n"/>
      <c r="T467" s="88" t="n"/>
      <c r="U467" s="129" t="n"/>
      <c r="V467" s="129" t="n"/>
    </row>
    <row r="468" ht="14.25" customHeight="1" s="83">
      <c r="A468" s="103" t="n"/>
      <c r="B468" s="125" t="n"/>
      <c r="C468" s="103" t="n"/>
      <c r="D468" s="126" t="n"/>
      <c r="E468" s="126" t="n"/>
      <c r="F468" s="127">
        <f>IF(D468="","",MAX(D468-E468,0))</f>
        <v/>
      </c>
      <c r="G468" s="130">
        <f>IF(E468="","",E468*GeneratorRate)</f>
        <v/>
      </c>
      <c r="H468" s="130">
        <f>IF(F468="","",F468*GovernmentRate)</f>
        <v/>
      </c>
      <c r="I468" s="130">
        <f>IF(D468="","",G468+H468)</f>
        <v/>
      </c>
      <c r="J468" s="129">
        <f>IFERROR(I468/COUNTIFS('Client DB &amp; Bed Mgmt'!$A:$A,A468,'Client DB &amp; Bed Mgmt'!$B:$B,C468,'Client DB &amp; Bed Mgmt'!$D:$D,"&lt;&gt;"),0)</f>
        <v/>
      </c>
      <c r="K468" s="88" t="n"/>
      <c r="L468" s="88" t="n"/>
      <c r="M468" s="88">
        <f>COUNTIFS('Client DB &amp; Bed Mgmt'!$B:$B,L468,'Client DB &amp; Bed Mgmt'!$E:$E,"Occupied")</f>
        <v/>
      </c>
      <c r="N468" s="88" t="n"/>
      <c r="O468" s="88" t="n"/>
      <c r="P468" s="88" t="n"/>
      <c r="Q468" s="88" t="n"/>
      <c r="R468" s="88" t="n"/>
      <c r="S468" s="88" t="n"/>
      <c r="T468" s="88" t="n"/>
      <c r="U468" s="129" t="n"/>
      <c r="V468" s="129" t="n"/>
    </row>
    <row r="469" ht="14.25" customHeight="1" s="83">
      <c r="A469" s="103" t="n"/>
      <c r="B469" s="125" t="n"/>
      <c r="C469" s="103" t="n"/>
      <c r="D469" s="126" t="n"/>
      <c r="E469" s="126" t="n"/>
      <c r="F469" s="127">
        <f>IF(D469="","",MAX(D469-E469,0))</f>
        <v/>
      </c>
      <c r="G469" s="130">
        <f>IF(E469="","",E469*GeneratorRate)</f>
        <v/>
      </c>
      <c r="H469" s="130">
        <f>IF(F469="","",F469*GovernmentRate)</f>
        <v/>
      </c>
      <c r="I469" s="130">
        <f>IF(D469="","",G469+H469)</f>
        <v/>
      </c>
      <c r="J469" s="129">
        <f>IFERROR(I469/COUNTIFS('Client DB &amp; Bed Mgmt'!$A:$A,A469,'Client DB &amp; Bed Mgmt'!$B:$B,C469,'Client DB &amp; Bed Mgmt'!$D:$D,"&lt;&gt;"),0)</f>
        <v/>
      </c>
      <c r="K469" s="88" t="n"/>
      <c r="L469" s="88" t="n"/>
      <c r="M469" s="88">
        <f>COUNTIFS('Client DB &amp; Bed Mgmt'!$B:$B,L469,'Client DB &amp; Bed Mgmt'!$E:$E,"Occupied")</f>
        <v/>
      </c>
      <c r="N469" s="88" t="n"/>
      <c r="O469" s="88" t="n"/>
      <c r="P469" s="88" t="n"/>
      <c r="Q469" s="88" t="n"/>
      <c r="R469" s="88" t="n"/>
      <c r="S469" s="88" t="n"/>
      <c r="T469" s="88" t="n"/>
      <c r="U469" s="129" t="n"/>
      <c r="V469" s="129" t="n"/>
    </row>
    <row r="470" ht="14.25" customHeight="1" s="83">
      <c r="A470" s="103" t="n"/>
      <c r="B470" s="125" t="n"/>
      <c r="C470" s="103" t="n"/>
      <c r="D470" s="126" t="n"/>
      <c r="E470" s="126" t="n"/>
      <c r="F470" s="127">
        <f>IF(D470="","",MAX(D470-E470,0))</f>
        <v/>
      </c>
      <c r="G470" s="130">
        <f>IF(E470="","",E470*GeneratorRate)</f>
        <v/>
      </c>
      <c r="H470" s="130">
        <f>IF(F470="","",F470*GovernmentRate)</f>
        <v/>
      </c>
      <c r="I470" s="130">
        <f>IF(D470="","",G470+H470)</f>
        <v/>
      </c>
      <c r="J470" s="129">
        <f>IFERROR(I470/COUNTIFS('Client DB &amp; Bed Mgmt'!$A:$A,A470,'Client DB &amp; Bed Mgmt'!$B:$B,C470,'Client DB &amp; Bed Mgmt'!$D:$D,"&lt;&gt;"),0)</f>
        <v/>
      </c>
      <c r="K470" s="88" t="n"/>
      <c r="L470" s="88" t="n"/>
      <c r="M470" s="88">
        <f>COUNTIFS('Client DB &amp; Bed Mgmt'!$B:$B,L470,'Client DB &amp; Bed Mgmt'!$E:$E,"Occupied")</f>
        <v/>
      </c>
      <c r="N470" s="88" t="n"/>
      <c r="O470" s="88" t="n"/>
      <c r="P470" s="88" t="n"/>
      <c r="Q470" s="88" t="n"/>
      <c r="R470" s="88" t="n"/>
      <c r="S470" s="88" t="n"/>
      <c r="T470" s="88" t="n"/>
      <c r="U470" s="129" t="n"/>
      <c r="V470" s="129" t="n"/>
    </row>
    <row r="471" ht="14.25" customHeight="1" s="83">
      <c r="A471" s="103" t="n"/>
      <c r="B471" s="125" t="n"/>
      <c r="C471" s="103" t="n"/>
      <c r="D471" s="126" t="n"/>
      <c r="E471" s="126" t="n"/>
      <c r="F471" s="127">
        <f>IF(D471="","",MAX(D471-E471,0))</f>
        <v/>
      </c>
      <c r="G471" s="130">
        <f>IF(E471="","",E471*GeneratorRate)</f>
        <v/>
      </c>
      <c r="H471" s="130">
        <f>IF(F471="","",F471*GovernmentRate)</f>
        <v/>
      </c>
      <c r="I471" s="130">
        <f>IF(D471="","",G471+H471)</f>
        <v/>
      </c>
      <c r="J471" s="129">
        <f>IFERROR(I471/COUNTIFS('Client DB &amp; Bed Mgmt'!$A:$A,A471,'Client DB &amp; Bed Mgmt'!$B:$B,C471,'Client DB &amp; Bed Mgmt'!$D:$D,"&lt;&gt;"),0)</f>
        <v/>
      </c>
      <c r="K471" s="88" t="n"/>
      <c r="L471" s="88" t="n"/>
      <c r="M471" s="88">
        <f>COUNTIFS('Client DB &amp; Bed Mgmt'!$B:$B,L471,'Client DB &amp; Bed Mgmt'!$E:$E,"Occupied")</f>
        <v/>
      </c>
      <c r="N471" s="88" t="n"/>
      <c r="O471" s="88" t="n"/>
      <c r="P471" s="88" t="n"/>
      <c r="Q471" s="88" t="n"/>
      <c r="R471" s="88" t="n"/>
      <c r="S471" s="88" t="n"/>
      <c r="T471" s="88" t="n"/>
      <c r="U471" s="129" t="n"/>
      <c r="V471" s="129" t="n"/>
    </row>
    <row r="472" ht="14.25" customHeight="1" s="83">
      <c r="A472" s="103" t="n"/>
      <c r="B472" s="125" t="n"/>
      <c r="C472" s="103" t="n"/>
      <c r="D472" s="126" t="n"/>
      <c r="E472" s="126" t="n"/>
      <c r="F472" s="127">
        <f>IF(D472="","",MAX(D472-E472,0))</f>
        <v/>
      </c>
      <c r="G472" s="130">
        <f>IF(E472="","",E472*GeneratorRate)</f>
        <v/>
      </c>
      <c r="H472" s="130">
        <f>IF(F472="","",F472*GovernmentRate)</f>
        <v/>
      </c>
      <c r="I472" s="130">
        <f>IF(D472="","",G472+H472)</f>
        <v/>
      </c>
      <c r="J472" s="129">
        <f>IFERROR(I472/COUNTIFS('Client DB &amp; Bed Mgmt'!$A:$A,A472,'Client DB &amp; Bed Mgmt'!$B:$B,C472,'Client DB &amp; Bed Mgmt'!$D:$D,"&lt;&gt;"),0)</f>
        <v/>
      </c>
      <c r="K472" s="88" t="n"/>
      <c r="L472" s="88" t="n"/>
      <c r="M472" s="88">
        <f>COUNTIFS('Client DB &amp; Bed Mgmt'!$B:$B,L472,'Client DB &amp; Bed Mgmt'!$E:$E,"Occupied")</f>
        <v/>
      </c>
      <c r="N472" s="88" t="n"/>
      <c r="O472" s="88" t="n"/>
      <c r="P472" s="88" t="n"/>
      <c r="Q472" s="88" t="n"/>
      <c r="R472" s="88" t="n"/>
      <c r="S472" s="88" t="n"/>
      <c r="T472" s="88" t="n"/>
      <c r="U472" s="129" t="n"/>
      <c r="V472" s="129" t="n"/>
    </row>
    <row r="473" ht="14.25" customHeight="1" s="83">
      <c r="A473" s="103" t="n"/>
      <c r="B473" s="125" t="n"/>
      <c r="C473" s="103" t="n"/>
      <c r="D473" s="126" t="n"/>
      <c r="E473" s="126" t="n"/>
      <c r="F473" s="127">
        <f>IF(D473="","",MAX(D473-E473,0))</f>
        <v/>
      </c>
      <c r="G473" s="130">
        <f>IF(E473="","",E473*GeneratorRate)</f>
        <v/>
      </c>
      <c r="H473" s="130">
        <f>IF(F473="","",F473*GovernmentRate)</f>
        <v/>
      </c>
      <c r="I473" s="130">
        <f>IF(D473="","",G473+H473)</f>
        <v/>
      </c>
      <c r="J473" s="129">
        <f>IFERROR(I473/COUNTIFS('Client DB &amp; Bed Mgmt'!$A:$A,A473,'Client DB &amp; Bed Mgmt'!$B:$B,C473,'Client DB &amp; Bed Mgmt'!$D:$D,"&lt;&gt;"),0)</f>
        <v/>
      </c>
      <c r="K473" s="88" t="n"/>
      <c r="L473" s="88" t="n"/>
      <c r="M473" s="88">
        <f>COUNTIFS('Client DB &amp; Bed Mgmt'!$B:$B,L473,'Client DB &amp; Bed Mgmt'!$E:$E,"Occupied")</f>
        <v/>
      </c>
      <c r="N473" s="88" t="n"/>
      <c r="O473" s="88" t="n"/>
      <c r="P473" s="88" t="n"/>
      <c r="Q473" s="88" t="n"/>
      <c r="R473" s="88" t="n"/>
      <c r="S473" s="88" t="n"/>
      <c r="T473" s="88" t="n"/>
      <c r="U473" s="129" t="n"/>
      <c r="V473" s="129" t="n"/>
    </row>
    <row r="474" ht="14.25" customHeight="1" s="83">
      <c r="A474" s="103" t="n"/>
      <c r="B474" s="125" t="n"/>
      <c r="C474" s="103" t="n"/>
      <c r="D474" s="126" t="n"/>
      <c r="E474" s="126" t="n"/>
      <c r="F474" s="127">
        <f>IF(D474="","",MAX(D474-E474,0))</f>
        <v/>
      </c>
      <c r="G474" s="130">
        <f>IF(E474="","",E474*GeneratorRate)</f>
        <v/>
      </c>
      <c r="H474" s="130">
        <f>IF(F474="","",F474*GovernmentRate)</f>
        <v/>
      </c>
      <c r="I474" s="130">
        <f>IF(D474="","",G474+H474)</f>
        <v/>
      </c>
      <c r="J474" s="129">
        <f>IFERROR(I474/COUNTIFS('Client DB &amp; Bed Mgmt'!$A:$A,A474,'Client DB &amp; Bed Mgmt'!$B:$B,C474,'Client DB &amp; Bed Mgmt'!$D:$D,"&lt;&gt;"),0)</f>
        <v/>
      </c>
      <c r="K474" s="88" t="n"/>
      <c r="L474" s="88" t="n"/>
      <c r="M474" s="88">
        <f>COUNTIFS('Client DB &amp; Bed Mgmt'!$B:$B,L474,'Client DB &amp; Bed Mgmt'!$E:$E,"Occupied")</f>
        <v/>
      </c>
      <c r="N474" s="88" t="n"/>
      <c r="O474" s="88" t="n"/>
      <c r="P474" s="88" t="n"/>
      <c r="Q474" s="88" t="n"/>
      <c r="R474" s="88" t="n"/>
      <c r="S474" s="88" t="n"/>
      <c r="T474" s="88" t="n"/>
      <c r="U474" s="129" t="n"/>
      <c r="V474" s="129" t="n"/>
    </row>
    <row r="475" ht="14.25" customHeight="1" s="83">
      <c r="A475" s="103" t="n"/>
      <c r="B475" s="125" t="n"/>
      <c r="C475" s="103" t="n"/>
      <c r="D475" s="126" t="n"/>
      <c r="E475" s="126" t="n"/>
      <c r="F475" s="127">
        <f>IF(D475="","",MAX(D475-E475,0))</f>
        <v/>
      </c>
      <c r="G475" s="130">
        <f>IF(E475="","",E475*GeneratorRate)</f>
        <v/>
      </c>
      <c r="H475" s="130">
        <f>IF(F475="","",F475*GovernmentRate)</f>
        <v/>
      </c>
      <c r="I475" s="130">
        <f>IF(D475="","",G475+H475)</f>
        <v/>
      </c>
      <c r="J475" s="129">
        <f>IFERROR(I475/COUNTIFS('Client DB &amp; Bed Mgmt'!$A:$A,A475,'Client DB &amp; Bed Mgmt'!$B:$B,C475,'Client DB &amp; Bed Mgmt'!$D:$D,"&lt;&gt;"),0)</f>
        <v/>
      </c>
      <c r="K475" s="88" t="n"/>
      <c r="L475" s="88" t="n"/>
      <c r="M475" s="88">
        <f>COUNTIFS('Client DB &amp; Bed Mgmt'!$B:$B,L475,'Client DB &amp; Bed Mgmt'!$E:$E,"Occupied")</f>
        <v/>
      </c>
      <c r="N475" s="88" t="n"/>
      <c r="O475" s="88" t="n"/>
      <c r="P475" s="88" t="n"/>
      <c r="Q475" s="88" t="n"/>
      <c r="R475" s="88" t="n"/>
      <c r="S475" s="88" t="n"/>
      <c r="T475" s="88" t="n"/>
      <c r="U475" s="129" t="n"/>
      <c r="V475" s="129" t="n"/>
    </row>
    <row r="476" ht="14.25" customHeight="1" s="83">
      <c r="A476" s="103" t="n"/>
      <c r="B476" s="125" t="n"/>
      <c r="C476" s="103" t="n"/>
      <c r="D476" s="126" t="n"/>
      <c r="E476" s="126" t="n"/>
      <c r="F476" s="127">
        <f>IF(D476="","",MAX(D476-E476,0))</f>
        <v/>
      </c>
      <c r="G476" s="130">
        <f>IF(E476="","",E476*GeneratorRate)</f>
        <v/>
      </c>
      <c r="H476" s="130">
        <f>IF(F476="","",F476*GovernmentRate)</f>
        <v/>
      </c>
      <c r="I476" s="130">
        <f>IF(D476="","",G476+H476)</f>
        <v/>
      </c>
      <c r="J476" s="129">
        <f>IFERROR(I476/COUNTIFS('Client DB &amp; Bed Mgmt'!$A:$A,A476,'Client DB &amp; Bed Mgmt'!$B:$B,C476,'Client DB &amp; Bed Mgmt'!$D:$D,"&lt;&gt;"),0)</f>
        <v/>
      </c>
      <c r="K476" s="88" t="n"/>
      <c r="L476" s="88" t="n"/>
      <c r="M476" s="88">
        <f>COUNTIFS('Client DB &amp; Bed Mgmt'!$B:$B,L476,'Client DB &amp; Bed Mgmt'!$E:$E,"Occupied")</f>
        <v/>
      </c>
      <c r="N476" s="88" t="n"/>
      <c r="O476" s="88" t="n"/>
      <c r="P476" s="88" t="n"/>
      <c r="Q476" s="88" t="n"/>
      <c r="R476" s="88" t="n"/>
      <c r="S476" s="88" t="n"/>
      <c r="T476" s="88" t="n"/>
      <c r="U476" s="129" t="n"/>
      <c r="V476" s="129" t="n"/>
    </row>
    <row r="477" ht="14.25" customHeight="1" s="83">
      <c r="A477" s="103" t="n"/>
      <c r="B477" s="125" t="n"/>
      <c r="C477" s="103" t="n"/>
      <c r="D477" s="126" t="n"/>
      <c r="E477" s="126" t="n"/>
      <c r="F477" s="127">
        <f>IF(D477="","",MAX(D477-E477,0))</f>
        <v/>
      </c>
      <c r="G477" s="130">
        <f>IF(E477="","",E477*GeneratorRate)</f>
        <v/>
      </c>
      <c r="H477" s="130">
        <f>IF(F477="","",F477*GovernmentRate)</f>
        <v/>
      </c>
      <c r="I477" s="130">
        <f>IF(D477="","",G477+H477)</f>
        <v/>
      </c>
      <c r="J477" s="129">
        <f>IFERROR(I477/COUNTIFS('Client DB &amp; Bed Mgmt'!$A:$A,A477,'Client DB &amp; Bed Mgmt'!$B:$B,C477,'Client DB &amp; Bed Mgmt'!$D:$D,"&lt;&gt;"),0)</f>
        <v/>
      </c>
      <c r="K477" s="88" t="n"/>
      <c r="L477" s="88" t="n"/>
      <c r="M477" s="88">
        <f>COUNTIFS('Client DB &amp; Bed Mgmt'!$B:$B,L477,'Client DB &amp; Bed Mgmt'!$E:$E,"Occupied")</f>
        <v/>
      </c>
      <c r="N477" s="88" t="n"/>
      <c r="O477" s="88" t="n"/>
      <c r="P477" s="88" t="n"/>
      <c r="Q477" s="88" t="n"/>
      <c r="R477" s="88" t="n"/>
      <c r="S477" s="88" t="n"/>
      <c r="T477" s="88" t="n"/>
      <c r="U477" s="129" t="n"/>
      <c r="V477" s="129" t="n"/>
    </row>
    <row r="478" ht="14.25" customHeight="1" s="83">
      <c r="A478" s="103" t="n"/>
      <c r="B478" s="125" t="n"/>
      <c r="C478" s="103" t="n"/>
      <c r="D478" s="126" t="n"/>
      <c r="E478" s="126" t="n"/>
      <c r="F478" s="127">
        <f>IF(D478="","",MAX(D478-E478,0))</f>
        <v/>
      </c>
      <c r="G478" s="130">
        <f>IF(E478="","",E478*GeneratorRate)</f>
        <v/>
      </c>
      <c r="H478" s="130">
        <f>IF(F478="","",F478*GovernmentRate)</f>
        <v/>
      </c>
      <c r="I478" s="130">
        <f>IF(D478="","",G478+H478)</f>
        <v/>
      </c>
      <c r="J478" s="129">
        <f>IFERROR(I478/COUNTIFS('Client DB &amp; Bed Mgmt'!$A:$A,A478,'Client DB &amp; Bed Mgmt'!$B:$B,C478,'Client DB &amp; Bed Mgmt'!$D:$D,"&lt;&gt;"),0)</f>
        <v/>
      </c>
      <c r="K478" s="88" t="n"/>
      <c r="L478" s="88" t="n"/>
      <c r="M478" s="88">
        <f>COUNTIFS('Client DB &amp; Bed Mgmt'!$B:$B,L478,'Client DB &amp; Bed Mgmt'!$E:$E,"Occupied")</f>
        <v/>
      </c>
      <c r="N478" s="88" t="n"/>
      <c r="O478" s="88" t="n"/>
      <c r="P478" s="88" t="n"/>
      <c r="Q478" s="88" t="n"/>
      <c r="R478" s="88" t="n"/>
      <c r="S478" s="88" t="n"/>
      <c r="T478" s="88" t="n"/>
      <c r="U478" s="129" t="n"/>
      <c r="V478" s="129" t="n"/>
    </row>
    <row r="479" ht="14.25" customHeight="1" s="83">
      <c r="A479" s="103" t="n"/>
      <c r="B479" s="125" t="n"/>
      <c r="C479" s="103" t="n"/>
      <c r="D479" s="126" t="n"/>
      <c r="E479" s="126" t="n"/>
      <c r="F479" s="127">
        <f>IF(D479="","",MAX(D479-E479,0))</f>
        <v/>
      </c>
      <c r="G479" s="130">
        <f>IF(E479="","",E479*GeneratorRate)</f>
        <v/>
      </c>
      <c r="H479" s="130">
        <f>IF(F479="","",F479*GovernmentRate)</f>
        <v/>
      </c>
      <c r="I479" s="130">
        <f>IF(D479="","",G479+H479)</f>
        <v/>
      </c>
      <c r="J479" s="129">
        <f>IFERROR(I479/COUNTIFS('Client DB &amp; Bed Mgmt'!$A:$A,A479,'Client DB &amp; Bed Mgmt'!$B:$B,C479,'Client DB &amp; Bed Mgmt'!$D:$D,"&lt;&gt;"),0)</f>
        <v/>
      </c>
      <c r="K479" s="88" t="n"/>
      <c r="L479" s="88" t="n"/>
      <c r="M479" s="88">
        <f>COUNTIFS('Client DB &amp; Bed Mgmt'!$B:$B,L479,'Client DB &amp; Bed Mgmt'!$E:$E,"Occupied")</f>
        <v/>
      </c>
      <c r="N479" s="88" t="n"/>
      <c r="O479" s="88" t="n"/>
      <c r="P479" s="88" t="n"/>
      <c r="Q479" s="88" t="n"/>
      <c r="R479" s="88" t="n"/>
      <c r="S479" s="88" t="n"/>
      <c r="T479" s="88" t="n"/>
      <c r="U479" s="129" t="n"/>
      <c r="V479" s="129" t="n"/>
    </row>
    <row r="480" ht="14.25" customHeight="1" s="83">
      <c r="A480" s="103" t="n"/>
      <c r="B480" s="125" t="n"/>
      <c r="C480" s="103" t="n"/>
      <c r="D480" s="126" t="n"/>
      <c r="E480" s="126" t="n"/>
      <c r="F480" s="127">
        <f>IF(D480="","",MAX(D480-E480,0))</f>
        <v/>
      </c>
      <c r="G480" s="130">
        <f>IF(E480="","",E480*GeneratorRate)</f>
        <v/>
      </c>
      <c r="H480" s="130">
        <f>IF(F480="","",F480*GovernmentRate)</f>
        <v/>
      </c>
      <c r="I480" s="130">
        <f>IF(D480="","",G480+H480)</f>
        <v/>
      </c>
      <c r="J480" s="129">
        <f>IFERROR(I480/COUNTIFS('Client DB &amp; Bed Mgmt'!$A:$A,A480,'Client DB &amp; Bed Mgmt'!$B:$B,C480,'Client DB &amp; Bed Mgmt'!$D:$D,"&lt;&gt;"),0)</f>
        <v/>
      </c>
      <c r="K480" s="88" t="n"/>
      <c r="L480" s="88" t="n"/>
      <c r="M480" s="88">
        <f>COUNTIFS('Client DB &amp; Bed Mgmt'!$B:$B,L480,'Client DB &amp; Bed Mgmt'!$E:$E,"Occupied")</f>
        <v/>
      </c>
      <c r="N480" s="88" t="n"/>
      <c r="O480" s="88" t="n"/>
      <c r="P480" s="88" t="n"/>
      <c r="Q480" s="88" t="n"/>
      <c r="R480" s="88" t="n"/>
      <c r="S480" s="88" t="n"/>
      <c r="T480" s="88" t="n"/>
      <c r="U480" s="129" t="n"/>
      <c r="V480" s="129" t="n"/>
    </row>
    <row r="481" ht="14.25" customHeight="1" s="83">
      <c r="A481" s="103" t="n"/>
      <c r="B481" s="125" t="n"/>
      <c r="C481" s="103" t="n"/>
      <c r="D481" s="126" t="n"/>
      <c r="E481" s="126" t="n"/>
      <c r="F481" s="127">
        <f>IF(D481="","",MAX(D481-E481,0))</f>
        <v/>
      </c>
      <c r="G481" s="130">
        <f>IF(E481="","",E481*GeneratorRate)</f>
        <v/>
      </c>
      <c r="H481" s="130">
        <f>IF(F481="","",F481*GovernmentRate)</f>
        <v/>
      </c>
      <c r="I481" s="130">
        <f>IF(D481="","",G481+H481)</f>
        <v/>
      </c>
      <c r="J481" s="129">
        <f>IFERROR(I481/COUNTIFS('Client DB &amp; Bed Mgmt'!$A:$A,A481,'Client DB &amp; Bed Mgmt'!$B:$B,C481,'Client DB &amp; Bed Mgmt'!$D:$D,"&lt;&gt;"),0)</f>
        <v/>
      </c>
      <c r="K481" s="88" t="n"/>
      <c r="L481" s="88" t="n"/>
      <c r="M481" s="88">
        <f>COUNTIFS('Client DB &amp; Bed Mgmt'!$B:$B,L481,'Client DB &amp; Bed Mgmt'!$E:$E,"Occupied")</f>
        <v/>
      </c>
      <c r="N481" s="88" t="n"/>
      <c r="O481" s="88" t="n"/>
      <c r="P481" s="88" t="n"/>
      <c r="Q481" s="88" t="n"/>
      <c r="R481" s="88" t="n"/>
      <c r="S481" s="88" t="n"/>
      <c r="T481" s="88" t="n"/>
      <c r="U481" s="129" t="n"/>
      <c r="V481" s="129" t="n"/>
    </row>
    <row r="482" ht="14.25" customHeight="1" s="83">
      <c r="A482" s="103" t="n"/>
      <c r="B482" s="125" t="n"/>
      <c r="C482" s="103" t="n"/>
      <c r="D482" s="126" t="n"/>
      <c r="E482" s="126" t="n"/>
      <c r="F482" s="127">
        <f>IF(D482="","",MAX(D482-E482,0))</f>
        <v/>
      </c>
      <c r="G482" s="130">
        <f>IF(E482="","",E482*GeneratorRate)</f>
        <v/>
      </c>
      <c r="H482" s="130">
        <f>IF(F482="","",F482*GovernmentRate)</f>
        <v/>
      </c>
      <c r="I482" s="130">
        <f>IF(D482="","",G482+H482)</f>
        <v/>
      </c>
      <c r="J482" s="129">
        <f>IFERROR(I482/COUNTIFS('Client DB &amp; Bed Mgmt'!$A:$A,A482,'Client DB &amp; Bed Mgmt'!$B:$B,C482,'Client DB &amp; Bed Mgmt'!$D:$D,"&lt;&gt;"),0)</f>
        <v/>
      </c>
      <c r="K482" s="88" t="n"/>
      <c r="L482" s="88" t="n"/>
      <c r="M482" s="88">
        <f>COUNTIFS('Client DB &amp; Bed Mgmt'!$B:$B,L482,'Client DB &amp; Bed Mgmt'!$E:$E,"Occupied")</f>
        <v/>
      </c>
      <c r="N482" s="88" t="n"/>
      <c r="O482" s="88" t="n"/>
      <c r="P482" s="88" t="n"/>
      <c r="Q482" s="88" t="n"/>
      <c r="R482" s="88" t="n"/>
      <c r="S482" s="88" t="n"/>
      <c r="T482" s="88" t="n"/>
      <c r="U482" s="129" t="n"/>
      <c r="V482" s="129" t="n"/>
    </row>
    <row r="483" ht="14.25" customHeight="1" s="83">
      <c r="A483" s="103" t="n"/>
      <c r="B483" s="125" t="n"/>
      <c r="C483" s="103" t="n"/>
      <c r="D483" s="126" t="n"/>
      <c r="E483" s="126" t="n"/>
      <c r="F483" s="127">
        <f>IF(D483="","",MAX(D483-E483,0))</f>
        <v/>
      </c>
      <c r="G483" s="130">
        <f>IF(E483="","",E483*GeneratorRate)</f>
        <v/>
      </c>
      <c r="H483" s="130">
        <f>IF(F483="","",F483*GovernmentRate)</f>
        <v/>
      </c>
      <c r="I483" s="130">
        <f>IF(D483="","",G483+H483)</f>
        <v/>
      </c>
      <c r="J483" s="129">
        <f>IFERROR(I483/COUNTIFS('Client DB &amp; Bed Mgmt'!$A:$A,A483,'Client DB &amp; Bed Mgmt'!$B:$B,C483,'Client DB &amp; Bed Mgmt'!$D:$D,"&lt;&gt;"),0)</f>
        <v/>
      </c>
      <c r="K483" s="88" t="n"/>
      <c r="L483" s="88" t="n"/>
      <c r="M483" s="88">
        <f>COUNTIFS('Client DB &amp; Bed Mgmt'!$B:$B,L483,'Client DB &amp; Bed Mgmt'!$E:$E,"Occupied")</f>
        <v/>
      </c>
      <c r="N483" s="88" t="n"/>
      <c r="O483" s="88" t="n"/>
      <c r="P483" s="88" t="n"/>
      <c r="Q483" s="88" t="n"/>
      <c r="R483" s="88" t="n"/>
      <c r="S483" s="88" t="n"/>
      <c r="T483" s="88" t="n"/>
      <c r="U483" s="129" t="n"/>
      <c r="V483" s="129" t="n"/>
    </row>
    <row r="484" ht="14.25" customHeight="1" s="83">
      <c r="A484" s="103" t="n"/>
      <c r="B484" s="125" t="n"/>
      <c r="C484" s="103" t="n"/>
      <c r="D484" s="126" t="n"/>
      <c r="E484" s="126" t="n"/>
      <c r="F484" s="127">
        <f>IF(D484="","",MAX(D484-E484,0))</f>
        <v/>
      </c>
      <c r="G484" s="130">
        <f>IF(E484="","",E484*GeneratorRate)</f>
        <v/>
      </c>
      <c r="H484" s="130">
        <f>IF(F484="","",F484*GovernmentRate)</f>
        <v/>
      </c>
      <c r="I484" s="130">
        <f>IF(D484="","",G484+H484)</f>
        <v/>
      </c>
      <c r="J484" s="129">
        <f>IFERROR(I484/COUNTIFS('Client DB &amp; Bed Mgmt'!$A:$A,A484,'Client DB &amp; Bed Mgmt'!$B:$B,C484,'Client DB &amp; Bed Mgmt'!$D:$D,"&lt;&gt;"),0)</f>
        <v/>
      </c>
      <c r="K484" s="88" t="n"/>
      <c r="L484" s="88" t="n"/>
      <c r="M484" s="88">
        <f>COUNTIFS('Client DB &amp; Bed Mgmt'!$B:$B,L484,'Client DB &amp; Bed Mgmt'!$E:$E,"Occupied")</f>
        <v/>
      </c>
      <c r="N484" s="88" t="n"/>
      <c r="O484" s="88" t="n"/>
      <c r="P484" s="88" t="n"/>
      <c r="Q484" s="88" t="n"/>
      <c r="R484" s="88" t="n"/>
      <c r="S484" s="88" t="n"/>
      <c r="T484" s="88" t="n"/>
      <c r="U484" s="129" t="n"/>
      <c r="V484" s="129" t="n"/>
    </row>
    <row r="485" ht="14.25" customHeight="1" s="83">
      <c r="A485" s="103" t="n"/>
      <c r="B485" s="125" t="n"/>
      <c r="C485" s="103" t="n"/>
      <c r="D485" s="126" t="n"/>
      <c r="E485" s="126" t="n"/>
      <c r="F485" s="127">
        <f>IF(D485="","",MAX(D485-E485,0))</f>
        <v/>
      </c>
      <c r="G485" s="130">
        <f>IF(E485="","",E485*GeneratorRate)</f>
        <v/>
      </c>
      <c r="H485" s="130">
        <f>IF(F485="","",F485*GovernmentRate)</f>
        <v/>
      </c>
      <c r="I485" s="130">
        <f>IF(D485="","",G485+H485)</f>
        <v/>
      </c>
      <c r="J485" s="129">
        <f>IFERROR(I485/COUNTIFS('Client DB &amp; Bed Mgmt'!$A:$A,A485,'Client DB &amp; Bed Mgmt'!$B:$B,C485,'Client DB &amp; Bed Mgmt'!$D:$D,"&lt;&gt;"),0)</f>
        <v/>
      </c>
      <c r="K485" s="88" t="n"/>
      <c r="L485" s="88" t="n"/>
      <c r="M485" s="88">
        <f>COUNTIFS('Client DB &amp; Bed Mgmt'!$B:$B,L485,'Client DB &amp; Bed Mgmt'!$E:$E,"Occupied")</f>
        <v/>
      </c>
      <c r="N485" s="88" t="n"/>
      <c r="O485" s="88" t="n"/>
      <c r="P485" s="88" t="n"/>
      <c r="Q485" s="88" t="n"/>
      <c r="R485" s="88" t="n"/>
      <c r="S485" s="88" t="n"/>
      <c r="T485" s="88" t="n"/>
      <c r="U485" s="129" t="n"/>
      <c r="V485" s="129" t="n"/>
    </row>
    <row r="486" ht="14.25" customHeight="1" s="83">
      <c r="A486" s="103" t="n"/>
      <c r="B486" s="125" t="n"/>
      <c r="C486" s="103" t="n"/>
      <c r="D486" s="126" t="n"/>
      <c r="E486" s="126" t="n"/>
      <c r="F486" s="127">
        <f>IF(D486="","",MAX(D486-E486,0))</f>
        <v/>
      </c>
      <c r="G486" s="130">
        <f>IF(E486="","",E486*GeneratorRate)</f>
        <v/>
      </c>
      <c r="H486" s="130">
        <f>IF(F486="","",F486*GovernmentRate)</f>
        <v/>
      </c>
      <c r="I486" s="130">
        <f>IF(D486="","",G486+H486)</f>
        <v/>
      </c>
      <c r="J486" s="129">
        <f>IFERROR(I486/COUNTIFS('Client DB &amp; Bed Mgmt'!$A:$A,A486,'Client DB &amp; Bed Mgmt'!$B:$B,C486,'Client DB &amp; Bed Mgmt'!$D:$D,"&lt;&gt;"),0)</f>
        <v/>
      </c>
      <c r="K486" s="88" t="n"/>
      <c r="L486" s="88" t="n"/>
      <c r="M486" s="88">
        <f>COUNTIFS('Client DB &amp; Bed Mgmt'!$B:$B,L486,'Client DB &amp; Bed Mgmt'!$E:$E,"Occupied")</f>
        <v/>
      </c>
      <c r="N486" s="88" t="n"/>
      <c r="O486" s="88" t="n"/>
      <c r="P486" s="88" t="n"/>
      <c r="Q486" s="88" t="n"/>
      <c r="R486" s="88" t="n"/>
      <c r="S486" s="88" t="n"/>
      <c r="T486" s="88" t="n"/>
      <c r="U486" s="129" t="n"/>
      <c r="V486" s="129" t="n"/>
    </row>
    <row r="487" ht="14.25" customHeight="1" s="83">
      <c r="A487" s="103" t="n"/>
      <c r="B487" s="125" t="n"/>
      <c r="C487" s="103" t="n"/>
      <c r="D487" s="126" t="n"/>
      <c r="E487" s="126" t="n"/>
      <c r="F487" s="127">
        <f>IF(D487="","",MAX(D487-E487,0))</f>
        <v/>
      </c>
      <c r="G487" s="130">
        <f>IF(E487="","",E487*GeneratorRate)</f>
        <v/>
      </c>
      <c r="H487" s="130">
        <f>IF(F487="","",F487*GovernmentRate)</f>
        <v/>
      </c>
      <c r="I487" s="130">
        <f>IF(D487="","",G487+H487)</f>
        <v/>
      </c>
      <c r="J487" s="129">
        <f>IFERROR(I487/COUNTIFS('Client DB &amp; Bed Mgmt'!$A:$A,A487,'Client DB &amp; Bed Mgmt'!$B:$B,C487,'Client DB &amp; Bed Mgmt'!$D:$D,"&lt;&gt;"),0)</f>
        <v/>
      </c>
      <c r="K487" s="88" t="n"/>
      <c r="L487" s="88" t="n"/>
      <c r="M487" s="88">
        <f>COUNTIFS('Client DB &amp; Bed Mgmt'!$B:$B,L487,'Client DB &amp; Bed Mgmt'!$E:$E,"Occupied")</f>
        <v/>
      </c>
      <c r="N487" s="88" t="n"/>
      <c r="O487" s="88" t="n"/>
      <c r="P487" s="88" t="n"/>
      <c r="Q487" s="88" t="n"/>
      <c r="R487" s="88" t="n"/>
      <c r="S487" s="88" t="n"/>
      <c r="T487" s="88" t="n"/>
      <c r="U487" s="129" t="n"/>
      <c r="V487" s="129" t="n"/>
    </row>
    <row r="488" ht="14.25" customHeight="1" s="83">
      <c r="A488" s="103" t="n"/>
      <c r="B488" s="125" t="n"/>
      <c r="C488" s="103" t="n"/>
      <c r="D488" s="126" t="n"/>
      <c r="E488" s="126" t="n"/>
      <c r="F488" s="127">
        <f>IF(D488="","",MAX(D488-E488,0))</f>
        <v/>
      </c>
      <c r="G488" s="130">
        <f>IF(E488="","",E488*GeneratorRate)</f>
        <v/>
      </c>
      <c r="H488" s="130">
        <f>IF(F488="","",F488*GovernmentRate)</f>
        <v/>
      </c>
      <c r="I488" s="130">
        <f>IF(D488="","",G488+H488)</f>
        <v/>
      </c>
      <c r="J488" s="129">
        <f>IFERROR(I488/COUNTIFS('Client DB &amp; Bed Mgmt'!$A:$A,A488,'Client DB &amp; Bed Mgmt'!$B:$B,C488,'Client DB &amp; Bed Mgmt'!$D:$D,"&lt;&gt;"),0)</f>
        <v/>
      </c>
      <c r="K488" s="88" t="n"/>
      <c r="L488" s="88" t="n"/>
      <c r="M488" s="88">
        <f>COUNTIFS('Client DB &amp; Bed Mgmt'!$B:$B,L488,'Client DB &amp; Bed Mgmt'!$E:$E,"Occupied")</f>
        <v/>
      </c>
      <c r="N488" s="88" t="n"/>
      <c r="O488" s="88" t="n"/>
      <c r="P488" s="88" t="n"/>
      <c r="Q488" s="88" t="n"/>
      <c r="R488" s="88" t="n"/>
      <c r="S488" s="88" t="n"/>
      <c r="T488" s="88" t="n"/>
      <c r="U488" s="129" t="n"/>
      <c r="V488" s="129" t="n"/>
    </row>
    <row r="489" ht="14.25" customHeight="1" s="83">
      <c r="A489" s="103" t="n"/>
      <c r="B489" s="125" t="n"/>
      <c r="C489" s="103" t="n"/>
      <c r="D489" s="126" t="n"/>
      <c r="E489" s="126" t="n"/>
      <c r="F489" s="127">
        <f>IF(D489="","",MAX(D489-E489,0))</f>
        <v/>
      </c>
      <c r="G489" s="130">
        <f>IF(E489="","",E489*GeneratorRate)</f>
        <v/>
      </c>
      <c r="H489" s="130">
        <f>IF(F489="","",F489*GovernmentRate)</f>
        <v/>
      </c>
      <c r="I489" s="130">
        <f>IF(D489="","",G489+H489)</f>
        <v/>
      </c>
      <c r="J489" s="129">
        <f>IFERROR(I489/COUNTIFS('Client DB &amp; Bed Mgmt'!$A:$A,A489,'Client DB &amp; Bed Mgmt'!$B:$B,C489,'Client DB &amp; Bed Mgmt'!$D:$D,"&lt;&gt;"),0)</f>
        <v/>
      </c>
      <c r="K489" s="88" t="n"/>
      <c r="L489" s="88" t="n"/>
      <c r="M489" s="88">
        <f>COUNTIFS('Client DB &amp; Bed Mgmt'!$B:$B,L489,'Client DB &amp; Bed Mgmt'!$E:$E,"Occupied")</f>
        <v/>
      </c>
      <c r="N489" s="88" t="n"/>
      <c r="O489" s="88" t="n"/>
      <c r="P489" s="88" t="n"/>
      <c r="Q489" s="88" t="n"/>
      <c r="R489" s="88" t="n"/>
      <c r="S489" s="88" t="n"/>
      <c r="T489" s="88" t="n"/>
      <c r="U489" s="129" t="n"/>
      <c r="V489" s="129" t="n"/>
    </row>
    <row r="490" ht="14.25" customHeight="1" s="83">
      <c r="A490" s="103" t="n"/>
      <c r="B490" s="125" t="n"/>
      <c r="C490" s="103" t="n"/>
      <c r="D490" s="126" t="n"/>
      <c r="E490" s="126" t="n"/>
      <c r="F490" s="127">
        <f>IF(D490="","",MAX(D490-E490,0))</f>
        <v/>
      </c>
      <c r="G490" s="130">
        <f>IF(E490="","",E490*GeneratorRate)</f>
        <v/>
      </c>
      <c r="H490" s="130">
        <f>IF(F490="","",F490*GovernmentRate)</f>
        <v/>
      </c>
      <c r="I490" s="130">
        <f>IF(D490="","",G490+H490)</f>
        <v/>
      </c>
      <c r="J490" s="129">
        <f>IFERROR(I490/COUNTIFS('Client DB &amp; Bed Mgmt'!$A:$A,A490,'Client DB &amp; Bed Mgmt'!$B:$B,C490,'Client DB &amp; Bed Mgmt'!$D:$D,"&lt;&gt;"),0)</f>
        <v/>
      </c>
      <c r="K490" s="88" t="n"/>
      <c r="L490" s="88" t="n"/>
      <c r="M490" s="88">
        <f>COUNTIFS('Client DB &amp; Bed Mgmt'!$B:$B,L490,'Client DB &amp; Bed Mgmt'!$E:$E,"Occupied")</f>
        <v/>
      </c>
      <c r="N490" s="88" t="n"/>
      <c r="O490" s="88" t="n"/>
      <c r="P490" s="88" t="n"/>
      <c r="Q490" s="88" t="n"/>
      <c r="R490" s="88" t="n"/>
      <c r="S490" s="88" t="n"/>
      <c r="T490" s="88" t="n"/>
      <c r="U490" s="129" t="n"/>
      <c r="V490" s="129" t="n"/>
    </row>
    <row r="491" ht="14.25" customHeight="1" s="83">
      <c r="A491" s="103" t="n"/>
      <c r="B491" s="125" t="n"/>
      <c r="C491" s="103" t="n"/>
      <c r="D491" s="126" t="n"/>
      <c r="E491" s="126" t="n"/>
      <c r="F491" s="127">
        <f>IF(D491="","",MAX(D491-E491,0))</f>
        <v/>
      </c>
      <c r="G491" s="130">
        <f>IF(E491="","",E491*GeneratorRate)</f>
        <v/>
      </c>
      <c r="H491" s="130">
        <f>IF(F491="","",F491*GovernmentRate)</f>
        <v/>
      </c>
      <c r="I491" s="130">
        <f>IF(D491="","",G491+H491)</f>
        <v/>
      </c>
      <c r="J491" s="129">
        <f>IFERROR(I491/COUNTIFS('Client DB &amp; Bed Mgmt'!$A:$A,A491,'Client DB &amp; Bed Mgmt'!$B:$B,C491,'Client DB &amp; Bed Mgmt'!$D:$D,"&lt;&gt;"),0)</f>
        <v/>
      </c>
      <c r="K491" s="88" t="n"/>
      <c r="L491" s="88" t="n"/>
      <c r="M491" s="88">
        <f>COUNTIFS('Client DB &amp; Bed Mgmt'!$B:$B,L491,'Client DB &amp; Bed Mgmt'!$E:$E,"Occupied")</f>
        <v/>
      </c>
      <c r="N491" s="88" t="n"/>
      <c r="O491" s="88" t="n"/>
      <c r="P491" s="88" t="n"/>
      <c r="Q491" s="88" t="n"/>
      <c r="R491" s="88" t="n"/>
      <c r="S491" s="88" t="n"/>
      <c r="T491" s="88" t="n"/>
      <c r="U491" s="129" t="n"/>
      <c r="V491" s="129" t="n"/>
    </row>
    <row r="492" ht="14.25" customHeight="1" s="83">
      <c r="A492" s="103" t="n"/>
      <c r="B492" s="125" t="n"/>
      <c r="C492" s="103" t="n"/>
      <c r="D492" s="126" t="n"/>
      <c r="E492" s="126" t="n"/>
      <c r="F492" s="127">
        <f>IF(D492="","",MAX(D492-E492,0))</f>
        <v/>
      </c>
      <c r="G492" s="130">
        <f>IF(E492="","",E492*GeneratorRate)</f>
        <v/>
      </c>
      <c r="H492" s="130">
        <f>IF(F492="","",F492*GovernmentRate)</f>
        <v/>
      </c>
      <c r="I492" s="130">
        <f>IF(D492="","",G492+H492)</f>
        <v/>
      </c>
      <c r="J492" s="129">
        <f>IFERROR(I492/COUNTIFS('Client DB &amp; Bed Mgmt'!$A:$A,A492,'Client DB &amp; Bed Mgmt'!$B:$B,C492,'Client DB &amp; Bed Mgmt'!$D:$D,"&lt;&gt;"),0)</f>
        <v/>
      </c>
      <c r="K492" s="88" t="n"/>
      <c r="L492" s="88" t="n"/>
      <c r="M492" s="88">
        <f>COUNTIFS('Client DB &amp; Bed Mgmt'!$B:$B,L492,'Client DB &amp; Bed Mgmt'!$E:$E,"Occupied")</f>
        <v/>
      </c>
      <c r="N492" s="88" t="n"/>
      <c r="O492" s="88" t="n"/>
      <c r="P492" s="88" t="n"/>
      <c r="Q492" s="88" t="n"/>
      <c r="R492" s="88" t="n"/>
      <c r="S492" s="88" t="n"/>
      <c r="T492" s="88" t="n"/>
      <c r="U492" s="129" t="n"/>
      <c r="V492" s="129" t="n"/>
    </row>
    <row r="493" ht="14.25" customHeight="1" s="83">
      <c r="A493" s="103" t="n"/>
      <c r="B493" s="125" t="n"/>
      <c r="C493" s="103" t="n"/>
      <c r="D493" s="126" t="n"/>
      <c r="E493" s="126" t="n"/>
      <c r="F493" s="127">
        <f>IF(D493="","",MAX(D493-E493,0))</f>
        <v/>
      </c>
      <c r="G493" s="130">
        <f>IF(E493="","",E493*GeneratorRate)</f>
        <v/>
      </c>
      <c r="H493" s="130">
        <f>IF(F493="","",F493*GovernmentRate)</f>
        <v/>
      </c>
      <c r="I493" s="130">
        <f>IF(D493="","",G493+H493)</f>
        <v/>
      </c>
      <c r="J493" s="129">
        <f>IFERROR(I493/COUNTIFS('Client DB &amp; Bed Mgmt'!$A:$A,A493,'Client DB &amp; Bed Mgmt'!$B:$B,C493,'Client DB &amp; Bed Mgmt'!$D:$D,"&lt;&gt;"),0)</f>
        <v/>
      </c>
      <c r="K493" s="88" t="n"/>
      <c r="L493" s="88" t="n"/>
      <c r="M493" s="88">
        <f>COUNTIFS('Client DB &amp; Bed Mgmt'!$B:$B,L493,'Client DB &amp; Bed Mgmt'!$E:$E,"Occupied")</f>
        <v/>
      </c>
      <c r="N493" s="88" t="n"/>
      <c r="O493" s="88" t="n"/>
      <c r="P493" s="88" t="n"/>
      <c r="Q493" s="88" t="n"/>
      <c r="R493" s="88" t="n"/>
      <c r="S493" s="88" t="n"/>
      <c r="T493" s="88" t="n"/>
      <c r="U493" s="129" t="n"/>
      <c r="V493" s="129" t="n"/>
    </row>
    <row r="494" ht="14.25" customHeight="1" s="83">
      <c r="A494" s="103" t="n"/>
      <c r="B494" s="125" t="n"/>
      <c r="C494" s="103" t="n"/>
      <c r="D494" s="126" t="n"/>
      <c r="E494" s="126" t="n"/>
      <c r="F494" s="127">
        <f>IF(D494="","",MAX(D494-E494,0))</f>
        <v/>
      </c>
      <c r="G494" s="130">
        <f>IF(E494="","",E494*GeneratorRate)</f>
        <v/>
      </c>
      <c r="H494" s="130">
        <f>IF(F494="","",F494*GovernmentRate)</f>
        <v/>
      </c>
      <c r="I494" s="130">
        <f>IF(D494="","",G494+H494)</f>
        <v/>
      </c>
      <c r="J494" s="129">
        <f>IFERROR(I494/COUNTIFS('Client DB &amp; Bed Mgmt'!$A:$A,A494,'Client DB &amp; Bed Mgmt'!$B:$B,C494,'Client DB &amp; Bed Mgmt'!$D:$D,"&lt;&gt;"),0)</f>
        <v/>
      </c>
      <c r="K494" s="88" t="n"/>
      <c r="L494" s="88" t="n"/>
      <c r="M494" s="88">
        <f>COUNTIFS('Client DB &amp; Bed Mgmt'!$B:$B,L494,'Client DB &amp; Bed Mgmt'!$E:$E,"Occupied")</f>
        <v/>
      </c>
      <c r="N494" s="88" t="n"/>
      <c r="O494" s="88" t="n"/>
      <c r="P494" s="88" t="n"/>
      <c r="Q494" s="88" t="n"/>
      <c r="R494" s="88" t="n"/>
      <c r="S494" s="88" t="n"/>
      <c r="T494" s="88" t="n"/>
      <c r="U494" s="129" t="n"/>
      <c r="V494" s="129" t="n"/>
    </row>
    <row r="495" ht="14.25" customHeight="1" s="83">
      <c r="A495" s="103" t="n"/>
      <c r="B495" s="125" t="n"/>
      <c r="C495" s="103" t="n"/>
      <c r="D495" s="126" t="n"/>
      <c r="E495" s="126" t="n"/>
      <c r="F495" s="127">
        <f>IF(D495="","",MAX(D495-E495,0))</f>
        <v/>
      </c>
      <c r="G495" s="130">
        <f>IF(E495="","",E495*GeneratorRate)</f>
        <v/>
      </c>
      <c r="H495" s="130">
        <f>IF(F495="","",F495*GovernmentRate)</f>
        <v/>
      </c>
      <c r="I495" s="130">
        <f>IF(D495="","",G495+H495)</f>
        <v/>
      </c>
      <c r="J495" s="129">
        <f>IFERROR(I495/COUNTIFS('Client DB &amp; Bed Mgmt'!$A:$A,A495,'Client DB &amp; Bed Mgmt'!$B:$B,C495,'Client DB &amp; Bed Mgmt'!$D:$D,"&lt;&gt;"),0)</f>
        <v/>
      </c>
      <c r="K495" s="88" t="n"/>
      <c r="L495" s="88" t="n"/>
      <c r="M495" s="88">
        <f>COUNTIFS('Client DB &amp; Bed Mgmt'!$B:$B,L495,'Client DB &amp; Bed Mgmt'!$E:$E,"Occupied")</f>
        <v/>
      </c>
      <c r="N495" s="88" t="n"/>
      <c r="O495" s="88" t="n"/>
      <c r="P495" s="88" t="n"/>
      <c r="Q495" s="88" t="n"/>
      <c r="R495" s="88" t="n"/>
      <c r="S495" s="88" t="n"/>
      <c r="T495" s="88" t="n"/>
      <c r="U495" s="129" t="n"/>
      <c r="V495" s="129" t="n"/>
    </row>
    <row r="496" ht="14.25" customHeight="1" s="83">
      <c r="A496" s="103" t="n"/>
      <c r="B496" s="125" t="n"/>
      <c r="C496" s="103" t="n"/>
      <c r="D496" s="126" t="n"/>
      <c r="E496" s="126" t="n"/>
      <c r="F496" s="127">
        <f>IF(D496="","",MAX(D496-E496,0))</f>
        <v/>
      </c>
      <c r="G496" s="130">
        <f>IF(E496="","",E496*GeneratorRate)</f>
        <v/>
      </c>
      <c r="H496" s="130">
        <f>IF(F496="","",F496*GovernmentRate)</f>
        <v/>
      </c>
      <c r="I496" s="130">
        <f>IF(D496="","",G496+H496)</f>
        <v/>
      </c>
      <c r="J496" s="129">
        <f>IFERROR(I496/COUNTIFS('Client DB &amp; Bed Mgmt'!$A:$A,A496,'Client DB &amp; Bed Mgmt'!$B:$B,C496,'Client DB &amp; Bed Mgmt'!$D:$D,"&lt;&gt;"),0)</f>
        <v/>
      </c>
      <c r="K496" s="88" t="n"/>
      <c r="L496" s="88" t="n"/>
      <c r="M496" s="88">
        <f>COUNTIFS('Client DB &amp; Bed Mgmt'!$B:$B,L496,'Client DB &amp; Bed Mgmt'!$E:$E,"Occupied")</f>
        <v/>
      </c>
      <c r="N496" s="88" t="n"/>
      <c r="O496" s="88" t="n"/>
      <c r="P496" s="88" t="n"/>
      <c r="Q496" s="88" t="n"/>
      <c r="R496" s="88" t="n"/>
      <c r="S496" s="88" t="n"/>
      <c r="T496" s="88" t="n"/>
      <c r="U496" s="129" t="n"/>
      <c r="V496" s="129" t="n"/>
    </row>
    <row r="497" ht="14.25" customHeight="1" s="83">
      <c r="A497" s="103" t="n"/>
      <c r="B497" s="125" t="n"/>
      <c r="C497" s="103" t="n"/>
      <c r="D497" s="126" t="n"/>
      <c r="E497" s="126" t="n"/>
      <c r="F497" s="127">
        <f>IF(D497="","",MAX(D497-E497,0))</f>
        <v/>
      </c>
      <c r="G497" s="130">
        <f>IF(E497="","",E497*GeneratorRate)</f>
        <v/>
      </c>
      <c r="H497" s="130">
        <f>IF(F497="","",F497*GovernmentRate)</f>
        <v/>
      </c>
      <c r="I497" s="130">
        <f>IF(D497="","",G497+H497)</f>
        <v/>
      </c>
      <c r="J497" s="129">
        <f>IFERROR(I497/COUNTIFS('Client DB &amp; Bed Mgmt'!$A:$A,A497,'Client DB &amp; Bed Mgmt'!$B:$B,C497,'Client DB &amp; Bed Mgmt'!$D:$D,"&lt;&gt;"),0)</f>
        <v/>
      </c>
      <c r="K497" s="88" t="n"/>
      <c r="L497" s="88" t="n"/>
      <c r="M497" s="88">
        <f>COUNTIFS('Client DB &amp; Bed Mgmt'!$B:$B,L497,'Client DB &amp; Bed Mgmt'!$E:$E,"Occupied")</f>
        <v/>
      </c>
      <c r="N497" s="88" t="n"/>
      <c r="O497" s="88" t="n"/>
      <c r="P497" s="88" t="n"/>
      <c r="Q497" s="88" t="n"/>
      <c r="R497" s="88" t="n"/>
      <c r="S497" s="88" t="n"/>
      <c r="T497" s="88" t="n"/>
      <c r="U497" s="129" t="n"/>
      <c r="V497" s="129" t="n"/>
    </row>
    <row r="498" ht="14.25" customHeight="1" s="83">
      <c r="A498" s="103" t="n"/>
      <c r="B498" s="125" t="n"/>
      <c r="C498" s="103" t="n"/>
      <c r="D498" s="126" t="n"/>
      <c r="E498" s="126" t="n"/>
      <c r="F498" s="127">
        <f>IF(D498="","",MAX(D498-E498,0))</f>
        <v/>
      </c>
      <c r="G498" s="130">
        <f>IF(E498="","",E498*GeneratorRate)</f>
        <v/>
      </c>
      <c r="H498" s="130">
        <f>IF(F498="","",F498*GovernmentRate)</f>
        <v/>
      </c>
      <c r="I498" s="130">
        <f>IF(D498="","",G498+H498)</f>
        <v/>
      </c>
      <c r="J498" s="129">
        <f>IFERROR(I498/COUNTIFS('Client DB &amp; Bed Mgmt'!$A:$A,A498,'Client DB &amp; Bed Mgmt'!$B:$B,C498,'Client DB &amp; Bed Mgmt'!$D:$D,"&lt;&gt;"),0)</f>
        <v/>
      </c>
      <c r="K498" s="88" t="n"/>
      <c r="L498" s="88" t="n"/>
      <c r="M498" s="88">
        <f>COUNTIFS('Client DB &amp; Bed Mgmt'!$B:$B,L498,'Client DB &amp; Bed Mgmt'!$E:$E,"Occupied")</f>
        <v/>
      </c>
      <c r="N498" s="88" t="n"/>
      <c r="O498" s="88" t="n"/>
      <c r="P498" s="88" t="n"/>
      <c r="Q498" s="88" t="n"/>
      <c r="R498" s="88" t="n"/>
      <c r="S498" s="88" t="n"/>
      <c r="T498" s="88" t="n"/>
      <c r="U498" s="129" t="n"/>
      <c r="V498" s="129" t="n"/>
    </row>
    <row r="499" ht="14.25" customHeight="1" s="83">
      <c r="A499" s="103" t="n"/>
      <c r="B499" s="125" t="n"/>
      <c r="C499" s="103" t="n"/>
      <c r="D499" s="126" t="n"/>
      <c r="E499" s="126" t="n"/>
      <c r="F499" s="127">
        <f>IF(D499="","",MAX(D499-E499,0))</f>
        <v/>
      </c>
      <c r="G499" s="130">
        <f>IF(E499="","",E499*GeneratorRate)</f>
        <v/>
      </c>
      <c r="H499" s="130">
        <f>IF(F499="","",F499*GovernmentRate)</f>
        <v/>
      </c>
      <c r="I499" s="130">
        <f>IF(D499="","",G499+H499)</f>
        <v/>
      </c>
      <c r="J499" s="129">
        <f>IFERROR(I499/COUNTIFS('Client DB &amp; Bed Mgmt'!$A:$A,A499,'Client DB &amp; Bed Mgmt'!$B:$B,C499,'Client DB &amp; Bed Mgmt'!$D:$D,"&lt;&gt;"),0)</f>
        <v/>
      </c>
      <c r="K499" s="88" t="n"/>
      <c r="L499" s="88" t="n"/>
      <c r="M499" s="88">
        <f>COUNTIFS('Client DB &amp; Bed Mgmt'!$B:$B,L499,'Client DB &amp; Bed Mgmt'!$E:$E,"Occupied")</f>
        <v/>
      </c>
      <c r="N499" s="88" t="n"/>
      <c r="O499" s="88" t="n"/>
      <c r="P499" s="88" t="n"/>
      <c r="Q499" s="88" t="n"/>
      <c r="R499" s="88" t="n"/>
      <c r="S499" s="88" t="n"/>
      <c r="T499" s="88" t="n"/>
      <c r="U499" s="129" t="n"/>
      <c r="V499" s="129" t="n"/>
    </row>
    <row r="500" ht="14.25" customHeight="1" s="83">
      <c r="A500" s="103" t="n"/>
      <c r="B500" s="125" t="n"/>
      <c r="C500" s="103" t="n"/>
      <c r="D500" s="126" t="n"/>
      <c r="E500" s="126" t="n"/>
      <c r="F500" s="127">
        <f>IF(D500="","",MAX(D500-E500,0))</f>
        <v/>
      </c>
      <c r="G500" s="130">
        <f>IF(E500="","",E500*GeneratorRate)</f>
        <v/>
      </c>
      <c r="H500" s="130">
        <f>IF(F500="","",F500*GovernmentRate)</f>
        <v/>
      </c>
      <c r="I500" s="130">
        <f>IF(D500="","",G500+H500)</f>
        <v/>
      </c>
      <c r="J500" s="129">
        <f>IFERROR(I500/COUNTIFS('Client DB &amp; Bed Mgmt'!$A:$A,A500,'Client DB &amp; Bed Mgmt'!$B:$B,C500,'Client DB &amp; Bed Mgmt'!$D:$D,"&lt;&gt;"),0)</f>
        <v/>
      </c>
      <c r="K500" s="88" t="n"/>
      <c r="L500" s="88" t="n"/>
      <c r="M500" s="88">
        <f>COUNTIFS('Client DB &amp; Bed Mgmt'!$B:$B,L500,'Client DB &amp; Bed Mgmt'!$E:$E,"Occupied")</f>
        <v/>
      </c>
      <c r="N500" s="88" t="n"/>
      <c r="O500" s="88" t="n"/>
      <c r="P500" s="88" t="n"/>
      <c r="Q500" s="88" t="n"/>
      <c r="R500" s="88" t="n"/>
      <c r="S500" s="88" t="n"/>
      <c r="T500" s="88" t="n"/>
      <c r="U500" s="129" t="n"/>
      <c r="V500" s="129" t="n"/>
    </row>
    <row r="501" ht="14.25" customHeight="1" s="83">
      <c r="A501" s="103" t="n"/>
      <c r="B501" s="125" t="n"/>
      <c r="C501" s="103" t="n"/>
      <c r="D501" s="126" t="n"/>
      <c r="E501" s="126" t="n"/>
      <c r="F501" s="127">
        <f>IF(D501="","",MAX(D501-E501,0))</f>
        <v/>
      </c>
      <c r="G501" s="130">
        <f>IF(E501="","",E501*GeneratorRate)</f>
        <v/>
      </c>
      <c r="H501" s="130">
        <f>IF(F501="","",F501*GovernmentRate)</f>
        <v/>
      </c>
      <c r="I501" s="130">
        <f>IF(D501="","",G501+H501)</f>
        <v/>
      </c>
      <c r="J501" s="129">
        <f>IFERROR(I501/COUNTIFS('Client DB &amp; Bed Mgmt'!$A:$A,A501,'Client DB &amp; Bed Mgmt'!$B:$B,C501,'Client DB &amp; Bed Mgmt'!$D:$D,"&lt;&gt;"),0)</f>
        <v/>
      </c>
      <c r="K501" s="88" t="n"/>
      <c r="L501" s="88" t="n"/>
      <c r="M501" s="88">
        <f>COUNTIFS('Client DB &amp; Bed Mgmt'!$B:$B,L501,'Client DB &amp; Bed Mgmt'!$E:$E,"Occupied")</f>
        <v/>
      </c>
      <c r="N501" s="88" t="n"/>
      <c r="O501" s="88" t="n"/>
      <c r="P501" s="88" t="n"/>
      <c r="Q501" s="88" t="n"/>
      <c r="R501" s="88" t="n"/>
      <c r="S501" s="88" t="n"/>
      <c r="T501" s="88" t="n"/>
      <c r="U501" s="129" t="n"/>
      <c r="V501" s="129" t="n"/>
    </row>
    <row r="502" ht="14.25" customHeight="1" s="83">
      <c r="A502" s="103" t="n"/>
      <c r="B502" s="125" t="n"/>
      <c r="C502" s="103" t="n"/>
      <c r="D502" s="126" t="n"/>
      <c r="E502" s="126" t="n"/>
      <c r="F502" s="127">
        <f>IF(D502="","",MAX(D502-E502,0))</f>
        <v/>
      </c>
      <c r="G502" s="130">
        <f>IF(E502="","",E502*GeneratorRate)</f>
        <v/>
      </c>
      <c r="H502" s="130">
        <f>IF(F502="","",F502*GovernmentRate)</f>
        <v/>
      </c>
      <c r="I502" s="130">
        <f>IF(D502="","",G502+H502)</f>
        <v/>
      </c>
      <c r="J502" s="129">
        <f>IFERROR(I502/COUNTIFS('Client DB &amp; Bed Mgmt'!$A:$A,A502,'Client DB &amp; Bed Mgmt'!$B:$B,C502,'Client DB &amp; Bed Mgmt'!$D:$D,"&lt;&gt;"),0)</f>
        <v/>
      </c>
      <c r="K502" s="88" t="n"/>
      <c r="L502" s="88" t="n"/>
      <c r="M502" s="88">
        <f>COUNTIFS('Client DB &amp; Bed Mgmt'!$B:$B,L502,'Client DB &amp; Bed Mgmt'!$E:$E,"Occupied")</f>
        <v/>
      </c>
      <c r="N502" s="88" t="n"/>
      <c r="O502" s="88" t="n"/>
      <c r="P502" s="88" t="n"/>
      <c r="Q502" s="88" t="n"/>
      <c r="R502" s="88" t="n"/>
      <c r="S502" s="88" t="n"/>
      <c r="T502" s="88" t="n"/>
      <c r="U502" s="129" t="n"/>
      <c r="V502" s="129" t="n"/>
    </row>
    <row r="503" ht="14.25" customHeight="1" s="83">
      <c r="A503" s="103" t="n"/>
      <c r="B503" s="125" t="n"/>
      <c r="C503" s="103" t="n"/>
      <c r="D503" s="126" t="n"/>
      <c r="E503" s="126" t="n"/>
      <c r="F503" s="127">
        <f>IF(D503="","",MAX(D503-E503,0))</f>
        <v/>
      </c>
      <c r="G503" s="130">
        <f>IF(E503="","",E503*GeneratorRate)</f>
        <v/>
      </c>
      <c r="H503" s="130">
        <f>IF(F503="","",F503*GovernmentRate)</f>
        <v/>
      </c>
      <c r="I503" s="130">
        <f>IF(D503="","",G503+H503)</f>
        <v/>
      </c>
      <c r="J503" s="129">
        <f>IFERROR(I503/COUNTIFS('Client DB &amp; Bed Mgmt'!$A:$A,A503,'Client DB &amp; Bed Mgmt'!$B:$B,C503,'Client DB &amp; Bed Mgmt'!$D:$D,"&lt;&gt;"),0)</f>
        <v/>
      </c>
      <c r="K503" s="88" t="n"/>
      <c r="L503" s="88" t="n"/>
      <c r="M503" s="88">
        <f>COUNTIFS('Client DB &amp; Bed Mgmt'!$B:$B,L503,'Client DB &amp; Bed Mgmt'!$E:$E,"Occupied")</f>
        <v/>
      </c>
      <c r="N503" s="88" t="n"/>
      <c r="O503" s="88" t="n"/>
      <c r="P503" s="88" t="n"/>
      <c r="Q503" s="88" t="n"/>
      <c r="R503" s="88" t="n"/>
      <c r="S503" s="88" t="n"/>
      <c r="T503" s="88" t="n"/>
      <c r="U503" s="129" t="n"/>
      <c r="V503" s="129" t="n"/>
    </row>
    <row r="504" ht="14.25" customHeight="1" s="83">
      <c r="A504" s="103" t="n"/>
      <c r="B504" s="125" t="n"/>
      <c r="C504" s="103" t="n"/>
      <c r="D504" s="126" t="n"/>
      <c r="E504" s="126" t="n"/>
      <c r="F504" s="127">
        <f>IF(D504="","",MAX(D504-E504,0))</f>
        <v/>
      </c>
      <c r="G504" s="130">
        <f>IF(E504="","",E504*GeneratorRate)</f>
        <v/>
      </c>
      <c r="H504" s="130">
        <f>IF(F504="","",F504*GovernmentRate)</f>
        <v/>
      </c>
      <c r="I504" s="130">
        <f>IF(D504="","",G504+H504)</f>
        <v/>
      </c>
      <c r="J504" s="129">
        <f>IFERROR(I504/COUNTIFS('Client DB &amp; Bed Mgmt'!$A:$A,A504,'Client DB &amp; Bed Mgmt'!$B:$B,C504,'Client DB &amp; Bed Mgmt'!$D:$D,"&lt;&gt;"),0)</f>
        <v/>
      </c>
      <c r="K504" s="88" t="n"/>
      <c r="L504" s="88" t="n"/>
      <c r="M504" s="88">
        <f>COUNTIFS('Client DB &amp; Bed Mgmt'!$B:$B,L504,'Client DB &amp; Bed Mgmt'!$E:$E,"Occupied")</f>
        <v/>
      </c>
      <c r="N504" s="88" t="n"/>
      <c r="O504" s="88" t="n"/>
      <c r="P504" s="88" t="n"/>
      <c r="Q504" s="88" t="n"/>
      <c r="R504" s="88" t="n"/>
      <c r="S504" s="88" t="n"/>
      <c r="T504" s="88" t="n"/>
      <c r="U504" s="129" t="n"/>
      <c r="V504" s="129" t="n"/>
    </row>
    <row r="505" ht="14.25" customHeight="1" s="83">
      <c r="A505" s="103" t="n"/>
      <c r="B505" s="125" t="n"/>
      <c r="C505" s="103" t="n"/>
      <c r="D505" s="126" t="n"/>
      <c r="E505" s="126" t="n"/>
      <c r="F505" s="127">
        <f>IF(D505="","",MAX(D505-E505,0))</f>
        <v/>
      </c>
      <c r="G505" s="130">
        <f>IF(E505="","",E505*GeneratorRate)</f>
        <v/>
      </c>
      <c r="H505" s="130">
        <f>IF(F505="","",F505*GovernmentRate)</f>
        <v/>
      </c>
      <c r="I505" s="130">
        <f>IF(D505="","",G505+H505)</f>
        <v/>
      </c>
      <c r="J505" s="129">
        <f>IFERROR(I505/COUNTIFS('Client DB &amp; Bed Mgmt'!$A:$A,A505,'Client DB &amp; Bed Mgmt'!$B:$B,C505,'Client DB &amp; Bed Mgmt'!$D:$D,"&lt;&gt;"),0)</f>
        <v/>
      </c>
      <c r="K505" s="88" t="n"/>
      <c r="L505" s="88" t="n"/>
      <c r="M505" s="88">
        <f>COUNTIFS('Client DB &amp; Bed Mgmt'!$B:$B,L505,'Client DB &amp; Bed Mgmt'!$E:$E,"Occupied")</f>
        <v/>
      </c>
      <c r="N505" s="88" t="n"/>
      <c r="O505" s="88" t="n"/>
      <c r="P505" s="88" t="n"/>
      <c r="Q505" s="88" t="n"/>
      <c r="R505" s="88" t="n"/>
      <c r="S505" s="88" t="n"/>
      <c r="T505" s="88" t="n"/>
      <c r="U505" s="129" t="n"/>
      <c r="V505" s="129" t="n"/>
    </row>
    <row r="506" ht="14.25" customHeight="1" s="83">
      <c r="A506" s="103" t="n"/>
      <c r="B506" s="125" t="n"/>
      <c r="C506" s="103" t="n"/>
      <c r="D506" s="126" t="n"/>
      <c r="E506" s="126" t="n"/>
      <c r="F506" s="127">
        <f>IF(D506="","",MAX(D506-E506,0))</f>
        <v/>
      </c>
      <c r="G506" s="130">
        <f>IF(E506="","",E506*GeneratorRate)</f>
        <v/>
      </c>
      <c r="H506" s="130">
        <f>IF(F506="","",F506*GovernmentRate)</f>
        <v/>
      </c>
      <c r="I506" s="130">
        <f>IF(D506="","",G506+H506)</f>
        <v/>
      </c>
      <c r="J506" s="129">
        <f>IFERROR(I506/COUNTIFS('Client DB &amp; Bed Mgmt'!$A:$A,A506,'Client DB &amp; Bed Mgmt'!$B:$B,C506,'Client DB &amp; Bed Mgmt'!$D:$D,"&lt;&gt;"),0)</f>
        <v/>
      </c>
      <c r="K506" s="88" t="n"/>
      <c r="L506" s="88" t="n"/>
      <c r="M506" s="88">
        <f>COUNTIFS('Client DB &amp; Bed Mgmt'!$B:$B,L506,'Client DB &amp; Bed Mgmt'!$E:$E,"Occupied")</f>
        <v/>
      </c>
      <c r="N506" s="88" t="n"/>
      <c r="O506" s="88" t="n"/>
      <c r="P506" s="88" t="n"/>
      <c r="Q506" s="88" t="n"/>
      <c r="R506" s="88" t="n"/>
      <c r="S506" s="88" t="n"/>
      <c r="T506" s="88" t="n"/>
      <c r="U506" s="129" t="n"/>
      <c r="V506" s="129" t="n"/>
    </row>
    <row r="507" ht="14.25" customHeight="1" s="83">
      <c r="A507" s="103" t="n"/>
      <c r="B507" s="125" t="n"/>
      <c r="C507" s="103" t="n"/>
      <c r="D507" s="126" t="n"/>
      <c r="E507" s="126" t="n"/>
      <c r="F507" s="127">
        <f>IF(D507="","",MAX(D507-E507,0))</f>
        <v/>
      </c>
      <c r="G507" s="130">
        <f>IF(E507="","",E507*GeneratorRate)</f>
        <v/>
      </c>
      <c r="H507" s="130">
        <f>IF(F507="","",F507*GovernmentRate)</f>
        <v/>
      </c>
      <c r="I507" s="130">
        <f>IF(D507="","",G507+H507)</f>
        <v/>
      </c>
      <c r="J507" s="129">
        <f>IFERROR(I507/COUNTIFS('Client DB &amp; Bed Mgmt'!$A:$A,A507,'Client DB &amp; Bed Mgmt'!$B:$B,C507,'Client DB &amp; Bed Mgmt'!$D:$D,"&lt;&gt;"),0)</f>
        <v/>
      </c>
      <c r="K507" s="88" t="n"/>
      <c r="L507" s="88" t="n"/>
      <c r="M507" s="88">
        <f>COUNTIFS('Client DB &amp; Bed Mgmt'!$B:$B,L507,'Client DB &amp; Bed Mgmt'!$E:$E,"Occupied")</f>
        <v/>
      </c>
      <c r="N507" s="88" t="n"/>
      <c r="O507" s="88" t="n"/>
      <c r="P507" s="88" t="n"/>
      <c r="Q507" s="88" t="n"/>
      <c r="R507" s="88" t="n"/>
      <c r="S507" s="88" t="n"/>
      <c r="T507" s="88" t="n"/>
      <c r="U507" s="129" t="n"/>
      <c r="V507" s="129" t="n"/>
    </row>
    <row r="508" ht="14.25" customHeight="1" s="83">
      <c r="A508" s="103" t="n"/>
      <c r="B508" s="125" t="n"/>
      <c r="C508" s="103" t="n"/>
      <c r="D508" s="126" t="n"/>
      <c r="E508" s="126" t="n"/>
      <c r="F508" s="127">
        <f>IF(D508="","",MAX(D508-E508,0))</f>
        <v/>
      </c>
      <c r="G508" s="130">
        <f>IF(E508="","",E508*GeneratorRate)</f>
        <v/>
      </c>
      <c r="H508" s="130">
        <f>IF(F508="","",F508*GovernmentRate)</f>
        <v/>
      </c>
      <c r="I508" s="130">
        <f>IF(D508="","",G508+H508)</f>
        <v/>
      </c>
      <c r="J508" s="129">
        <f>IFERROR(I508/COUNTIFS('Client DB &amp; Bed Mgmt'!$A:$A,A508,'Client DB &amp; Bed Mgmt'!$B:$B,C508,'Client DB &amp; Bed Mgmt'!$D:$D,"&lt;&gt;"),0)</f>
        <v/>
      </c>
      <c r="K508" s="88" t="n"/>
      <c r="L508" s="88" t="n"/>
      <c r="M508" s="88">
        <f>COUNTIFS('Client DB &amp; Bed Mgmt'!$B:$B,L508,'Client DB &amp; Bed Mgmt'!$E:$E,"Occupied")</f>
        <v/>
      </c>
      <c r="N508" s="88" t="n"/>
      <c r="O508" s="88" t="n"/>
      <c r="P508" s="88" t="n"/>
      <c r="Q508" s="88" t="n"/>
      <c r="R508" s="88" t="n"/>
      <c r="S508" s="88" t="n"/>
      <c r="T508" s="88" t="n"/>
      <c r="U508" s="129" t="n"/>
      <c r="V508" s="129" t="n"/>
    </row>
    <row r="509" ht="14.25" customHeight="1" s="83">
      <c r="A509" s="103" t="n"/>
      <c r="B509" s="125" t="n"/>
      <c r="C509" s="103" t="n"/>
      <c r="D509" s="126" t="n"/>
      <c r="E509" s="126" t="n"/>
      <c r="F509" s="127">
        <f>IF(D509="","",MAX(D509-E509,0))</f>
        <v/>
      </c>
      <c r="G509" s="130">
        <f>IF(E509="","",E509*GeneratorRate)</f>
        <v/>
      </c>
      <c r="H509" s="130">
        <f>IF(F509="","",F509*GovernmentRate)</f>
        <v/>
      </c>
      <c r="I509" s="130">
        <f>IF(D509="","",G509+H509)</f>
        <v/>
      </c>
      <c r="J509" s="129">
        <f>IFERROR(I509/COUNTIFS('Client DB &amp; Bed Mgmt'!$A:$A,A509,'Client DB &amp; Bed Mgmt'!$B:$B,C509,'Client DB &amp; Bed Mgmt'!$D:$D,"&lt;&gt;"),0)</f>
        <v/>
      </c>
      <c r="K509" s="88" t="n"/>
      <c r="L509" s="88" t="n"/>
      <c r="M509" s="88">
        <f>COUNTIFS('Client DB &amp; Bed Mgmt'!$B:$B,L509,'Client DB &amp; Bed Mgmt'!$E:$E,"Occupied")</f>
        <v/>
      </c>
      <c r="N509" s="88" t="n"/>
      <c r="O509" s="88" t="n"/>
      <c r="P509" s="88" t="n"/>
      <c r="Q509" s="88" t="n"/>
      <c r="R509" s="88" t="n"/>
      <c r="S509" s="88" t="n"/>
      <c r="T509" s="88" t="n"/>
      <c r="U509" s="129" t="n"/>
      <c r="V509" s="129" t="n"/>
    </row>
    <row r="510" ht="14.25" customHeight="1" s="83">
      <c r="A510" s="103" t="n"/>
      <c r="B510" s="125" t="n"/>
      <c r="C510" s="103" t="n"/>
      <c r="D510" s="126" t="n"/>
      <c r="E510" s="126" t="n"/>
      <c r="F510" s="127">
        <f>IF(D510="","",MAX(D510-E510,0))</f>
        <v/>
      </c>
      <c r="G510" s="130">
        <f>IF(E510="","",E510*GeneratorRate)</f>
        <v/>
      </c>
      <c r="H510" s="130">
        <f>IF(F510="","",F510*GovernmentRate)</f>
        <v/>
      </c>
      <c r="I510" s="130">
        <f>IF(D510="","",G510+H510)</f>
        <v/>
      </c>
      <c r="J510" s="129">
        <f>IFERROR(I510/COUNTIFS('Client DB &amp; Bed Mgmt'!$A:$A,A510,'Client DB &amp; Bed Mgmt'!$B:$B,C510,'Client DB &amp; Bed Mgmt'!$D:$D,"&lt;&gt;"),0)</f>
        <v/>
      </c>
      <c r="K510" s="88" t="n"/>
      <c r="L510" s="88" t="n"/>
      <c r="M510" s="88">
        <f>COUNTIFS('Client DB &amp; Bed Mgmt'!$B:$B,L510,'Client DB &amp; Bed Mgmt'!$E:$E,"Occupied")</f>
        <v/>
      </c>
      <c r="N510" s="88" t="n"/>
      <c r="O510" s="88" t="n"/>
      <c r="P510" s="88" t="n"/>
      <c r="Q510" s="88" t="n"/>
      <c r="R510" s="88" t="n"/>
      <c r="S510" s="88" t="n"/>
      <c r="T510" s="88" t="n"/>
      <c r="U510" s="129" t="n"/>
      <c r="V510" s="129" t="n"/>
    </row>
    <row r="511" ht="14.25" customHeight="1" s="83">
      <c r="A511" s="103" t="n"/>
      <c r="B511" s="125" t="n"/>
      <c r="C511" s="103" t="n"/>
      <c r="D511" s="126" t="n"/>
      <c r="E511" s="126" t="n"/>
      <c r="F511" s="127">
        <f>IF(D511="","",MAX(D511-E511,0))</f>
        <v/>
      </c>
      <c r="G511" s="130">
        <f>IF(E511="","",E511*GeneratorRate)</f>
        <v/>
      </c>
      <c r="H511" s="130">
        <f>IF(F511="","",F511*GovernmentRate)</f>
        <v/>
      </c>
      <c r="I511" s="130">
        <f>IF(D511="","",G511+H511)</f>
        <v/>
      </c>
      <c r="J511" s="129">
        <f>IFERROR(I511/COUNTIFS('Client DB &amp; Bed Mgmt'!$A:$A,A511,'Client DB &amp; Bed Mgmt'!$B:$B,C511,'Client DB &amp; Bed Mgmt'!$D:$D,"&lt;&gt;"),0)</f>
        <v/>
      </c>
      <c r="K511" s="88" t="n"/>
      <c r="L511" s="88" t="n"/>
      <c r="M511" s="88">
        <f>COUNTIFS('Client DB &amp; Bed Mgmt'!$B:$B,L511,'Client DB &amp; Bed Mgmt'!$E:$E,"Occupied")</f>
        <v/>
      </c>
      <c r="N511" s="88" t="n"/>
      <c r="O511" s="88" t="n"/>
      <c r="P511" s="88" t="n"/>
      <c r="Q511" s="88" t="n"/>
      <c r="R511" s="88" t="n"/>
      <c r="S511" s="88" t="n"/>
      <c r="T511" s="88" t="n"/>
      <c r="U511" s="129" t="n"/>
      <c r="V511" s="129" t="n"/>
    </row>
    <row r="512" ht="14.25" customHeight="1" s="83">
      <c r="A512" s="103" t="n"/>
      <c r="B512" s="125" t="n"/>
      <c r="C512" s="103" t="n"/>
      <c r="D512" s="126" t="n"/>
      <c r="E512" s="126" t="n"/>
      <c r="F512" s="127">
        <f>IF(D512="","",MAX(D512-E512,0))</f>
        <v/>
      </c>
      <c r="G512" s="130">
        <f>IF(E512="","",E512*GeneratorRate)</f>
        <v/>
      </c>
      <c r="H512" s="130">
        <f>IF(F512="","",F512*GovernmentRate)</f>
        <v/>
      </c>
      <c r="I512" s="130">
        <f>IF(D512="","",G512+H512)</f>
        <v/>
      </c>
      <c r="J512" s="129">
        <f>IFERROR(I512/COUNTIFS('Client DB &amp; Bed Mgmt'!$A:$A,A512,'Client DB &amp; Bed Mgmt'!$B:$B,C512,'Client DB &amp; Bed Mgmt'!$D:$D,"&lt;&gt;"),0)</f>
        <v/>
      </c>
      <c r="K512" s="88" t="n"/>
      <c r="L512" s="88" t="n"/>
      <c r="M512" s="88">
        <f>COUNTIFS('Client DB &amp; Bed Mgmt'!$B:$B,L512,'Client DB &amp; Bed Mgmt'!$E:$E,"Occupied")</f>
        <v/>
      </c>
      <c r="N512" s="88" t="n"/>
      <c r="O512" s="88" t="n"/>
      <c r="P512" s="88" t="n"/>
      <c r="Q512" s="88" t="n"/>
      <c r="R512" s="88" t="n"/>
      <c r="S512" s="88" t="n"/>
      <c r="T512" s="88" t="n"/>
      <c r="U512" s="129" t="n"/>
      <c r="V512" s="129" t="n"/>
    </row>
    <row r="513" ht="14.25" customHeight="1" s="83">
      <c r="A513" s="103" t="n"/>
      <c r="B513" s="125" t="n"/>
      <c r="C513" s="103" t="n"/>
      <c r="D513" s="126" t="n"/>
      <c r="E513" s="126" t="n"/>
      <c r="F513" s="127">
        <f>IF(D513="","",MAX(D513-E513,0))</f>
        <v/>
      </c>
      <c r="G513" s="130">
        <f>IF(E513="","",E513*GeneratorRate)</f>
        <v/>
      </c>
      <c r="H513" s="130">
        <f>IF(F513="","",F513*GovernmentRate)</f>
        <v/>
      </c>
      <c r="I513" s="130">
        <f>IF(D513="","",G513+H513)</f>
        <v/>
      </c>
      <c r="J513" s="129">
        <f>IFERROR(I513/COUNTIFS('Client DB &amp; Bed Mgmt'!$A:$A,A513,'Client DB &amp; Bed Mgmt'!$B:$B,C513,'Client DB &amp; Bed Mgmt'!$D:$D,"&lt;&gt;"),0)</f>
        <v/>
      </c>
      <c r="K513" s="88" t="n"/>
      <c r="L513" s="88" t="n"/>
      <c r="M513" s="88">
        <f>COUNTIFS('Client DB &amp; Bed Mgmt'!$B:$B,L513,'Client DB &amp; Bed Mgmt'!$E:$E,"Occupied")</f>
        <v/>
      </c>
      <c r="N513" s="88" t="n"/>
      <c r="O513" s="88" t="n"/>
      <c r="P513" s="88" t="n"/>
      <c r="Q513" s="88" t="n"/>
      <c r="R513" s="88" t="n"/>
      <c r="S513" s="88" t="n"/>
      <c r="T513" s="88" t="n"/>
      <c r="U513" s="129" t="n"/>
      <c r="V513" s="129" t="n"/>
    </row>
    <row r="514" ht="14.25" customHeight="1" s="83">
      <c r="A514" s="103" t="n"/>
      <c r="B514" s="125" t="n"/>
      <c r="C514" s="103" t="n"/>
      <c r="D514" s="126" t="n"/>
      <c r="E514" s="126" t="n"/>
      <c r="F514" s="127">
        <f>IF(D514="","",MAX(D514-E514,0))</f>
        <v/>
      </c>
      <c r="G514" s="130">
        <f>IF(E514="","",E514*GeneratorRate)</f>
        <v/>
      </c>
      <c r="H514" s="130">
        <f>IF(F514="","",F514*GovernmentRate)</f>
        <v/>
      </c>
      <c r="I514" s="130">
        <f>IF(D514="","",G514+H514)</f>
        <v/>
      </c>
      <c r="J514" s="129">
        <f>IFERROR(I514/COUNTIFS('Client DB &amp; Bed Mgmt'!$A:$A,A514,'Client DB &amp; Bed Mgmt'!$B:$B,C514,'Client DB &amp; Bed Mgmt'!$D:$D,"&lt;&gt;"),0)</f>
        <v/>
      </c>
      <c r="K514" s="88" t="n"/>
      <c r="L514" s="88" t="n"/>
      <c r="M514" s="88">
        <f>COUNTIFS('Client DB &amp; Bed Mgmt'!$B:$B,L514,'Client DB &amp; Bed Mgmt'!$E:$E,"Occupied")</f>
        <v/>
      </c>
      <c r="N514" s="88" t="n"/>
      <c r="O514" s="88" t="n"/>
      <c r="P514" s="88" t="n"/>
      <c r="Q514" s="88" t="n"/>
      <c r="R514" s="88" t="n"/>
      <c r="S514" s="88" t="n"/>
      <c r="T514" s="88" t="n"/>
      <c r="U514" s="129" t="n"/>
      <c r="V514" s="129" t="n"/>
    </row>
    <row r="515" ht="14.25" customHeight="1" s="83">
      <c r="A515" s="103" t="n"/>
      <c r="B515" s="125" t="n"/>
      <c r="C515" s="103" t="n"/>
      <c r="D515" s="126" t="n"/>
      <c r="E515" s="126" t="n"/>
      <c r="F515" s="127">
        <f>IF(D515="","",MAX(D515-E515,0))</f>
        <v/>
      </c>
      <c r="G515" s="130">
        <f>IF(E515="","",E515*GeneratorRate)</f>
        <v/>
      </c>
      <c r="H515" s="130">
        <f>IF(F515="","",F515*GovernmentRate)</f>
        <v/>
      </c>
      <c r="I515" s="130">
        <f>IF(D515="","",G515+H515)</f>
        <v/>
      </c>
      <c r="J515" s="129">
        <f>IFERROR(I515/COUNTIFS('Client DB &amp; Bed Mgmt'!$A:$A,A515,'Client DB &amp; Bed Mgmt'!$B:$B,C515,'Client DB &amp; Bed Mgmt'!$D:$D,"&lt;&gt;"),0)</f>
        <v/>
      </c>
      <c r="K515" s="88" t="n"/>
      <c r="L515" s="88" t="n"/>
      <c r="M515" s="88">
        <f>COUNTIFS('Client DB &amp; Bed Mgmt'!$B:$B,L515,'Client DB &amp; Bed Mgmt'!$E:$E,"Occupied")</f>
        <v/>
      </c>
      <c r="N515" s="88" t="n"/>
      <c r="O515" s="88" t="n"/>
      <c r="P515" s="88" t="n"/>
      <c r="Q515" s="88" t="n"/>
      <c r="R515" s="88" t="n"/>
      <c r="S515" s="88" t="n"/>
      <c r="T515" s="88" t="n"/>
      <c r="U515" s="129" t="n"/>
      <c r="V515" s="129" t="n"/>
    </row>
    <row r="516" ht="14.25" customHeight="1" s="83">
      <c r="A516" s="103" t="n"/>
      <c r="B516" s="125" t="n"/>
      <c r="C516" s="103" t="n"/>
      <c r="D516" s="126" t="n"/>
      <c r="E516" s="126" t="n"/>
      <c r="F516" s="127">
        <f>IF(D516="","",MAX(D516-E516,0))</f>
        <v/>
      </c>
      <c r="G516" s="130">
        <f>IF(E516="","",E516*GeneratorRate)</f>
        <v/>
      </c>
      <c r="H516" s="130">
        <f>IF(F516="","",F516*GovernmentRate)</f>
        <v/>
      </c>
      <c r="I516" s="130">
        <f>IF(D516="","",G516+H516)</f>
        <v/>
      </c>
      <c r="J516" s="129">
        <f>IFERROR(I516/COUNTIFS('Client DB &amp; Bed Mgmt'!$A:$A,A516,'Client DB &amp; Bed Mgmt'!$B:$B,C516,'Client DB &amp; Bed Mgmt'!$D:$D,"&lt;&gt;"),0)</f>
        <v/>
      </c>
      <c r="K516" s="88" t="n"/>
      <c r="L516" s="88" t="n"/>
      <c r="M516" s="88">
        <f>COUNTIFS('Client DB &amp; Bed Mgmt'!$B:$B,L516,'Client DB &amp; Bed Mgmt'!$E:$E,"Occupied")</f>
        <v/>
      </c>
      <c r="N516" s="88" t="n"/>
      <c r="O516" s="88" t="n"/>
      <c r="P516" s="88" t="n"/>
      <c r="Q516" s="88" t="n"/>
      <c r="R516" s="88" t="n"/>
      <c r="S516" s="88" t="n"/>
      <c r="T516" s="88" t="n"/>
      <c r="U516" s="129" t="n"/>
      <c r="V516" s="129" t="n"/>
    </row>
    <row r="517" ht="14.25" customHeight="1" s="83">
      <c r="A517" s="103" t="n"/>
      <c r="B517" s="125" t="n"/>
      <c r="C517" s="103" t="n"/>
      <c r="D517" s="126" t="n"/>
      <c r="E517" s="126" t="n"/>
      <c r="F517" s="127">
        <f>IF(D517="","",MAX(D517-E517,0))</f>
        <v/>
      </c>
      <c r="G517" s="130">
        <f>IF(E517="","",E517*GeneratorRate)</f>
        <v/>
      </c>
      <c r="H517" s="130">
        <f>IF(F517="","",F517*GovernmentRate)</f>
        <v/>
      </c>
      <c r="I517" s="130">
        <f>IF(D517="","",G517+H517)</f>
        <v/>
      </c>
      <c r="J517" s="129">
        <f>IFERROR(I517/COUNTIFS('Client DB &amp; Bed Mgmt'!$A:$A,A517,'Client DB &amp; Bed Mgmt'!$B:$B,C517,'Client DB &amp; Bed Mgmt'!$D:$D,"&lt;&gt;"),0)</f>
        <v/>
      </c>
      <c r="K517" s="88" t="n"/>
      <c r="L517" s="88" t="n"/>
      <c r="M517" s="88">
        <f>COUNTIFS('Client DB &amp; Bed Mgmt'!$B:$B,L517,'Client DB &amp; Bed Mgmt'!$E:$E,"Occupied")</f>
        <v/>
      </c>
      <c r="N517" s="88" t="n"/>
      <c r="O517" s="88" t="n"/>
      <c r="P517" s="88" t="n"/>
      <c r="Q517" s="88" t="n"/>
      <c r="R517" s="88" t="n"/>
      <c r="S517" s="88" t="n"/>
      <c r="T517" s="88" t="n"/>
      <c r="U517" s="129" t="n"/>
      <c r="V517" s="129" t="n"/>
    </row>
    <row r="518" ht="14.25" customHeight="1" s="83">
      <c r="A518" s="103" t="n"/>
      <c r="B518" s="125" t="n"/>
      <c r="C518" s="103" t="n"/>
      <c r="D518" s="126" t="n"/>
      <c r="E518" s="126" t="n"/>
      <c r="F518" s="127">
        <f>IF(D518="","",MAX(D518-E518,0))</f>
        <v/>
      </c>
      <c r="G518" s="130">
        <f>IF(E518="","",E518*GeneratorRate)</f>
        <v/>
      </c>
      <c r="H518" s="130">
        <f>IF(F518="","",F518*GovernmentRate)</f>
        <v/>
      </c>
      <c r="I518" s="130">
        <f>IF(D518="","",G518+H518)</f>
        <v/>
      </c>
      <c r="J518" s="129">
        <f>IFERROR(I518/COUNTIFS('Client DB &amp; Bed Mgmt'!$A:$A,A518,'Client DB &amp; Bed Mgmt'!$B:$B,C518,'Client DB &amp; Bed Mgmt'!$D:$D,"&lt;&gt;"),0)</f>
        <v/>
      </c>
      <c r="K518" s="88" t="n"/>
      <c r="L518" s="88" t="n"/>
      <c r="M518" s="88">
        <f>COUNTIFS('Client DB &amp; Bed Mgmt'!$B:$B,L518,'Client DB &amp; Bed Mgmt'!$E:$E,"Occupied")</f>
        <v/>
      </c>
      <c r="N518" s="88" t="n"/>
      <c r="O518" s="88" t="n"/>
      <c r="P518" s="88" t="n"/>
      <c r="Q518" s="88" t="n"/>
      <c r="R518" s="88" t="n"/>
      <c r="S518" s="88" t="n"/>
      <c r="T518" s="88" t="n"/>
      <c r="U518" s="129" t="n"/>
      <c r="V518" s="129" t="n"/>
    </row>
    <row r="519" ht="14.25" customHeight="1" s="83">
      <c r="A519" s="103" t="n"/>
      <c r="B519" s="125" t="n"/>
      <c r="C519" s="103" t="n"/>
      <c r="D519" s="126" t="n"/>
      <c r="E519" s="126" t="n"/>
      <c r="F519" s="127">
        <f>IF(D519="","",MAX(D519-E519,0))</f>
        <v/>
      </c>
      <c r="G519" s="130">
        <f>IF(E519="","",E519*GeneratorRate)</f>
        <v/>
      </c>
      <c r="H519" s="130">
        <f>IF(F519="","",F519*GovernmentRate)</f>
        <v/>
      </c>
      <c r="I519" s="130">
        <f>IF(D519="","",G519+H519)</f>
        <v/>
      </c>
      <c r="J519" s="129">
        <f>IFERROR(I519/COUNTIFS('Client DB &amp; Bed Mgmt'!$A:$A,A519,'Client DB &amp; Bed Mgmt'!$B:$B,C519,'Client DB &amp; Bed Mgmt'!$D:$D,"&lt;&gt;"),0)</f>
        <v/>
      </c>
      <c r="K519" s="88" t="n"/>
      <c r="L519" s="88" t="n"/>
      <c r="M519" s="88">
        <f>COUNTIFS('Client DB &amp; Bed Mgmt'!$B:$B,L519,'Client DB &amp; Bed Mgmt'!$E:$E,"Occupied")</f>
        <v/>
      </c>
      <c r="N519" s="88" t="n"/>
      <c r="O519" s="88" t="n"/>
      <c r="P519" s="88" t="n"/>
      <c r="Q519" s="88" t="n"/>
      <c r="R519" s="88" t="n"/>
      <c r="S519" s="88" t="n"/>
      <c r="T519" s="88" t="n"/>
      <c r="U519" s="129" t="n"/>
      <c r="V519" s="129" t="n"/>
    </row>
    <row r="520" ht="14.25" customHeight="1" s="83">
      <c r="A520" s="103" t="n"/>
      <c r="B520" s="125" t="n"/>
      <c r="C520" s="103" t="n"/>
      <c r="D520" s="126" t="n"/>
      <c r="E520" s="126" t="n"/>
      <c r="F520" s="127">
        <f>IF(D520="","",MAX(D520-E520,0))</f>
        <v/>
      </c>
      <c r="G520" s="130">
        <f>IF(E520="","",E520*GeneratorRate)</f>
        <v/>
      </c>
      <c r="H520" s="130">
        <f>IF(F520="","",F520*GovernmentRate)</f>
        <v/>
      </c>
      <c r="I520" s="130">
        <f>IF(D520="","",G520+H520)</f>
        <v/>
      </c>
      <c r="J520" s="129">
        <f>IFERROR(I520/COUNTIFS('Client DB &amp; Bed Mgmt'!$A:$A,A520,'Client DB &amp; Bed Mgmt'!$B:$B,C520,'Client DB &amp; Bed Mgmt'!$D:$D,"&lt;&gt;"),0)</f>
        <v/>
      </c>
      <c r="K520" s="88" t="n"/>
      <c r="L520" s="88" t="n"/>
      <c r="M520" s="88">
        <f>COUNTIFS('Client DB &amp; Bed Mgmt'!$B:$B,L520,'Client DB &amp; Bed Mgmt'!$E:$E,"Occupied")</f>
        <v/>
      </c>
      <c r="N520" s="88" t="n"/>
      <c r="O520" s="88" t="n"/>
      <c r="P520" s="88" t="n"/>
      <c r="Q520" s="88" t="n"/>
      <c r="R520" s="88" t="n"/>
      <c r="S520" s="88" t="n"/>
      <c r="T520" s="88" t="n"/>
      <c r="U520" s="129" t="n"/>
      <c r="V520" s="129" t="n"/>
    </row>
    <row r="521" ht="14.25" customHeight="1" s="83">
      <c r="A521" s="103" t="n"/>
      <c r="B521" s="125" t="n"/>
      <c r="C521" s="103" t="n"/>
      <c r="D521" s="126" t="n"/>
      <c r="E521" s="126" t="n"/>
      <c r="F521" s="127">
        <f>IF(D521="","",MAX(D521-E521,0))</f>
        <v/>
      </c>
      <c r="G521" s="130">
        <f>IF(E521="","",E521*GeneratorRate)</f>
        <v/>
      </c>
      <c r="H521" s="130">
        <f>IF(F521="","",F521*GovernmentRate)</f>
        <v/>
      </c>
      <c r="I521" s="130">
        <f>IF(D521="","",G521+H521)</f>
        <v/>
      </c>
      <c r="J521" s="129">
        <f>IFERROR(I521/COUNTIFS('Client DB &amp; Bed Mgmt'!$A:$A,A521,'Client DB &amp; Bed Mgmt'!$B:$B,C521,'Client DB &amp; Bed Mgmt'!$D:$D,"&lt;&gt;"),0)</f>
        <v/>
      </c>
      <c r="K521" s="88" t="n"/>
      <c r="L521" s="88" t="n"/>
      <c r="M521" s="88">
        <f>COUNTIFS('Client DB &amp; Bed Mgmt'!$B:$B,L521,'Client DB &amp; Bed Mgmt'!$E:$E,"Occupied")</f>
        <v/>
      </c>
      <c r="N521" s="88" t="n"/>
      <c r="O521" s="88" t="n"/>
      <c r="P521" s="88" t="n"/>
      <c r="Q521" s="88" t="n"/>
      <c r="R521" s="88" t="n"/>
      <c r="S521" s="88" t="n"/>
      <c r="T521" s="88" t="n"/>
      <c r="U521" s="129" t="n"/>
      <c r="V521" s="129" t="n"/>
    </row>
    <row r="522" ht="14.25" customHeight="1" s="83">
      <c r="A522" s="103" t="n"/>
      <c r="B522" s="125" t="n"/>
      <c r="C522" s="103" t="n"/>
      <c r="D522" s="126" t="n"/>
      <c r="E522" s="126" t="n"/>
      <c r="F522" s="127">
        <f>IF(D522="","",MAX(D522-E522,0))</f>
        <v/>
      </c>
      <c r="G522" s="130">
        <f>IF(E522="","",E522*GeneratorRate)</f>
        <v/>
      </c>
      <c r="H522" s="130">
        <f>IF(F522="","",F522*GovernmentRate)</f>
        <v/>
      </c>
      <c r="I522" s="130">
        <f>IF(D522="","",G522+H522)</f>
        <v/>
      </c>
      <c r="J522" s="129">
        <f>IFERROR(I522/COUNTIFS('Client DB &amp; Bed Mgmt'!$A:$A,A522,'Client DB &amp; Bed Mgmt'!$B:$B,C522,'Client DB &amp; Bed Mgmt'!$D:$D,"&lt;&gt;"),0)</f>
        <v/>
      </c>
      <c r="K522" s="88" t="n"/>
      <c r="L522" s="88" t="n"/>
      <c r="M522" s="88">
        <f>COUNTIFS('Client DB &amp; Bed Mgmt'!$B:$B,L522,'Client DB &amp; Bed Mgmt'!$E:$E,"Occupied")</f>
        <v/>
      </c>
      <c r="N522" s="88" t="n"/>
      <c r="O522" s="88" t="n"/>
      <c r="P522" s="88" t="n"/>
      <c r="Q522" s="88" t="n"/>
      <c r="R522" s="88" t="n"/>
      <c r="S522" s="88" t="n"/>
      <c r="T522" s="88" t="n"/>
      <c r="U522" s="129" t="n"/>
      <c r="V522" s="129" t="n"/>
    </row>
    <row r="523" ht="14.25" customHeight="1" s="83">
      <c r="A523" s="103" t="n"/>
      <c r="B523" s="125" t="n"/>
      <c r="C523" s="103" t="n"/>
      <c r="D523" s="126" t="n"/>
      <c r="E523" s="126" t="n"/>
      <c r="F523" s="127">
        <f>IF(D523="","",MAX(D523-E523,0))</f>
        <v/>
      </c>
      <c r="G523" s="130">
        <f>IF(E523="","",E523*GeneratorRate)</f>
        <v/>
      </c>
      <c r="H523" s="130">
        <f>IF(F523="","",F523*GovernmentRate)</f>
        <v/>
      </c>
      <c r="I523" s="130">
        <f>IF(D523="","",G523+H523)</f>
        <v/>
      </c>
      <c r="J523" s="129">
        <f>IFERROR(I523/COUNTIFS('Client DB &amp; Bed Mgmt'!$A:$A,A523,'Client DB &amp; Bed Mgmt'!$B:$B,C523,'Client DB &amp; Bed Mgmt'!$D:$D,"&lt;&gt;"),0)</f>
        <v/>
      </c>
      <c r="K523" s="88" t="n"/>
      <c r="L523" s="88" t="n"/>
      <c r="M523" s="88">
        <f>COUNTIFS('Client DB &amp; Bed Mgmt'!$B:$B,L523,'Client DB &amp; Bed Mgmt'!$E:$E,"Occupied")</f>
        <v/>
      </c>
      <c r="N523" s="88" t="n"/>
      <c r="O523" s="88" t="n"/>
      <c r="P523" s="88" t="n"/>
      <c r="Q523" s="88" t="n"/>
      <c r="R523" s="88" t="n"/>
      <c r="S523" s="88" t="n"/>
      <c r="T523" s="88" t="n"/>
      <c r="U523" s="129" t="n"/>
      <c r="V523" s="129" t="n"/>
    </row>
    <row r="524" ht="14.25" customHeight="1" s="83">
      <c r="A524" s="103" t="n"/>
      <c r="B524" s="125" t="n"/>
      <c r="C524" s="103" t="n"/>
      <c r="D524" s="126" t="n"/>
      <c r="E524" s="126" t="n"/>
      <c r="F524" s="127">
        <f>IF(D524="","",MAX(D524-E524,0))</f>
        <v/>
      </c>
      <c r="G524" s="130">
        <f>IF(E524="","",E524*GeneratorRate)</f>
        <v/>
      </c>
      <c r="H524" s="130">
        <f>IF(F524="","",F524*GovernmentRate)</f>
        <v/>
      </c>
      <c r="I524" s="130">
        <f>IF(D524="","",G524+H524)</f>
        <v/>
      </c>
      <c r="J524" s="129">
        <f>IFERROR(I524/COUNTIFS('Client DB &amp; Bed Mgmt'!$A:$A,A524,'Client DB &amp; Bed Mgmt'!$B:$B,C524,'Client DB &amp; Bed Mgmt'!$D:$D,"&lt;&gt;"),0)</f>
        <v/>
      </c>
      <c r="K524" s="88" t="n"/>
      <c r="L524" s="88" t="n"/>
      <c r="M524" s="88">
        <f>COUNTIFS('Client DB &amp; Bed Mgmt'!$B:$B,L524,'Client DB &amp; Bed Mgmt'!$E:$E,"Occupied")</f>
        <v/>
      </c>
      <c r="N524" s="88" t="n"/>
      <c r="O524" s="88" t="n"/>
      <c r="P524" s="88" t="n"/>
      <c r="Q524" s="88" t="n"/>
      <c r="R524" s="88" t="n"/>
      <c r="S524" s="88" t="n"/>
      <c r="T524" s="88" t="n"/>
      <c r="U524" s="129" t="n"/>
      <c r="V524" s="129" t="n"/>
    </row>
    <row r="525" ht="14.25" customHeight="1" s="83">
      <c r="A525" s="103" t="n"/>
      <c r="B525" s="125" t="n"/>
      <c r="C525" s="103" t="n"/>
      <c r="D525" s="126" t="n"/>
      <c r="E525" s="126" t="n"/>
      <c r="F525" s="127">
        <f>IF(D525="","",MAX(D525-E525,0))</f>
        <v/>
      </c>
      <c r="G525" s="130">
        <f>IF(E525="","",E525*GeneratorRate)</f>
        <v/>
      </c>
      <c r="H525" s="130">
        <f>IF(F525="","",F525*GovernmentRate)</f>
        <v/>
      </c>
      <c r="I525" s="130">
        <f>IF(D525="","",G525+H525)</f>
        <v/>
      </c>
      <c r="J525" s="129">
        <f>IFERROR(I525/COUNTIFS('Client DB &amp; Bed Mgmt'!$A:$A,A525,'Client DB &amp; Bed Mgmt'!$B:$B,C525,'Client DB &amp; Bed Mgmt'!$D:$D,"&lt;&gt;"),0)</f>
        <v/>
      </c>
      <c r="K525" s="88" t="n"/>
      <c r="L525" s="88" t="n"/>
      <c r="M525" s="88">
        <f>COUNTIFS('Client DB &amp; Bed Mgmt'!$B:$B,L525,'Client DB &amp; Bed Mgmt'!$E:$E,"Occupied")</f>
        <v/>
      </c>
      <c r="N525" s="88" t="n"/>
      <c r="O525" s="88" t="n"/>
      <c r="P525" s="88" t="n"/>
      <c r="Q525" s="88" t="n"/>
      <c r="R525" s="88" t="n"/>
      <c r="S525" s="88" t="n"/>
      <c r="T525" s="88" t="n"/>
      <c r="U525" s="129" t="n"/>
      <c r="V525" s="129" t="n"/>
    </row>
    <row r="526" ht="14.25" customHeight="1" s="83">
      <c r="A526" s="103" t="n"/>
      <c r="B526" s="125" t="n"/>
      <c r="C526" s="103" t="n"/>
      <c r="D526" s="126" t="n"/>
      <c r="E526" s="126" t="n"/>
      <c r="F526" s="127">
        <f>IF(D526="","",MAX(D526-E526,0))</f>
        <v/>
      </c>
      <c r="G526" s="130">
        <f>IF(E526="","",E526*GeneratorRate)</f>
        <v/>
      </c>
      <c r="H526" s="130">
        <f>IF(F526="","",F526*GovernmentRate)</f>
        <v/>
      </c>
      <c r="I526" s="130">
        <f>IF(D526="","",G526+H526)</f>
        <v/>
      </c>
      <c r="J526" s="129">
        <f>IFERROR(I526/COUNTIFS('Client DB &amp; Bed Mgmt'!$A:$A,A526,'Client DB &amp; Bed Mgmt'!$B:$B,C526,'Client DB &amp; Bed Mgmt'!$D:$D,"&lt;&gt;"),0)</f>
        <v/>
      </c>
      <c r="K526" s="88" t="n"/>
      <c r="L526" s="88" t="n"/>
      <c r="M526" s="88">
        <f>COUNTIFS('Client DB &amp; Bed Mgmt'!$B:$B,L526,'Client DB &amp; Bed Mgmt'!$E:$E,"Occupied")</f>
        <v/>
      </c>
      <c r="N526" s="88" t="n"/>
      <c r="O526" s="88" t="n"/>
      <c r="P526" s="88" t="n"/>
      <c r="Q526" s="88" t="n"/>
      <c r="R526" s="88" t="n"/>
      <c r="S526" s="88" t="n"/>
      <c r="T526" s="88" t="n"/>
      <c r="U526" s="129" t="n"/>
      <c r="V526" s="129" t="n"/>
    </row>
    <row r="527" ht="14.25" customHeight="1" s="83">
      <c r="A527" s="103" t="n"/>
      <c r="B527" s="125" t="n"/>
      <c r="C527" s="103" t="n"/>
      <c r="D527" s="126" t="n"/>
      <c r="E527" s="126" t="n"/>
      <c r="F527" s="127">
        <f>IF(D527="","",MAX(D527-E527,0))</f>
        <v/>
      </c>
      <c r="G527" s="130">
        <f>IF(E527="","",E527*GeneratorRate)</f>
        <v/>
      </c>
      <c r="H527" s="130">
        <f>IF(F527="","",F527*GovernmentRate)</f>
        <v/>
      </c>
      <c r="I527" s="130">
        <f>IF(D527="","",G527+H527)</f>
        <v/>
      </c>
      <c r="J527" s="129">
        <f>IFERROR(I527/COUNTIFS('Client DB &amp; Bed Mgmt'!$A:$A,A527,'Client DB &amp; Bed Mgmt'!$B:$B,C527,'Client DB &amp; Bed Mgmt'!$D:$D,"&lt;&gt;"),0)</f>
        <v/>
      </c>
      <c r="K527" s="88" t="n"/>
      <c r="L527" s="88" t="n"/>
      <c r="M527" s="88">
        <f>COUNTIFS('Client DB &amp; Bed Mgmt'!$B:$B,L527,'Client DB &amp; Bed Mgmt'!$E:$E,"Occupied")</f>
        <v/>
      </c>
      <c r="N527" s="88" t="n"/>
      <c r="O527" s="88" t="n"/>
      <c r="P527" s="88" t="n"/>
      <c r="Q527" s="88" t="n"/>
      <c r="R527" s="88" t="n"/>
      <c r="S527" s="88" t="n"/>
      <c r="T527" s="88" t="n"/>
      <c r="U527" s="129" t="n"/>
      <c r="V527" s="129" t="n"/>
    </row>
    <row r="528" ht="14.25" customHeight="1" s="83">
      <c r="A528" s="103" t="n"/>
      <c r="B528" s="125" t="n"/>
      <c r="C528" s="103" t="n"/>
      <c r="D528" s="126" t="n"/>
      <c r="E528" s="126" t="n"/>
      <c r="F528" s="127">
        <f>IF(D528="","",MAX(D528-E528,0))</f>
        <v/>
      </c>
      <c r="G528" s="130">
        <f>IF(E528="","",E528*GeneratorRate)</f>
        <v/>
      </c>
      <c r="H528" s="130">
        <f>IF(F528="","",F528*GovernmentRate)</f>
        <v/>
      </c>
      <c r="I528" s="130">
        <f>IF(D528="","",G528+H528)</f>
        <v/>
      </c>
      <c r="J528" s="129">
        <f>IFERROR(I528/COUNTIFS('Client DB &amp; Bed Mgmt'!$A:$A,A528,'Client DB &amp; Bed Mgmt'!$B:$B,C528,'Client DB &amp; Bed Mgmt'!$D:$D,"&lt;&gt;"),0)</f>
        <v/>
      </c>
      <c r="K528" s="88" t="n"/>
      <c r="L528" s="88" t="n"/>
      <c r="M528" s="88">
        <f>COUNTIFS('Client DB &amp; Bed Mgmt'!$B:$B,L528,'Client DB &amp; Bed Mgmt'!$E:$E,"Occupied")</f>
        <v/>
      </c>
      <c r="N528" s="88" t="n"/>
      <c r="O528" s="88" t="n"/>
      <c r="P528" s="88" t="n"/>
      <c r="Q528" s="88" t="n"/>
      <c r="R528" s="88" t="n"/>
      <c r="S528" s="88" t="n"/>
      <c r="T528" s="88" t="n"/>
      <c r="U528" s="129" t="n"/>
      <c r="V528" s="129" t="n"/>
    </row>
    <row r="529" ht="14.25" customHeight="1" s="83">
      <c r="A529" s="103" t="n"/>
      <c r="B529" s="125" t="n"/>
      <c r="C529" s="103" t="n"/>
      <c r="D529" s="126" t="n"/>
      <c r="E529" s="126" t="n"/>
      <c r="F529" s="127">
        <f>IF(D529="","",MAX(D529-E529,0))</f>
        <v/>
      </c>
      <c r="G529" s="130">
        <f>IF(E529="","",E529*GeneratorRate)</f>
        <v/>
      </c>
      <c r="H529" s="130">
        <f>IF(F529="","",F529*GovernmentRate)</f>
        <v/>
      </c>
      <c r="I529" s="130">
        <f>IF(D529="","",G529+H529)</f>
        <v/>
      </c>
      <c r="J529" s="129">
        <f>IFERROR(I529/COUNTIFS('Client DB &amp; Bed Mgmt'!$A:$A,A529,'Client DB &amp; Bed Mgmt'!$B:$B,C529,'Client DB &amp; Bed Mgmt'!$D:$D,"&lt;&gt;"),0)</f>
        <v/>
      </c>
      <c r="K529" s="88" t="n"/>
      <c r="L529" s="88" t="n"/>
      <c r="M529" s="88">
        <f>COUNTIFS('Client DB &amp; Bed Mgmt'!$B:$B,L529,'Client DB &amp; Bed Mgmt'!$E:$E,"Occupied")</f>
        <v/>
      </c>
      <c r="N529" s="88" t="n"/>
      <c r="O529" s="88" t="n"/>
      <c r="P529" s="88" t="n"/>
      <c r="Q529" s="88" t="n"/>
      <c r="R529" s="88" t="n"/>
      <c r="S529" s="88" t="n"/>
      <c r="T529" s="88" t="n"/>
      <c r="U529" s="129" t="n"/>
      <c r="V529" s="129" t="n"/>
    </row>
    <row r="530" ht="14.25" customHeight="1" s="83">
      <c r="A530" s="103" t="n"/>
      <c r="B530" s="125" t="n"/>
      <c r="C530" s="103" t="n"/>
      <c r="D530" s="126" t="n"/>
      <c r="E530" s="126" t="n"/>
      <c r="F530" s="127">
        <f>IF(D530="","",MAX(D530-E530,0))</f>
        <v/>
      </c>
      <c r="G530" s="130">
        <f>IF(E530="","",E530*GeneratorRate)</f>
        <v/>
      </c>
      <c r="H530" s="130">
        <f>IF(F530="","",F530*GovernmentRate)</f>
        <v/>
      </c>
      <c r="I530" s="130">
        <f>IF(D530="","",G530+H530)</f>
        <v/>
      </c>
      <c r="J530" s="129">
        <f>IFERROR(I530/COUNTIFS('Client DB &amp; Bed Mgmt'!$A:$A,A530,'Client DB &amp; Bed Mgmt'!$B:$B,C530,'Client DB &amp; Bed Mgmt'!$D:$D,"&lt;&gt;"),0)</f>
        <v/>
      </c>
      <c r="K530" s="88" t="n"/>
      <c r="L530" s="88" t="n"/>
      <c r="M530" s="88">
        <f>COUNTIFS('Client DB &amp; Bed Mgmt'!$B:$B,L530,'Client DB &amp; Bed Mgmt'!$E:$E,"Occupied")</f>
        <v/>
      </c>
      <c r="N530" s="88" t="n"/>
      <c r="O530" s="88" t="n"/>
      <c r="P530" s="88" t="n"/>
      <c r="Q530" s="88" t="n"/>
      <c r="R530" s="88" t="n"/>
      <c r="S530" s="88" t="n"/>
      <c r="T530" s="88" t="n"/>
      <c r="U530" s="129" t="n"/>
      <c r="V530" s="129" t="n"/>
    </row>
    <row r="531" ht="14.25" customHeight="1" s="83">
      <c r="A531" s="103" t="n"/>
      <c r="B531" s="125" t="n"/>
      <c r="C531" s="103" t="n"/>
      <c r="D531" s="126" t="n"/>
      <c r="E531" s="126" t="n"/>
      <c r="F531" s="127">
        <f>IF(D531="","",MAX(D531-E531,0))</f>
        <v/>
      </c>
      <c r="G531" s="130">
        <f>IF(E531="","",E531*GeneratorRate)</f>
        <v/>
      </c>
      <c r="H531" s="130">
        <f>IF(F531="","",F531*GovernmentRate)</f>
        <v/>
      </c>
      <c r="I531" s="130">
        <f>IF(D531="","",G531+H531)</f>
        <v/>
      </c>
      <c r="J531" s="129">
        <f>IFERROR(I531/COUNTIFS('Client DB &amp; Bed Mgmt'!$A:$A,A531,'Client DB &amp; Bed Mgmt'!$B:$B,C531,'Client DB &amp; Bed Mgmt'!$D:$D,"&lt;&gt;"),0)</f>
        <v/>
      </c>
      <c r="K531" s="88" t="n"/>
      <c r="L531" s="88" t="n"/>
      <c r="M531" s="88">
        <f>COUNTIFS('Client DB &amp; Bed Mgmt'!$B:$B,L531,'Client DB &amp; Bed Mgmt'!$E:$E,"Occupied")</f>
        <v/>
      </c>
      <c r="N531" s="88" t="n"/>
      <c r="O531" s="88" t="n"/>
      <c r="P531" s="88" t="n"/>
      <c r="Q531" s="88" t="n"/>
      <c r="R531" s="88" t="n"/>
      <c r="S531" s="88" t="n"/>
      <c r="T531" s="88" t="n"/>
      <c r="U531" s="129" t="n"/>
      <c r="V531" s="129" t="n"/>
    </row>
    <row r="532" ht="14.25" customHeight="1" s="83">
      <c r="A532" s="103" t="n"/>
      <c r="B532" s="125" t="n"/>
      <c r="C532" s="103" t="n"/>
      <c r="D532" s="126" t="n"/>
      <c r="E532" s="126" t="n"/>
      <c r="F532" s="127">
        <f>IF(D532="","",MAX(D532-E532,0))</f>
        <v/>
      </c>
      <c r="G532" s="130">
        <f>IF(E532="","",E532*GeneratorRate)</f>
        <v/>
      </c>
      <c r="H532" s="130">
        <f>IF(F532="","",F532*GovernmentRate)</f>
        <v/>
      </c>
      <c r="I532" s="130">
        <f>IF(D532="","",G532+H532)</f>
        <v/>
      </c>
      <c r="J532" s="129">
        <f>IFERROR(I532/COUNTIFS('Client DB &amp; Bed Mgmt'!$A:$A,A532,'Client DB &amp; Bed Mgmt'!$B:$B,C532,'Client DB &amp; Bed Mgmt'!$D:$D,"&lt;&gt;"),0)</f>
        <v/>
      </c>
      <c r="K532" s="88" t="n"/>
      <c r="L532" s="88" t="n"/>
      <c r="M532" s="88">
        <f>COUNTIFS('Client DB &amp; Bed Mgmt'!$B:$B,L532,'Client DB &amp; Bed Mgmt'!$E:$E,"Occupied")</f>
        <v/>
      </c>
      <c r="N532" s="88" t="n"/>
      <c r="O532" s="88" t="n"/>
      <c r="P532" s="88" t="n"/>
      <c r="Q532" s="88" t="n"/>
      <c r="R532" s="88" t="n"/>
      <c r="S532" s="88" t="n"/>
      <c r="T532" s="88" t="n"/>
      <c r="U532" s="129" t="n"/>
      <c r="V532" s="129" t="n"/>
    </row>
    <row r="533" ht="14.25" customHeight="1" s="83">
      <c r="A533" s="103" t="n"/>
      <c r="B533" s="125" t="n"/>
      <c r="C533" s="103" t="n"/>
      <c r="D533" s="126" t="n"/>
      <c r="E533" s="126" t="n"/>
      <c r="F533" s="127">
        <f>IF(D533="","",MAX(D533-E533,0))</f>
        <v/>
      </c>
      <c r="G533" s="130">
        <f>IF(E533="","",E533*GeneratorRate)</f>
        <v/>
      </c>
      <c r="H533" s="130">
        <f>IF(F533="","",F533*GovernmentRate)</f>
        <v/>
      </c>
      <c r="I533" s="130">
        <f>IF(D533="","",G533+H533)</f>
        <v/>
      </c>
      <c r="J533" s="129">
        <f>IFERROR(I533/COUNTIFS('Client DB &amp; Bed Mgmt'!$A:$A,A533,'Client DB &amp; Bed Mgmt'!$B:$B,C533,'Client DB &amp; Bed Mgmt'!$D:$D,"&lt;&gt;"),0)</f>
        <v/>
      </c>
      <c r="K533" s="88" t="n"/>
      <c r="L533" s="88" t="n"/>
      <c r="M533" s="88">
        <f>COUNTIFS('Client DB &amp; Bed Mgmt'!$B:$B,L533,'Client DB &amp; Bed Mgmt'!$E:$E,"Occupied")</f>
        <v/>
      </c>
      <c r="N533" s="88" t="n"/>
      <c r="O533" s="88" t="n"/>
      <c r="P533" s="88" t="n"/>
      <c r="Q533" s="88" t="n"/>
      <c r="R533" s="88" t="n"/>
      <c r="S533" s="88" t="n"/>
      <c r="T533" s="88" t="n"/>
      <c r="U533" s="129" t="n"/>
      <c r="V533" s="129" t="n"/>
    </row>
    <row r="534" ht="14.25" customHeight="1" s="83">
      <c r="A534" s="103" t="n"/>
      <c r="B534" s="125" t="n"/>
      <c r="C534" s="103" t="n"/>
      <c r="D534" s="126" t="n"/>
      <c r="E534" s="126" t="n"/>
      <c r="F534" s="127">
        <f>IF(D534="","",MAX(D534-E534,0))</f>
        <v/>
      </c>
      <c r="G534" s="130">
        <f>IF(E534="","",E534*GeneratorRate)</f>
        <v/>
      </c>
      <c r="H534" s="130">
        <f>IF(F534="","",F534*GovernmentRate)</f>
        <v/>
      </c>
      <c r="I534" s="130">
        <f>IF(D534="","",G534+H534)</f>
        <v/>
      </c>
      <c r="J534" s="129">
        <f>IFERROR(I534/COUNTIFS('Client DB &amp; Bed Mgmt'!$A:$A,A534,'Client DB &amp; Bed Mgmt'!$B:$B,C534,'Client DB &amp; Bed Mgmt'!$D:$D,"&lt;&gt;"),0)</f>
        <v/>
      </c>
      <c r="K534" s="88" t="n"/>
      <c r="L534" s="88" t="n"/>
      <c r="M534" s="88">
        <f>COUNTIFS('Client DB &amp; Bed Mgmt'!$B:$B,L534,'Client DB &amp; Bed Mgmt'!$E:$E,"Occupied")</f>
        <v/>
      </c>
      <c r="N534" s="88" t="n"/>
      <c r="O534" s="88" t="n"/>
      <c r="P534" s="88" t="n"/>
      <c r="Q534" s="88" t="n"/>
      <c r="R534" s="88" t="n"/>
      <c r="S534" s="88" t="n"/>
      <c r="T534" s="88" t="n"/>
      <c r="U534" s="129" t="n"/>
      <c r="V534" s="129" t="n"/>
    </row>
    <row r="535" ht="14.25" customHeight="1" s="83">
      <c r="A535" s="103" t="n"/>
      <c r="B535" s="125" t="n"/>
      <c r="C535" s="103" t="n"/>
      <c r="D535" s="126" t="n"/>
      <c r="E535" s="126" t="n"/>
      <c r="F535" s="127">
        <f>IF(D535="","",MAX(D535-E535,0))</f>
        <v/>
      </c>
      <c r="G535" s="130">
        <f>IF(E535="","",E535*GeneratorRate)</f>
        <v/>
      </c>
      <c r="H535" s="130">
        <f>IF(F535="","",F535*GovernmentRate)</f>
        <v/>
      </c>
      <c r="I535" s="130">
        <f>IF(D535="","",G535+H535)</f>
        <v/>
      </c>
      <c r="J535" s="129">
        <f>IFERROR(I535/COUNTIFS('Client DB &amp; Bed Mgmt'!$A:$A,A535,'Client DB &amp; Bed Mgmt'!$B:$B,C535,'Client DB &amp; Bed Mgmt'!$D:$D,"&lt;&gt;"),0)</f>
        <v/>
      </c>
      <c r="K535" s="88" t="n"/>
      <c r="L535" s="88" t="n"/>
      <c r="M535" s="88">
        <f>COUNTIFS('Client DB &amp; Bed Mgmt'!$B:$B,L535,'Client DB &amp; Bed Mgmt'!$E:$E,"Occupied")</f>
        <v/>
      </c>
      <c r="N535" s="88" t="n"/>
      <c r="O535" s="88" t="n"/>
      <c r="P535" s="88" t="n"/>
      <c r="Q535" s="88" t="n"/>
      <c r="R535" s="88" t="n"/>
      <c r="S535" s="88" t="n"/>
      <c r="T535" s="88" t="n"/>
      <c r="U535" s="129" t="n"/>
      <c r="V535" s="129" t="n"/>
    </row>
    <row r="536" ht="14.25" customHeight="1" s="83">
      <c r="A536" s="103" t="n"/>
      <c r="B536" s="125" t="n"/>
      <c r="C536" s="103" t="n"/>
      <c r="D536" s="126" t="n"/>
      <c r="E536" s="126" t="n"/>
      <c r="F536" s="127">
        <f>IF(D536="","",MAX(D536-E536,0))</f>
        <v/>
      </c>
      <c r="G536" s="130">
        <f>IF(E536="","",E536*GeneratorRate)</f>
        <v/>
      </c>
      <c r="H536" s="130">
        <f>IF(F536="","",F536*GovernmentRate)</f>
        <v/>
      </c>
      <c r="I536" s="130">
        <f>IF(D536="","",G536+H536)</f>
        <v/>
      </c>
      <c r="J536" s="129">
        <f>IFERROR(I536/COUNTIFS('Client DB &amp; Bed Mgmt'!$A:$A,A536,'Client DB &amp; Bed Mgmt'!$B:$B,C536,'Client DB &amp; Bed Mgmt'!$D:$D,"&lt;&gt;"),0)</f>
        <v/>
      </c>
      <c r="K536" s="88" t="n"/>
      <c r="L536" s="88" t="n"/>
      <c r="M536" s="88">
        <f>COUNTIFS('Client DB &amp; Bed Mgmt'!$B:$B,L536,'Client DB &amp; Bed Mgmt'!$E:$E,"Occupied")</f>
        <v/>
      </c>
      <c r="N536" s="88" t="n"/>
      <c r="O536" s="88" t="n"/>
      <c r="P536" s="88" t="n"/>
      <c r="Q536" s="88" t="n"/>
      <c r="R536" s="88" t="n"/>
      <c r="S536" s="88" t="n"/>
      <c r="T536" s="88" t="n"/>
      <c r="U536" s="129" t="n"/>
      <c r="V536" s="129" t="n"/>
    </row>
    <row r="537" ht="14.25" customHeight="1" s="83">
      <c r="A537" s="103" t="n"/>
      <c r="B537" s="125" t="n"/>
      <c r="C537" s="103" t="n"/>
      <c r="D537" s="126" t="n"/>
      <c r="E537" s="126" t="n"/>
      <c r="F537" s="127">
        <f>IF(D537="","",MAX(D537-E537,0))</f>
        <v/>
      </c>
      <c r="G537" s="130">
        <f>IF(E537="","",E537*GeneratorRate)</f>
        <v/>
      </c>
      <c r="H537" s="130">
        <f>IF(F537="","",F537*GovernmentRate)</f>
        <v/>
      </c>
      <c r="I537" s="130">
        <f>IF(D537="","",G537+H537)</f>
        <v/>
      </c>
      <c r="J537" s="129">
        <f>IFERROR(I537/COUNTIFS('Client DB &amp; Bed Mgmt'!$A:$A,A537,'Client DB &amp; Bed Mgmt'!$B:$B,C537,'Client DB &amp; Bed Mgmt'!$D:$D,"&lt;&gt;"),0)</f>
        <v/>
      </c>
      <c r="K537" s="88" t="n"/>
      <c r="L537" s="88" t="n"/>
      <c r="M537" s="88">
        <f>COUNTIFS('Client DB &amp; Bed Mgmt'!$B:$B,L537,'Client DB &amp; Bed Mgmt'!$E:$E,"Occupied")</f>
        <v/>
      </c>
      <c r="N537" s="88" t="n"/>
      <c r="O537" s="88" t="n"/>
      <c r="P537" s="88" t="n"/>
      <c r="Q537" s="88" t="n"/>
      <c r="R537" s="88" t="n"/>
      <c r="S537" s="88" t="n"/>
      <c r="T537" s="88" t="n"/>
      <c r="U537" s="129" t="n"/>
      <c r="V537" s="129" t="n"/>
    </row>
    <row r="538" ht="14.25" customHeight="1" s="83">
      <c r="A538" s="103" t="n"/>
      <c r="B538" s="125" t="n"/>
      <c r="C538" s="103" t="n"/>
      <c r="D538" s="126" t="n"/>
      <c r="E538" s="126" t="n"/>
      <c r="F538" s="127">
        <f>IF(D538="","",MAX(D538-E538,0))</f>
        <v/>
      </c>
      <c r="G538" s="130">
        <f>IF(E538="","",E538*GeneratorRate)</f>
        <v/>
      </c>
      <c r="H538" s="130">
        <f>IF(F538="","",F538*GovernmentRate)</f>
        <v/>
      </c>
      <c r="I538" s="130">
        <f>IF(D538="","",G538+H538)</f>
        <v/>
      </c>
      <c r="J538" s="129">
        <f>IFERROR(I538/COUNTIFS('Client DB &amp; Bed Mgmt'!$A:$A,A538,'Client DB &amp; Bed Mgmt'!$B:$B,C538,'Client DB &amp; Bed Mgmt'!$D:$D,"&lt;&gt;"),0)</f>
        <v/>
      </c>
      <c r="K538" s="88" t="n"/>
      <c r="L538" s="88" t="n"/>
      <c r="M538" s="88">
        <f>COUNTIFS('Client DB &amp; Bed Mgmt'!$B:$B,L538,'Client DB &amp; Bed Mgmt'!$E:$E,"Occupied")</f>
        <v/>
      </c>
      <c r="N538" s="88" t="n"/>
      <c r="O538" s="88" t="n"/>
      <c r="P538" s="88" t="n"/>
      <c r="Q538" s="88" t="n"/>
      <c r="R538" s="88" t="n"/>
      <c r="S538" s="88" t="n"/>
      <c r="T538" s="88" t="n"/>
      <c r="U538" s="129" t="n"/>
      <c r="V538" s="129" t="n"/>
    </row>
    <row r="539" ht="14.25" customHeight="1" s="83">
      <c r="A539" s="103" t="n"/>
      <c r="B539" s="125" t="n"/>
      <c r="C539" s="103" t="n"/>
      <c r="D539" s="126" t="n"/>
      <c r="E539" s="126" t="n"/>
      <c r="F539" s="127">
        <f>IF(D539="","",MAX(D539-E539,0))</f>
        <v/>
      </c>
      <c r="G539" s="130">
        <f>IF(E539="","",E539*GeneratorRate)</f>
        <v/>
      </c>
      <c r="H539" s="130">
        <f>IF(F539="","",F539*GovernmentRate)</f>
        <v/>
      </c>
      <c r="I539" s="130">
        <f>IF(D539="","",G539+H539)</f>
        <v/>
      </c>
      <c r="J539" s="129">
        <f>IFERROR(I539/COUNTIFS('Client DB &amp; Bed Mgmt'!$A:$A,A539,'Client DB &amp; Bed Mgmt'!$B:$B,C539,'Client DB &amp; Bed Mgmt'!$D:$D,"&lt;&gt;"),0)</f>
        <v/>
      </c>
      <c r="K539" s="88" t="n"/>
      <c r="L539" s="88" t="n"/>
      <c r="M539" s="88">
        <f>COUNTIFS('Client DB &amp; Bed Mgmt'!$B:$B,L539,'Client DB &amp; Bed Mgmt'!$E:$E,"Occupied")</f>
        <v/>
      </c>
      <c r="N539" s="88" t="n"/>
      <c r="O539" s="88" t="n"/>
      <c r="P539" s="88" t="n"/>
      <c r="Q539" s="88" t="n"/>
      <c r="R539" s="88" t="n"/>
      <c r="S539" s="88" t="n"/>
      <c r="T539" s="88" t="n"/>
      <c r="U539" s="129" t="n"/>
      <c r="V539" s="129" t="n"/>
    </row>
    <row r="540" ht="14.25" customHeight="1" s="83">
      <c r="A540" s="103" t="n"/>
      <c r="B540" s="125" t="n"/>
      <c r="C540" s="103" t="n"/>
      <c r="D540" s="126" t="n"/>
      <c r="E540" s="126" t="n"/>
      <c r="F540" s="127">
        <f>IF(D540="","",MAX(D540-E540,0))</f>
        <v/>
      </c>
      <c r="G540" s="130">
        <f>IF(E540="","",E540*GeneratorRate)</f>
        <v/>
      </c>
      <c r="H540" s="130">
        <f>IF(F540="","",F540*GovernmentRate)</f>
        <v/>
      </c>
      <c r="I540" s="130">
        <f>IF(D540="","",G540+H540)</f>
        <v/>
      </c>
      <c r="J540" s="129">
        <f>IFERROR(I540/COUNTIFS('Client DB &amp; Bed Mgmt'!$A:$A,A540,'Client DB &amp; Bed Mgmt'!$B:$B,C540,'Client DB &amp; Bed Mgmt'!$D:$D,"&lt;&gt;"),0)</f>
        <v/>
      </c>
      <c r="K540" s="88" t="n"/>
      <c r="L540" s="88" t="n"/>
      <c r="M540" s="88">
        <f>COUNTIFS('Client DB &amp; Bed Mgmt'!$B:$B,L540,'Client DB &amp; Bed Mgmt'!$E:$E,"Occupied")</f>
        <v/>
      </c>
      <c r="N540" s="88" t="n"/>
      <c r="O540" s="88" t="n"/>
      <c r="P540" s="88" t="n"/>
      <c r="Q540" s="88" t="n"/>
      <c r="R540" s="88" t="n"/>
      <c r="S540" s="88" t="n"/>
      <c r="T540" s="88" t="n"/>
      <c r="U540" s="129" t="n"/>
      <c r="V540" s="129" t="n"/>
    </row>
    <row r="541" ht="14.25" customHeight="1" s="83">
      <c r="A541" s="103" t="n"/>
      <c r="B541" s="125" t="n"/>
      <c r="C541" s="103" t="n"/>
      <c r="D541" s="126" t="n"/>
      <c r="E541" s="126" t="n"/>
      <c r="F541" s="127">
        <f>IF(D541="","",MAX(D541-E541,0))</f>
        <v/>
      </c>
      <c r="G541" s="130">
        <f>IF(E541="","",E541*GeneratorRate)</f>
        <v/>
      </c>
      <c r="H541" s="130">
        <f>IF(F541="","",F541*GovernmentRate)</f>
        <v/>
      </c>
      <c r="I541" s="130">
        <f>IF(D541="","",G541+H541)</f>
        <v/>
      </c>
      <c r="J541" s="129">
        <f>IFERROR(I541/COUNTIFS('Client DB &amp; Bed Mgmt'!$A:$A,A541,'Client DB &amp; Bed Mgmt'!$B:$B,C541,'Client DB &amp; Bed Mgmt'!$D:$D,"&lt;&gt;"),0)</f>
        <v/>
      </c>
      <c r="K541" s="88" t="n"/>
      <c r="L541" s="88" t="n"/>
      <c r="M541" s="88">
        <f>COUNTIFS('Client DB &amp; Bed Mgmt'!$B:$B,L541,'Client DB &amp; Bed Mgmt'!$E:$E,"Occupied")</f>
        <v/>
      </c>
      <c r="N541" s="88" t="n"/>
      <c r="O541" s="88" t="n"/>
      <c r="P541" s="88" t="n"/>
      <c r="Q541" s="88" t="n"/>
      <c r="R541" s="88" t="n"/>
      <c r="S541" s="88" t="n"/>
      <c r="T541" s="88" t="n"/>
      <c r="U541" s="129" t="n"/>
      <c r="V541" s="129" t="n"/>
    </row>
    <row r="542" ht="14.25" customHeight="1" s="83">
      <c r="A542" s="103" t="n"/>
      <c r="B542" s="125" t="n"/>
      <c r="C542" s="103" t="n"/>
      <c r="D542" s="126" t="n"/>
      <c r="E542" s="126" t="n"/>
      <c r="F542" s="127">
        <f>IF(D542="","",MAX(D542-E542,0))</f>
        <v/>
      </c>
      <c r="G542" s="130">
        <f>IF(E542="","",E542*GeneratorRate)</f>
        <v/>
      </c>
      <c r="H542" s="130">
        <f>IF(F542="","",F542*GovernmentRate)</f>
        <v/>
      </c>
      <c r="I542" s="130">
        <f>IF(D542="","",G542+H542)</f>
        <v/>
      </c>
      <c r="J542" s="129">
        <f>IFERROR(I542/COUNTIFS('Client DB &amp; Bed Mgmt'!$A:$A,A542,'Client DB &amp; Bed Mgmt'!$B:$B,C542,'Client DB &amp; Bed Mgmt'!$D:$D,"&lt;&gt;"),0)</f>
        <v/>
      </c>
      <c r="K542" s="88" t="n"/>
      <c r="L542" s="88" t="n"/>
      <c r="M542" s="88">
        <f>COUNTIFS('Client DB &amp; Bed Mgmt'!$B:$B,L542,'Client DB &amp; Bed Mgmt'!$E:$E,"Occupied")</f>
        <v/>
      </c>
      <c r="N542" s="88" t="n"/>
      <c r="O542" s="88" t="n"/>
      <c r="P542" s="88" t="n"/>
      <c r="Q542" s="88" t="n"/>
      <c r="R542" s="88" t="n"/>
      <c r="S542" s="88" t="n"/>
      <c r="T542" s="88" t="n"/>
      <c r="U542" s="129" t="n"/>
      <c r="V542" s="129" t="n"/>
    </row>
    <row r="543" ht="14.25" customHeight="1" s="83">
      <c r="A543" s="103" t="n"/>
      <c r="B543" s="125" t="n"/>
      <c r="C543" s="103" t="n"/>
      <c r="D543" s="126" t="n"/>
      <c r="E543" s="126" t="n"/>
      <c r="F543" s="127">
        <f>IF(D543="","",MAX(D543-E543,0))</f>
        <v/>
      </c>
      <c r="G543" s="130">
        <f>IF(E543="","",E543*GeneratorRate)</f>
        <v/>
      </c>
      <c r="H543" s="130">
        <f>IF(F543="","",F543*GovernmentRate)</f>
        <v/>
      </c>
      <c r="I543" s="130">
        <f>IF(D543="","",G543+H543)</f>
        <v/>
      </c>
      <c r="J543" s="129">
        <f>IFERROR(I543/COUNTIFS('Client DB &amp; Bed Mgmt'!$A:$A,A543,'Client DB &amp; Bed Mgmt'!$B:$B,C543,'Client DB &amp; Bed Mgmt'!$D:$D,"&lt;&gt;"),0)</f>
        <v/>
      </c>
      <c r="K543" s="88" t="n"/>
      <c r="L543" s="88" t="n"/>
      <c r="M543" s="88">
        <f>COUNTIFS('Client DB &amp; Bed Mgmt'!$B:$B,L543,'Client DB &amp; Bed Mgmt'!$E:$E,"Occupied")</f>
        <v/>
      </c>
      <c r="N543" s="88" t="n"/>
      <c r="O543" s="88" t="n"/>
      <c r="P543" s="88" t="n"/>
      <c r="Q543" s="88" t="n"/>
      <c r="R543" s="88" t="n"/>
      <c r="S543" s="88" t="n"/>
      <c r="T543" s="88" t="n"/>
      <c r="U543" s="129" t="n"/>
      <c r="V543" s="129" t="n"/>
    </row>
    <row r="544" ht="14.25" customHeight="1" s="83">
      <c r="A544" s="103" t="n"/>
      <c r="B544" s="125" t="n"/>
      <c r="C544" s="103" t="n"/>
      <c r="D544" s="126" t="n"/>
      <c r="E544" s="126" t="n"/>
      <c r="F544" s="127">
        <f>IF(D544="","",MAX(D544-E544,0))</f>
        <v/>
      </c>
      <c r="G544" s="130">
        <f>IF(E544="","",E544*GeneratorRate)</f>
        <v/>
      </c>
      <c r="H544" s="130">
        <f>IF(F544="","",F544*GovernmentRate)</f>
        <v/>
      </c>
      <c r="I544" s="130">
        <f>IF(D544="","",G544+H544)</f>
        <v/>
      </c>
      <c r="J544" s="129">
        <f>IFERROR(I544/COUNTIFS('Client DB &amp; Bed Mgmt'!$A:$A,A544,'Client DB &amp; Bed Mgmt'!$B:$B,C544,'Client DB &amp; Bed Mgmt'!$D:$D,"&lt;&gt;"),0)</f>
        <v/>
      </c>
      <c r="K544" s="88" t="n"/>
      <c r="L544" s="88" t="n"/>
      <c r="M544" s="88">
        <f>COUNTIFS('Client DB &amp; Bed Mgmt'!$B:$B,L544,'Client DB &amp; Bed Mgmt'!$E:$E,"Occupied")</f>
        <v/>
      </c>
      <c r="N544" s="88" t="n"/>
      <c r="O544" s="88" t="n"/>
      <c r="P544" s="88" t="n"/>
      <c r="Q544" s="88" t="n"/>
      <c r="R544" s="88" t="n"/>
      <c r="S544" s="88" t="n"/>
      <c r="T544" s="88" t="n"/>
      <c r="U544" s="129" t="n"/>
      <c r="V544" s="129" t="n"/>
    </row>
    <row r="545" ht="14.25" customHeight="1" s="83">
      <c r="A545" s="103" t="n"/>
      <c r="B545" s="125" t="n"/>
      <c r="C545" s="103" t="n"/>
      <c r="D545" s="126" t="n"/>
      <c r="E545" s="126" t="n"/>
      <c r="F545" s="127">
        <f>IF(D545="","",MAX(D545-E545,0))</f>
        <v/>
      </c>
      <c r="G545" s="130">
        <f>IF(E545="","",E545*GeneratorRate)</f>
        <v/>
      </c>
      <c r="H545" s="130">
        <f>IF(F545="","",F545*GovernmentRate)</f>
        <v/>
      </c>
      <c r="I545" s="130">
        <f>IF(D545="","",G545+H545)</f>
        <v/>
      </c>
      <c r="J545" s="129">
        <f>IFERROR(I545/COUNTIFS('Client DB &amp; Bed Mgmt'!$A:$A,A545,'Client DB &amp; Bed Mgmt'!$B:$B,C545,'Client DB &amp; Bed Mgmt'!$D:$D,"&lt;&gt;"),0)</f>
        <v/>
      </c>
      <c r="K545" s="88" t="n"/>
      <c r="L545" s="88" t="n"/>
      <c r="M545" s="88">
        <f>COUNTIFS('Client DB &amp; Bed Mgmt'!$B:$B,L545,'Client DB &amp; Bed Mgmt'!$E:$E,"Occupied")</f>
        <v/>
      </c>
      <c r="N545" s="88" t="n"/>
      <c r="O545" s="88" t="n"/>
      <c r="P545" s="88" t="n"/>
      <c r="Q545" s="88" t="n"/>
      <c r="R545" s="88" t="n"/>
      <c r="S545" s="88" t="n"/>
      <c r="T545" s="88" t="n"/>
      <c r="U545" s="129" t="n"/>
      <c r="V545" s="129" t="n"/>
    </row>
    <row r="546" ht="14.25" customHeight="1" s="83">
      <c r="A546" s="103" t="n"/>
      <c r="B546" s="125" t="n"/>
      <c r="C546" s="103" t="n"/>
      <c r="D546" s="126" t="n"/>
      <c r="E546" s="126" t="n"/>
      <c r="F546" s="127">
        <f>IF(D546="","",MAX(D546-E546,0))</f>
        <v/>
      </c>
      <c r="G546" s="130">
        <f>IF(E546="","",E546*GeneratorRate)</f>
        <v/>
      </c>
      <c r="H546" s="130">
        <f>IF(F546="","",F546*GovernmentRate)</f>
        <v/>
      </c>
      <c r="I546" s="130">
        <f>IF(D546="","",G546+H546)</f>
        <v/>
      </c>
      <c r="J546" s="129">
        <f>IFERROR(I546/COUNTIFS('Client DB &amp; Bed Mgmt'!$A:$A,A546,'Client DB &amp; Bed Mgmt'!$B:$B,C546,'Client DB &amp; Bed Mgmt'!$D:$D,"&lt;&gt;"),0)</f>
        <v/>
      </c>
      <c r="K546" s="88" t="n"/>
      <c r="L546" s="88" t="n"/>
      <c r="M546" s="88">
        <f>COUNTIFS('Client DB &amp; Bed Mgmt'!$B:$B,L546,'Client DB &amp; Bed Mgmt'!$E:$E,"Occupied")</f>
        <v/>
      </c>
      <c r="N546" s="88" t="n"/>
      <c r="O546" s="88" t="n"/>
      <c r="P546" s="88" t="n"/>
      <c r="Q546" s="88" t="n"/>
      <c r="R546" s="88" t="n"/>
      <c r="S546" s="88" t="n"/>
      <c r="T546" s="88" t="n"/>
      <c r="U546" s="129" t="n"/>
      <c r="V546" s="129" t="n"/>
    </row>
    <row r="547" ht="14.25" customHeight="1" s="83">
      <c r="A547" s="103" t="n"/>
      <c r="B547" s="125" t="n"/>
      <c r="C547" s="103" t="n"/>
      <c r="D547" s="126" t="n"/>
      <c r="E547" s="126" t="n"/>
      <c r="F547" s="127">
        <f>IF(D547="","",MAX(D547-E547,0))</f>
        <v/>
      </c>
      <c r="G547" s="130">
        <f>IF(E547="","",E547*GeneratorRate)</f>
        <v/>
      </c>
      <c r="H547" s="130">
        <f>IF(F547="","",F547*GovernmentRate)</f>
        <v/>
      </c>
      <c r="I547" s="130">
        <f>IF(D547="","",G547+H547)</f>
        <v/>
      </c>
      <c r="J547" s="129">
        <f>IFERROR(I547/COUNTIFS('Client DB &amp; Bed Mgmt'!$A:$A,A547,'Client DB &amp; Bed Mgmt'!$B:$B,C547,'Client DB &amp; Bed Mgmt'!$D:$D,"&lt;&gt;"),0)</f>
        <v/>
      </c>
      <c r="K547" s="88" t="n"/>
      <c r="L547" s="88" t="n"/>
      <c r="M547" s="88">
        <f>COUNTIFS('Client DB &amp; Bed Mgmt'!$B:$B,L547,'Client DB &amp; Bed Mgmt'!$E:$E,"Occupied")</f>
        <v/>
      </c>
      <c r="N547" s="88" t="n"/>
      <c r="O547" s="88" t="n"/>
      <c r="P547" s="88" t="n"/>
      <c r="Q547" s="88" t="n"/>
      <c r="R547" s="88" t="n"/>
      <c r="S547" s="88" t="n"/>
      <c r="T547" s="88" t="n"/>
      <c r="U547" s="129" t="n"/>
      <c r="V547" s="129" t="n"/>
    </row>
    <row r="548" ht="14.25" customHeight="1" s="83">
      <c r="A548" s="103" t="n"/>
      <c r="B548" s="125" t="n"/>
      <c r="C548" s="103" t="n"/>
      <c r="D548" s="126" t="n"/>
      <c r="E548" s="126" t="n"/>
      <c r="F548" s="127">
        <f>IF(D548="","",MAX(D548-E548,0))</f>
        <v/>
      </c>
      <c r="G548" s="130">
        <f>IF(E548="","",E548*GeneratorRate)</f>
        <v/>
      </c>
      <c r="H548" s="130">
        <f>IF(F548="","",F548*GovernmentRate)</f>
        <v/>
      </c>
      <c r="I548" s="130">
        <f>IF(D548="","",G548+H548)</f>
        <v/>
      </c>
      <c r="J548" s="129">
        <f>IFERROR(I548/COUNTIFS('Client DB &amp; Bed Mgmt'!$A:$A,A548,'Client DB &amp; Bed Mgmt'!$B:$B,C548,'Client DB &amp; Bed Mgmt'!$D:$D,"&lt;&gt;"),0)</f>
        <v/>
      </c>
      <c r="K548" s="88" t="n"/>
      <c r="L548" s="88" t="n"/>
      <c r="M548" s="88">
        <f>COUNTIFS('Client DB &amp; Bed Mgmt'!$B:$B,L548,'Client DB &amp; Bed Mgmt'!$E:$E,"Occupied")</f>
        <v/>
      </c>
      <c r="N548" s="88" t="n"/>
      <c r="O548" s="88" t="n"/>
      <c r="P548" s="88" t="n"/>
      <c r="Q548" s="88" t="n"/>
      <c r="R548" s="88" t="n"/>
      <c r="S548" s="88" t="n"/>
      <c r="T548" s="88" t="n"/>
      <c r="U548" s="129" t="n"/>
      <c r="V548" s="129" t="n"/>
    </row>
    <row r="549" ht="14.25" customHeight="1" s="83">
      <c r="A549" s="103" t="n"/>
      <c r="B549" s="125" t="n"/>
      <c r="C549" s="103" t="n"/>
      <c r="D549" s="126" t="n"/>
      <c r="E549" s="126" t="n"/>
      <c r="F549" s="127">
        <f>IF(D549="","",MAX(D549-E549,0))</f>
        <v/>
      </c>
      <c r="G549" s="130">
        <f>IF(E549="","",E549*GeneratorRate)</f>
        <v/>
      </c>
      <c r="H549" s="130">
        <f>IF(F549="","",F549*GovernmentRate)</f>
        <v/>
      </c>
      <c r="I549" s="130">
        <f>IF(D549="","",G549+H549)</f>
        <v/>
      </c>
      <c r="J549" s="129">
        <f>IFERROR(I549/COUNTIFS('Client DB &amp; Bed Mgmt'!$A:$A,A549,'Client DB &amp; Bed Mgmt'!$B:$B,C549,'Client DB &amp; Bed Mgmt'!$D:$D,"&lt;&gt;"),0)</f>
        <v/>
      </c>
      <c r="K549" s="88" t="n"/>
      <c r="L549" s="88" t="n"/>
      <c r="M549" s="88">
        <f>COUNTIFS('Client DB &amp; Bed Mgmt'!$B:$B,L549,'Client DB &amp; Bed Mgmt'!$E:$E,"Occupied")</f>
        <v/>
      </c>
      <c r="N549" s="88" t="n"/>
      <c r="O549" s="88" t="n"/>
      <c r="P549" s="88" t="n"/>
      <c r="Q549" s="88" t="n"/>
      <c r="R549" s="88" t="n"/>
      <c r="S549" s="88" t="n"/>
      <c r="T549" s="88" t="n"/>
      <c r="U549" s="129" t="n"/>
      <c r="V549" s="129" t="n"/>
    </row>
    <row r="550" ht="14.25" customHeight="1" s="83">
      <c r="A550" s="103" t="n"/>
      <c r="B550" s="125" t="n"/>
      <c r="C550" s="103" t="n"/>
      <c r="D550" s="126" t="n"/>
      <c r="E550" s="126" t="n"/>
      <c r="F550" s="127">
        <f>IF(D550="","",MAX(D550-E550,0))</f>
        <v/>
      </c>
      <c r="G550" s="130">
        <f>IF(E550="","",E550*GeneratorRate)</f>
        <v/>
      </c>
      <c r="H550" s="130">
        <f>IF(F550="","",F550*GovernmentRate)</f>
        <v/>
      </c>
      <c r="I550" s="130">
        <f>IF(D550="","",G550+H550)</f>
        <v/>
      </c>
      <c r="J550" s="129">
        <f>IFERROR(I550/COUNTIFS('Client DB &amp; Bed Mgmt'!$A:$A,A550,'Client DB &amp; Bed Mgmt'!$B:$B,C550,'Client DB &amp; Bed Mgmt'!$D:$D,"&lt;&gt;"),0)</f>
        <v/>
      </c>
      <c r="K550" s="88" t="n"/>
      <c r="L550" s="88" t="n"/>
      <c r="M550" s="88">
        <f>COUNTIFS('Client DB &amp; Bed Mgmt'!$B:$B,L550,'Client DB &amp; Bed Mgmt'!$E:$E,"Occupied")</f>
        <v/>
      </c>
      <c r="N550" s="88" t="n"/>
      <c r="O550" s="88" t="n"/>
      <c r="P550" s="88" t="n"/>
      <c r="Q550" s="88" t="n"/>
      <c r="R550" s="88" t="n"/>
      <c r="S550" s="88" t="n"/>
      <c r="T550" s="88" t="n"/>
      <c r="U550" s="129" t="n"/>
      <c r="V550" s="129" t="n"/>
    </row>
    <row r="551" ht="14.25" customHeight="1" s="83">
      <c r="A551" s="103" t="n"/>
      <c r="B551" s="125" t="n"/>
      <c r="C551" s="103" t="n"/>
      <c r="D551" s="126" t="n"/>
      <c r="E551" s="126" t="n"/>
      <c r="F551" s="127">
        <f>IF(D551="","",MAX(D551-E551,0))</f>
        <v/>
      </c>
      <c r="G551" s="130">
        <f>IF(E551="","",E551*GeneratorRate)</f>
        <v/>
      </c>
      <c r="H551" s="130">
        <f>IF(F551="","",F551*GovernmentRate)</f>
        <v/>
      </c>
      <c r="I551" s="130">
        <f>IF(D551="","",G551+H551)</f>
        <v/>
      </c>
      <c r="J551" s="129">
        <f>IFERROR(I551/COUNTIFS('Client DB &amp; Bed Mgmt'!$A:$A,A551,'Client DB &amp; Bed Mgmt'!$B:$B,C551,'Client DB &amp; Bed Mgmt'!$D:$D,"&lt;&gt;"),0)</f>
        <v/>
      </c>
      <c r="K551" s="88" t="n"/>
      <c r="L551" s="88" t="n"/>
      <c r="M551" s="88">
        <f>COUNTIFS('Client DB &amp; Bed Mgmt'!$B:$B,L551,'Client DB &amp; Bed Mgmt'!$E:$E,"Occupied")</f>
        <v/>
      </c>
      <c r="N551" s="88" t="n"/>
      <c r="O551" s="88" t="n"/>
      <c r="P551" s="88" t="n"/>
      <c r="Q551" s="88" t="n"/>
      <c r="R551" s="88" t="n"/>
      <c r="S551" s="88" t="n"/>
      <c r="T551" s="88" t="n"/>
      <c r="U551" s="129" t="n"/>
      <c r="V551" s="129" t="n"/>
    </row>
    <row r="552" ht="14.25" customHeight="1" s="83">
      <c r="A552" s="103" t="n"/>
      <c r="B552" s="125" t="n"/>
      <c r="C552" s="103" t="n"/>
      <c r="D552" s="126" t="n"/>
      <c r="E552" s="126" t="n"/>
      <c r="F552" s="127">
        <f>IF(D552="","",MAX(D552-E552,0))</f>
        <v/>
      </c>
      <c r="G552" s="130">
        <f>IF(E552="","",E552*GeneratorRate)</f>
        <v/>
      </c>
      <c r="H552" s="130">
        <f>IF(F552="","",F552*GovernmentRate)</f>
        <v/>
      </c>
      <c r="I552" s="130">
        <f>IF(D552="","",G552+H552)</f>
        <v/>
      </c>
      <c r="J552" s="129">
        <f>IFERROR(I552/COUNTIFS('Client DB &amp; Bed Mgmt'!$A:$A,A552,'Client DB &amp; Bed Mgmt'!$B:$B,C552,'Client DB &amp; Bed Mgmt'!$D:$D,"&lt;&gt;"),0)</f>
        <v/>
      </c>
      <c r="K552" s="88" t="n"/>
      <c r="L552" s="88" t="n"/>
      <c r="M552" s="88">
        <f>COUNTIFS('Client DB &amp; Bed Mgmt'!$B:$B,L552,'Client DB &amp; Bed Mgmt'!$E:$E,"Occupied")</f>
        <v/>
      </c>
      <c r="N552" s="88" t="n"/>
      <c r="O552" s="88" t="n"/>
      <c r="P552" s="88" t="n"/>
      <c r="Q552" s="88" t="n"/>
      <c r="R552" s="88" t="n"/>
      <c r="S552" s="88" t="n"/>
      <c r="T552" s="88" t="n"/>
      <c r="U552" s="129" t="n"/>
      <c r="V552" s="129" t="n"/>
    </row>
    <row r="553" ht="14.25" customHeight="1" s="83">
      <c r="A553" s="103" t="n"/>
      <c r="B553" s="125" t="n"/>
      <c r="C553" s="103" t="n"/>
      <c r="D553" s="126" t="n"/>
      <c r="E553" s="126" t="n"/>
      <c r="F553" s="127">
        <f>IF(D553="","",MAX(D553-E553,0))</f>
        <v/>
      </c>
      <c r="G553" s="130">
        <f>IF(E553="","",E553*GeneratorRate)</f>
        <v/>
      </c>
      <c r="H553" s="130">
        <f>IF(F553="","",F553*GovernmentRate)</f>
        <v/>
      </c>
      <c r="I553" s="130">
        <f>IF(D553="","",G553+H553)</f>
        <v/>
      </c>
      <c r="J553" s="129">
        <f>IFERROR(I553/COUNTIFS('Client DB &amp; Bed Mgmt'!$A:$A,A553,'Client DB &amp; Bed Mgmt'!$B:$B,C553,'Client DB &amp; Bed Mgmt'!$D:$D,"&lt;&gt;"),0)</f>
        <v/>
      </c>
      <c r="K553" s="88" t="n"/>
      <c r="L553" s="88" t="n"/>
      <c r="M553" s="88">
        <f>COUNTIFS('Client DB &amp; Bed Mgmt'!$B:$B,L553,'Client DB &amp; Bed Mgmt'!$E:$E,"Occupied")</f>
        <v/>
      </c>
      <c r="N553" s="88" t="n"/>
      <c r="O553" s="88" t="n"/>
      <c r="P553" s="88" t="n"/>
      <c r="Q553" s="88" t="n"/>
      <c r="R553" s="88" t="n"/>
      <c r="S553" s="88" t="n"/>
      <c r="T553" s="88" t="n"/>
      <c r="U553" s="129" t="n"/>
      <c r="V553" s="129" t="n"/>
    </row>
    <row r="554" ht="14.25" customHeight="1" s="83">
      <c r="A554" s="103" t="n"/>
      <c r="B554" s="125" t="n"/>
      <c r="C554" s="103" t="n"/>
      <c r="D554" s="126" t="n"/>
      <c r="E554" s="126" t="n"/>
      <c r="F554" s="127">
        <f>IF(D554="","",MAX(D554-E554,0))</f>
        <v/>
      </c>
      <c r="G554" s="130">
        <f>IF(E554="","",E554*GeneratorRate)</f>
        <v/>
      </c>
      <c r="H554" s="130">
        <f>IF(F554="","",F554*GovernmentRate)</f>
        <v/>
      </c>
      <c r="I554" s="130">
        <f>IF(D554="","",G554+H554)</f>
        <v/>
      </c>
      <c r="J554" s="129">
        <f>IFERROR(I554/COUNTIFS('Client DB &amp; Bed Mgmt'!$A:$A,A554,'Client DB &amp; Bed Mgmt'!$B:$B,C554,'Client DB &amp; Bed Mgmt'!$D:$D,"&lt;&gt;"),0)</f>
        <v/>
      </c>
      <c r="K554" s="88" t="n"/>
      <c r="L554" s="88" t="n"/>
      <c r="M554" s="88">
        <f>COUNTIFS('Client DB &amp; Bed Mgmt'!$B:$B,L554,'Client DB &amp; Bed Mgmt'!$E:$E,"Occupied")</f>
        <v/>
      </c>
      <c r="N554" s="88" t="n"/>
      <c r="O554" s="88" t="n"/>
      <c r="P554" s="88" t="n"/>
      <c r="Q554" s="88" t="n"/>
      <c r="R554" s="88" t="n"/>
      <c r="S554" s="88" t="n"/>
      <c r="T554" s="88" t="n"/>
      <c r="U554" s="129" t="n"/>
      <c r="V554" s="129" t="n"/>
    </row>
    <row r="555" ht="14.25" customHeight="1" s="83">
      <c r="A555" s="103" t="n"/>
      <c r="B555" s="125" t="n"/>
      <c r="C555" s="103" t="n"/>
      <c r="D555" s="126" t="n"/>
      <c r="E555" s="126" t="n"/>
      <c r="F555" s="127">
        <f>IF(D555="","",MAX(D555-E555,0))</f>
        <v/>
      </c>
      <c r="G555" s="130">
        <f>IF(E555="","",E555*GeneratorRate)</f>
        <v/>
      </c>
      <c r="H555" s="130">
        <f>IF(F555="","",F555*GovernmentRate)</f>
        <v/>
      </c>
      <c r="I555" s="130">
        <f>IF(D555="","",G555+H555)</f>
        <v/>
      </c>
      <c r="J555" s="129">
        <f>IFERROR(I555/COUNTIFS('Client DB &amp; Bed Mgmt'!$A:$A,A555,'Client DB &amp; Bed Mgmt'!$B:$B,C555,'Client DB &amp; Bed Mgmt'!$D:$D,"&lt;&gt;"),0)</f>
        <v/>
      </c>
      <c r="K555" s="88" t="n"/>
      <c r="L555" s="88" t="n"/>
      <c r="M555" s="88">
        <f>COUNTIFS('Client DB &amp; Bed Mgmt'!$B:$B,L555,'Client DB &amp; Bed Mgmt'!$E:$E,"Occupied")</f>
        <v/>
      </c>
      <c r="N555" s="88" t="n"/>
      <c r="O555" s="88" t="n"/>
      <c r="P555" s="88" t="n"/>
      <c r="Q555" s="88" t="n"/>
      <c r="R555" s="88" t="n"/>
      <c r="S555" s="88" t="n"/>
      <c r="T555" s="88" t="n"/>
      <c r="U555" s="129" t="n"/>
      <c r="V555" s="129" t="n"/>
    </row>
    <row r="556" ht="14.25" customHeight="1" s="83">
      <c r="A556" s="103" t="n"/>
      <c r="B556" s="125" t="n"/>
      <c r="C556" s="103" t="n"/>
      <c r="D556" s="126" t="n"/>
      <c r="E556" s="126" t="n"/>
      <c r="F556" s="127">
        <f>IF(D556="","",MAX(D556-E556,0))</f>
        <v/>
      </c>
      <c r="G556" s="130">
        <f>IF(E556="","",E556*GeneratorRate)</f>
        <v/>
      </c>
      <c r="H556" s="130">
        <f>IF(F556="","",F556*GovernmentRate)</f>
        <v/>
      </c>
      <c r="I556" s="130">
        <f>IF(D556="","",G556+H556)</f>
        <v/>
      </c>
      <c r="J556" s="129">
        <f>IFERROR(I556/COUNTIFS('Client DB &amp; Bed Mgmt'!$A:$A,A556,'Client DB &amp; Bed Mgmt'!$B:$B,C556,'Client DB &amp; Bed Mgmt'!$D:$D,"&lt;&gt;"),0)</f>
        <v/>
      </c>
      <c r="K556" s="88" t="n"/>
      <c r="L556" s="88" t="n"/>
      <c r="M556" s="88">
        <f>COUNTIFS('Client DB &amp; Bed Mgmt'!$B:$B,L556,'Client DB &amp; Bed Mgmt'!$E:$E,"Occupied")</f>
        <v/>
      </c>
      <c r="N556" s="88" t="n"/>
      <c r="O556" s="88" t="n"/>
      <c r="P556" s="88" t="n"/>
      <c r="Q556" s="88" t="n"/>
      <c r="R556" s="88" t="n"/>
      <c r="S556" s="88" t="n"/>
      <c r="T556" s="88" t="n"/>
      <c r="U556" s="129" t="n"/>
      <c r="V556" s="129" t="n"/>
    </row>
    <row r="557" ht="14.25" customHeight="1" s="83">
      <c r="A557" s="103" t="n"/>
      <c r="B557" s="125" t="n"/>
      <c r="C557" s="103" t="n"/>
      <c r="D557" s="126" t="n"/>
      <c r="E557" s="126" t="n"/>
      <c r="F557" s="127">
        <f>IF(D557="","",MAX(D557-E557,0))</f>
        <v/>
      </c>
      <c r="G557" s="130">
        <f>IF(E557="","",E557*GeneratorRate)</f>
        <v/>
      </c>
      <c r="H557" s="130">
        <f>IF(F557="","",F557*GovernmentRate)</f>
        <v/>
      </c>
      <c r="I557" s="130">
        <f>IF(D557="","",G557+H557)</f>
        <v/>
      </c>
      <c r="J557" s="129">
        <f>IFERROR(I557/COUNTIFS('Client DB &amp; Bed Mgmt'!$A:$A,A557,'Client DB &amp; Bed Mgmt'!$B:$B,C557,'Client DB &amp; Bed Mgmt'!$D:$D,"&lt;&gt;"),0)</f>
        <v/>
      </c>
      <c r="K557" s="88" t="n"/>
      <c r="L557" s="88" t="n"/>
      <c r="M557" s="88">
        <f>COUNTIFS('Client DB &amp; Bed Mgmt'!$B:$B,L557,'Client DB &amp; Bed Mgmt'!$E:$E,"Occupied")</f>
        <v/>
      </c>
      <c r="N557" s="88" t="n"/>
      <c r="O557" s="88" t="n"/>
      <c r="P557" s="88" t="n"/>
      <c r="Q557" s="88" t="n"/>
      <c r="R557" s="88" t="n"/>
      <c r="S557" s="88" t="n"/>
      <c r="T557" s="88" t="n"/>
      <c r="U557" s="129" t="n"/>
      <c r="V557" s="129" t="n"/>
    </row>
    <row r="558" ht="14.25" customHeight="1" s="83">
      <c r="A558" s="103" t="n"/>
      <c r="B558" s="125" t="n"/>
      <c r="C558" s="103" t="n"/>
      <c r="D558" s="126" t="n"/>
      <c r="E558" s="126" t="n"/>
      <c r="F558" s="127">
        <f>IF(D558="","",MAX(D558-E558,0))</f>
        <v/>
      </c>
      <c r="G558" s="130">
        <f>IF(E558="","",E558*GeneratorRate)</f>
        <v/>
      </c>
      <c r="H558" s="130">
        <f>IF(F558="","",F558*GovernmentRate)</f>
        <v/>
      </c>
      <c r="I558" s="130">
        <f>IF(D558="","",G558+H558)</f>
        <v/>
      </c>
      <c r="J558" s="129">
        <f>IFERROR(I558/COUNTIFS('Client DB &amp; Bed Mgmt'!$A:$A,A558,'Client DB &amp; Bed Mgmt'!$B:$B,C558,'Client DB &amp; Bed Mgmt'!$D:$D,"&lt;&gt;"),0)</f>
        <v/>
      </c>
      <c r="K558" s="88" t="n"/>
      <c r="L558" s="88" t="n"/>
      <c r="M558" s="88">
        <f>COUNTIFS('Client DB &amp; Bed Mgmt'!$B:$B,L558,'Client DB &amp; Bed Mgmt'!$E:$E,"Occupied")</f>
        <v/>
      </c>
      <c r="N558" s="88" t="n"/>
      <c r="O558" s="88" t="n"/>
      <c r="P558" s="88" t="n"/>
      <c r="Q558" s="88" t="n"/>
      <c r="R558" s="88" t="n"/>
      <c r="S558" s="88" t="n"/>
      <c r="T558" s="88" t="n"/>
      <c r="U558" s="129" t="n"/>
      <c r="V558" s="129" t="n"/>
    </row>
    <row r="559" ht="14.25" customHeight="1" s="83">
      <c r="A559" s="103" t="n"/>
      <c r="B559" s="125" t="n"/>
      <c r="C559" s="103" t="n"/>
      <c r="D559" s="126" t="n"/>
      <c r="E559" s="126" t="n"/>
      <c r="F559" s="127">
        <f>IF(D559="","",MAX(D559-E559,0))</f>
        <v/>
      </c>
      <c r="G559" s="130">
        <f>IF(E559="","",E559*GeneratorRate)</f>
        <v/>
      </c>
      <c r="H559" s="130">
        <f>IF(F559="","",F559*GovernmentRate)</f>
        <v/>
      </c>
      <c r="I559" s="130">
        <f>IF(D559="","",G559+H559)</f>
        <v/>
      </c>
      <c r="J559" s="129">
        <f>IFERROR(I559/COUNTIFS('Client DB &amp; Bed Mgmt'!$A:$A,A559,'Client DB &amp; Bed Mgmt'!$B:$B,C559,'Client DB &amp; Bed Mgmt'!$D:$D,"&lt;&gt;"),0)</f>
        <v/>
      </c>
      <c r="K559" s="88" t="n"/>
      <c r="L559" s="88" t="n"/>
      <c r="M559" s="88">
        <f>COUNTIFS('Client DB &amp; Bed Mgmt'!$B:$B,L559,'Client DB &amp; Bed Mgmt'!$E:$E,"Occupied")</f>
        <v/>
      </c>
      <c r="N559" s="88" t="n"/>
      <c r="O559" s="88" t="n"/>
      <c r="P559" s="88" t="n"/>
      <c r="Q559" s="88" t="n"/>
      <c r="R559" s="88" t="n"/>
      <c r="S559" s="88" t="n"/>
      <c r="T559" s="88" t="n"/>
      <c r="U559" s="129" t="n"/>
      <c r="V559" s="129" t="n"/>
    </row>
    <row r="560" ht="14.25" customHeight="1" s="83">
      <c r="A560" s="103" t="n"/>
      <c r="B560" s="125" t="n"/>
      <c r="C560" s="103" t="n"/>
      <c r="D560" s="126" t="n"/>
      <c r="E560" s="126" t="n"/>
      <c r="F560" s="127">
        <f>IF(D560="","",MAX(D560-E560,0))</f>
        <v/>
      </c>
      <c r="G560" s="130">
        <f>IF(E560="","",E560*GeneratorRate)</f>
        <v/>
      </c>
      <c r="H560" s="130">
        <f>IF(F560="","",F560*GovernmentRate)</f>
        <v/>
      </c>
      <c r="I560" s="130">
        <f>IF(D560="","",G560+H560)</f>
        <v/>
      </c>
      <c r="J560" s="129">
        <f>IFERROR(I560/COUNTIFS('Client DB &amp; Bed Mgmt'!$A:$A,A560,'Client DB &amp; Bed Mgmt'!$B:$B,C560,'Client DB &amp; Bed Mgmt'!$D:$D,"&lt;&gt;"),0)</f>
        <v/>
      </c>
      <c r="K560" s="88" t="n"/>
      <c r="L560" s="88" t="n"/>
      <c r="M560" s="88">
        <f>COUNTIFS('Client DB &amp; Bed Mgmt'!$B:$B,L560,'Client DB &amp; Bed Mgmt'!$E:$E,"Occupied")</f>
        <v/>
      </c>
      <c r="N560" s="88" t="n"/>
      <c r="O560" s="88" t="n"/>
      <c r="P560" s="88" t="n"/>
      <c r="Q560" s="88" t="n"/>
      <c r="R560" s="88" t="n"/>
      <c r="S560" s="88" t="n"/>
      <c r="T560" s="88" t="n"/>
      <c r="U560" s="129" t="n"/>
      <c r="V560" s="129" t="n"/>
    </row>
    <row r="561" ht="14.25" customHeight="1" s="83">
      <c r="A561" s="103" t="n"/>
      <c r="B561" s="125" t="n"/>
      <c r="C561" s="103" t="n"/>
      <c r="D561" s="126" t="n"/>
      <c r="E561" s="126" t="n"/>
      <c r="F561" s="127">
        <f>IF(D561="","",MAX(D561-E561,0))</f>
        <v/>
      </c>
      <c r="G561" s="130">
        <f>IF(E561="","",E561*GeneratorRate)</f>
        <v/>
      </c>
      <c r="H561" s="130">
        <f>IF(F561="","",F561*GovernmentRate)</f>
        <v/>
      </c>
      <c r="I561" s="130">
        <f>IF(D561="","",G561+H561)</f>
        <v/>
      </c>
      <c r="J561" s="129">
        <f>IFERROR(I561/COUNTIFS('Client DB &amp; Bed Mgmt'!$A:$A,A561,'Client DB &amp; Bed Mgmt'!$B:$B,C561,'Client DB &amp; Bed Mgmt'!$D:$D,"&lt;&gt;"),0)</f>
        <v/>
      </c>
      <c r="K561" s="88" t="n"/>
      <c r="L561" s="88" t="n"/>
      <c r="M561" s="88">
        <f>COUNTIFS('Client DB &amp; Bed Mgmt'!$B:$B,L561,'Client DB &amp; Bed Mgmt'!$E:$E,"Occupied")</f>
        <v/>
      </c>
      <c r="N561" s="88" t="n"/>
      <c r="O561" s="88" t="n"/>
      <c r="P561" s="88" t="n"/>
      <c r="Q561" s="88" t="n"/>
      <c r="R561" s="88" t="n"/>
      <c r="S561" s="88" t="n"/>
      <c r="T561" s="88" t="n"/>
      <c r="U561" s="129" t="n"/>
      <c r="V561" s="129" t="n"/>
    </row>
    <row r="562" ht="14.25" customHeight="1" s="83">
      <c r="A562" s="103" t="n"/>
      <c r="B562" s="125" t="n"/>
      <c r="C562" s="103" t="n"/>
      <c r="D562" s="126" t="n"/>
      <c r="E562" s="126" t="n"/>
      <c r="F562" s="127">
        <f>IF(D562="","",MAX(D562-E562,0))</f>
        <v/>
      </c>
      <c r="G562" s="130">
        <f>IF(E562="","",E562*GeneratorRate)</f>
        <v/>
      </c>
      <c r="H562" s="130">
        <f>IF(F562="","",F562*GovernmentRate)</f>
        <v/>
      </c>
      <c r="I562" s="130">
        <f>IF(D562="","",G562+H562)</f>
        <v/>
      </c>
      <c r="J562" s="129">
        <f>IFERROR(I562/COUNTIFS('Client DB &amp; Bed Mgmt'!$A:$A,A562,'Client DB &amp; Bed Mgmt'!$B:$B,C562,'Client DB &amp; Bed Mgmt'!$D:$D,"&lt;&gt;"),0)</f>
        <v/>
      </c>
      <c r="K562" s="88" t="n"/>
      <c r="L562" s="88" t="n"/>
      <c r="M562" s="88">
        <f>COUNTIFS('Client DB &amp; Bed Mgmt'!$B:$B,L562,'Client DB &amp; Bed Mgmt'!$E:$E,"Occupied")</f>
        <v/>
      </c>
      <c r="N562" s="88" t="n"/>
      <c r="O562" s="88" t="n"/>
      <c r="P562" s="88" t="n"/>
      <c r="Q562" s="88" t="n"/>
      <c r="R562" s="88" t="n"/>
      <c r="S562" s="88" t="n"/>
      <c r="T562" s="88" t="n"/>
      <c r="U562" s="129" t="n"/>
      <c r="V562" s="129" t="n"/>
    </row>
    <row r="563" ht="14.25" customHeight="1" s="83">
      <c r="A563" s="103" t="n"/>
      <c r="B563" s="125" t="n"/>
      <c r="C563" s="103" t="n"/>
      <c r="D563" s="126" t="n"/>
      <c r="E563" s="126" t="n"/>
      <c r="F563" s="127">
        <f>IF(D563="","",MAX(D563-E563,0))</f>
        <v/>
      </c>
      <c r="G563" s="130">
        <f>IF(E563="","",E563*GeneratorRate)</f>
        <v/>
      </c>
      <c r="H563" s="130">
        <f>IF(F563="","",F563*GovernmentRate)</f>
        <v/>
      </c>
      <c r="I563" s="130">
        <f>IF(D563="","",G563+H563)</f>
        <v/>
      </c>
      <c r="J563" s="129">
        <f>IFERROR(I563/COUNTIFS('Client DB &amp; Bed Mgmt'!$A:$A,A563,'Client DB &amp; Bed Mgmt'!$B:$B,C563,'Client DB &amp; Bed Mgmt'!$D:$D,"&lt;&gt;"),0)</f>
        <v/>
      </c>
      <c r="K563" s="88" t="n"/>
      <c r="L563" s="88" t="n"/>
      <c r="M563" s="88">
        <f>COUNTIFS('Client DB &amp; Bed Mgmt'!$B:$B,L563,'Client DB &amp; Bed Mgmt'!$E:$E,"Occupied")</f>
        <v/>
      </c>
      <c r="N563" s="88" t="n"/>
      <c r="O563" s="88" t="n"/>
      <c r="P563" s="88" t="n"/>
      <c r="Q563" s="88" t="n"/>
      <c r="R563" s="88" t="n"/>
      <c r="S563" s="88" t="n"/>
      <c r="T563" s="88" t="n"/>
      <c r="U563" s="129" t="n"/>
      <c r="V563" s="129" t="n"/>
    </row>
    <row r="564" ht="14.25" customHeight="1" s="83">
      <c r="A564" s="103" t="n"/>
      <c r="B564" s="125" t="n"/>
      <c r="C564" s="103" t="n"/>
      <c r="D564" s="126" t="n"/>
      <c r="E564" s="126" t="n"/>
      <c r="F564" s="127">
        <f>IF(D564="","",MAX(D564-E564,0))</f>
        <v/>
      </c>
      <c r="G564" s="130">
        <f>IF(E564="","",E564*GeneratorRate)</f>
        <v/>
      </c>
      <c r="H564" s="130">
        <f>IF(F564="","",F564*GovernmentRate)</f>
        <v/>
      </c>
      <c r="I564" s="130">
        <f>IF(D564="","",G564+H564)</f>
        <v/>
      </c>
      <c r="J564" s="129">
        <f>IFERROR(I564/COUNTIFS('Client DB &amp; Bed Mgmt'!$A:$A,A564,'Client DB &amp; Bed Mgmt'!$B:$B,C564,'Client DB &amp; Bed Mgmt'!$D:$D,"&lt;&gt;"),0)</f>
        <v/>
      </c>
      <c r="K564" s="88" t="n"/>
      <c r="L564" s="88" t="n"/>
      <c r="M564" s="88">
        <f>COUNTIFS('Client DB &amp; Bed Mgmt'!$B:$B,L564,'Client DB &amp; Bed Mgmt'!$E:$E,"Occupied")</f>
        <v/>
      </c>
      <c r="N564" s="88" t="n"/>
      <c r="O564" s="88" t="n"/>
      <c r="P564" s="88" t="n"/>
      <c r="Q564" s="88" t="n"/>
      <c r="R564" s="88" t="n"/>
      <c r="S564" s="88" t="n"/>
      <c r="T564" s="88" t="n"/>
      <c r="U564" s="129" t="n"/>
      <c r="V564" s="129" t="n"/>
    </row>
    <row r="565" ht="14.25" customHeight="1" s="83">
      <c r="A565" s="103" t="n"/>
      <c r="B565" s="125" t="n"/>
      <c r="C565" s="103" t="n"/>
      <c r="D565" s="126" t="n"/>
      <c r="E565" s="126" t="n"/>
      <c r="F565" s="127">
        <f>IF(D565="","",MAX(D565-E565,0))</f>
        <v/>
      </c>
      <c r="G565" s="130">
        <f>IF(E565="","",E565*GeneratorRate)</f>
        <v/>
      </c>
      <c r="H565" s="130">
        <f>IF(F565="","",F565*GovernmentRate)</f>
        <v/>
      </c>
      <c r="I565" s="130">
        <f>IF(D565="","",G565+H565)</f>
        <v/>
      </c>
      <c r="J565" s="129">
        <f>IFERROR(I565/COUNTIFS('Client DB &amp; Bed Mgmt'!$A:$A,A565,'Client DB &amp; Bed Mgmt'!$B:$B,C565,'Client DB &amp; Bed Mgmt'!$D:$D,"&lt;&gt;"),0)</f>
        <v/>
      </c>
      <c r="K565" s="88" t="n"/>
      <c r="L565" s="88" t="n"/>
      <c r="M565" s="88">
        <f>COUNTIFS('Client DB &amp; Bed Mgmt'!$B:$B,L565,'Client DB &amp; Bed Mgmt'!$E:$E,"Occupied")</f>
        <v/>
      </c>
      <c r="N565" s="88" t="n"/>
      <c r="O565" s="88" t="n"/>
      <c r="P565" s="88" t="n"/>
      <c r="Q565" s="88" t="n"/>
      <c r="R565" s="88" t="n"/>
      <c r="S565" s="88" t="n"/>
      <c r="T565" s="88" t="n"/>
      <c r="U565" s="129" t="n"/>
      <c r="V565" s="129" t="n"/>
    </row>
    <row r="566" ht="14.25" customHeight="1" s="83">
      <c r="A566" s="103" t="n"/>
      <c r="B566" s="125" t="n"/>
      <c r="C566" s="103" t="n"/>
      <c r="D566" s="126" t="n"/>
      <c r="E566" s="126" t="n"/>
      <c r="F566" s="127">
        <f>IF(D566="","",MAX(D566-E566,0))</f>
        <v/>
      </c>
      <c r="G566" s="130">
        <f>IF(E566="","",E566*GeneratorRate)</f>
        <v/>
      </c>
      <c r="H566" s="130">
        <f>IF(F566="","",F566*GovernmentRate)</f>
        <v/>
      </c>
      <c r="I566" s="130">
        <f>IF(D566="","",G566+H566)</f>
        <v/>
      </c>
      <c r="J566" s="129">
        <f>IFERROR(I566/COUNTIFS('Client DB &amp; Bed Mgmt'!$A:$A,A566,'Client DB &amp; Bed Mgmt'!$B:$B,C566,'Client DB &amp; Bed Mgmt'!$D:$D,"&lt;&gt;"),0)</f>
        <v/>
      </c>
      <c r="K566" s="88" t="n"/>
      <c r="L566" s="88" t="n"/>
      <c r="M566" s="88">
        <f>COUNTIFS('Client DB &amp; Bed Mgmt'!$B:$B,L566,'Client DB &amp; Bed Mgmt'!$E:$E,"Occupied")</f>
        <v/>
      </c>
      <c r="N566" s="88" t="n"/>
      <c r="O566" s="88" t="n"/>
      <c r="P566" s="88" t="n"/>
      <c r="Q566" s="88" t="n"/>
      <c r="R566" s="88" t="n"/>
      <c r="S566" s="88" t="n"/>
      <c r="T566" s="88" t="n"/>
      <c r="U566" s="129" t="n"/>
      <c r="V566" s="129" t="n"/>
    </row>
    <row r="567" ht="14.25" customHeight="1" s="83">
      <c r="A567" s="103" t="n"/>
      <c r="B567" s="125" t="n"/>
      <c r="C567" s="103" t="n"/>
      <c r="D567" s="126" t="n"/>
      <c r="E567" s="126" t="n"/>
      <c r="F567" s="127">
        <f>IF(D567="","",MAX(D567-E567,0))</f>
        <v/>
      </c>
      <c r="G567" s="130">
        <f>IF(E567="","",E567*GeneratorRate)</f>
        <v/>
      </c>
      <c r="H567" s="130">
        <f>IF(F567="","",F567*GovernmentRate)</f>
        <v/>
      </c>
      <c r="I567" s="130">
        <f>IF(D567="","",G567+H567)</f>
        <v/>
      </c>
      <c r="J567" s="129">
        <f>IFERROR(I567/COUNTIFS('Client DB &amp; Bed Mgmt'!$A:$A,A567,'Client DB &amp; Bed Mgmt'!$B:$B,C567,'Client DB &amp; Bed Mgmt'!$D:$D,"&lt;&gt;"),0)</f>
        <v/>
      </c>
      <c r="K567" s="88" t="n"/>
      <c r="L567" s="88" t="n"/>
      <c r="M567" s="88">
        <f>COUNTIFS('Client DB &amp; Bed Mgmt'!$B:$B,L567,'Client DB &amp; Bed Mgmt'!$E:$E,"Occupied")</f>
        <v/>
      </c>
      <c r="N567" s="88" t="n"/>
      <c r="O567" s="88" t="n"/>
      <c r="P567" s="88" t="n"/>
      <c r="Q567" s="88" t="n"/>
      <c r="R567" s="88" t="n"/>
      <c r="S567" s="88" t="n"/>
      <c r="T567" s="88" t="n"/>
      <c r="U567" s="129" t="n"/>
      <c r="V567" s="129" t="n"/>
    </row>
    <row r="568" ht="14.25" customHeight="1" s="83">
      <c r="A568" s="103" t="n"/>
      <c r="B568" s="125" t="n"/>
      <c r="C568" s="103" t="n"/>
      <c r="D568" s="126" t="n"/>
      <c r="E568" s="126" t="n"/>
      <c r="F568" s="127">
        <f>IF(D568="","",MAX(D568-E568,0))</f>
        <v/>
      </c>
      <c r="G568" s="130">
        <f>IF(E568="","",E568*GeneratorRate)</f>
        <v/>
      </c>
      <c r="H568" s="130">
        <f>IF(F568="","",F568*GovernmentRate)</f>
        <v/>
      </c>
      <c r="I568" s="130">
        <f>IF(D568="","",G568+H568)</f>
        <v/>
      </c>
      <c r="J568" s="129">
        <f>IFERROR(I568/COUNTIFS('Client DB &amp; Bed Mgmt'!$A:$A,A568,'Client DB &amp; Bed Mgmt'!$B:$B,C568,'Client DB &amp; Bed Mgmt'!$D:$D,"&lt;&gt;"),0)</f>
        <v/>
      </c>
      <c r="K568" s="88" t="n"/>
      <c r="L568" s="88" t="n"/>
      <c r="M568" s="88">
        <f>COUNTIFS('Client DB &amp; Bed Mgmt'!$B:$B,L568,'Client DB &amp; Bed Mgmt'!$E:$E,"Occupied")</f>
        <v/>
      </c>
      <c r="N568" s="88" t="n"/>
      <c r="O568" s="88" t="n"/>
      <c r="P568" s="88" t="n"/>
      <c r="Q568" s="88" t="n"/>
      <c r="R568" s="88" t="n"/>
      <c r="S568" s="88" t="n"/>
      <c r="T568" s="88" t="n"/>
      <c r="U568" s="129" t="n"/>
      <c r="V568" s="129" t="n"/>
    </row>
    <row r="569" ht="14.25" customHeight="1" s="83">
      <c r="A569" s="103" t="n"/>
      <c r="B569" s="125" t="n"/>
      <c r="C569" s="103" t="n"/>
      <c r="D569" s="126" t="n"/>
      <c r="E569" s="126" t="n"/>
      <c r="F569" s="127">
        <f>IF(D569="","",MAX(D569-E569,0))</f>
        <v/>
      </c>
      <c r="G569" s="130">
        <f>IF(E569="","",E569*GeneratorRate)</f>
        <v/>
      </c>
      <c r="H569" s="130">
        <f>IF(F569="","",F569*GovernmentRate)</f>
        <v/>
      </c>
      <c r="I569" s="130">
        <f>IF(D569="","",G569+H569)</f>
        <v/>
      </c>
      <c r="J569" s="129">
        <f>IFERROR(I569/COUNTIFS('Client DB &amp; Bed Mgmt'!$A:$A,A569,'Client DB &amp; Bed Mgmt'!$B:$B,C569,'Client DB &amp; Bed Mgmt'!$D:$D,"&lt;&gt;"),0)</f>
        <v/>
      </c>
      <c r="K569" s="88" t="n"/>
      <c r="L569" s="88" t="n"/>
      <c r="M569" s="88">
        <f>COUNTIFS('Client DB &amp; Bed Mgmt'!$B:$B,L569,'Client DB &amp; Bed Mgmt'!$E:$E,"Occupied")</f>
        <v/>
      </c>
      <c r="N569" s="88" t="n"/>
      <c r="O569" s="88" t="n"/>
      <c r="P569" s="88" t="n"/>
      <c r="Q569" s="88" t="n"/>
      <c r="R569" s="88" t="n"/>
      <c r="S569" s="88" t="n"/>
      <c r="T569" s="88" t="n"/>
      <c r="U569" s="129" t="n"/>
      <c r="V569" s="129" t="n"/>
    </row>
    <row r="570" ht="14.25" customHeight="1" s="83">
      <c r="A570" s="103" t="n"/>
      <c r="B570" s="125" t="n"/>
      <c r="C570" s="103" t="n"/>
      <c r="D570" s="126" t="n"/>
      <c r="E570" s="126" t="n"/>
      <c r="F570" s="127">
        <f>IF(D570="","",MAX(D570-E570,0))</f>
        <v/>
      </c>
      <c r="G570" s="130">
        <f>IF(E570="","",E570*GeneratorRate)</f>
        <v/>
      </c>
      <c r="H570" s="130">
        <f>IF(F570="","",F570*GovernmentRate)</f>
        <v/>
      </c>
      <c r="I570" s="130">
        <f>IF(D570="","",G570+H570)</f>
        <v/>
      </c>
      <c r="J570" s="129">
        <f>IFERROR(I570/COUNTIFS('Client DB &amp; Bed Mgmt'!$A:$A,A570,'Client DB &amp; Bed Mgmt'!$B:$B,C570,'Client DB &amp; Bed Mgmt'!$D:$D,"&lt;&gt;"),0)</f>
        <v/>
      </c>
      <c r="K570" s="88" t="n"/>
      <c r="L570" s="88" t="n"/>
      <c r="M570" s="88">
        <f>COUNTIFS('Client DB &amp; Bed Mgmt'!$B:$B,L570,'Client DB &amp; Bed Mgmt'!$E:$E,"Occupied")</f>
        <v/>
      </c>
      <c r="N570" s="88" t="n"/>
      <c r="O570" s="88" t="n"/>
      <c r="P570" s="88" t="n"/>
      <c r="Q570" s="88" t="n"/>
      <c r="R570" s="88" t="n"/>
      <c r="S570" s="88" t="n"/>
      <c r="T570" s="88" t="n"/>
      <c r="U570" s="129" t="n"/>
      <c r="V570" s="129" t="n"/>
    </row>
    <row r="571" ht="14.25" customHeight="1" s="83">
      <c r="A571" s="103" t="n"/>
      <c r="B571" s="125" t="n"/>
      <c r="C571" s="103" t="n"/>
      <c r="D571" s="126" t="n"/>
      <c r="E571" s="126" t="n"/>
      <c r="F571" s="127">
        <f>IF(D571="","",MAX(D571-E571,0))</f>
        <v/>
      </c>
      <c r="G571" s="130">
        <f>IF(E571="","",E571*GeneratorRate)</f>
        <v/>
      </c>
      <c r="H571" s="130">
        <f>IF(F571="","",F571*GovernmentRate)</f>
        <v/>
      </c>
      <c r="I571" s="130">
        <f>IF(D571="","",G571+H571)</f>
        <v/>
      </c>
      <c r="J571" s="129">
        <f>IFERROR(I571/COUNTIFS('Client DB &amp; Bed Mgmt'!$A:$A,A571,'Client DB &amp; Bed Mgmt'!$B:$B,C571,'Client DB &amp; Bed Mgmt'!$D:$D,"&lt;&gt;"),0)</f>
        <v/>
      </c>
      <c r="K571" s="88" t="n"/>
      <c r="L571" s="88" t="n"/>
      <c r="M571" s="88">
        <f>COUNTIFS('Client DB &amp; Bed Mgmt'!$B:$B,L571,'Client DB &amp; Bed Mgmt'!$E:$E,"Occupied")</f>
        <v/>
      </c>
      <c r="N571" s="88" t="n"/>
      <c r="O571" s="88" t="n"/>
      <c r="P571" s="88" t="n"/>
      <c r="Q571" s="88" t="n"/>
      <c r="R571" s="88" t="n"/>
      <c r="S571" s="88" t="n"/>
      <c r="T571" s="88" t="n"/>
      <c r="U571" s="129" t="n"/>
      <c r="V571" s="129" t="n"/>
    </row>
    <row r="572" ht="14.25" customHeight="1" s="83">
      <c r="A572" s="103" t="n"/>
      <c r="B572" s="125" t="n"/>
      <c r="C572" s="103" t="n"/>
      <c r="D572" s="126" t="n"/>
      <c r="E572" s="126" t="n"/>
      <c r="F572" s="127">
        <f>IF(D572="","",MAX(D572-E572,0))</f>
        <v/>
      </c>
      <c r="G572" s="130">
        <f>IF(E572="","",E572*GeneratorRate)</f>
        <v/>
      </c>
      <c r="H572" s="130">
        <f>IF(F572="","",F572*GovernmentRate)</f>
        <v/>
      </c>
      <c r="I572" s="130">
        <f>IF(D572="","",G572+H572)</f>
        <v/>
      </c>
      <c r="J572" s="129">
        <f>IFERROR(I572/COUNTIFS('Client DB &amp; Bed Mgmt'!$A:$A,A572,'Client DB &amp; Bed Mgmt'!$B:$B,C572,'Client DB &amp; Bed Mgmt'!$D:$D,"&lt;&gt;"),0)</f>
        <v/>
      </c>
      <c r="K572" s="88" t="n"/>
      <c r="L572" s="88" t="n"/>
      <c r="M572" s="88">
        <f>COUNTIFS('Client DB &amp; Bed Mgmt'!$B:$B,L572,'Client DB &amp; Bed Mgmt'!$E:$E,"Occupied")</f>
        <v/>
      </c>
      <c r="N572" s="88" t="n"/>
      <c r="O572" s="88" t="n"/>
      <c r="P572" s="88" t="n"/>
      <c r="Q572" s="88" t="n"/>
      <c r="R572" s="88" t="n"/>
      <c r="S572" s="88" t="n"/>
      <c r="T572" s="88" t="n"/>
      <c r="U572" s="129" t="n"/>
      <c r="V572" s="129" t="n"/>
    </row>
    <row r="573" ht="14.25" customHeight="1" s="83">
      <c r="A573" s="103" t="n"/>
      <c r="B573" s="125" t="n"/>
      <c r="C573" s="103" t="n"/>
      <c r="D573" s="126" t="n"/>
      <c r="E573" s="126" t="n"/>
      <c r="F573" s="127">
        <f>IF(D573="","",MAX(D573-E573,0))</f>
        <v/>
      </c>
      <c r="G573" s="130">
        <f>IF(E573="","",E573*GeneratorRate)</f>
        <v/>
      </c>
      <c r="H573" s="130">
        <f>IF(F573="","",F573*GovernmentRate)</f>
        <v/>
      </c>
      <c r="I573" s="130">
        <f>IF(D573="","",G573+H573)</f>
        <v/>
      </c>
      <c r="J573" s="129">
        <f>IFERROR(I573/COUNTIFS('Client DB &amp; Bed Mgmt'!$A:$A,A573,'Client DB &amp; Bed Mgmt'!$B:$B,C573,'Client DB &amp; Bed Mgmt'!$D:$D,"&lt;&gt;"),0)</f>
        <v/>
      </c>
      <c r="K573" s="88" t="n"/>
      <c r="L573" s="88" t="n"/>
      <c r="M573" s="88">
        <f>COUNTIFS('Client DB &amp; Bed Mgmt'!$B:$B,L573,'Client DB &amp; Bed Mgmt'!$E:$E,"Occupied")</f>
        <v/>
      </c>
      <c r="N573" s="88" t="n"/>
      <c r="O573" s="88" t="n"/>
      <c r="P573" s="88" t="n"/>
      <c r="Q573" s="88" t="n"/>
      <c r="R573" s="88" t="n"/>
      <c r="S573" s="88" t="n"/>
      <c r="T573" s="88" t="n"/>
      <c r="U573" s="129" t="n"/>
      <c r="V573" s="129" t="n"/>
    </row>
    <row r="574" ht="14.25" customHeight="1" s="83">
      <c r="A574" s="103" t="n"/>
      <c r="B574" s="125" t="n"/>
      <c r="C574" s="103" t="n"/>
      <c r="D574" s="126" t="n"/>
      <c r="E574" s="126" t="n"/>
      <c r="F574" s="127">
        <f>IF(D574="","",MAX(D574-E574,0))</f>
        <v/>
      </c>
      <c r="G574" s="130">
        <f>IF(E574="","",E574*GeneratorRate)</f>
        <v/>
      </c>
      <c r="H574" s="130">
        <f>IF(F574="","",F574*GovernmentRate)</f>
        <v/>
      </c>
      <c r="I574" s="130">
        <f>IF(D574="","",G574+H574)</f>
        <v/>
      </c>
      <c r="J574" s="129">
        <f>IFERROR(I574/COUNTIFS('Client DB &amp; Bed Mgmt'!$A:$A,A574,'Client DB &amp; Bed Mgmt'!$B:$B,C574,'Client DB &amp; Bed Mgmt'!$D:$D,"&lt;&gt;"),0)</f>
        <v/>
      </c>
      <c r="K574" s="88" t="n"/>
      <c r="L574" s="88" t="n"/>
      <c r="M574" s="88">
        <f>COUNTIFS('Client DB &amp; Bed Mgmt'!$B:$B,L574,'Client DB &amp; Bed Mgmt'!$E:$E,"Occupied")</f>
        <v/>
      </c>
      <c r="N574" s="88" t="n"/>
      <c r="O574" s="88" t="n"/>
      <c r="P574" s="88" t="n"/>
      <c r="Q574" s="88" t="n"/>
      <c r="R574" s="88" t="n"/>
      <c r="S574" s="88" t="n"/>
      <c r="T574" s="88" t="n"/>
      <c r="U574" s="129" t="n"/>
      <c r="V574" s="129" t="n"/>
    </row>
    <row r="575" ht="14.25" customHeight="1" s="83">
      <c r="A575" s="103" t="n"/>
      <c r="B575" s="125" t="n"/>
      <c r="C575" s="103" t="n"/>
      <c r="D575" s="126" t="n"/>
      <c r="E575" s="126" t="n"/>
      <c r="F575" s="127">
        <f>IF(D575="","",MAX(D575-E575,0))</f>
        <v/>
      </c>
      <c r="G575" s="130">
        <f>IF(E575="","",E575*GeneratorRate)</f>
        <v/>
      </c>
      <c r="H575" s="130">
        <f>IF(F575="","",F575*GovernmentRate)</f>
        <v/>
      </c>
      <c r="I575" s="130">
        <f>IF(D575="","",G575+H575)</f>
        <v/>
      </c>
      <c r="J575" s="129">
        <f>IFERROR(I575/COUNTIFS('Client DB &amp; Bed Mgmt'!$A:$A,A575,'Client DB &amp; Bed Mgmt'!$B:$B,C575,'Client DB &amp; Bed Mgmt'!$D:$D,"&lt;&gt;"),0)</f>
        <v/>
      </c>
      <c r="K575" s="88" t="n"/>
      <c r="L575" s="88" t="n"/>
      <c r="M575" s="88">
        <f>COUNTIFS('Client DB &amp; Bed Mgmt'!$B:$B,L575,'Client DB &amp; Bed Mgmt'!$E:$E,"Occupied")</f>
        <v/>
      </c>
      <c r="N575" s="88" t="n"/>
      <c r="O575" s="88" t="n"/>
      <c r="P575" s="88" t="n"/>
      <c r="Q575" s="88" t="n"/>
      <c r="R575" s="88" t="n"/>
      <c r="S575" s="88" t="n"/>
      <c r="T575" s="88" t="n"/>
      <c r="U575" s="129" t="n"/>
      <c r="V575" s="129" t="n"/>
    </row>
    <row r="576" ht="14.25" customHeight="1" s="83">
      <c r="A576" s="103" t="n"/>
      <c r="B576" s="125" t="n"/>
      <c r="C576" s="103" t="n"/>
      <c r="D576" s="126" t="n"/>
      <c r="E576" s="126" t="n"/>
      <c r="F576" s="127">
        <f>IF(D576="","",MAX(D576-E576,0))</f>
        <v/>
      </c>
      <c r="G576" s="130">
        <f>IF(E576="","",E576*GeneratorRate)</f>
        <v/>
      </c>
      <c r="H576" s="130">
        <f>IF(F576="","",F576*GovernmentRate)</f>
        <v/>
      </c>
      <c r="I576" s="130">
        <f>IF(D576="","",G576+H576)</f>
        <v/>
      </c>
      <c r="J576" s="129">
        <f>IFERROR(I576/COUNTIFS('Client DB &amp; Bed Mgmt'!$A:$A,A576,'Client DB &amp; Bed Mgmt'!$B:$B,C576,'Client DB &amp; Bed Mgmt'!$D:$D,"&lt;&gt;"),0)</f>
        <v/>
      </c>
      <c r="K576" s="88" t="n"/>
      <c r="L576" s="88" t="n"/>
      <c r="M576" s="88">
        <f>COUNTIFS('Client DB &amp; Bed Mgmt'!$B:$B,L576,'Client DB &amp; Bed Mgmt'!$E:$E,"Occupied")</f>
        <v/>
      </c>
      <c r="N576" s="88" t="n"/>
      <c r="O576" s="88" t="n"/>
      <c r="P576" s="88" t="n"/>
      <c r="Q576" s="88" t="n"/>
      <c r="R576" s="88" t="n"/>
      <c r="S576" s="88" t="n"/>
      <c r="T576" s="88" t="n"/>
      <c r="U576" s="129" t="n"/>
      <c r="V576" s="129" t="n"/>
    </row>
    <row r="577" ht="14.25" customHeight="1" s="83">
      <c r="A577" s="103" t="n"/>
      <c r="B577" s="125" t="n"/>
      <c r="C577" s="103" t="n"/>
      <c r="D577" s="126" t="n"/>
      <c r="E577" s="126" t="n"/>
      <c r="F577" s="127">
        <f>IF(D577="","",MAX(D577-E577,0))</f>
        <v/>
      </c>
      <c r="G577" s="130">
        <f>IF(E577="","",E577*GeneratorRate)</f>
        <v/>
      </c>
      <c r="H577" s="130">
        <f>IF(F577="","",F577*GovernmentRate)</f>
        <v/>
      </c>
      <c r="I577" s="130">
        <f>IF(D577="","",G577+H577)</f>
        <v/>
      </c>
      <c r="J577" s="129">
        <f>IFERROR(I577/COUNTIFS('Client DB &amp; Bed Mgmt'!$A:$A,A577,'Client DB &amp; Bed Mgmt'!$B:$B,C577,'Client DB &amp; Bed Mgmt'!$D:$D,"&lt;&gt;"),0)</f>
        <v/>
      </c>
      <c r="K577" s="88" t="n"/>
      <c r="L577" s="88" t="n"/>
      <c r="M577" s="88">
        <f>COUNTIFS('Client DB &amp; Bed Mgmt'!$B:$B,L577,'Client DB &amp; Bed Mgmt'!$E:$E,"Occupied")</f>
        <v/>
      </c>
      <c r="N577" s="88" t="n"/>
      <c r="O577" s="88" t="n"/>
      <c r="P577" s="88" t="n"/>
      <c r="Q577" s="88" t="n"/>
      <c r="R577" s="88" t="n"/>
      <c r="S577" s="88" t="n"/>
      <c r="T577" s="88" t="n"/>
      <c r="U577" s="129" t="n"/>
      <c r="V577" s="129" t="n"/>
    </row>
    <row r="578" ht="14.25" customHeight="1" s="83">
      <c r="A578" s="103" t="n"/>
      <c r="B578" s="125" t="n"/>
      <c r="C578" s="103" t="n"/>
      <c r="D578" s="126" t="n"/>
      <c r="E578" s="126" t="n"/>
      <c r="F578" s="127">
        <f>IF(D578="","",MAX(D578-E578,0))</f>
        <v/>
      </c>
      <c r="G578" s="130">
        <f>IF(E578="","",E578*GeneratorRate)</f>
        <v/>
      </c>
      <c r="H578" s="130">
        <f>IF(F578="","",F578*GovernmentRate)</f>
        <v/>
      </c>
      <c r="I578" s="130">
        <f>IF(D578="","",G578+H578)</f>
        <v/>
      </c>
      <c r="J578" s="129">
        <f>IFERROR(I578/COUNTIFS('Client DB &amp; Bed Mgmt'!$A:$A,A578,'Client DB &amp; Bed Mgmt'!$B:$B,C578,'Client DB &amp; Bed Mgmt'!$D:$D,"&lt;&gt;"),0)</f>
        <v/>
      </c>
      <c r="K578" s="88" t="n"/>
      <c r="L578" s="88" t="n"/>
      <c r="M578" s="88">
        <f>COUNTIFS('Client DB &amp; Bed Mgmt'!$B:$B,L578,'Client DB &amp; Bed Mgmt'!$E:$E,"Occupied")</f>
        <v/>
      </c>
      <c r="N578" s="88" t="n"/>
      <c r="O578" s="88" t="n"/>
      <c r="P578" s="88" t="n"/>
      <c r="Q578" s="88" t="n"/>
      <c r="R578" s="88" t="n"/>
      <c r="S578" s="88" t="n"/>
      <c r="T578" s="88" t="n"/>
      <c r="U578" s="129" t="n"/>
      <c r="V578" s="129" t="n"/>
    </row>
    <row r="579" ht="14.25" customHeight="1" s="83">
      <c r="A579" s="103" t="n"/>
      <c r="B579" s="125" t="n"/>
      <c r="C579" s="103" t="n"/>
      <c r="D579" s="126" t="n"/>
      <c r="E579" s="126" t="n"/>
      <c r="F579" s="127">
        <f>IF(D579="","",MAX(D579-E579,0))</f>
        <v/>
      </c>
      <c r="G579" s="130">
        <f>IF(E579="","",E579*GeneratorRate)</f>
        <v/>
      </c>
      <c r="H579" s="130">
        <f>IF(F579="","",F579*GovernmentRate)</f>
        <v/>
      </c>
      <c r="I579" s="130">
        <f>IF(D579="","",G579+H579)</f>
        <v/>
      </c>
      <c r="J579" s="129">
        <f>IFERROR(I579/COUNTIFS('Client DB &amp; Bed Mgmt'!$A:$A,A579,'Client DB &amp; Bed Mgmt'!$B:$B,C579,'Client DB &amp; Bed Mgmt'!$D:$D,"&lt;&gt;"),0)</f>
        <v/>
      </c>
      <c r="K579" s="88" t="n"/>
      <c r="L579" s="88" t="n"/>
      <c r="M579" s="88">
        <f>COUNTIFS('Client DB &amp; Bed Mgmt'!$B:$B,L579,'Client DB &amp; Bed Mgmt'!$E:$E,"Occupied")</f>
        <v/>
      </c>
      <c r="N579" s="88" t="n"/>
      <c r="O579" s="88" t="n"/>
      <c r="P579" s="88" t="n"/>
      <c r="Q579" s="88" t="n"/>
      <c r="R579" s="88" t="n"/>
      <c r="S579" s="88" t="n"/>
      <c r="T579" s="88" t="n"/>
      <c r="U579" s="129" t="n"/>
      <c r="V579" s="129" t="n"/>
    </row>
    <row r="580" ht="14.25" customHeight="1" s="83">
      <c r="A580" s="103" t="n"/>
      <c r="B580" s="125" t="n"/>
      <c r="C580" s="103" t="n"/>
      <c r="D580" s="126" t="n"/>
      <c r="E580" s="126" t="n"/>
      <c r="F580" s="127">
        <f>IF(D580="","",MAX(D580-E580,0))</f>
        <v/>
      </c>
      <c r="G580" s="130">
        <f>IF(E580="","",E580*GeneratorRate)</f>
        <v/>
      </c>
      <c r="H580" s="130">
        <f>IF(F580="","",F580*GovernmentRate)</f>
        <v/>
      </c>
      <c r="I580" s="130">
        <f>IF(D580="","",G580+H580)</f>
        <v/>
      </c>
      <c r="J580" s="129">
        <f>IFERROR(I580/COUNTIFS('Client DB &amp; Bed Mgmt'!$A:$A,A580,'Client DB &amp; Bed Mgmt'!$B:$B,C580,'Client DB &amp; Bed Mgmt'!$D:$D,"&lt;&gt;"),0)</f>
        <v/>
      </c>
      <c r="K580" s="88" t="n"/>
      <c r="L580" s="88" t="n"/>
      <c r="M580" s="88">
        <f>COUNTIFS('Client DB &amp; Bed Mgmt'!$B:$B,L580,'Client DB &amp; Bed Mgmt'!$E:$E,"Occupied")</f>
        <v/>
      </c>
      <c r="N580" s="88" t="n"/>
      <c r="O580" s="88" t="n"/>
      <c r="P580" s="88" t="n"/>
      <c r="Q580" s="88" t="n"/>
      <c r="R580" s="88" t="n"/>
      <c r="S580" s="88" t="n"/>
      <c r="T580" s="88" t="n"/>
      <c r="U580" s="129" t="n"/>
      <c r="V580" s="129" t="n"/>
    </row>
    <row r="581" ht="14.25" customHeight="1" s="83">
      <c r="A581" s="103" t="n"/>
      <c r="B581" s="125" t="n"/>
      <c r="C581" s="103" t="n"/>
      <c r="D581" s="126" t="n"/>
      <c r="E581" s="126" t="n"/>
      <c r="F581" s="127">
        <f>IF(D581="","",MAX(D581-E581,0))</f>
        <v/>
      </c>
      <c r="G581" s="130">
        <f>IF(E581="","",E581*GeneratorRate)</f>
        <v/>
      </c>
      <c r="H581" s="130">
        <f>IF(F581="","",F581*GovernmentRate)</f>
        <v/>
      </c>
      <c r="I581" s="130">
        <f>IF(D581="","",G581+H581)</f>
        <v/>
      </c>
      <c r="J581" s="129">
        <f>IFERROR(I581/COUNTIFS('Client DB &amp; Bed Mgmt'!$A:$A,A581,'Client DB &amp; Bed Mgmt'!$B:$B,C581,'Client DB &amp; Bed Mgmt'!$D:$D,"&lt;&gt;"),0)</f>
        <v/>
      </c>
      <c r="K581" s="88" t="n"/>
      <c r="L581" s="88" t="n"/>
      <c r="M581" s="88">
        <f>COUNTIFS('Client DB &amp; Bed Mgmt'!$B:$B,L581,'Client DB &amp; Bed Mgmt'!$E:$E,"Occupied")</f>
        <v/>
      </c>
      <c r="N581" s="88" t="n"/>
      <c r="O581" s="88" t="n"/>
      <c r="P581" s="88" t="n"/>
      <c r="Q581" s="88" t="n"/>
      <c r="R581" s="88" t="n"/>
      <c r="S581" s="88" t="n"/>
      <c r="T581" s="88" t="n"/>
      <c r="U581" s="129" t="n"/>
      <c r="V581" s="129" t="n"/>
    </row>
    <row r="582" ht="14.25" customHeight="1" s="83">
      <c r="A582" s="103" t="n"/>
      <c r="B582" s="125" t="n"/>
      <c r="C582" s="103" t="n"/>
      <c r="D582" s="126" t="n"/>
      <c r="E582" s="126" t="n"/>
      <c r="F582" s="127">
        <f>IF(D582="","",MAX(D582-E582,0))</f>
        <v/>
      </c>
      <c r="G582" s="130">
        <f>IF(E582="","",E582*GeneratorRate)</f>
        <v/>
      </c>
      <c r="H582" s="130">
        <f>IF(F582="","",F582*GovernmentRate)</f>
        <v/>
      </c>
      <c r="I582" s="130">
        <f>IF(D582="","",G582+H582)</f>
        <v/>
      </c>
      <c r="J582" s="129">
        <f>IFERROR(I582/COUNTIFS('Client DB &amp; Bed Mgmt'!$A:$A,A582,'Client DB &amp; Bed Mgmt'!$B:$B,C582,'Client DB &amp; Bed Mgmt'!$D:$D,"&lt;&gt;"),0)</f>
        <v/>
      </c>
      <c r="K582" s="88" t="n"/>
      <c r="L582" s="88" t="n"/>
      <c r="M582" s="88">
        <f>COUNTIFS('Client DB &amp; Bed Mgmt'!$B:$B,L582,'Client DB &amp; Bed Mgmt'!$E:$E,"Occupied")</f>
        <v/>
      </c>
      <c r="N582" s="88" t="n"/>
      <c r="O582" s="88" t="n"/>
      <c r="P582" s="88" t="n"/>
      <c r="Q582" s="88" t="n"/>
      <c r="R582" s="88" t="n"/>
      <c r="S582" s="88" t="n"/>
      <c r="T582" s="88" t="n"/>
      <c r="U582" s="129" t="n"/>
      <c r="V582" s="129" t="n"/>
    </row>
    <row r="583" ht="14.25" customHeight="1" s="83">
      <c r="A583" s="103" t="n"/>
      <c r="B583" s="125" t="n"/>
      <c r="C583" s="103" t="n"/>
      <c r="D583" s="126" t="n"/>
      <c r="E583" s="126" t="n"/>
      <c r="F583" s="127">
        <f>IF(D583="","",MAX(D583-E583,0))</f>
        <v/>
      </c>
      <c r="G583" s="130">
        <f>IF(E583="","",E583*GeneratorRate)</f>
        <v/>
      </c>
      <c r="H583" s="130">
        <f>IF(F583="","",F583*GovernmentRate)</f>
        <v/>
      </c>
      <c r="I583" s="130">
        <f>IF(D583="","",G583+H583)</f>
        <v/>
      </c>
      <c r="J583" s="129">
        <f>IFERROR(I583/COUNTIFS('Client DB &amp; Bed Mgmt'!$A:$A,A583,'Client DB &amp; Bed Mgmt'!$B:$B,C583,'Client DB &amp; Bed Mgmt'!$D:$D,"&lt;&gt;"),0)</f>
        <v/>
      </c>
      <c r="K583" s="88" t="n"/>
      <c r="L583" s="88" t="n"/>
      <c r="M583" s="88">
        <f>COUNTIFS('Client DB &amp; Bed Mgmt'!$B:$B,L583,'Client DB &amp; Bed Mgmt'!$E:$E,"Occupied")</f>
        <v/>
      </c>
      <c r="N583" s="88" t="n"/>
      <c r="O583" s="88" t="n"/>
      <c r="P583" s="88" t="n"/>
      <c r="Q583" s="88" t="n"/>
      <c r="R583" s="88" t="n"/>
      <c r="S583" s="88" t="n"/>
      <c r="T583" s="88" t="n"/>
      <c r="U583" s="129" t="n"/>
      <c r="V583" s="129" t="n"/>
    </row>
    <row r="584" ht="14.25" customHeight="1" s="83">
      <c r="A584" s="103" t="n"/>
      <c r="B584" s="125" t="n"/>
      <c r="C584" s="103" t="n"/>
      <c r="D584" s="126" t="n"/>
      <c r="E584" s="126" t="n"/>
      <c r="F584" s="127">
        <f>IF(D584="","",MAX(D584-E584,0))</f>
        <v/>
      </c>
      <c r="G584" s="130">
        <f>IF(E584="","",E584*GeneratorRate)</f>
        <v/>
      </c>
      <c r="H584" s="130">
        <f>IF(F584="","",F584*GovernmentRate)</f>
        <v/>
      </c>
      <c r="I584" s="130">
        <f>IF(D584="","",G584+H584)</f>
        <v/>
      </c>
      <c r="J584" s="129">
        <f>IFERROR(I584/COUNTIFS('Client DB &amp; Bed Mgmt'!$A:$A,A584,'Client DB &amp; Bed Mgmt'!$B:$B,C584,'Client DB &amp; Bed Mgmt'!$D:$D,"&lt;&gt;"),0)</f>
        <v/>
      </c>
      <c r="K584" s="88" t="n"/>
      <c r="L584" s="88" t="n"/>
      <c r="M584" s="88">
        <f>COUNTIFS('Client DB &amp; Bed Mgmt'!$B:$B,L584,'Client DB &amp; Bed Mgmt'!$E:$E,"Occupied")</f>
        <v/>
      </c>
      <c r="N584" s="88" t="n"/>
      <c r="O584" s="88" t="n"/>
      <c r="P584" s="88" t="n"/>
      <c r="Q584" s="88" t="n"/>
      <c r="R584" s="88" t="n"/>
      <c r="S584" s="88" t="n"/>
      <c r="T584" s="88" t="n"/>
      <c r="U584" s="129" t="n"/>
      <c r="V584" s="129" t="n"/>
    </row>
    <row r="585" ht="14.25" customHeight="1" s="83">
      <c r="A585" s="103" t="n"/>
      <c r="B585" s="125" t="n"/>
      <c r="C585" s="103" t="n"/>
      <c r="D585" s="126" t="n"/>
      <c r="E585" s="126" t="n"/>
      <c r="F585" s="127">
        <f>IF(D585="","",MAX(D585-E585,0))</f>
        <v/>
      </c>
      <c r="G585" s="130">
        <f>IF(E585="","",E585*GeneratorRate)</f>
        <v/>
      </c>
      <c r="H585" s="130">
        <f>IF(F585="","",F585*GovernmentRate)</f>
        <v/>
      </c>
      <c r="I585" s="130">
        <f>IF(D585="","",G585+H585)</f>
        <v/>
      </c>
      <c r="J585" s="129">
        <f>IFERROR(I585/COUNTIFS('Client DB &amp; Bed Mgmt'!$A:$A,A585,'Client DB &amp; Bed Mgmt'!$B:$B,C585,'Client DB &amp; Bed Mgmt'!$D:$D,"&lt;&gt;"),0)</f>
        <v/>
      </c>
      <c r="K585" s="88" t="n"/>
      <c r="L585" s="88" t="n"/>
      <c r="M585" s="88">
        <f>COUNTIFS('Client DB &amp; Bed Mgmt'!$B:$B,L585,'Client DB &amp; Bed Mgmt'!$E:$E,"Occupied")</f>
        <v/>
      </c>
      <c r="N585" s="88" t="n"/>
      <c r="O585" s="88" t="n"/>
      <c r="P585" s="88" t="n"/>
      <c r="Q585" s="88" t="n"/>
      <c r="R585" s="88" t="n"/>
      <c r="S585" s="88" t="n"/>
      <c r="T585" s="88" t="n"/>
      <c r="U585" s="129" t="n"/>
      <c r="V585" s="129" t="n"/>
    </row>
    <row r="586" ht="14.25" customHeight="1" s="83">
      <c r="A586" s="103" t="n"/>
      <c r="B586" s="125" t="n"/>
      <c r="C586" s="103" t="n"/>
      <c r="D586" s="126" t="n"/>
      <c r="E586" s="126" t="n"/>
      <c r="F586" s="127">
        <f>IF(D586="","",MAX(D586-E586,0))</f>
        <v/>
      </c>
      <c r="G586" s="130">
        <f>IF(E586="","",E586*GeneratorRate)</f>
        <v/>
      </c>
      <c r="H586" s="130">
        <f>IF(F586="","",F586*GovernmentRate)</f>
        <v/>
      </c>
      <c r="I586" s="130">
        <f>IF(D586="","",G586+H586)</f>
        <v/>
      </c>
      <c r="J586" s="129">
        <f>IFERROR(I586/COUNTIFS('Client DB &amp; Bed Mgmt'!$A:$A,A586,'Client DB &amp; Bed Mgmt'!$B:$B,C586,'Client DB &amp; Bed Mgmt'!$D:$D,"&lt;&gt;"),0)</f>
        <v/>
      </c>
      <c r="K586" s="88" t="n"/>
      <c r="L586" s="88" t="n"/>
      <c r="M586" s="88">
        <f>COUNTIFS('Client DB &amp; Bed Mgmt'!$B:$B,L586,'Client DB &amp; Bed Mgmt'!$E:$E,"Occupied")</f>
        <v/>
      </c>
      <c r="N586" s="88" t="n"/>
      <c r="O586" s="88" t="n"/>
      <c r="P586" s="88" t="n"/>
      <c r="Q586" s="88" t="n"/>
      <c r="R586" s="88" t="n"/>
      <c r="S586" s="88" t="n"/>
      <c r="T586" s="88" t="n"/>
      <c r="U586" s="129" t="n"/>
      <c r="V586" s="129" t="n"/>
    </row>
    <row r="587" ht="14.25" customHeight="1" s="83">
      <c r="A587" s="103" t="n"/>
      <c r="B587" s="125" t="n"/>
      <c r="C587" s="103" t="n"/>
      <c r="D587" s="126" t="n"/>
      <c r="E587" s="126" t="n"/>
      <c r="F587" s="127">
        <f>IF(D587="","",MAX(D587-E587,0))</f>
        <v/>
      </c>
      <c r="G587" s="130">
        <f>IF(E587="","",E587*GeneratorRate)</f>
        <v/>
      </c>
      <c r="H587" s="130">
        <f>IF(F587="","",F587*GovernmentRate)</f>
        <v/>
      </c>
      <c r="I587" s="130">
        <f>IF(D587="","",G587+H587)</f>
        <v/>
      </c>
      <c r="J587" s="129">
        <f>IFERROR(I587/COUNTIFS('Client DB &amp; Bed Mgmt'!$A:$A,A587,'Client DB &amp; Bed Mgmt'!$B:$B,C587,'Client DB &amp; Bed Mgmt'!$D:$D,"&lt;&gt;"),0)</f>
        <v/>
      </c>
      <c r="K587" s="88" t="n"/>
      <c r="L587" s="88" t="n"/>
      <c r="M587" s="88">
        <f>COUNTIFS('Client DB &amp; Bed Mgmt'!$B:$B,L587,'Client DB &amp; Bed Mgmt'!$E:$E,"Occupied")</f>
        <v/>
      </c>
      <c r="N587" s="88" t="n"/>
      <c r="O587" s="88" t="n"/>
      <c r="P587" s="88" t="n"/>
      <c r="Q587" s="88" t="n"/>
      <c r="R587" s="88" t="n"/>
      <c r="S587" s="88" t="n"/>
      <c r="T587" s="88" t="n"/>
      <c r="U587" s="129" t="n"/>
      <c r="V587" s="129" t="n"/>
    </row>
    <row r="588" ht="14.25" customHeight="1" s="83">
      <c r="A588" s="103" t="n"/>
      <c r="B588" s="125" t="n"/>
      <c r="C588" s="103" t="n"/>
      <c r="D588" s="126" t="n"/>
      <c r="E588" s="126" t="n"/>
      <c r="F588" s="127">
        <f>IF(D588="","",MAX(D588-E588,0))</f>
        <v/>
      </c>
      <c r="G588" s="130">
        <f>IF(E588="","",E588*GeneratorRate)</f>
        <v/>
      </c>
      <c r="H588" s="130">
        <f>IF(F588="","",F588*GovernmentRate)</f>
        <v/>
      </c>
      <c r="I588" s="130">
        <f>IF(D588="","",G588+H588)</f>
        <v/>
      </c>
      <c r="J588" s="129">
        <f>IFERROR(I588/COUNTIFS('Client DB &amp; Bed Mgmt'!$A:$A,A588,'Client DB &amp; Bed Mgmt'!$B:$B,C588,'Client DB &amp; Bed Mgmt'!$D:$D,"&lt;&gt;"),0)</f>
        <v/>
      </c>
      <c r="K588" s="88" t="n"/>
      <c r="L588" s="88" t="n"/>
      <c r="M588" s="88">
        <f>COUNTIFS('Client DB &amp; Bed Mgmt'!$B:$B,L588,'Client DB &amp; Bed Mgmt'!$E:$E,"Occupied")</f>
        <v/>
      </c>
      <c r="N588" s="88" t="n"/>
      <c r="O588" s="88" t="n"/>
      <c r="P588" s="88" t="n"/>
      <c r="Q588" s="88" t="n"/>
      <c r="R588" s="88" t="n"/>
      <c r="S588" s="88" t="n"/>
      <c r="T588" s="88" t="n"/>
      <c r="U588" s="129" t="n"/>
      <c r="V588" s="129" t="n"/>
    </row>
    <row r="589" ht="14.25" customHeight="1" s="83">
      <c r="A589" s="103" t="n"/>
      <c r="B589" s="125" t="n"/>
      <c r="C589" s="103" t="n"/>
      <c r="D589" s="126" t="n"/>
      <c r="E589" s="126" t="n"/>
      <c r="F589" s="127">
        <f>IF(D589="","",MAX(D589-E589,0))</f>
        <v/>
      </c>
      <c r="G589" s="130">
        <f>IF(E589="","",E589*GeneratorRate)</f>
        <v/>
      </c>
      <c r="H589" s="130">
        <f>IF(F589="","",F589*GovernmentRate)</f>
        <v/>
      </c>
      <c r="I589" s="130">
        <f>IF(D589="","",G589+H589)</f>
        <v/>
      </c>
      <c r="J589" s="129">
        <f>IFERROR(I589/COUNTIFS('Client DB &amp; Bed Mgmt'!$A:$A,A589,'Client DB &amp; Bed Mgmt'!$B:$B,C589,'Client DB &amp; Bed Mgmt'!$D:$D,"&lt;&gt;"),0)</f>
        <v/>
      </c>
      <c r="K589" s="88" t="n"/>
      <c r="L589" s="88" t="n"/>
      <c r="M589" s="88">
        <f>COUNTIFS('Client DB &amp; Bed Mgmt'!$B:$B,L589,'Client DB &amp; Bed Mgmt'!$E:$E,"Occupied")</f>
        <v/>
      </c>
      <c r="N589" s="88" t="n"/>
      <c r="O589" s="88" t="n"/>
      <c r="P589" s="88" t="n"/>
      <c r="Q589" s="88" t="n"/>
      <c r="R589" s="88" t="n"/>
      <c r="S589" s="88" t="n"/>
      <c r="T589" s="88" t="n"/>
      <c r="U589" s="129" t="n"/>
      <c r="V589" s="129" t="n"/>
    </row>
    <row r="590" ht="14.25" customHeight="1" s="83">
      <c r="A590" s="103" t="n"/>
      <c r="B590" s="125" t="n"/>
      <c r="C590" s="103" t="n"/>
      <c r="D590" s="126" t="n"/>
      <c r="E590" s="126" t="n"/>
      <c r="F590" s="127">
        <f>IF(D590="","",MAX(D590-E590,0))</f>
        <v/>
      </c>
      <c r="G590" s="130">
        <f>IF(E590="","",E590*GeneratorRate)</f>
        <v/>
      </c>
      <c r="H590" s="130">
        <f>IF(F590="","",F590*GovernmentRate)</f>
        <v/>
      </c>
      <c r="I590" s="130">
        <f>IF(D590="","",G590+H590)</f>
        <v/>
      </c>
      <c r="J590" s="129">
        <f>IFERROR(I590/COUNTIFS('Client DB &amp; Bed Mgmt'!$A:$A,A590,'Client DB &amp; Bed Mgmt'!$B:$B,C590,'Client DB &amp; Bed Mgmt'!$D:$D,"&lt;&gt;"),0)</f>
        <v/>
      </c>
      <c r="K590" s="88" t="n"/>
      <c r="L590" s="88" t="n"/>
      <c r="M590" s="88">
        <f>COUNTIFS('Client DB &amp; Bed Mgmt'!$B:$B,L590,'Client DB &amp; Bed Mgmt'!$E:$E,"Occupied")</f>
        <v/>
      </c>
      <c r="N590" s="88" t="n"/>
      <c r="O590" s="88" t="n"/>
      <c r="P590" s="88" t="n"/>
      <c r="Q590" s="88" t="n"/>
      <c r="R590" s="88" t="n"/>
      <c r="S590" s="88" t="n"/>
      <c r="T590" s="88" t="n"/>
      <c r="U590" s="129" t="n"/>
      <c r="V590" s="129" t="n"/>
    </row>
    <row r="591" ht="14.25" customHeight="1" s="83">
      <c r="A591" s="103" t="n"/>
      <c r="B591" s="125" t="n"/>
      <c r="C591" s="103" t="n"/>
      <c r="D591" s="126" t="n"/>
      <c r="E591" s="126" t="n"/>
      <c r="F591" s="127">
        <f>IF(D591="","",MAX(D591-E591,0))</f>
        <v/>
      </c>
      <c r="G591" s="130">
        <f>IF(E591="","",E591*GeneratorRate)</f>
        <v/>
      </c>
      <c r="H591" s="130">
        <f>IF(F591="","",F591*GovernmentRate)</f>
        <v/>
      </c>
      <c r="I591" s="130">
        <f>IF(D591="","",G591+H591)</f>
        <v/>
      </c>
      <c r="J591" s="129">
        <f>IFERROR(I591/COUNTIFS('Client DB &amp; Bed Mgmt'!$A:$A,A591,'Client DB &amp; Bed Mgmt'!$B:$B,C591,'Client DB &amp; Bed Mgmt'!$D:$D,"&lt;&gt;"),0)</f>
        <v/>
      </c>
      <c r="K591" s="88" t="n"/>
      <c r="L591" s="88" t="n"/>
      <c r="M591" s="88">
        <f>COUNTIFS('Client DB &amp; Bed Mgmt'!$B:$B,L591,'Client DB &amp; Bed Mgmt'!$E:$E,"Occupied")</f>
        <v/>
      </c>
      <c r="N591" s="88" t="n"/>
      <c r="O591" s="88" t="n"/>
      <c r="P591" s="88" t="n"/>
      <c r="Q591" s="88" t="n"/>
      <c r="R591" s="88" t="n"/>
      <c r="S591" s="88" t="n"/>
      <c r="T591" s="88" t="n"/>
      <c r="U591" s="129" t="n"/>
      <c r="V591" s="129" t="n"/>
    </row>
    <row r="592" ht="14.25" customHeight="1" s="83">
      <c r="A592" s="103" t="n"/>
      <c r="B592" s="125" t="n"/>
      <c r="C592" s="103" t="n"/>
      <c r="D592" s="126" t="n"/>
      <c r="E592" s="126" t="n"/>
      <c r="F592" s="127">
        <f>IF(D592="","",MAX(D592-E592,0))</f>
        <v/>
      </c>
      <c r="G592" s="130">
        <f>IF(E592="","",E592*GeneratorRate)</f>
        <v/>
      </c>
      <c r="H592" s="130">
        <f>IF(F592="","",F592*GovernmentRate)</f>
        <v/>
      </c>
      <c r="I592" s="130">
        <f>IF(D592="","",G592+H592)</f>
        <v/>
      </c>
      <c r="J592" s="129">
        <f>IFERROR(I592/COUNTIFS('Client DB &amp; Bed Mgmt'!$A:$A,A592,'Client DB &amp; Bed Mgmt'!$B:$B,C592,'Client DB &amp; Bed Mgmt'!$D:$D,"&lt;&gt;"),0)</f>
        <v/>
      </c>
      <c r="K592" s="88" t="n"/>
      <c r="L592" s="88" t="n"/>
      <c r="M592" s="88">
        <f>COUNTIFS('Client DB &amp; Bed Mgmt'!$B:$B,L592,'Client DB &amp; Bed Mgmt'!$E:$E,"Occupied")</f>
        <v/>
      </c>
      <c r="N592" s="88" t="n"/>
      <c r="O592" s="88" t="n"/>
      <c r="P592" s="88" t="n"/>
      <c r="Q592" s="88" t="n"/>
      <c r="R592" s="88" t="n"/>
      <c r="S592" s="88" t="n"/>
      <c r="T592" s="88" t="n"/>
      <c r="U592" s="129" t="n"/>
      <c r="V592" s="129" t="n"/>
    </row>
    <row r="593" ht="14.25" customHeight="1" s="83">
      <c r="A593" s="103" t="n"/>
      <c r="B593" s="125" t="n"/>
      <c r="C593" s="103" t="n"/>
      <c r="D593" s="126" t="n"/>
      <c r="E593" s="126" t="n"/>
      <c r="F593" s="127">
        <f>IF(D593="","",MAX(D593-E593,0))</f>
        <v/>
      </c>
      <c r="G593" s="130">
        <f>IF(E593="","",E593*GeneratorRate)</f>
        <v/>
      </c>
      <c r="H593" s="130">
        <f>IF(F593="","",F593*GovernmentRate)</f>
        <v/>
      </c>
      <c r="I593" s="130">
        <f>IF(D593="","",G593+H593)</f>
        <v/>
      </c>
      <c r="J593" s="129">
        <f>IFERROR(I593/COUNTIFS('Client DB &amp; Bed Mgmt'!$A:$A,A593,'Client DB &amp; Bed Mgmt'!$B:$B,C593,'Client DB &amp; Bed Mgmt'!$D:$D,"&lt;&gt;"),0)</f>
        <v/>
      </c>
      <c r="K593" s="88" t="n"/>
      <c r="L593" s="88" t="n"/>
      <c r="M593" s="88">
        <f>COUNTIFS('Client DB &amp; Bed Mgmt'!$B:$B,L593,'Client DB &amp; Bed Mgmt'!$E:$E,"Occupied")</f>
        <v/>
      </c>
      <c r="N593" s="88" t="n"/>
      <c r="O593" s="88" t="n"/>
      <c r="P593" s="88" t="n"/>
      <c r="Q593" s="88" t="n"/>
      <c r="R593" s="88" t="n"/>
      <c r="S593" s="88" t="n"/>
      <c r="T593" s="88" t="n"/>
      <c r="U593" s="129" t="n"/>
      <c r="V593" s="129" t="n"/>
    </row>
    <row r="594" ht="14.25" customHeight="1" s="83">
      <c r="A594" s="103" t="n"/>
      <c r="B594" s="125" t="n"/>
      <c r="C594" s="103" t="n"/>
      <c r="D594" s="126" t="n"/>
      <c r="E594" s="126" t="n"/>
      <c r="F594" s="127">
        <f>IF(D594="","",MAX(D594-E594,0))</f>
        <v/>
      </c>
      <c r="G594" s="130">
        <f>IF(E594="","",E594*GeneratorRate)</f>
        <v/>
      </c>
      <c r="H594" s="130">
        <f>IF(F594="","",F594*GovernmentRate)</f>
        <v/>
      </c>
      <c r="I594" s="130">
        <f>IF(D594="","",G594+H594)</f>
        <v/>
      </c>
      <c r="J594" s="129">
        <f>IFERROR(I594/COUNTIFS('Client DB &amp; Bed Mgmt'!$A:$A,A594,'Client DB &amp; Bed Mgmt'!$B:$B,C594,'Client DB &amp; Bed Mgmt'!$D:$D,"&lt;&gt;"),0)</f>
        <v/>
      </c>
      <c r="K594" s="88" t="n"/>
      <c r="L594" s="88" t="n"/>
      <c r="M594" s="88">
        <f>COUNTIFS('Client DB &amp; Bed Mgmt'!$B:$B,L594,'Client DB &amp; Bed Mgmt'!$E:$E,"Occupied")</f>
        <v/>
      </c>
      <c r="N594" s="88" t="n"/>
      <c r="O594" s="88" t="n"/>
      <c r="P594" s="88" t="n"/>
      <c r="Q594" s="88" t="n"/>
      <c r="R594" s="88" t="n"/>
      <c r="S594" s="88" t="n"/>
      <c r="T594" s="88" t="n"/>
      <c r="U594" s="129" t="n"/>
      <c r="V594" s="129" t="n"/>
    </row>
    <row r="595" ht="14.25" customHeight="1" s="83">
      <c r="A595" s="103" t="n"/>
      <c r="B595" s="125" t="n"/>
      <c r="C595" s="103" t="n"/>
      <c r="D595" s="126" t="n"/>
      <c r="E595" s="126" t="n"/>
      <c r="F595" s="127">
        <f>IF(D595="","",MAX(D595-E595,0))</f>
        <v/>
      </c>
      <c r="G595" s="130">
        <f>IF(E595="","",E595*GeneratorRate)</f>
        <v/>
      </c>
      <c r="H595" s="130">
        <f>IF(F595="","",F595*GovernmentRate)</f>
        <v/>
      </c>
      <c r="I595" s="130">
        <f>IF(D595="","",G595+H595)</f>
        <v/>
      </c>
      <c r="J595" s="129">
        <f>IFERROR(I595/COUNTIFS('Client DB &amp; Bed Mgmt'!$A:$A,A595,'Client DB &amp; Bed Mgmt'!$B:$B,C595,'Client DB &amp; Bed Mgmt'!$D:$D,"&lt;&gt;"),0)</f>
        <v/>
      </c>
      <c r="K595" s="88" t="n"/>
      <c r="L595" s="88" t="n"/>
      <c r="M595" s="88">
        <f>COUNTIFS('Client DB &amp; Bed Mgmt'!$B:$B,L595,'Client DB &amp; Bed Mgmt'!$E:$E,"Occupied")</f>
        <v/>
      </c>
      <c r="N595" s="88" t="n"/>
      <c r="O595" s="88" t="n"/>
      <c r="P595" s="88" t="n"/>
      <c r="Q595" s="88" t="n"/>
      <c r="R595" s="88" t="n"/>
      <c r="S595" s="88" t="n"/>
      <c r="T595" s="88" t="n"/>
      <c r="U595" s="129" t="n"/>
      <c r="V595" s="129" t="n"/>
    </row>
    <row r="596" ht="14.25" customHeight="1" s="83">
      <c r="A596" s="103" t="n"/>
      <c r="B596" s="125" t="n"/>
      <c r="C596" s="103" t="n"/>
      <c r="D596" s="126" t="n"/>
      <c r="E596" s="126" t="n"/>
      <c r="F596" s="127">
        <f>IF(D596="","",MAX(D596-E596,0))</f>
        <v/>
      </c>
      <c r="G596" s="130">
        <f>IF(E596="","",E596*GeneratorRate)</f>
        <v/>
      </c>
      <c r="H596" s="130">
        <f>IF(F596="","",F596*GovernmentRate)</f>
        <v/>
      </c>
      <c r="I596" s="130">
        <f>IF(D596="","",G596+H596)</f>
        <v/>
      </c>
      <c r="J596" s="129">
        <f>IFERROR(I596/COUNTIFS('Client DB &amp; Bed Mgmt'!$A:$A,A596,'Client DB &amp; Bed Mgmt'!$B:$B,C596,'Client DB &amp; Bed Mgmt'!$D:$D,"&lt;&gt;"),0)</f>
        <v/>
      </c>
      <c r="K596" s="88" t="n"/>
      <c r="L596" s="88" t="n"/>
      <c r="M596" s="88">
        <f>COUNTIFS('Client DB &amp; Bed Mgmt'!$B:$B,L596,'Client DB &amp; Bed Mgmt'!$E:$E,"Occupied")</f>
        <v/>
      </c>
      <c r="N596" s="88" t="n"/>
      <c r="O596" s="88" t="n"/>
      <c r="P596" s="88" t="n"/>
      <c r="Q596" s="88" t="n"/>
      <c r="R596" s="88" t="n"/>
      <c r="S596" s="88" t="n"/>
      <c r="T596" s="88" t="n"/>
      <c r="U596" s="129" t="n"/>
      <c r="V596" s="129" t="n"/>
    </row>
    <row r="597" ht="14.25" customHeight="1" s="83">
      <c r="A597" s="103" t="n"/>
      <c r="B597" s="125" t="n"/>
      <c r="C597" s="103" t="n"/>
      <c r="D597" s="126" t="n"/>
      <c r="E597" s="126" t="n"/>
      <c r="F597" s="127">
        <f>IF(D597="","",MAX(D597-E597,0))</f>
        <v/>
      </c>
      <c r="G597" s="130">
        <f>IF(E597="","",E597*GeneratorRate)</f>
        <v/>
      </c>
      <c r="H597" s="130">
        <f>IF(F597="","",F597*GovernmentRate)</f>
        <v/>
      </c>
      <c r="I597" s="130">
        <f>IF(D597="","",G597+H597)</f>
        <v/>
      </c>
      <c r="J597" s="129">
        <f>IFERROR(I597/COUNTIFS('Client DB &amp; Bed Mgmt'!$A:$A,A597,'Client DB &amp; Bed Mgmt'!$B:$B,C597,'Client DB &amp; Bed Mgmt'!$D:$D,"&lt;&gt;"),0)</f>
        <v/>
      </c>
      <c r="K597" s="88" t="n"/>
      <c r="L597" s="88" t="n"/>
      <c r="M597" s="88">
        <f>COUNTIFS('Client DB &amp; Bed Mgmt'!$B:$B,L597,'Client DB &amp; Bed Mgmt'!$E:$E,"Occupied")</f>
        <v/>
      </c>
      <c r="N597" s="88" t="n"/>
      <c r="O597" s="88" t="n"/>
      <c r="P597" s="88" t="n"/>
      <c r="Q597" s="88" t="n"/>
      <c r="R597" s="88" t="n"/>
      <c r="S597" s="88" t="n"/>
      <c r="T597" s="88" t="n"/>
      <c r="U597" s="129" t="n"/>
      <c r="V597" s="129" t="n"/>
    </row>
    <row r="598" ht="14.25" customHeight="1" s="83">
      <c r="A598" s="103" t="n"/>
      <c r="B598" s="125" t="n"/>
      <c r="C598" s="103" t="n"/>
      <c r="D598" s="126" t="n"/>
      <c r="E598" s="126" t="n"/>
      <c r="F598" s="127">
        <f>IF(D598="","",MAX(D598-E598,0))</f>
        <v/>
      </c>
      <c r="G598" s="130">
        <f>IF(E598="","",E598*GeneratorRate)</f>
        <v/>
      </c>
      <c r="H598" s="130">
        <f>IF(F598="","",F598*GovernmentRate)</f>
        <v/>
      </c>
      <c r="I598" s="130">
        <f>IF(D598="","",G598+H598)</f>
        <v/>
      </c>
      <c r="J598" s="129">
        <f>IFERROR(I598/COUNTIFS('Client DB &amp; Bed Mgmt'!$A:$A,A598,'Client DB &amp; Bed Mgmt'!$B:$B,C598,'Client DB &amp; Bed Mgmt'!$D:$D,"&lt;&gt;"),0)</f>
        <v/>
      </c>
      <c r="K598" s="88" t="n"/>
      <c r="L598" s="88" t="n"/>
      <c r="M598" s="88">
        <f>COUNTIFS('Client DB &amp; Bed Mgmt'!$B:$B,L598,'Client DB &amp; Bed Mgmt'!$E:$E,"Occupied")</f>
        <v/>
      </c>
      <c r="N598" s="88" t="n"/>
      <c r="O598" s="88" t="n"/>
      <c r="P598" s="88" t="n"/>
      <c r="Q598" s="88" t="n"/>
      <c r="R598" s="88" t="n"/>
      <c r="S598" s="88" t="n"/>
      <c r="T598" s="88" t="n"/>
      <c r="U598" s="129" t="n"/>
      <c r="V598" s="129" t="n"/>
    </row>
    <row r="599" ht="14.25" customHeight="1" s="83">
      <c r="A599" s="103" t="n"/>
      <c r="B599" s="125" t="n"/>
      <c r="C599" s="103" t="n"/>
      <c r="D599" s="126" t="n"/>
      <c r="E599" s="126" t="n"/>
      <c r="F599" s="127">
        <f>IF(D599="","",MAX(D599-E599,0))</f>
        <v/>
      </c>
      <c r="G599" s="130">
        <f>IF(E599="","",E599*GeneratorRate)</f>
        <v/>
      </c>
      <c r="H599" s="130">
        <f>IF(F599="","",F599*GovernmentRate)</f>
        <v/>
      </c>
      <c r="I599" s="130">
        <f>IF(D599="","",G599+H599)</f>
        <v/>
      </c>
      <c r="J599" s="129">
        <f>IFERROR(I599/COUNTIFS('Client DB &amp; Bed Mgmt'!$A:$A,A599,'Client DB &amp; Bed Mgmt'!$B:$B,C599,'Client DB &amp; Bed Mgmt'!$D:$D,"&lt;&gt;"),0)</f>
        <v/>
      </c>
      <c r="K599" s="88" t="n"/>
      <c r="L599" s="88" t="n"/>
      <c r="M599" s="88">
        <f>COUNTIFS('Client DB &amp; Bed Mgmt'!$B:$B,L599,'Client DB &amp; Bed Mgmt'!$E:$E,"Occupied")</f>
        <v/>
      </c>
      <c r="N599" s="88" t="n"/>
      <c r="O599" s="88" t="n"/>
      <c r="P599" s="88" t="n"/>
      <c r="Q599" s="88" t="n"/>
      <c r="R599" s="88" t="n"/>
      <c r="S599" s="88" t="n"/>
      <c r="T599" s="88" t="n"/>
      <c r="U599" s="129" t="n"/>
      <c r="V599" s="129" t="n"/>
    </row>
    <row r="600" ht="14.25" customHeight="1" s="83">
      <c r="A600" s="103" t="n"/>
      <c r="B600" s="125" t="n"/>
      <c r="C600" s="103" t="n"/>
      <c r="D600" s="126" t="n"/>
      <c r="E600" s="126" t="n"/>
      <c r="F600" s="127">
        <f>IF(D600="","",MAX(D600-E600,0))</f>
        <v/>
      </c>
      <c r="G600" s="130">
        <f>IF(E600="","",E600*GeneratorRate)</f>
        <v/>
      </c>
      <c r="H600" s="130">
        <f>IF(F600="","",F600*GovernmentRate)</f>
        <v/>
      </c>
      <c r="I600" s="130">
        <f>IF(D600="","",G600+H600)</f>
        <v/>
      </c>
      <c r="J600" s="129">
        <f>IFERROR(I600/COUNTIFS('Client DB &amp; Bed Mgmt'!$A:$A,A600,'Client DB &amp; Bed Mgmt'!$B:$B,C600,'Client DB &amp; Bed Mgmt'!$D:$D,"&lt;&gt;"),0)</f>
        <v/>
      </c>
      <c r="K600" s="88" t="n"/>
      <c r="L600" s="88" t="n"/>
      <c r="M600" s="88">
        <f>COUNTIFS('Client DB &amp; Bed Mgmt'!$B:$B,L600,'Client DB &amp; Bed Mgmt'!$E:$E,"Occupied")</f>
        <v/>
      </c>
      <c r="N600" s="88" t="n"/>
      <c r="O600" s="88" t="n"/>
      <c r="P600" s="88" t="n"/>
      <c r="Q600" s="88" t="n"/>
      <c r="R600" s="88" t="n"/>
      <c r="S600" s="88" t="n"/>
      <c r="T600" s="88" t="n"/>
      <c r="U600" s="129" t="n"/>
      <c r="V600" s="129" t="n"/>
    </row>
    <row r="601" ht="14.25" customHeight="1" s="83">
      <c r="A601" s="103" t="n"/>
      <c r="B601" s="125" t="n"/>
      <c r="C601" s="103" t="n"/>
      <c r="D601" s="126" t="n"/>
      <c r="E601" s="126" t="n"/>
      <c r="F601" s="127">
        <f>IF(D601="","",MAX(D601-E601,0))</f>
        <v/>
      </c>
      <c r="G601" s="130">
        <f>IF(E601="","",E601*GeneratorRate)</f>
        <v/>
      </c>
      <c r="H601" s="130">
        <f>IF(F601="","",F601*GovernmentRate)</f>
        <v/>
      </c>
      <c r="I601" s="130">
        <f>IF(D601="","",G601+H601)</f>
        <v/>
      </c>
      <c r="J601" s="129">
        <f>IFERROR(I601/COUNTIFS('Client DB &amp; Bed Mgmt'!$A:$A,A601,'Client DB &amp; Bed Mgmt'!$B:$B,C601,'Client DB &amp; Bed Mgmt'!$D:$D,"&lt;&gt;"),0)</f>
        <v/>
      </c>
      <c r="K601" s="88" t="n"/>
      <c r="L601" s="88" t="n"/>
      <c r="M601" s="88">
        <f>COUNTIFS('Client DB &amp; Bed Mgmt'!$B:$B,L601,'Client DB &amp; Bed Mgmt'!$E:$E,"Occupied")</f>
        <v/>
      </c>
      <c r="N601" s="88" t="n"/>
      <c r="O601" s="88" t="n"/>
      <c r="P601" s="88" t="n"/>
      <c r="Q601" s="88" t="n"/>
      <c r="R601" s="88" t="n"/>
      <c r="S601" s="88" t="n"/>
      <c r="T601" s="88" t="n"/>
      <c r="U601" s="129" t="n"/>
      <c r="V601" s="129" t="n"/>
    </row>
    <row r="602" ht="14.25" customHeight="1" s="83">
      <c r="A602" s="103" t="n"/>
      <c r="B602" s="125" t="n"/>
      <c r="C602" s="103" t="n"/>
      <c r="D602" s="126" t="n"/>
      <c r="E602" s="126" t="n"/>
      <c r="F602" s="127">
        <f>IF(D602="","",MAX(D602-E602,0))</f>
        <v/>
      </c>
      <c r="G602" s="130">
        <f>IF(E602="","",E602*GeneratorRate)</f>
        <v/>
      </c>
      <c r="H602" s="130">
        <f>IF(F602="","",F602*GovernmentRate)</f>
        <v/>
      </c>
      <c r="I602" s="130">
        <f>IF(D602="","",G602+H602)</f>
        <v/>
      </c>
      <c r="J602" s="129">
        <f>IFERROR(I602/COUNTIFS('Client DB &amp; Bed Mgmt'!$A:$A,A602,'Client DB &amp; Bed Mgmt'!$B:$B,C602,'Client DB &amp; Bed Mgmt'!$D:$D,"&lt;&gt;"),0)</f>
        <v/>
      </c>
      <c r="K602" s="88" t="n"/>
      <c r="L602" s="88" t="n"/>
      <c r="M602" s="88">
        <f>COUNTIFS('Client DB &amp; Bed Mgmt'!$B:$B,L602,'Client DB &amp; Bed Mgmt'!$E:$E,"Occupied")</f>
        <v/>
      </c>
      <c r="N602" s="88" t="n"/>
      <c r="O602" s="88" t="n"/>
      <c r="P602" s="88" t="n"/>
      <c r="Q602" s="88" t="n"/>
      <c r="R602" s="88" t="n"/>
      <c r="S602" s="88" t="n"/>
      <c r="T602" s="88" t="n"/>
      <c r="U602" s="129" t="n"/>
      <c r="V602" s="129" t="n"/>
    </row>
    <row r="603" ht="14.25" customHeight="1" s="83">
      <c r="A603" s="103" t="n"/>
      <c r="B603" s="125" t="n"/>
      <c r="C603" s="103" t="n"/>
      <c r="D603" s="126" t="n"/>
      <c r="E603" s="126" t="n"/>
      <c r="F603" s="127">
        <f>IF(D603="","",MAX(D603-E603,0))</f>
        <v/>
      </c>
      <c r="G603" s="130">
        <f>IF(E603="","",E603*GeneratorRate)</f>
        <v/>
      </c>
      <c r="H603" s="130">
        <f>IF(F603="","",F603*GovernmentRate)</f>
        <v/>
      </c>
      <c r="I603" s="130">
        <f>IF(D603="","",G603+H603)</f>
        <v/>
      </c>
      <c r="J603" s="129">
        <f>IFERROR(I603/COUNTIFS('Client DB &amp; Bed Mgmt'!$A:$A,A603,'Client DB &amp; Bed Mgmt'!$B:$B,C603,'Client DB &amp; Bed Mgmt'!$D:$D,"&lt;&gt;"),0)</f>
        <v/>
      </c>
      <c r="K603" s="88" t="n"/>
      <c r="L603" s="88" t="n"/>
      <c r="M603" s="88">
        <f>COUNTIFS('Client DB &amp; Bed Mgmt'!$B:$B,L603,'Client DB &amp; Bed Mgmt'!$E:$E,"Occupied")</f>
        <v/>
      </c>
      <c r="N603" s="88" t="n"/>
      <c r="O603" s="88" t="n"/>
      <c r="P603" s="88" t="n"/>
      <c r="Q603" s="88" t="n"/>
      <c r="R603" s="88" t="n"/>
      <c r="S603" s="88" t="n"/>
      <c r="T603" s="88" t="n"/>
      <c r="U603" s="129" t="n"/>
      <c r="V603" s="129" t="n"/>
    </row>
    <row r="604" ht="14.25" customHeight="1" s="83">
      <c r="A604" s="103" t="n"/>
      <c r="B604" s="125" t="n"/>
      <c r="C604" s="103" t="n"/>
      <c r="D604" s="126" t="n"/>
      <c r="E604" s="126" t="n"/>
      <c r="F604" s="127">
        <f>IF(D604="","",MAX(D604-E604,0))</f>
        <v/>
      </c>
      <c r="G604" s="130">
        <f>IF(E604="","",E604*GeneratorRate)</f>
        <v/>
      </c>
      <c r="H604" s="130">
        <f>IF(F604="","",F604*GovernmentRate)</f>
        <v/>
      </c>
      <c r="I604" s="130">
        <f>IF(D604="","",G604+H604)</f>
        <v/>
      </c>
      <c r="J604" s="129">
        <f>IFERROR(I604/COUNTIFS('Client DB &amp; Bed Mgmt'!$A:$A,A604,'Client DB &amp; Bed Mgmt'!$B:$B,C604,'Client DB &amp; Bed Mgmt'!$D:$D,"&lt;&gt;"),0)</f>
        <v/>
      </c>
      <c r="K604" s="88" t="n"/>
      <c r="L604" s="88" t="n"/>
      <c r="M604" s="88">
        <f>COUNTIFS('Client DB &amp; Bed Mgmt'!$B:$B,L604,'Client DB &amp; Bed Mgmt'!$E:$E,"Occupied")</f>
        <v/>
      </c>
      <c r="N604" s="88" t="n"/>
      <c r="O604" s="88" t="n"/>
      <c r="P604" s="88" t="n"/>
      <c r="Q604" s="88" t="n"/>
      <c r="R604" s="88" t="n"/>
      <c r="S604" s="88" t="n"/>
      <c r="T604" s="88" t="n"/>
      <c r="U604" s="129" t="n"/>
      <c r="V604" s="129" t="n"/>
    </row>
    <row r="605" ht="14.25" customHeight="1" s="83">
      <c r="A605" s="103" t="n"/>
      <c r="B605" s="125" t="n"/>
      <c r="C605" s="103" t="n"/>
      <c r="D605" s="126" t="n"/>
      <c r="E605" s="126" t="n"/>
      <c r="F605" s="127">
        <f>IF(D605="","",MAX(D605-E605,0))</f>
        <v/>
      </c>
      <c r="G605" s="130">
        <f>IF(E605="","",E605*GeneratorRate)</f>
        <v/>
      </c>
      <c r="H605" s="130">
        <f>IF(F605="","",F605*GovernmentRate)</f>
        <v/>
      </c>
      <c r="I605" s="130">
        <f>IF(D605="","",G605+H605)</f>
        <v/>
      </c>
      <c r="J605" s="129">
        <f>IFERROR(I605/COUNTIFS('Client DB &amp; Bed Mgmt'!$A:$A,A605,'Client DB &amp; Bed Mgmt'!$B:$B,C605,'Client DB &amp; Bed Mgmt'!$D:$D,"&lt;&gt;"),0)</f>
        <v/>
      </c>
      <c r="K605" s="88" t="n"/>
      <c r="L605" s="88" t="n"/>
      <c r="M605" s="88">
        <f>COUNTIFS('Client DB &amp; Bed Mgmt'!$B:$B,L605,'Client DB &amp; Bed Mgmt'!$E:$E,"Occupied")</f>
        <v/>
      </c>
      <c r="N605" s="88" t="n"/>
      <c r="O605" s="88" t="n"/>
      <c r="P605" s="88" t="n"/>
      <c r="Q605" s="88" t="n"/>
      <c r="R605" s="88" t="n"/>
      <c r="S605" s="88" t="n"/>
      <c r="T605" s="88" t="n"/>
      <c r="U605" s="129" t="n"/>
      <c r="V605" s="129" t="n"/>
    </row>
    <row r="606" ht="14.25" customHeight="1" s="83">
      <c r="A606" s="103" t="n"/>
      <c r="B606" s="125" t="n"/>
      <c r="C606" s="103" t="n"/>
      <c r="D606" s="126" t="n"/>
      <c r="E606" s="126" t="n"/>
      <c r="F606" s="127">
        <f>IF(D606="","",MAX(D606-E606,0))</f>
        <v/>
      </c>
      <c r="G606" s="130">
        <f>IF(E606="","",E606*GeneratorRate)</f>
        <v/>
      </c>
      <c r="H606" s="130">
        <f>IF(F606="","",F606*GovernmentRate)</f>
        <v/>
      </c>
      <c r="I606" s="130">
        <f>IF(D606="","",G606+H606)</f>
        <v/>
      </c>
      <c r="J606" s="129">
        <f>IFERROR(I606/COUNTIFS('Client DB &amp; Bed Mgmt'!$A:$A,A606,'Client DB &amp; Bed Mgmt'!$B:$B,C606,'Client DB &amp; Bed Mgmt'!$D:$D,"&lt;&gt;"),0)</f>
        <v/>
      </c>
      <c r="K606" s="88" t="n"/>
      <c r="L606" s="88" t="n"/>
      <c r="M606" s="88">
        <f>COUNTIFS('Client DB &amp; Bed Mgmt'!$B:$B,L606,'Client DB &amp; Bed Mgmt'!$E:$E,"Occupied")</f>
        <v/>
      </c>
      <c r="N606" s="88" t="n"/>
      <c r="O606" s="88" t="n"/>
      <c r="P606" s="88" t="n"/>
      <c r="Q606" s="88" t="n"/>
      <c r="R606" s="88" t="n"/>
      <c r="S606" s="88" t="n"/>
      <c r="T606" s="88" t="n"/>
      <c r="U606" s="129" t="n"/>
      <c r="V606" s="129" t="n"/>
    </row>
    <row r="607" ht="14.25" customHeight="1" s="83">
      <c r="A607" s="103" t="n"/>
      <c r="B607" s="125" t="n"/>
      <c r="C607" s="103" t="n"/>
      <c r="D607" s="126" t="n"/>
      <c r="E607" s="126" t="n"/>
      <c r="F607" s="127">
        <f>IF(D607="","",MAX(D607-E607,0))</f>
        <v/>
      </c>
      <c r="G607" s="130">
        <f>IF(E607="","",E607*GeneratorRate)</f>
        <v/>
      </c>
      <c r="H607" s="130">
        <f>IF(F607="","",F607*GovernmentRate)</f>
        <v/>
      </c>
      <c r="I607" s="130">
        <f>IF(D607="","",G607+H607)</f>
        <v/>
      </c>
      <c r="J607" s="129">
        <f>IFERROR(I607/COUNTIFS('Client DB &amp; Bed Mgmt'!$A:$A,A607,'Client DB &amp; Bed Mgmt'!$B:$B,C607,'Client DB &amp; Bed Mgmt'!$D:$D,"&lt;&gt;"),0)</f>
        <v/>
      </c>
      <c r="K607" s="88" t="n"/>
      <c r="L607" s="88" t="n"/>
      <c r="M607" s="88">
        <f>COUNTIFS('Client DB &amp; Bed Mgmt'!$B:$B,L607,'Client DB &amp; Bed Mgmt'!$E:$E,"Occupied")</f>
        <v/>
      </c>
      <c r="N607" s="88" t="n"/>
      <c r="O607" s="88" t="n"/>
      <c r="P607" s="88" t="n"/>
      <c r="Q607" s="88" t="n"/>
      <c r="R607" s="88" t="n"/>
      <c r="S607" s="88" t="n"/>
      <c r="T607" s="88" t="n"/>
      <c r="U607" s="129" t="n"/>
      <c r="V607" s="129" t="n"/>
    </row>
    <row r="608" ht="14.25" customHeight="1" s="83">
      <c r="A608" s="103" t="n"/>
      <c r="B608" s="125" t="n"/>
      <c r="C608" s="103" t="n"/>
      <c r="D608" s="126" t="n"/>
      <c r="E608" s="126" t="n"/>
      <c r="F608" s="127">
        <f>IF(D608="","",MAX(D608-E608,0))</f>
        <v/>
      </c>
      <c r="G608" s="130">
        <f>IF(E608="","",E608*GeneratorRate)</f>
        <v/>
      </c>
      <c r="H608" s="130">
        <f>IF(F608="","",F608*GovernmentRate)</f>
        <v/>
      </c>
      <c r="I608" s="130">
        <f>IF(D608="","",G608+H608)</f>
        <v/>
      </c>
      <c r="J608" s="129">
        <f>IFERROR(I608/COUNTIFS('Client DB &amp; Bed Mgmt'!$A:$A,A608,'Client DB &amp; Bed Mgmt'!$B:$B,C608,'Client DB &amp; Bed Mgmt'!$D:$D,"&lt;&gt;"),0)</f>
        <v/>
      </c>
      <c r="K608" s="88" t="n"/>
      <c r="L608" s="88" t="n"/>
      <c r="M608" s="88">
        <f>COUNTIFS('Client DB &amp; Bed Mgmt'!$B:$B,L608,'Client DB &amp; Bed Mgmt'!$E:$E,"Occupied")</f>
        <v/>
      </c>
      <c r="N608" s="88" t="n"/>
      <c r="O608" s="88" t="n"/>
      <c r="P608" s="88" t="n"/>
      <c r="Q608" s="88" t="n"/>
      <c r="R608" s="88" t="n"/>
      <c r="S608" s="88" t="n"/>
      <c r="T608" s="88" t="n"/>
      <c r="U608" s="129" t="n"/>
      <c r="V608" s="129" t="n"/>
    </row>
    <row r="609" ht="14.25" customHeight="1" s="83">
      <c r="A609" s="103" t="n"/>
      <c r="B609" s="125" t="n"/>
      <c r="C609" s="103" t="n"/>
      <c r="D609" s="126" t="n"/>
      <c r="E609" s="126" t="n"/>
      <c r="F609" s="127">
        <f>IF(D609="","",MAX(D609-E609,0))</f>
        <v/>
      </c>
      <c r="G609" s="130">
        <f>IF(E609="","",E609*GeneratorRate)</f>
        <v/>
      </c>
      <c r="H609" s="130">
        <f>IF(F609="","",F609*GovernmentRate)</f>
        <v/>
      </c>
      <c r="I609" s="130">
        <f>IF(D609="","",G609+H609)</f>
        <v/>
      </c>
      <c r="J609" s="129">
        <f>IFERROR(I609/COUNTIFS('Client DB &amp; Bed Mgmt'!$A:$A,A609,'Client DB &amp; Bed Mgmt'!$B:$B,C609,'Client DB &amp; Bed Mgmt'!$D:$D,"&lt;&gt;"),0)</f>
        <v/>
      </c>
      <c r="K609" s="88" t="n"/>
      <c r="L609" s="88" t="n"/>
      <c r="M609" s="88">
        <f>COUNTIFS('Client DB &amp; Bed Mgmt'!$B:$B,L609,'Client DB &amp; Bed Mgmt'!$E:$E,"Occupied")</f>
        <v/>
      </c>
      <c r="N609" s="88" t="n"/>
      <c r="O609" s="88" t="n"/>
      <c r="P609" s="88" t="n"/>
      <c r="Q609" s="88" t="n"/>
      <c r="R609" s="88" t="n"/>
      <c r="S609" s="88" t="n"/>
      <c r="T609" s="88" t="n"/>
      <c r="U609" s="129" t="n"/>
      <c r="V609" s="129" t="n"/>
    </row>
    <row r="610" ht="14.25" customHeight="1" s="83">
      <c r="A610" s="103" t="n"/>
      <c r="B610" s="125" t="n"/>
      <c r="C610" s="103" t="n"/>
      <c r="D610" s="126" t="n"/>
      <c r="E610" s="126" t="n"/>
      <c r="F610" s="127">
        <f>IF(D610="","",MAX(D610-E610,0))</f>
        <v/>
      </c>
      <c r="G610" s="130">
        <f>IF(E610="","",E610*GeneratorRate)</f>
        <v/>
      </c>
      <c r="H610" s="130">
        <f>IF(F610="","",F610*GovernmentRate)</f>
        <v/>
      </c>
      <c r="I610" s="130">
        <f>IF(D610="","",G610+H610)</f>
        <v/>
      </c>
      <c r="J610" s="129">
        <f>IFERROR(I610/COUNTIFS('Client DB &amp; Bed Mgmt'!$A:$A,A610,'Client DB &amp; Bed Mgmt'!$B:$B,C610,'Client DB &amp; Bed Mgmt'!$D:$D,"&lt;&gt;"),0)</f>
        <v/>
      </c>
      <c r="K610" s="88" t="n"/>
      <c r="L610" s="88" t="n"/>
      <c r="M610" s="88">
        <f>COUNTIFS('Client DB &amp; Bed Mgmt'!$B:$B,L610,'Client DB &amp; Bed Mgmt'!$E:$E,"Occupied")</f>
        <v/>
      </c>
      <c r="N610" s="88" t="n"/>
      <c r="O610" s="88" t="n"/>
      <c r="P610" s="88" t="n"/>
      <c r="Q610" s="88" t="n"/>
      <c r="R610" s="88" t="n"/>
      <c r="S610" s="88" t="n"/>
      <c r="T610" s="88" t="n"/>
      <c r="U610" s="129" t="n"/>
      <c r="V610" s="129" t="n"/>
    </row>
    <row r="611" ht="14.25" customHeight="1" s="83">
      <c r="A611" s="103" t="n"/>
      <c r="B611" s="125" t="n"/>
      <c r="C611" s="103" t="n"/>
      <c r="D611" s="126" t="n"/>
      <c r="E611" s="126" t="n"/>
      <c r="F611" s="127">
        <f>IF(D611="","",MAX(D611-E611,0))</f>
        <v/>
      </c>
      <c r="G611" s="130">
        <f>IF(E611="","",E611*GeneratorRate)</f>
        <v/>
      </c>
      <c r="H611" s="130">
        <f>IF(F611="","",F611*GovernmentRate)</f>
        <v/>
      </c>
      <c r="I611" s="130">
        <f>IF(D611="","",G611+H611)</f>
        <v/>
      </c>
      <c r="J611" s="129">
        <f>IFERROR(I611/COUNTIFS('Client DB &amp; Bed Mgmt'!$A:$A,A611,'Client DB &amp; Bed Mgmt'!$B:$B,C611,'Client DB &amp; Bed Mgmt'!$D:$D,"&lt;&gt;"),0)</f>
        <v/>
      </c>
      <c r="K611" s="88" t="n"/>
      <c r="L611" s="88" t="n"/>
      <c r="M611" s="88">
        <f>COUNTIFS('Client DB &amp; Bed Mgmt'!$B:$B,L611,'Client DB &amp; Bed Mgmt'!$E:$E,"Occupied")</f>
        <v/>
      </c>
      <c r="N611" s="88" t="n"/>
      <c r="O611" s="88" t="n"/>
      <c r="P611" s="88" t="n"/>
      <c r="Q611" s="88" t="n"/>
      <c r="R611" s="88" t="n"/>
      <c r="S611" s="88" t="n"/>
      <c r="T611" s="88" t="n"/>
      <c r="U611" s="129" t="n"/>
      <c r="V611" s="129" t="n"/>
    </row>
    <row r="612" ht="14.25" customHeight="1" s="83">
      <c r="A612" s="103" t="n"/>
      <c r="B612" s="125" t="n"/>
      <c r="C612" s="103" t="n"/>
      <c r="D612" s="126" t="n"/>
      <c r="E612" s="126" t="n"/>
      <c r="F612" s="127">
        <f>IF(D612="","",MAX(D612-E612,0))</f>
        <v/>
      </c>
      <c r="G612" s="130">
        <f>IF(E612="","",E612*GeneratorRate)</f>
        <v/>
      </c>
      <c r="H612" s="130">
        <f>IF(F612="","",F612*GovernmentRate)</f>
        <v/>
      </c>
      <c r="I612" s="130">
        <f>IF(D612="","",G612+H612)</f>
        <v/>
      </c>
      <c r="J612" s="129">
        <f>IFERROR(I612/COUNTIFS('Client DB &amp; Bed Mgmt'!$A:$A,A612,'Client DB &amp; Bed Mgmt'!$B:$B,C612,'Client DB &amp; Bed Mgmt'!$D:$D,"&lt;&gt;"),0)</f>
        <v/>
      </c>
      <c r="K612" s="88" t="n"/>
      <c r="L612" s="88" t="n"/>
      <c r="M612" s="88">
        <f>COUNTIFS('Client DB &amp; Bed Mgmt'!$B:$B,L612,'Client DB &amp; Bed Mgmt'!$E:$E,"Occupied")</f>
        <v/>
      </c>
      <c r="N612" s="88" t="n"/>
      <c r="O612" s="88" t="n"/>
      <c r="P612" s="88" t="n"/>
      <c r="Q612" s="88" t="n"/>
      <c r="R612" s="88" t="n"/>
      <c r="S612" s="88" t="n"/>
      <c r="T612" s="88" t="n"/>
      <c r="U612" s="129" t="n"/>
      <c r="V612" s="129" t="n"/>
    </row>
    <row r="613" ht="14.25" customHeight="1" s="83">
      <c r="A613" s="103" t="n"/>
      <c r="B613" s="125" t="n"/>
      <c r="C613" s="103" t="n"/>
      <c r="D613" s="126" t="n"/>
      <c r="E613" s="126" t="n"/>
      <c r="F613" s="127">
        <f>IF(D613="","",MAX(D613-E613,0))</f>
        <v/>
      </c>
      <c r="G613" s="130">
        <f>IF(E613="","",E613*GeneratorRate)</f>
        <v/>
      </c>
      <c r="H613" s="130">
        <f>IF(F613="","",F613*GovernmentRate)</f>
        <v/>
      </c>
      <c r="I613" s="130">
        <f>IF(D613="","",G613+H613)</f>
        <v/>
      </c>
      <c r="J613" s="129">
        <f>IFERROR(I613/COUNTIFS('Client DB &amp; Bed Mgmt'!$A:$A,A613,'Client DB &amp; Bed Mgmt'!$B:$B,C613,'Client DB &amp; Bed Mgmt'!$D:$D,"&lt;&gt;"),0)</f>
        <v/>
      </c>
      <c r="K613" s="88" t="n"/>
      <c r="L613" s="88" t="n"/>
      <c r="M613" s="88">
        <f>COUNTIFS('Client DB &amp; Bed Mgmt'!$B:$B,L613,'Client DB &amp; Bed Mgmt'!$E:$E,"Occupied")</f>
        <v/>
      </c>
      <c r="N613" s="88" t="n"/>
      <c r="O613" s="88" t="n"/>
      <c r="P613" s="88" t="n"/>
      <c r="Q613" s="88" t="n"/>
      <c r="R613" s="88" t="n"/>
      <c r="S613" s="88" t="n"/>
      <c r="T613" s="88" t="n"/>
      <c r="U613" s="129" t="n"/>
      <c r="V613" s="129" t="n"/>
    </row>
    <row r="614" ht="14.25" customHeight="1" s="83">
      <c r="A614" s="103" t="n"/>
      <c r="B614" s="125" t="n"/>
      <c r="C614" s="103" t="n"/>
      <c r="D614" s="126" t="n"/>
      <c r="E614" s="126" t="n"/>
      <c r="F614" s="127">
        <f>IF(D614="","",MAX(D614-E614,0))</f>
        <v/>
      </c>
      <c r="G614" s="130">
        <f>IF(E614="","",E614*GeneratorRate)</f>
        <v/>
      </c>
      <c r="H614" s="130">
        <f>IF(F614="","",F614*GovernmentRate)</f>
        <v/>
      </c>
      <c r="I614" s="130">
        <f>IF(D614="","",G614+H614)</f>
        <v/>
      </c>
      <c r="J614" s="129">
        <f>IFERROR(I614/COUNTIFS('Client DB &amp; Bed Mgmt'!$A:$A,A614,'Client DB &amp; Bed Mgmt'!$B:$B,C614,'Client DB &amp; Bed Mgmt'!$D:$D,"&lt;&gt;"),0)</f>
        <v/>
      </c>
      <c r="K614" s="88" t="n"/>
      <c r="L614" s="88" t="n"/>
      <c r="M614" s="88">
        <f>COUNTIFS('Client DB &amp; Bed Mgmt'!$B:$B,L614,'Client DB &amp; Bed Mgmt'!$E:$E,"Occupied")</f>
        <v/>
      </c>
      <c r="N614" s="88" t="n"/>
      <c r="O614" s="88" t="n"/>
      <c r="P614" s="88" t="n"/>
      <c r="Q614" s="88" t="n"/>
      <c r="R614" s="88" t="n"/>
      <c r="S614" s="88" t="n"/>
      <c r="T614" s="88" t="n"/>
      <c r="U614" s="129" t="n"/>
      <c r="V614" s="129" t="n"/>
    </row>
    <row r="615" ht="14.25" customHeight="1" s="83">
      <c r="A615" s="103" t="n"/>
      <c r="B615" s="125" t="n"/>
      <c r="C615" s="103" t="n"/>
      <c r="D615" s="126" t="n"/>
      <c r="E615" s="126" t="n"/>
      <c r="F615" s="127">
        <f>IF(D615="","",MAX(D615-E615,0))</f>
        <v/>
      </c>
      <c r="G615" s="130">
        <f>IF(E615="","",E615*GeneratorRate)</f>
        <v/>
      </c>
      <c r="H615" s="130">
        <f>IF(F615="","",F615*GovernmentRate)</f>
        <v/>
      </c>
      <c r="I615" s="130">
        <f>IF(D615="","",G615+H615)</f>
        <v/>
      </c>
      <c r="J615" s="129">
        <f>IFERROR(I615/COUNTIFS('Client DB &amp; Bed Mgmt'!$A:$A,A615,'Client DB &amp; Bed Mgmt'!$B:$B,C615,'Client DB &amp; Bed Mgmt'!$D:$D,"&lt;&gt;"),0)</f>
        <v/>
      </c>
      <c r="K615" s="88" t="n"/>
      <c r="L615" s="88" t="n"/>
      <c r="M615" s="88">
        <f>COUNTIFS('Client DB &amp; Bed Mgmt'!$B:$B,L615,'Client DB &amp; Bed Mgmt'!$E:$E,"Occupied")</f>
        <v/>
      </c>
      <c r="N615" s="88" t="n"/>
      <c r="O615" s="88" t="n"/>
      <c r="P615" s="88" t="n"/>
      <c r="Q615" s="88" t="n"/>
      <c r="R615" s="88" t="n"/>
      <c r="S615" s="88" t="n"/>
      <c r="T615" s="88" t="n"/>
      <c r="U615" s="129" t="n"/>
      <c r="V615" s="129" t="n"/>
    </row>
    <row r="616" ht="14.25" customHeight="1" s="83">
      <c r="A616" s="103" t="n"/>
      <c r="B616" s="125" t="n"/>
      <c r="C616" s="103" t="n"/>
      <c r="D616" s="126" t="n"/>
      <c r="E616" s="126" t="n"/>
      <c r="F616" s="127">
        <f>IF(D616="","",MAX(D616-E616,0))</f>
        <v/>
      </c>
      <c r="G616" s="130">
        <f>IF(E616="","",E616*GeneratorRate)</f>
        <v/>
      </c>
      <c r="H616" s="130">
        <f>IF(F616="","",F616*GovernmentRate)</f>
        <v/>
      </c>
      <c r="I616" s="130">
        <f>IF(D616="","",G616+H616)</f>
        <v/>
      </c>
      <c r="J616" s="129">
        <f>IFERROR(I616/COUNTIFS('Client DB &amp; Bed Mgmt'!$A:$A,A616,'Client DB &amp; Bed Mgmt'!$B:$B,C616,'Client DB &amp; Bed Mgmt'!$D:$D,"&lt;&gt;"),0)</f>
        <v/>
      </c>
      <c r="K616" s="88" t="n"/>
      <c r="L616" s="88" t="n"/>
      <c r="M616" s="88">
        <f>COUNTIFS('Client DB &amp; Bed Mgmt'!$B:$B,L616,'Client DB &amp; Bed Mgmt'!$E:$E,"Occupied")</f>
        <v/>
      </c>
      <c r="N616" s="88" t="n"/>
      <c r="O616" s="88" t="n"/>
      <c r="P616" s="88" t="n"/>
      <c r="Q616" s="88" t="n"/>
      <c r="R616" s="88" t="n"/>
      <c r="S616" s="88" t="n"/>
      <c r="T616" s="88" t="n"/>
      <c r="U616" s="129" t="n"/>
      <c r="V616" s="129" t="n"/>
    </row>
    <row r="617" ht="14.25" customHeight="1" s="83">
      <c r="A617" s="103" t="n"/>
      <c r="B617" s="125" t="n"/>
      <c r="C617" s="103" t="n"/>
      <c r="D617" s="126" t="n"/>
      <c r="E617" s="126" t="n"/>
      <c r="F617" s="127">
        <f>IF(D617="","",MAX(D617-E617,0))</f>
        <v/>
      </c>
      <c r="G617" s="130">
        <f>IF(E617="","",E617*GeneratorRate)</f>
        <v/>
      </c>
      <c r="H617" s="130">
        <f>IF(F617="","",F617*GovernmentRate)</f>
        <v/>
      </c>
      <c r="I617" s="130">
        <f>IF(D617="","",G617+H617)</f>
        <v/>
      </c>
      <c r="J617" s="129">
        <f>IFERROR(I617/COUNTIFS('Client DB &amp; Bed Mgmt'!$A:$A,A617,'Client DB &amp; Bed Mgmt'!$B:$B,C617,'Client DB &amp; Bed Mgmt'!$D:$D,"&lt;&gt;"),0)</f>
        <v/>
      </c>
      <c r="K617" s="88" t="n"/>
      <c r="L617" s="88" t="n"/>
      <c r="M617" s="88">
        <f>COUNTIFS('Client DB &amp; Bed Mgmt'!$B:$B,L617,'Client DB &amp; Bed Mgmt'!$E:$E,"Occupied")</f>
        <v/>
      </c>
      <c r="N617" s="88" t="n"/>
      <c r="O617" s="88" t="n"/>
      <c r="P617" s="88" t="n"/>
      <c r="Q617" s="88" t="n"/>
      <c r="R617" s="88" t="n"/>
      <c r="S617" s="88" t="n"/>
      <c r="T617" s="88" t="n"/>
      <c r="U617" s="129" t="n"/>
      <c r="V617" s="129" t="n"/>
    </row>
    <row r="618" ht="14.25" customHeight="1" s="83">
      <c r="A618" s="103" t="n"/>
      <c r="B618" s="125" t="n"/>
      <c r="C618" s="103" t="n"/>
      <c r="D618" s="126" t="n"/>
      <c r="E618" s="126" t="n"/>
      <c r="F618" s="127">
        <f>IF(D618="","",MAX(D618-E618,0))</f>
        <v/>
      </c>
      <c r="G618" s="130">
        <f>IF(E618="","",E618*GeneratorRate)</f>
        <v/>
      </c>
      <c r="H618" s="130">
        <f>IF(F618="","",F618*GovernmentRate)</f>
        <v/>
      </c>
      <c r="I618" s="130">
        <f>IF(D618="","",G618+H618)</f>
        <v/>
      </c>
      <c r="J618" s="129">
        <f>IFERROR(I618/COUNTIFS('Client DB &amp; Bed Mgmt'!$A:$A,A618,'Client DB &amp; Bed Mgmt'!$B:$B,C618,'Client DB &amp; Bed Mgmt'!$D:$D,"&lt;&gt;"),0)</f>
        <v/>
      </c>
      <c r="K618" s="88" t="n"/>
      <c r="L618" s="88" t="n"/>
      <c r="M618" s="88">
        <f>COUNTIFS('Client DB &amp; Bed Mgmt'!$B:$B,L618,'Client DB &amp; Bed Mgmt'!$E:$E,"Occupied")</f>
        <v/>
      </c>
      <c r="N618" s="88" t="n"/>
      <c r="O618" s="88" t="n"/>
      <c r="P618" s="88" t="n"/>
      <c r="Q618" s="88" t="n"/>
      <c r="R618" s="88" t="n"/>
      <c r="S618" s="88" t="n"/>
      <c r="T618" s="88" t="n"/>
      <c r="U618" s="129" t="n"/>
      <c r="V618" s="129" t="n"/>
    </row>
    <row r="619" ht="14.25" customHeight="1" s="83">
      <c r="A619" s="103" t="n"/>
      <c r="B619" s="125" t="n"/>
      <c r="C619" s="103" t="n"/>
      <c r="D619" s="126" t="n"/>
      <c r="E619" s="126" t="n"/>
      <c r="F619" s="127">
        <f>IF(D619="","",MAX(D619-E619,0))</f>
        <v/>
      </c>
      <c r="G619" s="130">
        <f>IF(E619="","",E619*GeneratorRate)</f>
        <v/>
      </c>
      <c r="H619" s="130">
        <f>IF(F619="","",F619*GovernmentRate)</f>
        <v/>
      </c>
      <c r="I619" s="130">
        <f>IF(D619="","",G619+H619)</f>
        <v/>
      </c>
      <c r="J619" s="129">
        <f>IFERROR(I619/COUNTIFS('Client DB &amp; Bed Mgmt'!$A:$A,A619,'Client DB &amp; Bed Mgmt'!$B:$B,C619,'Client DB &amp; Bed Mgmt'!$D:$D,"&lt;&gt;"),0)</f>
        <v/>
      </c>
      <c r="K619" s="88" t="n"/>
      <c r="L619" s="88" t="n"/>
      <c r="M619" s="88">
        <f>COUNTIFS('Client DB &amp; Bed Mgmt'!$B:$B,L619,'Client DB &amp; Bed Mgmt'!$E:$E,"Occupied")</f>
        <v/>
      </c>
      <c r="N619" s="88" t="n"/>
      <c r="O619" s="88" t="n"/>
      <c r="P619" s="88" t="n"/>
      <c r="Q619" s="88" t="n"/>
      <c r="R619" s="88" t="n"/>
      <c r="S619" s="88" t="n"/>
      <c r="T619" s="88" t="n"/>
      <c r="U619" s="129" t="n"/>
      <c r="V619" s="129" t="n"/>
    </row>
    <row r="620" ht="14.25" customHeight="1" s="83">
      <c r="A620" s="103" t="n"/>
      <c r="B620" s="125" t="n"/>
      <c r="C620" s="103" t="n"/>
      <c r="D620" s="126" t="n"/>
      <c r="E620" s="126" t="n"/>
      <c r="F620" s="127">
        <f>IF(D620="","",MAX(D620-E620,0))</f>
        <v/>
      </c>
      <c r="G620" s="130">
        <f>IF(E620="","",E620*GeneratorRate)</f>
        <v/>
      </c>
      <c r="H620" s="130">
        <f>IF(F620="","",F620*GovernmentRate)</f>
        <v/>
      </c>
      <c r="I620" s="130">
        <f>IF(D620="","",G620+H620)</f>
        <v/>
      </c>
      <c r="J620" s="129">
        <f>IFERROR(I620/COUNTIFS('Client DB &amp; Bed Mgmt'!$A:$A,A620,'Client DB &amp; Bed Mgmt'!$B:$B,C620,'Client DB &amp; Bed Mgmt'!$D:$D,"&lt;&gt;"),0)</f>
        <v/>
      </c>
      <c r="K620" s="88" t="n"/>
      <c r="L620" s="88" t="n"/>
      <c r="M620" s="88">
        <f>COUNTIFS('Client DB &amp; Bed Mgmt'!$B:$B,L620,'Client DB &amp; Bed Mgmt'!$E:$E,"Occupied")</f>
        <v/>
      </c>
      <c r="N620" s="88" t="n"/>
      <c r="O620" s="88" t="n"/>
      <c r="P620" s="88" t="n"/>
      <c r="Q620" s="88" t="n"/>
      <c r="R620" s="88" t="n"/>
      <c r="S620" s="88" t="n"/>
      <c r="T620" s="88" t="n"/>
      <c r="U620" s="129" t="n"/>
      <c r="V620" s="129" t="n"/>
    </row>
    <row r="621" ht="14.25" customHeight="1" s="83">
      <c r="A621" s="103" t="n"/>
      <c r="B621" s="125" t="n"/>
      <c r="C621" s="103" t="n"/>
      <c r="D621" s="126" t="n"/>
      <c r="E621" s="126" t="n"/>
      <c r="F621" s="127">
        <f>IF(D621="","",MAX(D621-E621,0))</f>
        <v/>
      </c>
      <c r="G621" s="130">
        <f>IF(E621="","",E621*GeneratorRate)</f>
        <v/>
      </c>
      <c r="H621" s="130">
        <f>IF(F621="","",F621*GovernmentRate)</f>
        <v/>
      </c>
      <c r="I621" s="130">
        <f>IF(D621="","",G621+H621)</f>
        <v/>
      </c>
      <c r="J621" s="129">
        <f>IFERROR(I621/COUNTIFS('Client DB &amp; Bed Mgmt'!$A:$A,A621,'Client DB &amp; Bed Mgmt'!$B:$B,C621,'Client DB &amp; Bed Mgmt'!$D:$D,"&lt;&gt;"),0)</f>
        <v/>
      </c>
      <c r="K621" s="88" t="n"/>
      <c r="L621" s="88" t="n"/>
      <c r="M621" s="88">
        <f>COUNTIFS('Client DB &amp; Bed Mgmt'!$B:$B,L621,'Client DB &amp; Bed Mgmt'!$E:$E,"Occupied")</f>
        <v/>
      </c>
      <c r="N621" s="88" t="n"/>
      <c r="O621" s="88" t="n"/>
      <c r="P621" s="88" t="n"/>
      <c r="Q621" s="88" t="n"/>
      <c r="R621" s="88" t="n"/>
      <c r="S621" s="88" t="n"/>
      <c r="T621" s="88" t="n"/>
      <c r="U621" s="129" t="n"/>
      <c r="V621" s="129" t="n"/>
    </row>
    <row r="622" ht="14.25" customHeight="1" s="83">
      <c r="A622" s="103" t="n"/>
      <c r="B622" s="125" t="n"/>
      <c r="C622" s="103" t="n"/>
      <c r="D622" s="126" t="n"/>
      <c r="E622" s="126" t="n"/>
      <c r="F622" s="127">
        <f>IF(D622="","",MAX(D622-E622,0))</f>
        <v/>
      </c>
      <c r="G622" s="130">
        <f>IF(E622="","",E622*GeneratorRate)</f>
        <v/>
      </c>
      <c r="H622" s="130">
        <f>IF(F622="","",F622*GovernmentRate)</f>
        <v/>
      </c>
      <c r="I622" s="130">
        <f>IF(D622="","",G622+H622)</f>
        <v/>
      </c>
      <c r="J622" s="129">
        <f>IFERROR(I622/COUNTIFS('Client DB &amp; Bed Mgmt'!$A:$A,A622,'Client DB &amp; Bed Mgmt'!$B:$B,C622,'Client DB &amp; Bed Mgmt'!$D:$D,"&lt;&gt;"),0)</f>
        <v/>
      </c>
      <c r="K622" s="88" t="n"/>
      <c r="L622" s="88" t="n"/>
      <c r="M622" s="88">
        <f>COUNTIFS('Client DB &amp; Bed Mgmt'!$B:$B,L622,'Client DB &amp; Bed Mgmt'!$E:$E,"Occupied")</f>
        <v/>
      </c>
      <c r="N622" s="88" t="n"/>
      <c r="O622" s="88" t="n"/>
      <c r="P622" s="88" t="n"/>
      <c r="Q622" s="88" t="n"/>
      <c r="R622" s="88" t="n"/>
      <c r="S622" s="88" t="n"/>
      <c r="T622" s="88" t="n"/>
      <c r="U622" s="129" t="n"/>
      <c r="V622" s="129" t="n"/>
    </row>
    <row r="623" ht="14.25" customHeight="1" s="83">
      <c r="A623" s="103" t="n"/>
      <c r="B623" s="125" t="n"/>
      <c r="C623" s="103" t="n"/>
      <c r="D623" s="126" t="n"/>
      <c r="E623" s="126" t="n"/>
      <c r="F623" s="127">
        <f>IF(D623="","",MAX(D623-E623,0))</f>
        <v/>
      </c>
      <c r="G623" s="130">
        <f>IF(E623="","",E623*GeneratorRate)</f>
        <v/>
      </c>
      <c r="H623" s="130">
        <f>IF(F623="","",F623*GovernmentRate)</f>
        <v/>
      </c>
      <c r="I623" s="130">
        <f>IF(D623="","",G623+H623)</f>
        <v/>
      </c>
      <c r="J623" s="129">
        <f>IFERROR(I623/COUNTIFS('Client DB &amp; Bed Mgmt'!$A:$A,A623,'Client DB &amp; Bed Mgmt'!$B:$B,C623,'Client DB &amp; Bed Mgmt'!$D:$D,"&lt;&gt;"),0)</f>
        <v/>
      </c>
      <c r="K623" s="88" t="n"/>
      <c r="L623" s="88" t="n"/>
      <c r="M623" s="88">
        <f>COUNTIFS('Client DB &amp; Bed Mgmt'!$B:$B,L623,'Client DB &amp; Bed Mgmt'!$E:$E,"Occupied")</f>
        <v/>
      </c>
      <c r="N623" s="88" t="n"/>
      <c r="O623" s="88" t="n"/>
      <c r="P623" s="88" t="n"/>
      <c r="Q623" s="88" t="n"/>
      <c r="R623" s="88" t="n"/>
      <c r="S623" s="88" t="n"/>
      <c r="T623" s="88" t="n"/>
      <c r="U623" s="129" t="n"/>
      <c r="V623" s="129" t="n"/>
    </row>
    <row r="624" ht="14.25" customHeight="1" s="83">
      <c r="A624" s="103" t="n"/>
      <c r="B624" s="125" t="n"/>
      <c r="C624" s="103" t="n"/>
      <c r="D624" s="126" t="n"/>
      <c r="E624" s="126" t="n"/>
      <c r="F624" s="127">
        <f>IF(D624="","",MAX(D624-E624,0))</f>
        <v/>
      </c>
      <c r="G624" s="130">
        <f>IF(E624="","",E624*GeneratorRate)</f>
        <v/>
      </c>
      <c r="H624" s="130">
        <f>IF(F624="","",F624*GovernmentRate)</f>
        <v/>
      </c>
      <c r="I624" s="130">
        <f>IF(D624="","",G624+H624)</f>
        <v/>
      </c>
      <c r="J624" s="129">
        <f>IFERROR(I624/COUNTIFS('Client DB &amp; Bed Mgmt'!$A:$A,A624,'Client DB &amp; Bed Mgmt'!$B:$B,C624,'Client DB &amp; Bed Mgmt'!$D:$D,"&lt;&gt;"),0)</f>
        <v/>
      </c>
      <c r="K624" s="88" t="n"/>
      <c r="L624" s="88" t="n"/>
      <c r="M624" s="88">
        <f>COUNTIFS('Client DB &amp; Bed Mgmt'!$B:$B,L624,'Client DB &amp; Bed Mgmt'!$E:$E,"Occupied")</f>
        <v/>
      </c>
      <c r="N624" s="88" t="n"/>
      <c r="O624" s="88" t="n"/>
      <c r="P624" s="88" t="n"/>
      <c r="Q624" s="88" t="n"/>
      <c r="R624" s="88" t="n"/>
      <c r="S624" s="88" t="n"/>
      <c r="T624" s="88" t="n"/>
      <c r="U624" s="129" t="n"/>
      <c r="V624" s="129" t="n"/>
    </row>
    <row r="625" ht="14.25" customHeight="1" s="83">
      <c r="A625" s="103" t="n"/>
      <c r="B625" s="125" t="n"/>
      <c r="C625" s="103" t="n"/>
      <c r="D625" s="126" t="n"/>
      <c r="E625" s="126" t="n"/>
      <c r="F625" s="127">
        <f>IF(D625="","",MAX(D625-E625,0))</f>
        <v/>
      </c>
      <c r="G625" s="130">
        <f>IF(E625="","",E625*GeneratorRate)</f>
        <v/>
      </c>
      <c r="H625" s="130">
        <f>IF(F625="","",F625*GovernmentRate)</f>
        <v/>
      </c>
      <c r="I625" s="130">
        <f>IF(D625="","",G625+H625)</f>
        <v/>
      </c>
      <c r="J625" s="129">
        <f>IFERROR(I625/COUNTIFS('Client DB &amp; Bed Mgmt'!$A:$A,A625,'Client DB &amp; Bed Mgmt'!$B:$B,C625,'Client DB &amp; Bed Mgmt'!$D:$D,"&lt;&gt;"),0)</f>
        <v/>
      </c>
      <c r="K625" s="88" t="n"/>
      <c r="L625" s="88" t="n"/>
      <c r="M625" s="88">
        <f>COUNTIFS('Client DB &amp; Bed Mgmt'!$B:$B,L625,'Client DB &amp; Bed Mgmt'!$E:$E,"Occupied")</f>
        <v/>
      </c>
      <c r="N625" s="88" t="n"/>
      <c r="O625" s="88" t="n"/>
      <c r="P625" s="88" t="n"/>
      <c r="Q625" s="88" t="n"/>
      <c r="R625" s="88" t="n"/>
      <c r="S625" s="88" t="n"/>
      <c r="T625" s="88" t="n"/>
      <c r="U625" s="129" t="n"/>
      <c r="V625" s="129" t="n"/>
    </row>
    <row r="626" ht="14.25" customHeight="1" s="83">
      <c r="A626" s="103" t="n"/>
      <c r="B626" s="125" t="n"/>
      <c r="C626" s="103" t="n"/>
      <c r="D626" s="126" t="n"/>
      <c r="E626" s="126" t="n"/>
      <c r="F626" s="127">
        <f>IF(D626="","",MAX(D626-E626,0))</f>
        <v/>
      </c>
      <c r="G626" s="130">
        <f>IF(E626="","",E626*GeneratorRate)</f>
        <v/>
      </c>
      <c r="H626" s="130">
        <f>IF(F626="","",F626*GovernmentRate)</f>
        <v/>
      </c>
      <c r="I626" s="130">
        <f>IF(D626="","",G626+H626)</f>
        <v/>
      </c>
      <c r="J626" s="129">
        <f>IFERROR(I626/COUNTIFS('Client DB &amp; Bed Mgmt'!$A:$A,A626,'Client DB &amp; Bed Mgmt'!$B:$B,C626,'Client DB &amp; Bed Mgmt'!$D:$D,"&lt;&gt;"),0)</f>
        <v/>
      </c>
      <c r="K626" s="88" t="n"/>
      <c r="L626" s="88" t="n"/>
      <c r="M626" s="88">
        <f>COUNTIFS('Client DB &amp; Bed Mgmt'!$B:$B,L626,'Client DB &amp; Bed Mgmt'!$E:$E,"Occupied")</f>
        <v/>
      </c>
      <c r="N626" s="88" t="n"/>
      <c r="O626" s="88" t="n"/>
      <c r="P626" s="88" t="n"/>
      <c r="Q626" s="88" t="n"/>
      <c r="R626" s="88" t="n"/>
      <c r="S626" s="88" t="n"/>
      <c r="T626" s="88" t="n"/>
      <c r="U626" s="129" t="n"/>
      <c r="V626" s="129" t="n"/>
    </row>
    <row r="627" ht="14.25" customHeight="1" s="83">
      <c r="A627" s="103" t="n"/>
      <c r="B627" s="125" t="n"/>
      <c r="C627" s="103" t="n"/>
      <c r="D627" s="126" t="n"/>
      <c r="E627" s="126" t="n"/>
      <c r="F627" s="127">
        <f>IF(D627="","",MAX(D627-E627,0))</f>
        <v/>
      </c>
      <c r="G627" s="130">
        <f>IF(E627="","",E627*GeneratorRate)</f>
        <v/>
      </c>
      <c r="H627" s="130">
        <f>IF(F627="","",F627*GovernmentRate)</f>
        <v/>
      </c>
      <c r="I627" s="130">
        <f>IF(D627="","",G627+H627)</f>
        <v/>
      </c>
      <c r="J627" s="129">
        <f>IFERROR(I627/COUNTIFS('Client DB &amp; Bed Mgmt'!$A:$A,A627,'Client DB &amp; Bed Mgmt'!$B:$B,C627,'Client DB &amp; Bed Mgmt'!$D:$D,"&lt;&gt;"),0)</f>
        <v/>
      </c>
      <c r="K627" s="88" t="n"/>
      <c r="L627" s="88" t="n"/>
      <c r="M627" s="88">
        <f>COUNTIFS('Client DB &amp; Bed Mgmt'!$B:$B,L627,'Client DB &amp; Bed Mgmt'!$E:$E,"Occupied")</f>
        <v/>
      </c>
      <c r="N627" s="88" t="n"/>
      <c r="O627" s="88" t="n"/>
      <c r="P627" s="88" t="n"/>
      <c r="Q627" s="88" t="n"/>
      <c r="R627" s="88" t="n"/>
      <c r="S627" s="88" t="n"/>
      <c r="T627" s="88" t="n"/>
      <c r="U627" s="129" t="n"/>
      <c r="V627" s="129" t="n"/>
    </row>
    <row r="628" ht="14.25" customHeight="1" s="83">
      <c r="A628" s="103" t="n"/>
      <c r="B628" s="125" t="n"/>
      <c r="C628" s="103" t="n"/>
      <c r="D628" s="126" t="n"/>
      <c r="E628" s="126" t="n"/>
      <c r="F628" s="127">
        <f>IF(D628="","",MAX(D628-E628,0))</f>
        <v/>
      </c>
      <c r="G628" s="130">
        <f>IF(E628="","",E628*GeneratorRate)</f>
        <v/>
      </c>
      <c r="H628" s="130">
        <f>IF(F628="","",F628*GovernmentRate)</f>
        <v/>
      </c>
      <c r="I628" s="130">
        <f>IF(D628="","",G628+H628)</f>
        <v/>
      </c>
      <c r="J628" s="129">
        <f>IFERROR(I628/COUNTIFS('Client DB &amp; Bed Mgmt'!$A:$A,A628,'Client DB &amp; Bed Mgmt'!$B:$B,C628,'Client DB &amp; Bed Mgmt'!$D:$D,"&lt;&gt;"),0)</f>
        <v/>
      </c>
      <c r="K628" s="88" t="n"/>
      <c r="L628" s="88" t="n"/>
      <c r="M628" s="88">
        <f>COUNTIFS('Client DB &amp; Bed Mgmt'!$B:$B,L628,'Client DB &amp; Bed Mgmt'!$E:$E,"Occupied")</f>
        <v/>
      </c>
      <c r="N628" s="88" t="n"/>
      <c r="O628" s="88" t="n"/>
      <c r="P628" s="88" t="n"/>
      <c r="Q628" s="88" t="n"/>
      <c r="R628" s="88" t="n"/>
      <c r="S628" s="88" t="n"/>
      <c r="T628" s="88" t="n"/>
      <c r="U628" s="129" t="n"/>
      <c r="V628" s="129" t="n"/>
    </row>
    <row r="629" ht="14.25" customHeight="1" s="83">
      <c r="A629" s="103" t="n"/>
      <c r="B629" s="125" t="n"/>
      <c r="C629" s="103" t="n"/>
      <c r="D629" s="126" t="n"/>
      <c r="E629" s="126" t="n"/>
      <c r="F629" s="127">
        <f>IF(D629="","",MAX(D629-E629,0))</f>
        <v/>
      </c>
      <c r="G629" s="130">
        <f>IF(E629="","",E629*GeneratorRate)</f>
        <v/>
      </c>
      <c r="H629" s="130">
        <f>IF(F629="","",F629*GovernmentRate)</f>
        <v/>
      </c>
      <c r="I629" s="130">
        <f>IF(D629="","",G629+H629)</f>
        <v/>
      </c>
      <c r="J629" s="129">
        <f>IFERROR(I629/COUNTIFS('Client DB &amp; Bed Mgmt'!$A:$A,A629,'Client DB &amp; Bed Mgmt'!$B:$B,C629,'Client DB &amp; Bed Mgmt'!$D:$D,"&lt;&gt;"),0)</f>
        <v/>
      </c>
      <c r="K629" s="88" t="n"/>
      <c r="L629" s="88" t="n"/>
      <c r="M629" s="88">
        <f>COUNTIFS('Client DB &amp; Bed Mgmt'!$B:$B,L629,'Client DB &amp; Bed Mgmt'!$E:$E,"Occupied")</f>
        <v/>
      </c>
      <c r="N629" s="88" t="n"/>
      <c r="O629" s="88" t="n"/>
      <c r="P629" s="88" t="n"/>
      <c r="Q629" s="88" t="n"/>
      <c r="R629" s="88" t="n"/>
      <c r="S629" s="88" t="n"/>
      <c r="T629" s="88" t="n"/>
      <c r="U629" s="129" t="n"/>
      <c r="V629" s="129" t="n"/>
    </row>
    <row r="630" ht="14.25" customHeight="1" s="83">
      <c r="A630" s="103" t="n"/>
      <c r="B630" s="125" t="n"/>
      <c r="C630" s="103" t="n"/>
      <c r="D630" s="126" t="n"/>
      <c r="E630" s="126" t="n"/>
      <c r="F630" s="127">
        <f>IF(D630="","",MAX(D630-E630,0))</f>
        <v/>
      </c>
      <c r="G630" s="130">
        <f>IF(E630="","",E630*GeneratorRate)</f>
        <v/>
      </c>
      <c r="H630" s="130">
        <f>IF(F630="","",F630*GovernmentRate)</f>
        <v/>
      </c>
      <c r="I630" s="130">
        <f>IF(D630="","",G630+H630)</f>
        <v/>
      </c>
      <c r="J630" s="129">
        <f>IFERROR(I630/COUNTIFS('Client DB &amp; Bed Mgmt'!$A:$A,A630,'Client DB &amp; Bed Mgmt'!$B:$B,C630,'Client DB &amp; Bed Mgmt'!$D:$D,"&lt;&gt;"),0)</f>
        <v/>
      </c>
      <c r="K630" s="88" t="n"/>
      <c r="L630" s="88" t="n"/>
      <c r="M630" s="88">
        <f>COUNTIFS('Client DB &amp; Bed Mgmt'!$B:$B,L630,'Client DB &amp; Bed Mgmt'!$E:$E,"Occupied")</f>
        <v/>
      </c>
      <c r="N630" s="88" t="n"/>
      <c r="O630" s="88" t="n"/>
      <c r="P630" s="88" t="n"/>
      <c r="Q630" s="88" t="n"/>
      <c r="R630" s="88" t="n"/>
      <c r="S630" s="88" t="n"/>
      <c r="T630" s="88" t="n"/>
      <c r="U630" s="129" t="n"/>
      <c r="V630" s="129" t="n"/>
    </row>
    <row r="631" ht="14.25" customHeight="1" s="83">
      <c r="A631" s="103" t="n"/>
      <c r="B631" s="125" t="n"/>
      <c r="C631" s="103" t="n"/>
      <c r="D631" s="126" t="n"/>
      <c r="E631" s="126" t="n"/>
      <c r="F631" s="127">
        <f>IF(D631="","",MAX(D631-E631,0))</f>
        <v/>
      </c>
      <c r="G631" s="130">
        <f>IF(E631="","",E631*GeneratorRate)</f>
        <v/>
      </c>
      <c r="H631" s="130">
        <f>IF(F631="","",F631*GovernmentRate)</f>
        <v/>
      </c>
      <c r="I631" s="130">
        <f>IF(D631="","",G631+H631)</f>
        <v/>
      </c>
      <c r="J631" s="129">
        <f>IFERROR(I631/COUNTIFS('Client DB &amp; Bed Mgmt'!$A:$A,A631,'Client DB &amp; Bed Mgmt'!$B:$B,C631,'Client DB &amp; Bed Mgmt'!$D:$D,"&lt;&gt;"),0)</f>
        <v/>
      </c>
      <c r="K631" s="88" t="n"/>
      <c r="L631" s="88" t="n"/>
      <c r="M631" s="88">
        <f>COUNTIFS('Client DB &amp; Bed Mgmt'!$B:$B,L631,'Client DB &amp; Bed Mgmt'!$E:$E,"Occupied")</f>
        <v/>
      </c>
      <c r="N631" s="88" t="n"/>
      <c r="O631" s="88" t="n"/>
      <c r="P631" s="88" t="n"/>
      <c r="Q631" s="88" t="n"/>
      <c r="R631" s="88" t="n"/>
      <c r="S631" s="88" t="n"/>
      <c r="T631" s="88" t="n"/>
      <c r="U631" s="129" t="n"/>
      <c r="V631" s="129" t="n"/>
    </row>
    <row r="632" ht="14.25" customHeight="1" s="83">
      <c r="A632" s="103" t="n"/>
      <c r="B632" s="125" t="n"/>
      <c r="C632" s="103" t="n"/>
      <c r="D632" s="126" t="n"/>
      <c r="E632" s="126" t="n"/>
      <c r="F632" s="127">
        <f>IF(D632="","",MAX(D632-E632,0))</f>
        <v/>
      </c>
      <c r="G632" s="130">
        <f>IF(E632="","",E632*GeneratorRate)</f>
        <v/>
      </c>
      <c r="H632" s="130">
        <f>IF(F632="","",F632*GovernmentRate)</f>
        <v/>
      </c>
      <c r="I632" s="130">
        <f>IF(D632="","",G632+H632)</f>
        <v/>
      </c>
      <c r="J632" s="129">
        <f>IFERROR(I632/COUNTIFS('Client DB &amp; Bed Mgmt'!$A:$A,A632,'Client DB &amp; Bed Mgmt'!$B:$B,C632,'Client DB &amp; Bed Mgmt'!$D:$D,"&lt;&gt;"),0)</f>
        <v/>
      </c>
      <c r="K632" s="88" t="n"/>
      <c r="L632" s="88" t="n"/>
      <c r="M632" s="88">
        <f>COUNTIFS('Client DB &amp; Bed Mgmt'!$B:$B,L632,'Client DB &amp; Bed Mgmt'!$E:$E,"Occupied")</f>
        <v/>
      </c>
      <c r="N632" s="88" t="n"/>
      <c r="O632" s="88" t="n"/>
      <c r="P632" s="88" t="n"/>
      <c r="Q632" s="88" t="n"/>
      <c r="R632" s="88" t="n"/>
      <c r="S632" s="88" t="n"/>
      <c r="T632" s="88" t="n"/>
      <c r="U632" s="129" t="n"/>
      <c r="V632" s="129" t="n"/>
    </row>
    <row r="633" ht="14.25" customHeight="1" s="83">
      <c r="A633" s="103" t="n"/>
      <c r="B633" s="125" t="n"/>
      <c r="C633" s="103" t="n"/>
      <c r="D633" s="126" t="n"/>
      <c r="E633" s="126" t="n"/>
      <c r="F633" s="127">
        <f>IF(D633="","",MAX(D633-E633,0))</f>
        <v/>
      </c>
      <c r="G633" s="130">
        <f>IF(E633="","",E633*GeneratorRate)</f>
        <v/>
      </c>
      <c r="H633" s="130">
        <f>IF(F633="","",F633*GovernmentRate)</f>
        <v/>
      </c>
      <c r="I633" s="130">
        <f>IF(D633="","",G633+H633)</f>
        <v/>
      </c>
      <c r="J633" s="129">
        <f>IFERROR(I633/COUNTIFS('Client DB &amp; Bed Mgmt'!$A:$A,A633,'Client DB &amp; Bed Mgmt'!$B:$B,C633,'Client DB &amp; Bed Mgmt'!$D:$D,"&lt;&gt;"),0)</f>
        <v/>
      </c>
      <c r="K633" s="88" t="n"/>
      <c r="L633" s="88" t="n"/>
      <c r="M633" s="88">
        <f>COUNTIFS('Client DB &amp; Bed Mgmt'!$B:$B,L633,'Client DB &amp; Bed Mgmt'!$E:$E,"Occupied")</f>
        <v/>
      </c>
      <c r="N633" s="88" t="n"/>
      <c r="O633" s="88" t="n"/>
      <c r="P633" s="88" t="n"/>
      <c r="Q633" s="88" t="n"/>
      <c r="R633" s="88" t="n"/>
      <c r="S633" s="88" t="n"/>
      <c r="T633" s="88" t="n"/>
      <c r="U633" s="129" t="n"/>
      <c r="V633" s="129" t="n"/>
    </row>
    <row r="634" ht="14.25" customHeight="1" s="83">
      <c r="A634" s="103" t="n"/>
      <c r="B634" s="125" t="n"/>
      <c r="C634" s="103" t="n"/>
      <c r="D634" s="126" t="n"/>
      <c r="E634" s="126" t="n"/>
      <c r="F634" s="127">
        <f>IF(D634="","",MAX(D634-E634,0))</f>
        <v/>
      </c>
      <c r="G634" s="130">
        <f>IF(E634="","",E634*GeneratorRate)</f>
        <v/>
      </c>
      <c r="H634" s="130">
        <f>IF(F634="","",F634*GovernmentRate)</f>
        <v/>
      </c>
      <c r="I634" s="130">
        <f>IF(D634="","",G634+H634)</f>
        <v/>
      </c>
      <c r="J634" s="129">
        <f>IFERROR(I634/COUNTIFS('Client DB &amp; Bed Mgmt'!$A:$A,A634,'Client DB &amp; Bed Mgmt'!$B:$B,C634,'Client DB &amp; Bed Mgmt'!$D:$D,"&lt;&gt;"),0)</f>
        <v/>
      </c>
      <c r="K634" s="88" t="n"/>
      <c r="L634" s="88" t="n"/>
      <c r="M634" s="88">
        <f>COUNTIFS('Client DB &amp; Bed Mgmt'!$B:$B,L634,'Client DB &amp; Bed Mgmt'!$E:$E,"Occupied")</f>
        <v/>
      </c>
      <c r="N634" s="88" t="n"/>
      <c r="O634" s="88" t="n"/>
      <c r="P634" s="88" t="n"/>
      <c r="Q634" s="88" t="n"/>
      <c r="R634" s="88" t="n"/>
      <c r="S634" s="88" t="n"/>
      <c r="T634" s="88" t="n"/>
      <c r="U634" s="129" t="n"/>
      <c r="V634" s="129" t="n"/>
    </row>
    <row r="635" ht="14.25" customHeight="1" s="83">
      <c r="A635" s="103" t="n"/>
      <c r="B635" s="125" t="n"/>
      <c r="C635" s="103" t="n"/>
      <c r="D635" s="126" t="n"/>
      <c r="E635" s="126" t="n"/>
      <c r="F635" s="127">
        <f>IF(D635="","",MAX(D635-E635,0))</f>
        <v/>
      </c>
      <c r="G635" s="130">
        <f>IF(E635="","",E635*GeneratorRate)</f>
        <v/>
      </c>
      <c r="H635" s="130">
        <f>IF(F635="","",F635*GovernmentRate)</f>
        <v/>
      </c>
      <c r="I635" s="130">
        <f>IF(D635="","",G635+H635)</f>
        <v/>
      </c>
      <c r="J635" s="129">
        <f>IFERROR(I635/COUNTIFS('Client DB &amp; Bed Mgmt'!$A:$A,A635,'Client DB &amp; Bed Mgmt'!$B:$B,C635,'Client DB &amp; Bed Mgmt'!$D:$D,"&lt;&gt;"),0)</f>
        <v/>
      </c>
      <c r="K635" s="88" t="n"/>
      <c r="L635" s="88" t="n"/>
      <c r="M635" s="88">
        <f>COUNTIFS('Client DB &amp; Bed Mgmt'!$B:$B,L635,'Client DB &amp; Bed Mgmt'!$E:$E,"Occupied")</f>
        <v/>
      </c>
      <c r="N635" s="88" t="n"/>
      <c r="O635" s="88" t="n"/>
      <c r="P635" s="88" t="n"/>
      <c r="Q635" s="88" t="n"/>
      <c r="R635" s="88" t="n"/>
      <c r="S635" s="88" t="n"/>
      <c r="T635" s="88" t="n"/>
      <c r="U635" s="129" t="n"/>
      <c r="V635" s="129" t="n"/>
    </row>
    <row r="636" ht="14.25" customHeight="1" s="83">
      <c r="A636" s="103" t="n"/>
      <c r="B636" s="125" t="n"/>
      <c r="C636" s="103" t="n"/>
      <c r="D636" s="126" t="n"/>
      <c r="E636" s="126" t="n"/>
      <c r="F636" s="127">
        <f>IF(D636="","",MAX(D636-E636,0))</f>
        <v/>
      </c>
      <c r="G636" s="130">
        <f>IF(E636="","",E636*GeneratorRate)</f>
        <v/>
      </c>
      <c r="H636" s="130">
        <f>IF(F636="","",F636*GovernmentRate)</f>
        <v/>
      </c>
      <c r="I636" s="130">
        <f>IF(D636="","",G636+H636)</f>
        <v/>
      </c>
      <c r="J636" s="129">
        <f>IFERROR(I636/COUNTIFS('Client DB &amp; Bed Mgmt'!$A:$A,A636,'Client DB &amp; Bed Mgmt'!$B:$B,C636,'Client DB &amp; Bed Mgmt'!$D:$D,"&lt;&gt;"),0)</f>
        <v/>
      </c>
      <c r="K636" s="88" t="n"/>
      <c r="L636" s="88" t="n"/>
      <c r="M636" s="88">
        <f>COUNTIFS('Client DB &amp; Bed Mgmt'!$B:$B,L636,'Client DB &amp; Bed Mgmt'!$E:$E,"Occupied")</f>
        <v/>
      </c>
      <c r="N636" s="88" t="n"/>
      <c r="O636" s="88" t="n"/>
      <c r="P636" s="88" t="n"/>
      <c r="Q636" s="88" t="n"/>
      <c r="R636" s="88" t="n"/>
      <c r="S636" s="88" t="n"/>
      <c r="T636" s="88" t="n"/>
      <c r="U636" s="129" t="n"/>
      <c r="V636" s="129" t="n"/>
    </row>
    <row r="637" ht="14.25" customHeight="1" s="83">
      <c r="A637" s="103" t="n"/>
      <c r="B637" s="125" t="n"/>
      <c r="C637" s="103" t="n"/>
      <c r="D637" s="126" t="n"/>
      <c r="E637" s="126" t="n"/>
      <c r="F637" s="127">
        <f>IF(D637="","",MAX(D637-E637,0))</f>
        <v/>
      </c>
      <c r="G637" s="130">
        <f>IF(E637="","",E637*GeneratorRate)</f>
        <v/>
      </c>
      <c r="H637" s="130">
        <f>IF(F637="","",F637*GovernmentRate)</f>
        <v/>
      </c>
      <c r="I637" s="130">
        <f>IF(D637="","",G637+H637)</f>
        <v/>
      </c>
      <c r="J637" s="129">
        <f>IFERROR(I637/COUNTIFS('Client DB &amp; Bed Mgmt'!$A:$A,A637,'Client DB &amp; Bed Mgmt'!$B:$B,C637,'Client DB &amp; Bed Mgmt'!$D:$D,"&lt;&gt;"),0)</f>
        <v/>
      </c>
      <c r="K637" s="88" t="n"/>
      <c r="L637" s="88" t="n"/>
      <c r="M637" s="88">
        <f>COUNTIFS('Client DB &amp; Bed Mgmt'!$B:$B,L637,'Client DB &amp; Bed Mgmt'!$E:$E,"Occupied")</f>
        <v/>
      </c>
      <c r="N637" s="88" t="n"/>
      <c r="O637" s="88" t="n"/>
      <c r="P637" s="88" t="n"/>
      <c r="Q637" s="88" t="n"/>
      <c r="R637" s="88" t="n"/>
      <c r="S637" s="88" t="n"/>
      <c r="T637" s="88" t="n"/>
      <c r="U637" s="129" t="n"/>
      <c r="V637" s="129" t="n"/>
    </row>
    <row r="638" ht="14.25" customHeight="1" s="83">
      <c r="A638" s="103" t="n"/>
      <c r="B638" s="125" t="n"/>
      <c r="C638" s="103" t="n"/>
      <c r="D638" s="126" t="n"/>
      <c r="E638" s="126" t="n"/>
      <c r="F638" s="127">
        <f>IF(D638="","",MAX(D638-E638,0))</f>
        <v/>
      </c>
      <c r="G638" s="130">
        <f>IF(E638="","",E638*GeneratorRate)</f>
        <v/>
      </c>
      <c r="H638" s="130">
        <f>IF(F638="","",F638*GovernmentRate)</f>
        <v/>
      </c>
      <c r="I638" s="130">
        <f>IF(D638="","",G638+H638)</f>
        <v/>
      </c>
      <c r="J638" s="129">
        <f>IFERROR(I638/COUNTIFS('Client DB &amp; Bed Mgmt'!$A:$A,A638,'Client DB &amp; Bed Mgmt'!$B:$B,C638,'Client DB &amp; Bed Mgmt'!$D:$D,"&lt;&gt;"),0)</f>
        <v/>
      </c>
      <c r="K638" s="88" t="n"/>
      <c r="L638" s="88" t="n"/>
      <c r="M638" s="88">
        <f>COUNTIFS('Client DB &amp; Bed Mgmt'!$B:$B,L638,'Client DB &amp; Bed Mgmt'!$E:$E,"Occupied")</f>
        <v/>
      </c>
      <c r="N638" s="88" t="n"/>
      <c r="O638" s="88" t="n"/>
      <c r="P638" s="88" t="n"/>
      <c r="Q638" s="88" t="n"/>
      <c r="R638" s="88" t="n"/>
      <c r="S638" s="88" t="n"/>
      <c r="T638" s="88" t="n"/>
      <c r="U638" s="129" t="n"/>
      <c r="V638" s="129" t="n"/>
    </row>
    <row r="639" ht="14.25" customHeight="1" s="83">
      <c r="A639" s="103" t="n"/>
      <c r="B639" s="125" t="n"/>
      <c r="C639" s="103" t="n"/>
      <c r="D639" s="126" t="n"/>
      <c r="E639" s="126" t="n"/>
      <c r="F639" s="127">
        <f>IF(D639="","",MAX(D639-E639,0))</f>
        <v/>
      </c>
      <c r="G639" s="130">
        <f>IF(E639="","",E639*GeneratorRate)</f>
        <v/>
      </c>
      <c r="H639" s="130">
        <f>IF(F639="","",F639*GovernmentRate)</f>
        <v/>
      </c>
      <c r="I639" s="130">
        <f>IF(D639="","",G639+H639)</f>
        <v/>
      </c>
      <c r="J639" s="129">
        <f>IFERROR(I639/COUNTIFS('Client DB &amp; Bed Mgmt'!$A:$A,A639,'Client DB &amp; Bed Mgmt'!$B:$B,C639,'Client DB &amp; Bed Mgmt'!$D:$D,"&lt;&gt;"),0)</f>
        <v/>
      </c>
      <c r="K639" s="88" t="n"/>
      <c r="L639" s="88" t="n"/>
      <c r="M639" s="88">
        <f>COUNTIFS('Client DB &amp; Bed Mgmt'!$B:$B,L639,'Client DB &amp; Bed Mgmt'!$E:$E,"Occupied")</f>
        <v/>
      </c>
      <c r="N639" s="88" t="n"/>
      <c r="O639" s="88" t="n"/>
      <c r="P639" s="88" t="n"/>
      <c r="Q639" s="88" t="n"/>
      <c r="R639" s="88" t="n"/>
      <c r="S639" s="88" t="n"/>
      <c r="T639" s="88" t="n"/>
      <c r="U639" s="129" t="n"/>
      <c r="V639" s="129" t="n"/>
    </row>
    <row r="640" ht="14.25" customHeight="1" s="83">
      <c r="A640" s="103" t="n"/>
      <c r="B640" s="125" t="n"/>
      <c r="C640" s="103" t="n"/>
      <c r="D640" s="126" t="n"/>
      <c r="E640" s="126" t="n"/>
      <c r="F640" s="127">
        <f>IF(D640="","",MAX(D640-E640,0))</f>
        <v/>
      </c>
      <c r="G640" s="130">
        <f>IF(E640="","",E640*GeneratorRate)</f>
        <v/>
      </c>
      <c r="H640" s="130">
        <f>IF(F640="","",F640*GovernmentRate)</f>
        <v/>
      </c>
      <c r="I640" s="130">
        <f>IF(D640="","",G640+H640)</f>
        <v/>
      </c>
      <c r="J640" s="129">
        <f>IFERROR(I640/COUNTIFS('Client DB &amp; Bed Mgmt'!$A:$A,A640,'Client DB &amp; Bed Mgmt'!$B:$B,C640,'Client DB &amp; Bed Mgmt'!$D:$D,"&lt;&gt;"),0)</f>
        <v/>
      </c>
      <c r="K640" s="88" t="n"/>
      <c r="L640" s="88" t="n"/>
      <c r="M640" s="88">
        <f>COUNTIFS('Client DB &amp; Bed Mgmt'!$B:$B,L640,'Client DB &amp; Bed Mgmt'!$E:$E,"Occupied")</f>
        <v/>
      </c>
      <c r="N640" s="88" t="n"/>
      <c r="O640" s="88" t="n"/>
      <c r="P640" s="88" t="n"/>
      <c r="Q640" s="88" t="n"/>
      <c r="R640" s="88" t="n"/>
      <c r="S640" s="88" t="n"/>
      <c r="T640" s="88" t="n"/>
      <c r="U640" s="129" t="n"/>
      <c r="V640" s="129" t="n"/>
    </row>
    <row r="641" ht="14.25" customHeight="1" s="83">
      <c r="A641" s="103" t="n"/>
      <c r="B641" s="125" t="n"/>
      <c r="C641" s="103" t="n"/>
      <c r="D641" s="126" t="n"/>
      <c r="E641" s="126" t="n"/>
      <c r="F641" s="127">
        <f>IF(D641="","",MAX(D641-E641,0))</f>
        <v/>
      </c>
      <c r="G641" s="130">
        <f>IF(E641="","",E641*GeneratorRate)</f>
        <v/>
      </c>
      <c r="H641" s="130">
        <f>IF(F641="","",F641*GovernmentRate)</f>
        <v/>
      </c>
      <c r="I641" s="130">
        <f>IF(D641="","",G641+H641)</f>
        <v/>
      </c>
      <c r="J641" s="129">
        <f>IFERROR(I641/COUNTIFS('Client DB &amp; Bed Mgmt'!$A:$A,A641,'Client DB &amp; Bed Mgmt'!$B:$B,C641,'Client DB &amp; Bed Mgmt'!$D:$D,"&lt;&gt;"),0)</f>
        <v/>
      </c>
      <c r="K641" s="88" t="n"/>
      <c r="L641" s="88" t="n"/>
      <c r="M641" s="88">
        <f>COUNTIFS('Client DB &amp; Bed Mgmt'!$B:$B,L641,'Client DB &amp; Bed Mgmt'!$E:$E,"Occupied")</f>
        <v/>
      </c>
      <c r="N641" s="88" t="n"/>
      <c r="O641" s="88" t="n"/>
      <c r="P641" s="88" t="n"/>
      <c r="Q641" s="88" t="n"/>
      <c r="R641" s="88" t="n"/>
      <c r="S641" s="88" t="n"/>
      <c r="T641" s="88" t="n"/>
      <c r="U641" s="129" t="n"/>
      <c r="V641" s="129" t="n"/>
    </row>
    <row r="642" ht="14.25" customHeight="1" s="83">
      <c r="A642" s="103" t="n"/>
      <c r="B642" s="125" t="n"/>
      <c r="C642" s="103" t="n"/>
      <c r="D642" s="126" t="n"/>
      <c r="E642" s="126" t="n"/>
      <c r="F642" s="127">
        <f>IF(D642="","",MAX(D642-E642,0))</f>
        <v/>
      </c>
      <c r="G642" s="130">
        <f>IF(E642="","",E642*GeneratorRate)</f>
        <v/>
      </c>
      <c r="H642" s="130">
        <f>IF(F642="","",F642*GovernmentRate)</f>
        <v/>
      </c>
      <c r="I642" s="130">
        <f>IF(D642="","",G642+H642)</f>
        <v/>
      </c>
      <c r="J642" s="129">
        <f>IFERROR(I642/COUNTIFS('Client DB &amp; Bed Mgmt'!$A:$A,A642,'Client DB &amp; Bed Mgmt'!$B:$B,C642,'Client DB &amp; Bed Mgmt'!$D:$D,"&lt;&gt;"),0)</f>
        <v/>
      </c>
      <c r="K642" s="88" t="n"/>
      <c r="L642" s="88" t="n"/>
      <c r="M642" s="88">
        <f>COUNTIFS('Client DB &amp; Bed Mgmt'!$B:$B,L642,'Client DB &amp; Bed Mgmt'!$E:$E,"Occupied")</f>
        <v/>
      </c>
      <c r="N642" s="88" t="n"/>
      <c r="O642" s="88" t="n"/>
      <c r="P642" s="88" t="n"/>
      <c r="Q642" s="88" t="n"/>
      <c r="R642" s="88" t="n"/>
      <c r="S642" s="88" t="n"/>
      <c r="T642" s="88" t="n"/>
      <c r="U642" s="129" t="n"/>
      <c r="V642" s="129" t="n"/>
    </row>
    <row r="643" ht="14.25" customHeight="1" s="83">
      <c r="A643" s="103" t="n"/>
      <c r="B643" s="125" t="n"/>
      <c r="C643" s="103" t="n"/>
      <c r="D643" s="126" t="n"/>
      <c r="E643" s="126" t="n"/>
      <c r="F643" s="127">
        <f>IF(D643="","",MAX(D643-E643,0))</f>
        <v/>
      </c>
      <c r="G643" s="130">
        <f>IF(E643="","",E643*GeneratorRate)</f>
        <v/>
      </c>
      <c r="H643" s="130">
        <f>IF(F643="","",F643*GovernmentRate)</f>
        <v/>
      </c>
      <c r="I643" s="130">
        <f>IF(D643="","",G643+H643)</f>
        <v/>
      </c>
      <c r="J643" s="129">
        <f>IFERROR(I643/COUNTIFS('Client DB &amp; Bed Mgmt'!$A:$A,A643,'Client DB &amp; Bed Mgmt'!$B:$B,C643,'Client DB &amp; Bed Mgmt'!$D:$D,"&lt;&gt;"),0)</f>
        <v/>
      </c>
      <c r="K643" s="88" t="n"/>
      <c r="L643" s="88" t="n"/>
      <c r="M643" s="88">
        <f>COUNTIFS('Client DB &amp; Bed Mgmt'!$B:$B,L643,'Client DB &amp; Bed Mgmt'!$E:$E,"Occupied")</f>
        <v/>
      </c>
      <c r="N643" s="88" t="n"/>
      <c r="O643" s="88" t="n"/>
      <c r="P643" s="88" t="n"/>
      <c r="Q643" s="88" t="n"/>
      <c r="R643" s="88" t="n"/>
      <c r="S643" s="88" t="n"/>
      <c r="T643" s="88" t="n"/>
      <c r="U643" s="129" t="n"/>
      <c r="V643" s="129" t="n"/>
    </row>
    <row r="644" ht="14.25" customHeight="1" s="83">
      <c r="A644" s="103" t="n"/>
      <c r="B644" s="125" t="n"/>
      <c r="C644" s="103" t="n"/>
      <c r="D644" s="126" t="n"/>
      <c r="E644" s="126" t="n"/>
      <c r="F644" s="127">
        <f>IF(D644="","",MAX(D644-E644,0))</f>
        <v/>
      </c>
      <c r="G644" s="130">
        <f>IF(E644="","",E644*GeneratorRate)</f>
        <v/>
      </c>
      <c r="H644" s="130">
        <f>IF(F644="","",F644*GovernmentRate)</f>
        <v/>
      </c>
      <c r="I644" s="130">
        <f>IF(D644="","",G644+H644)</f>
        <v/>
      </c>
      <c r="J644" s="129">
        <f>IFERROR(I644/COUNTIFS('Client DB &amp; Bed Mgmt'!$A:$A,A644,'Client DB &amp; Bed Mgmt'!$B:$B,C644,'Client DB &amp; Bed Mgmt'!$D:$D,"&lt;&gt;"),0)</f>
        <v/>
      </c>
      <c r="K644" s="88" t="n"/>
      <c r="L644" s="88" t="n"/>
      <c r="M644" s="88">
        <f>COUNTIFS('Client DB &amp; Bed Mgmt'!$B:$B,L644,'Client DB &amp; Bed Mgmt'!$E:$E,"Occupied")</f>
        <v/>
      </c>
      <c r="N644" s="88" t="n"/>
      <c r="O644" s="88" t="n"/>
      <c r="P644" s="88" t="n"/>
      <c r="Q644" s="88" t="n"/>
      <c r="R644" s="88" t="n"/>
      <c r="S644" s="88" t="n"/>
      <c r="T644" s="88" t="n"/>
      <c r="U644" s="129" t="n"/>
      <c r="V644" s="129" t="n"/>
    </row>
    <row r="645" ht="14.25" customHeight="1" s="83">
      <c r="A645" s="103" t="n"/>
      <c r="B645" s="125" t="n"/>
      <c r="C645" s="103" t="n"/>
      <c r="D645" s="126" t="n"/>
      <c r="E645" s="126" t="n"/>
      <c r="F645" s="127">
        <f>IF(D645="","",MAX(D645-E645,0))</f>
        <v/>
      </c>
      <c r="G645" s="130">
        <f>IF(E645="","",E645*GeneratorRate)</f>
        <v/>
      </c>
      <c r="H645" s="130">
        <f>IF(F645="","",F645*GovernmentRate)</f>
        <v/>
      </c>
      <c r="I645" s="130">
        <f>IF(D645="","",G645+H645)</f>
        <v/>
      </c>
      <c r="J645" s="129">
        <f>IFERROR(I645/COUNTIFS('Client DB &amp; Bed Mgmt'!$A:$A,A645,'Client DB &amp; Bed Mgmt'!$B:$B,C645,'Client DB &amp; Bed Mgmt'!$D:$D,"&lt;&gt;"),0)</f>
        <v/>
      </c>
      <c r="K645" s="88" t="n"/>
      <c r="L645" s="88" t="n"/>
      <c r="M645" s="88">
        <f>COUNTIFS('Client DB &amp; Bed Mgmt'!$B:$B,L645,'Client DB &amp; Bed Mgmt'!$E:$E,"Occupied")</f>
        <v/>
      </c>
      <c r="N645" s="88" t="n"/>
      <c r="O645" s="88" t="n"/>
      <c r="P645" s="88" t="n"/>
      <c r="Q645" s="88" t="n"/>
      <c r="R645" s="88" t="n"/>
      <c r="S645" s="88" t="n"/>
      <c r="T645" s="88" t="n"/>
      <c r="U645" s="129" t="n"/>
      <c r="V645" s="129" t="n"/>
    </row>
    <row r="646" ht="14.25" customHeight="1" s="83">
      <c r="A646" s="103" t="n"/>
      <c r="B646" s="125" t="n"/>
      <c r="C646" s="103" t="n"/>
      <c r="D646" s="126" t="n"/>
      <c r="E646" s="126" t="n"/>
      <c r="F646" s="127">
        <f>IF(D646="","",MAX(D646-E646,0))</f>
        <v/>
      </c>
      <c r="G646" s="130">
        <f>IF(E646="","",E646*GeneratorRate)</f>
        <v/>
      </c>
      <c r="H646" s="130">
        <f>IF(F646="","",F646*GovernmentRate)</f>
        <v/>
      </c>
      <c r="I646" s="130">
        <f>IF(D646="","",G646+H646)</f>
        <v/>
      </c>
      <c r="J646" s="129">
        <f>IFERROR(I646/COUNTIFS('Client DB &amp; Bed Mgmt'!$A:$A,A646,'Client DB &amp; Bed Mgmt'!$B:$B,C646,'Client DB &amp; Bed Mgmt'!$D:$D,"&lt;&gt;"),0)</f>
        <v/>
      </c>
      <c r="K646" s="88" t="n"/>
      <c r="L646" s="88" t="n"/>
      <c r="M646" s="88">
        <f>COUNTIFS('Client DB &amp; Bed Mgmt'!$B:$B,L646,'Client DB &amp; Bed Mgmt'!$E:$E,"Occupied")</f>
        <v/>
      </c>
      <c r="N646" s="88" t="n"/>
      <c r="O646" s="88" t="n"/>
      <c r="P646" s="88" t="n"/>
      <c r="Q646" s="88" t="n"/>
      <c r="R646" s="88" t="n"/>
      <c r="S646" s="88" t="n"/>
      <c r="T646" s="88" t="n"/>
      <c r="U646" s="129" t="n"/>
      <c r="V646" s="129" t="n"/>
    </row>
    <row r="647" ht="14.25" customHeight="1" s="83">
      <c r="A647" s="103" t="n"/>
      <c r="B647" s="125" t="n"/>
      <c r="C647" s="103" t="n"/>
      <c r="D647" s="126" t="n"/>
      <c r="E647" s="126" t="n"/>
      <c r="F647" s="127">
        <f>IF(D647="","",MAX(D647-E647,0))</f>
        <v/>
      </c>
      <c r="G647" s="130">
        <f>IF(E647="","",E647*GeneratorRate)</f>
        <v/>
      </c>
      <c r="H647" s="130">
        <f>IF(F647="","",F647*GovernmentRate)</f>
        <v/>
      </c>
      <c r="I647" s="130">
        <f>IF(D647="","",G647+H647)</f>
        <v/>
      </c>
      <c r="J647" s="129">
        <f>IFERROR(I647/COUNTIFS('Client DB &amp; Bed Mgmt'!$A:$A,A647,'Client DB &amp; Bed Mgmt'!$B:$B,C647,'Client DB &amp; Bed Mgmt'!$D:$D,"&lt;&gt;"),0)</f>
        <v/>
      </c>
      <c r="K647" s="88" t="n"/>
      <c r="L647" s="88" t="n"/>
      <c r="M647" s="88">
        <f>COUNTIFS('Client DB &amp; Bed Mgmt'!$B:$B,L647,'Client DB &amp; Bed Mgmt'!$E:$E,"Occupied")</f>
        <v/>
      </c>
      <c r="N647" s="88" t="n"/>
      <c r="O647" s="88" t="n"/>
      <c r="P647" s="88" t="n"/>
      <c r="Q647" s="88" t="n"/>
      <c r="R647" s="88" t="n"/>
      <c r="S647" s="88" t="n"/>
      <c r="T647" s="88" t="n"/>
      <c r="U647" s="129" t="n"/>
      <c r="V647" s="129" t="n"/>
    </row>
    <row r="648" ht="14.25" customHeight="1" s="83">
      <c r="A648" s="103" t="n"/>
      <c r="B648" s="125" t="n"/>
      <c r="C648" s="103" t="n"/>
      <c r="D648" s="126" t="n"/>
      <c r="E648" s="126" t="n"/>
      <c r="F648" s="127">
        <f>IF(D648="","",MAX(D648-E648,0))</f>
        <v/>
      </c>
      <c r="G648" s="130">
        <f>IF(E648="","",E648*GeneratorRate)</f>
        <v/>
      </c>
      <c r="H648" s="130">
        <f>IF(F648="","",F648*GovernmentRate)</f>
        <v/>
      </c>
      <c r="I648" s="130">
        <f>IF(D648="","",G648+H648)</f>
        <v/>
      </c>
      <c r="J648" s="129">
        <f>IFERROR(I648/COUNTIFS('Client DB &amp; Bed Mgmt'!$A:$A,A648,'Client DB &amp; Bed Mgmt'!$B:$B,C648,'Client DB &amp; Bed Mgmt'!$D:$D,"&lt;&gt;"),0)</f>
        <v/>
      </c>
      <c r="K648" s="88" t="n"/>
      <c r="L648" s="88" t="n"/>
      <c r="M648" s="88">
        <f>COUNTIFS('Client DB &amp; Bed Mgmt'!$B:$B,L648,'Client DB &amp; Bed Mgmt'!$E:$E,"Occupied")</f>
        <v/>
      </c>
      <c r="N648" s="88" t="n"/>
      <c r="O648" s="88" t="n"/>
      <c r="P648" s="88" t="n"/>
      <c r="Q648" s="88" t="n"/>
      <c r="R648" s="88" t="n"/>
      <c r="S648" s="88" t="n"/>
      <c r="T648" s="88" t="n"/>
      <c r="U648" s="129" t="n"/>
      <c r="V648" s="129" t="n"/>
    </row>
    <row r="649" ht="14.25" customHeight="1" s="83">
      <c r="A649" s="103" t="n"/>
      <c r="B649" s="125" t="n"/>
      <c r="C649" s="103" t="n"/>
      <c r="D649" s="126" t="n"/>
      <c r="E649" s="126" t="n"/>
      <c r="F649" s="127">
        <f>IF(D649="","",MAX(D649-E649,0))</f>
        <v/>
      </c>
      <c r="G649" s="130">
        <f>IF(E649="","",E649*GeneratorRate)</f>
        <v/>
      </c>
      <c r="H649" s="130">
        <f>IF(F649="","",F649*GovernmentRate)</f>
        <v/>
      </c>
      <c r="I649" s="130">
        <f>IF(D649="","",G649+H649)</f>
        <v/>
      </c>
      <c r="J649" s="129">
        <f>IFERROR(I649/COUNTIFS('Client DB &amp; Bed Mgmt'!$A:$A,A649,'Client DB &amp; Bed Mgmt'!$B:$B,C649,'Client DB &amp; Bed Mgmt'!$D:$D,"&lt;&gt;"),0)</f>
        <v/>
      </c>
      <c r="K649" s="88" t="n"/>
      <c r="L649" s="88" t="n"/>
      <c r="M649" s="88">
        <f>COUNTIFS('Client DB &amp; Bed Mgmt'!$B:$B,L649,'Client DB &amp; Bed Mgmt'!$E:$E,"Occupied")</f>
        <v/>
      </c>
      <c r="N649" s="88" t="n"/>
      <c r="O649" s="88" t="n"/>
      <c r="P649" s="88" t="n"/>
      <c r="Q649" s="88" t="n"/>
      <c r="R649" s="88" t="n"/>
      <c r="S649" s="88" t="n"/>
      <c r="T649" s="88" t="n"/>
      <c r="U649" s="129" t="n"/>
      <c r="V649" s="129" t="n"/>
    </row>
    <row r="650" ht="14.25" customHeight="1" s="83">
      <c r="A650" s="103" t="n"/>
      <c r="B650" s="125" t="n"/>
      <c r="C650" s="103" t="n"/>
      <c r="D650" s="126" t="n"/>
      <c r="E650" s="126" t="n"/>
      <c r="F650" s="127">
        <f>IF(D650="","",MAX(D650-E650,0))</f>
        <v/>
      </c>
      <c r="G650" s="130">
        <f>IF(E650="","",E650*GeneratorRate)</f>
        <v/>
      </c>
      <c r="H650" s="130">
        <f>IF(F650="","",F650*GovernmentRate)</f>
        <v/>
      </c>
      <c r="I650" s="130">
        <f>IF(D650="","",G650+H650)</f>
        <v/>
      </c>
      <c r="J650" s="129">
        <f>IFERROR(I650/COUNTIFS('Client DB &amp; Bed Mgmt'!$A:$A,A650,'Client DB &amp; Bed Mgmt'!$B:$B,C650,'Client DB &amp; Bed Mgmt'!$D:$D,"&lt;&gt;"),0)</f>
        <v/>
      </c>
      <c r="K650" s="88" t="n"/>
      <c r="L650" s="88" t="n"/>
      <c r="M650" s="88">
        <f>COUNTIFS('Client DB &amp; Bed Mgmt'!$B:$B,L650,'Client DB &amp; Bed Mgmt'!$E:$E,"Occupied")</f>
        <v/>
      </c>
      <c r="N650" s="88" t="n"/>
      <c r="O650" s="88" t="n"/>
      <c r="P650" s="88" t="n"/>
      <c r="Q650" s="88" t="n"/>
      <c r="R650" s="88" t="n"/>
      <c r="S650" s="88" t="n"/>
      <c r="T650" s="88" t="n"/>
      <c r="U650" s="129" t="n"/>
      <c r="V650" s="129" t="n"/>
    </row>
    <row r="651" ht="14.25" customHeight="1" s="83">
      <c r="A651" s="103" t="n"/>
      <c r="B651" s="125" t="n"/>
      <c r="C651" s="103" t="n"/>
      <c r="D651" s="126" t="n"/>
      <c r="E651" s="126" t="n"/>
      <c r="F651" s="127">
        <f>IF(D651="","",MAX(D651-E651,0))</f>
        <v/>
      </c>
      <c r="G651" s="130">
        <f>IF(E651="","",E651*GeneratorRate)</f>
        <v/>
      </c>
      <c r="H651" s="130">
        <f>IF(F651="","",F651*GovernmentRate)</f>
        <v/>
      </c>
      <c r="I651" s="130">
        <f>IF(D651="","",G651+H651)</f>
        <v/>
      </c>
      <c r="J651" s="129">
        <f>IFERROR(I651/COUNTIFS('Client DB &amp; Bed Mgmt'!$A:$A,A651,'Client DB &amp; Bed Mgmt'!$B:$B,C651,'Client DB &amp; Bed Mgmt'!$D:$D,"&lt;&gt;"),0)</f>
        <v/>
      </c>
      <c r="K651" s="88" t="n"/>
      <c r="L651" s="88" t="n"/>
      <c r="M651" s="88">
        <f>COUNTIFS('Client DB &amp; Bed Mgmt'!$B:$B,L651,'Client DB &amp; Bed Mgmt'!$E:$E,"Occupied")</f>
        <v/>
      </c>
      <c r="N651" s="88" t="n"/>
      <c r="O651" s="88" t="n"/>
      <c r="P651" s="88" t="n"/>
      <c r="Q651" s="88" t="n"/>
      <c r="R651" s="88" t="n"/>
      <c r="S651" s="88" t="n"/>
      <c r="T651" s="88" t="n"/>
      <c r="U651" s="129" t="n"/>
      <c r="V651" s="129" t="n"/>
    </row>
    <row r="652" ht="14.25" customHeight="1" s="83">
      <c r="A652" s="103" t="n"/>
      <c r="B652" s="125" t="n"/>
      <c r="C652" s="103" t="n"/>
      <c r="D652" s="126" t="n"/>
      <c r="E652" s="126" t="n"/>
      <c r="F652" s="127">
        <f>IF(D652="","",MAX(D652-E652,0))</f>
        <v/>
      </c>
      <c r="G652" s="130">
        <f>IF(E652="","",E652*GeneratorRate)</f>
        <v/>
      </c>
      <c r="H652" s="130">
        <f>IF(F652="","",F652*GovernmentRate)</f>
        <v/>
      </c>
      <c r="I652" s="130">
        <f>IF(D652="","",G652+H652)</f>
        <v/>
      </c>
      <c r="J652" s="129">
        <f>IFERROR(I652/COUNTIFS('Client DB &amp; Bed Mgmt'!$A:$A,A652,'Client DB &amp; Bed Mgmt'!$B:$B,C652,'Client DB &amp; Bed Mgmt'!$D:$D,"&lt;&gt;"),0)</f>
        <v/>
      </c>
      <c r="K652" s="88" t="n"/>
      <c r="L652" s="88" t="n"/>
      <c r="M652" s="88">
        <f>COUNTIFS('Client DB &amp; Bed Mgmt'!$B:$B,L652,'Client DB &amp; Bed Mgmt'!$E:$E,"Occupied")</f>
        <v/>
      </c>
      <c r="N652" s="88" t="n"/>
      <c r="O652" s="88" t="n"/>
      <c r="P652" s="88" t="n"/>
      <c r="Q652" s="88" t="n"/>
      <c r="R652" s="88" t="n"/>
      <c r="S652" s="88" t="n"/>
      <c r="T652" s="88" t="n"/>
      <c r="U652" s="129" t="n"/>
      <c r="V652" s="129" t="n"/>
    </row>
    <row r="653" ht="14.25" customHeight="1" s="83">
      <c r="A653" s="103" t="n"/>
      <c r="B653" s="125" t="n"/>
      <c r="C653" s="103" t="n"/>
      <c r="D653" s="126" t="n"/>
      <c r="E653" s="126" t="n"/>
      <c r="F653" s="127">
        <f>IF(D653="","",MAX(D653-E653,0))</f>
        <v/>
      </c>
      <c r="G653" s="130">
        <f>IF(E653="","",E653*GeneratorRate)</f>
        <v/>
      </c>
      <c r="H653" s="130">
        <f>IF(F653="","",F653*GovernmentRate)</f>
        <v/>
      </c>
      <c r="I653" s="130">
        <f>IF(D653="","",G653+H653)</f>
        <v/>
      </c>
      <c r="J653" s="129">
        <f>IFERROR(I653/COUNTIFS('Client DB &amp; Bed Mgmt'!$A:$A,A653,'Client DB &amp; Bed Mgmt'!$B:$B,C653,'Client DB &amp; Bed Mgmt'!$D:$D,"&lt;&gt;"),0)</f>
        <v/>
      </c>
      <c r="K653" s="88" t="n"/>
      <c r="L653" s="88" t="n"/>
      <c r="M653" s="88">
        <f>COUNTIFS('Client DB &amp; Bed Mgmt'!$B:$B,L653,'Client DB &amp; Bed Mgmt'!$E:$E,"Occupied")</f>
        <v/>
      </c>
      <c r="N653" s="88" t="n"/>
      <c r="O653" s="88" t="n"/>
      <c r="P653" s="88" t="n"/>
      <c r="Q653" s="88" t="n"/>
      <c r="R653" s="88" t="n"/>
      <c r="S653" s="88" t="n"/>
      <c r="T653" s="88" t="n"/>
      <c r="U653" s="129" t="n"/>
      <c r="V653" s="129" t="n"/>
    </row>
    <row r="654" ht="14.25" customHeight="1" s="83">
      <c r="A654" s="103" t="n"/>
      <c r="B654" s="125" t="n"/>
      <c r="C654" s="103" t="n"/>
      <c r="D654" s="126" t="n"/>
      <c r="E654" s="126" t="n"/>
      <c r="F654" s="127">
        <f>IF(D654="","",MAX(D654-E654,0))</f>
        <v/>
      </c>
      <c r="G654" s="130">
        <f>IF(E654="","",E654*GeneratorRate)</f>
        <v/>
      </c>
      <c r="H654" s="130">
        <f>IF(F654="","",F654*GovernmentRate)</f>
        <v/>
      </c>
      <c r="I654" s="130">
        <f>IF(D654="","",G654+H654)</f>
        <v/>
      </c>
      <c r="J654" s="129">
        <f>IFERROR(I654/COUNTIFS('Client DB &amp; Bed Mgmt'!$A:$A,A654,'Client DB &amp; Bed Mgmt'!$B:$B,C654,'Client DB &amp; Bed Mgmt'!$D:$D,"&lt;&gt;"),0)</f>
        <v/>
      </c>
      <c r="K654" s="88" t="n"/>
      <c r="L654" s="88" t="n"/>
      <c r="M654" s="88">
        <f>COUNTIFS('Client DB &amp; Bed Mgmt'!$B:$B,L654,'Client DB &amp; Bed Mgmt'!$E:$E,"Occupied")</f>
        <v/>
      </c>
      <c r="N654" s="88" t="n"/>
      <c r="O654" s="88" t="n"/>
      <c r="P654" s="88" t="n"/>
      <c r="Q654" s="88" t="n"/>
      <c r="R654" s="88" t="n"/>
      <c r="S654" s="88" t="n"/>
      <c r="T654" s="88" t="n"/>
      <c r="U654" s="129" t="n"/>
      <c r="V654" s="129" t="n"/>
    </row>
    <row r="655" ht="14.25" customHeight="1" s="83">
      <c r="A655" s="103" t="n"/>
      <c r="B655" s="125" t="n"/>
      <c r="C655" s="103" t="n"/>
      <c r="D655" s="126" t="n"/>
      <c r="E655" s="126" t="n"/>
      <c r="F655" s="127">
        <f>IF(D655="","",MAX(D655-E655,0))</f>
        <v/>
      </c>
      <c r="G655" s="130">
        <f>IF(E655="","",E655*GeneratorRate)</f>
        <v/>
      </c>
      <c r="H655" s="130">
        <f>IF(F655="","",F655*GovernmentRate)</f>
        <v/>
      </c>
      <c r="I655" s="130">
        <f>IF(D655="","",G655+H655)</f>
        <v/>
      </c>
      <c r="J655" s="129">
        <f>IFERROR(I655/COUNTIFS('Client DB &amp; Bed Mgmt'!$A:$A,A655,'Client DB &amp; Bed Mgmt'!$B:$B,C655,'Client DB &amp; Bed Mgmt'!$D:$D,"&lt;&gt;"),0)</f>
        <v/>
      </c>
      <c r="K655" s="88" t="n"/>
      <c r="L655" s="88" t="n"/>
      <c r="M655" s="88">
        <f>COUNTIFS('Client DB &amp; Bed Mgmt'!$B:$B,L655,'Client DB &amp; Bed Mgmt'!$E:$E,"Occupied")</f>
        <v/>
      </c>
      <c r="N655" s="88" t="n"/>
      <c r="O655" s="88" t="n"/>
      <c r="P655" s="88" t="n"/>
      <c r="Q655" s="88" t="n"/>
      <c r="R655" s="88" t="n"/>
      <c r="S655" s="88" t="n"/>
      <c r="T655" s="88" t="n"/>
      <c r="U655" s="129" t="n"/>
      <c r="V655" s="129" t="n"/>
    </row>
    <row r="656" ht="14.25" customHeight="1" s="83">
      <c r="A656" s="103" t="n"/>
      <c r="B656" s="125" t="n"/>
      <c r="C656" s="103" t="n"/>
      <c r="D656" s="126" t="n"/>
      <c r="E656" s="126" t="n"/>
      <c r="F656" s="127">
        <f>IF(D656="","",MAX(D656-E656,0))</f>
        <v/>
      </c>
      <c r="G656" s="130">
        <f>IF(E656="","",E656*GeneratorRate)</f>
        <v/>
      </c>
      <c r="H656" s="130">
        <f>IF(F656="","",F656*GovernmentRate)</f>
        <v/>
      </c>
      <c r="I656" s="130">
        <f>IF(D656="","",G656+H656)</f>
        <v/>
      </c>
      <c r="J656" s="129">
        <f>IFERROR(I656/COUNTIFS('Client DB &amp; Bed Mgmt'!$A:$A,A656,'Client DB &amp; Bed Mgmt'!$B:$B,C656,'Client DB &amp; Bed Mgmt'!$D:$D,"&lt;&gt;"),0)</f>
        <v/>
      </c>
      <c r="K656" s="88" t="n"/>
      <c r="L656" s="88" t="n"/>
      <c r="M656" s="88">
        <f>COUNTIFS('Client DB &amp; Bed Mgmt'!$B:$B,L656,'Client DB &amp; Bed Mgmt'!$E:$E,"Occupied")</f>
        <v/>
      </c>
      <c r="N656" s="88" t="n"/>
      <c r="O656" s="88" t="n"/>
      <c r="P656" s="88" t="n"/>
      <c r="Q656" s="88" t="n"/>
      <c r="R656" s="88" t="n"/>
      <c r="S656" s="88" t="n"/>
      <c r="T656" s="88" t="n"/>
      <c r="U656" s="129" t="n"/>
      <c r="V656" s="129" t="n"/>
    </row>
    <row r="657" ht="14.25" customHeight="1" s="83">
      <c r="A657" s="103" t="n"/>
      <c r="B657" s="125" t="n"/>
      <c r="C657" s="103" t="n"/>
      <c r="D657" s="126" t="n"/>
      <c r="E657" s="126" t="n"/>
      <c r="F657" s="127">
        <f>IF(D657="","",MAX(D657-E657,0))</f>
        <v/>
      </c>
      <c r="G657" s="130">
        <f>IF(E657="","",E657*GeneratorRate)</f>
        <v/>
      </c>
      <c r="H657" s="130">
        <f>IF(F657="","",F657*GovernmentRate)</f>
        <v/>
      </c>
      <c r="I657" s="130">
        <f>IF(D657="","",G657+H657)</f>
        <v/>
      </c>
      <c r="J657" s="129">
        <f>IFERROR(I657/COUNTIFS('Client DB &amp; Bed Mgmt'!$A:$A,A657,'Client DB &amp; Bed Mgmt'!$B:$B,C657,'Client DB &amp; Bed Mgmt'!$D:$D,"&lt;&gt;"),0)</f>
        <v/>
      </c>
      <c r="K657" s="88" t="n"/>
      <c r="L657" s="88" t="n"/>
      <c r="M657" s="88">
        <f>COUNTIFS('Client DB &amp; Bed Mgmt'!$B:$B,L657,'Client DB &amp; Bed Mgmt'!$E:$E,"Occupied")</f>
        <v/>
      </c>
      <c r="N657" s="88" t="n"/>
      <c r="O657" s="88" t="n"/>
      <c r="P657" s="88" t="n"/>
      <c r="Q657" s="88" t="n"/>
      <c r="R657" s="88" t="n"/>
      <c r="S657" s="88" t="n"/>
      <c r="T657" s="88" t="n"/>
      <c r="U657" s="129" t="n"/>
      <c r="V657" s="129" t="n"/>
    </row>
    <row r="658" ht="14.25" customHeight="1" s="83">
      <c r="A658" s="103" t="n"/>
      <c r="B658" s="125" t="n"/>
      <c r="C658" s="103" t="n"/>
      <c r="D658" s="126" t="n"/>
      <c r="E658" s="126" t="n"/>
      <c r="F658" s="127">
        <f>IF(D658="","",MAX(D658-E658,0))</f>
        <v/>
      </c>
      <c r="G658" s="130">
        <f>IF(E658="","",E658*GeneratorRate)</f>
        <v/>
      </c>
      <c r="H658" s="130">
        <f>IF(F658="","",F658*GovernmentRate)</f>
        <v/>
      </c>
      <c r="I658" s="130">
        <f>IF(D658="","",G658+H658)</f>
        <v/>
      </c>
      <c r="J658" s="129">
        <f>IFERROR(I658/COUNTIFS('Client DB &amp; Bed Mgmt'!$A:$A,A658,'Client DB &amp; Bed Mgmt'!$B:$B,C658,'Client DB &amp; Bed Mgmt'!$D:$D,"&lt;&gt;"),0)</f>
        <v/>
      </c>
      <c r="K658" s="88" t="n"/>
      <c r="L658" s="88" t="n"/>
      <c r="M658" s="88">
        <f>COUNTIFS('Client DB &amp; Bed Mgmt'!$B:$B,L658,'Client DB &amp; Bed Mgmt'!$E:$E,"Occupied")</f>
        <v/>
      </c>
      <c r="N658" s="88" t="n"/>
      <c r="O658" s="88" t="n"/>
      <c r="P658" s="88" t="n"/>
      <c r="Q658" s="88" t="n"/>
      <c r="R658" s="88" t="n"/>
      <c r="S658" s="88" t="n"/>
      <c r="T658" s="88" t="n"/>
      <c r="U658" s="129" t="n"/>
      <c r="V658" s="129" t="n"/>
    </row>
    <row r="659" ht="14.25" customHeight="1" s="83">
      <c r="A659" s="103" t="n"/>
      <c r="B659" s="125" t="n"/>
      <c r="C659" s="103" t="n"/>
      <c r="D659" s="126" t="n"/>
      <c r="E659" s="126" t="n"/>
      <c r="F659" s="127">
        <f>IF(D659="","",MAX(D659-E659,0))</f>
        <v/>
      </c>
      <c r="G659" s="130">
        <f>IF(E659="","",E659*GeneratorRate)</f>
        <v/>
      </c>
      <c r="H659" s="130">
        <f>IF(F659="","",F659*GovernmentRate)</f>
        <v/>
      </c>
      <c r="I659" s="130">
        <f>IF(D659="","",G659+H659)</f>
        <v/>
      </c>
      <c r="J659" s="129">
        <f>IFERROR(I659/COUNTIFS('Client DB &amp; Bed Mgmt'!$A:$A,A659,'Client DB &amp; Bed Mgmt'!$B:$B,C659,'Client DB &amp; Bed Mgmt'!$D:$D,"&lt;&gt;"),0)</f>
        <v/>
      </c>
      <c r="K659" s="88" t="n"/>
      <c r="L659" s="88" t="n"/>
      <c r="M659" s="88">
        <f>COUNTIFS('Client DB &amp; Bed Mgmt'!$B:$B,L659,'Client DB &amp; Bed Mgmt'!$E:$E,"Occupied")</f>
        <v/>
      </c>
      <c r="N659" s="88" t="n"/>
      <c r="O659" s="88" t="n"/>
      <c r="P659" s="88" t="n"/>
      <c r="Q659" s="88" t="n"/>
      <c r="R659" s="88" t="n"/>
      <c r="S659" s="88" t="n"/>
      <c r="T659" s="88" t="n"/>
      <c r="U659" s="129" t="n"/>
      <c r="V659" s="129" t="n"/>
    </row>
    <row r="660" ht="14.25" customHeight="1" s="83">
      <c r="A660" s="103" t="n"/>
      <c r="B660" s="125" t="n"/>
      <c r="C660" s="103" t="n"/>
      <c r="D660" s="126" t="n"/>
      <c r="E660" s="126" t="n"/>
      <c r="F660" s="127">
        <f>IF(D660="","",MAX(D660-E660,0))</f>
        <v/>
      </c>
      <c r="G660" s="130">
        <f>IF(E660="","",E660*GeneratorRate)</f>
        <v/>
      </c>
      <c r="H660" s="130">
        <f>IF(F660="","",F660*GovernmentRate)</f>
        <v/>
      </c>
      <c r="I660" s="130">
        <f>IF(D660="","",G660+H660)</f>
        <v/>
      </c>
      <c r="J660" s="129">
        <f>IFERROR(I660/COUNTIFS('Client DB &amp; Bed Mgmt'!$A:$A,A660,'Client DB &amp; Bed Mgmt'!$B:$B,C660,'Client DB &amp; Bed Mgmt'!$D:$D,"&lt;&gt;"),0)</f>
        <v/>
      </c>
      <c r="K660" s="88" t="n"/>
      <c r="L660" s="88" t="n"/>
      <c r="M660" s="88">
        <f>COUNTIFS('Client DB &amp; Bed Mgmt'!$B:$B,L660,'Client DB &amp; Bed Mgmt'!$E:$E,"Occupied")</f>
        <v/>
      </c>
      <c r="N660" s="88" t="n"/>
      <c r="O660" s="88" t="n"/>
      <c r="P660" s="88" t="n"/>
      <c r="Q660" s="88" t="n"/>
      <c r="R660" s="88" t="n"/>
      <c r="S660" s="88" t="n"/>
      <c r="T660" s="88" t="n"/>
      <c r="U660" s="129" t="n"/>
      <c r="V660" s="129" t="n"/>
    </row>
    <row r="661" ht="14.25" customHeight="1" s="83">
      <c r="A661" s="103" t="n"/>
      <c r="B661" s="125" t="n"/>
      <c r="C661" s="103" t="n"/>
      <c r="D661" s="126" t="n"/>
      <c r="E661" s="126" t="n"/>
      <c r="F661" s="127">
        <f>IF(D661="","",MAX(D661-E661,0))</f>
        <v/>
      </c>
      <c r="G661" s="130">
        <f>IF(E661="","",E661*GeneratorRate)</f>
        <v/>
      </c>
      <c r="H661" s="130">
        <f>IF(F661="","",F661*GovernmentRate)</f>
        <v/>
      </c>
      <c r="I661" s="130">
        <f>IF(D661="","",G661+H661)</f>
        <v/>
      </c>
      <c r="J661" s="129">
        <f>IFERROR(I661/COUNTIFS('Client DB &amp; Bed Mgmt'!$A:$A,A661,'Client DB &amp; Bed Mgmt'!$B:$B,C661,'Client DB &amp; Bed Mgmt'!$D:$D,"&lt;&gt;"),0)</f>
        <v/>
      </c>
      <c r="K661" s="88" t="n"/>
      <c r="L661" s="88" t="n"/>
      <c r="M661" s="88">
        <f>COUNTIFS('Client DB &amp; Bed Mgmt'!$B:$B,L661,'Client DB &amp; Bed Mgmt'!$E:$E,"Occupied")</f>
        <v/>
      </c>
      <c r="N661" s="88" t="n"/>
      <c r="O661" s="88" t="n"/>
      <c r="P661" s="88" t="n"/>
      <c r="Q661" s="88" t="n"/>
      <c r="R661" s="88" t="n"/>
      <c r="S661" s="88" t="n"/>
      <c r="T661" s="88" t="n"/>
      <c r="U661" s="129" t="n"/>
      <c r="V661" s="129" t="n"/>
    </row>
    <row r="662" ht="14.25" customHeight="1" s="83">
      <c r="A662" s="103" t="n"/>
      <c r="B662" s="125" t="n"/>
      <c r="C662" s="103" t="n"/>
      <c r="D662" s="126" t="n"/>
      <c r="E662" s="126" t="n"/>
      <c r="F662" s="127">
        <f>IF(D662="","",MAX(D662-E662,0))</f>
        <v/>
      </c>
      <c r="G662" s="130">
        <f>IF(E662="","",E662*GeneratorRate)</f>
        <v/>
      </c>
      <c r="H662" s="130">
        <f>IF(F662="","",F662*GovernmentRate)</f>
        <v/>
      </c>
      <c r="I662" s="130">
        <f>IF(D662="","",G662+H662)</f>
        <v/>
      </c>
      <c r="J662" s="129">
        <f>IFERROR(I662/COUNTIFS('Client DB &amp; Bed Mgmt'!$A:$A,A662,'Client DB &amp; Bed Mgmt'!$B:$B,C662,'Client DB &amp; Bed Mgmt'!$D:$D,"&lt;&gt;"),0)</f>
        <v/>
      </c>
      <c r="K662" s="88" t="n"/>
      <c r="L662" s="88" t="n"/>
      <c r="M662" s="88">
        <f>COUNTIFS('Client DB &amp; Bed Mgmt'!$B:$B,L662,'Client DB &amp; Bed Mgmt'!$E:$E,"Occupied")</f>
        <v/>
      </c>
      <c r="N662" s="88" t="n"/>
      <c r="O662" s="88" t="n"/>
      <c r="P662" s="88" t="n"/>
      <c r="Q662" s="88" t="n"/>
      <c r="R662" s="88" t="n"/>
      <c r="S662" s="88" t="n"/>
      <c r="T662" s="88" t="n"/>
      <c r="U662" s="129" t="n"/>
      <c r="V662" s="129" t="n"/>
    </row>
    <row r="663" ht="14.25" customHeight="1" s="83">
      <c r="A663" s="103" t="n"/>
      <c r="B663" s="125" t="n"/>
      <c r="C663" s="103" t="n"/>
      <c r="D663" s="126" t="n"/>
      <c r="E663" s="126" t="n"/>
      <c r="F663" s="127">
        <f>IF(D663="","",MAX(D663-E663,0))</f>
        <v/>
      </c>
      <c r="G663" s="130">
        <f>IF(E663="","",E663*GeneratorRate)</f>
        <v/>
      </c>
      <c r="H663" s="130">
        <f>IF(F663="","",F663*GovernmentRate)</f>
        <v/>
      </c>
      <c r="I663" s="130">
        <f>IF(D663="","",G663+H663)</f>
        <v/>
      </c>
      <c r="J663" s="129">
        <f>IFERROR(I663/COUNTIFS('Client DB &amp; Bed Mgmt'!$A:$A,A663,'Client DB &amp; Bed Mgmt'!$B:$B,C663,'Client DB &amp; Bed Mgmt'!$D:$D,"&lt;&gt;"),0)</f>
        <v/>
      </c>
      <c r="K663" s="88" t="n"/>
      <c r="L663" s="88" t="n"/>
      <c r="M663" s="88">
        <f>COUNTIFS('Client DB &amp; Bed Mgmt'!$B:$B,L663,'Client DB &amp; Bed Mgmt'!$E:$E,"Occupied")</f>
        <v/>
      </c>
      <c r="N663" s="88" t="n"/>
      <c r="O663" s="88" t="n"/>
      <c r="P663" s="88" t="n"/>
      <c r="Q663" s="88" t="n"/>
      <c r="R663" s="88" t="n"/>
      <c r="S663" s="88" t="n"/>
      <c r="T663" s="88" t="n"/>
      <c r="U663" s="129" t="n"/>
      <c r="V663" s="129" t="n"/>
    </row>
    <row r="664" ht="14.25" customHeight="1" s="83">
      <c r="A664" s="103" t="n"/>
      <c r="B664" s="125" t="n"/>
      <c r="C664" s="103" t="n"/>
      <c r="D664" s="126" t="n"/>
      <c r="E664" s="126" t="n"/>
      <c r="F664" s="127">
        <f>IF(D664="","",MAX(D664-E664,0))</f>
        <v/>
      </c>
      <c r="G664" s="130">
        <f>IF(E664="","",E664*GeneratorRate)</f>
        <v/>
      </c>
      <c r="H664" s="130">
        <f>IF(F664="","",F664*GovernmentRate)</f>
        <v/>
      </c>
      <c r="I664" s="130">
        <f>IF(D664="","",G664+H664)</f>
        <v/>
      </c>
      <c r="J664" s="129">
        <f>IFERROR(I664/COUNTIFS('Client DB &amp; Bed Mgmt'!$A:$A,A664,'Client DB &amp; Bed Mgmt'!$B:$B,C664,'Client DB &amp; Bed Mgmt'!$D:$D,"&lt;&gt;"),0)</f>
        <v/>
      </c>
      <c r="K664" s="88" t="n"/>
      <c r="L664" s="88" t="n"/>
      <c r="M664" s="88">
        <f>COUNTIFS('Client DB &amp; Bed Mgmt'!$B:$B,L664,'Client DB &amp; Bed Mgmt'!$E:$E,"Occupied")</f>
        <v/>
      </c>
      <c r="N664" s="88" t="n"/>
      <c r="O664" s="88" t="n"/>
      <c r="P664" s="88" t="n"/>
      <c r="Q664" s="88" t="n"/>
      <c r="R664" s="88" t="n"/>
      <c r="S664" s="88" t="n"/>
      <c r="T664" s="88" t="n"/>
      <c r="U664" s="129" t="n"/>
      <c r="V664" s="129" t="n"/>
    </row>
    <row r="665" ht="14.25" customHeight="1" s="83">
      <c r="A665" s="103" t="n"/>
      <c r="B665" s="125" t="n"/>
      <c r="C665" s="103" t="n"/>
      <c r="D665" s="126" t="n"/>
      <c r="E665" s="126" t="n"/>
      <c r="F665" s="127">
        <f>IF(D665="","",MAX(D665-E665,0))</f>
        <v/>
      </c>
      <c r="G665" s="130">
        <f>IF(E665="","",E665*GeneratorRate)</f>
        <v/>
      </c>
      <c r="H665" s="130">
        <f>IF(F665="","",F665*GovernmentRate)</f>
        <v/>
      </c>
      <c r="I665" s="130">
        <f>IF(D665="","",G665+H665)</f>
        <v/>
      </c>
      <c r="J665" s="129">
        <f>IFERROR(I665/COUNTIFS('Client DB &amp; Bed Mgmt'!$A:$A,A665,'Client DB &amp; Bed Mgmt'!$B:$B,C665,'Client DB &amp; Bed Mgmt'!$D:$D,"&lt;&gt;"),0)</f>
        <v/>
      </c>
      <c r="K665" s="88" t="n"/>
      <c r="L665" s="88" t="n"/>
      <c r="M665" s="88">
        <f>COUNTIFS('Client DB &amp; Bed Mgmt'!$B:$B,L665,'Client DB &amp; Bed Mgmt'!$E:$E,"Occupied")</f>
        <v/>
      </c>
      <c r="N665" s="88" t="n"/>
      <c r="O665" s="88" t="n"/>
      <c r="P665" s="88" t="n"/>
      <c r="Q665" s="88" t="n"/>
      <c r="R665" s="88" t="n"/>
      <c r="S665" s="88" t="n"/>
      <c r="T665" s="88" t="n"/>
      <c r="U665" s="129" t="n"/>
      <c r="V665" s="129" t="n"/>
    </row>
    <row r="666" ht="14.25" customHeight="1" s="83">
      <c r="A666" s="103" t="n"/>
      <c r="B666" s="125" t="n"/>
      <c r="C666" s="103" t="n"/>
      <c r="D666" s="126" t="n"/>
      <c r="E666" s="126" t="n"/>
      <c r="F666" s="127">
        <f>IF(D666="","",MAX(D666-E666,0))</f>
        <v/>
      </c>
      <c r="G666" s="130">
        <f>IF(E666="","",E666*GeneratorRate)</f>
        <v/>
      </c>
      <c r="H666" s="130">
        <f>IF(F666="","",F666*GovernmentRate)</f>
        <v/>
      </c>
      <c r="I666" s="130">
        <f>IF(D666="","",G666+H666)</f>
        <v/>
      </c>
      <c r="J666" s="129">
        <f>IFERROR(I666/COUNTIFS('Client DB &amp; Bed Mgmt'!$A:$A,A666,'Client DB &amp; Bed Mgmt'!$B:$B,C666,'Client DB &amp; Bed Mgmt'!$D:$D,"&lt;&gt;"),0)</f>
        <v/>
      </c>
      <c r="K666" s="88" t="n"/>
      <c r="L666" s="88" t="n"/>
      <c r="M666" s="88">
        <f>COUNTIFS('Client DB &amp; Bed Mgmt'!$B:$B,L666,'Client DB &amp; Bed Mgmt'!$E:$E,"Occupied")</f>
        <v/>
      </c>
      <c r="N666" s="88" t="n"/>
      <c r="O666" s="88" t="n"/>
      <c r="P666" s="88" t="n"/>
      <c r="Q666" s="88" t="n"/>
      <c r="R666" s="88" t="n"/>
      <c r="S666" s="88" t="n"/>
      <c r="T666" s="88" t="n"/>
      <c r="U666" s="129" t="n"/>
      <c r="V666" s="129" t="n"/>
    </row>
    <row r="667" ht="14.25" customHeight="1" s="83">
      <c r="A667" s="103" t="n"/>
      <c r="B667" s="125" t="n"/>
      <c r="C667" s="103" t="n"/>
      <c r="D667" s="126" t="n"/>
      <c r="E667" s="126" t="n"/>
      <c r="F667" s="127">
        <f>IF(D667="","",MAX(D667-E667,0))</f>
        <v/>
      </c>
      <c r="G667" s="130">
        <f>IF(E667="","",E667*GeneratorRate)</f>
        <v/>
      </c>
      <c r="H667" s="130">
        <f>IF(F667="","",F667*GovernmentRate)</f>
        <v/>
      </c>
      <c r="I667" s="130">
        <f>IF(D667="","",G667+H667)</f>
        <v/>
      </c>
      <c r="J667" s="129">
        <f>IFERROR(I667/COUNTIFS('Client DB &amp; Bed Mgmt'!$A:$A,A667,'Client DB &amp; Bed Mgmt'!$B:$B,C667,'Client DB &amp; Bed Mgmt'!$D:$D,"&lt;&gt;"),0)</f>
        <v/>
      </c>
      <c r="K667" s="88" t="n"/>
      <c r="L667" s="88" t="n"/>
      <c r="M667" s="88">
        <f>COUNTIFS('Client DB &amp; Bed Mgmt'!$B:$B,L667,'Client DB &amp; Bed Mgmt'!$E:$E,"Occupied")</f>
        <v/>
      </c>
      <c r="N667" s="88" t="n"/>
      <c r="O667" s="88" t="n"/>
      <c r="P667" s="88" t="n"/>
      <c r="Q667" s="88" t="n"/>
      <c r="R667" s="88" t="n"/>
      <c r="S667" s="88" t="n"/>
      <c r="T667" s="88" t="n"/>
      <c r="U667" s="129" t="n"/>
      <c r="V667" s="129" t="n"/>
    </row>
    <row r="668" ht="14.25" customHeight="1" s="83">
      <c r="A668" s="103" t="n"/>
      <c r="B668" s="125" t="n"/>
      <c r="C668" s="103" t="n"/>
      <c r="D668" s="126" t="n"/>
      <c r="E668" s="126" t="n"/>
      <c r="F668" s="127">
        <f>IF(D668="","",MAX(D668-E668,0))</f>
        <v/>
      </c>
      <c r="G668" s="130">
        <f>IF(E668="","",E668*GeneratorRate)</f>
        <v/>
      </c>
      <c r="H668" s="130">
        <f>IF(F668="","",F668*GovernmentRate)</f>
        <v/>
      </c>
      <c r="I668" s="130">
        <f>IF(D668="","",G668+H668)</f>
        <v/>
      </c>
      <c r="J668" s="129">
        <f>IFERROR(I668/COUNTIFS('Client DB &amp; Bed Mgmt'!$A:$A,A668,'Client DB &amp; Bed Mgmt'!$B:$B,C668,'Client DB &amp; Bed Mgmt'!$D:$D,"&lt;&gt;"),0)</f>
        <v/>
      </c>
      <c r="K668" s="88" t="n"/>
      <c r="L668" s="88" t="n"/>
      <c r="M668" s="88">
        <f>COUNTIFS('Client DB &amp; Bed Mgmt'!$B:$B,L668,'Client DB &amp; Bed Mgmt'!$E:$E,"Occupied")</f>
        <v/>
      </c>
      <c r="N668" s="88" t="n"/>
      <c r="O668" s="88" t="n"/>
      <c r="P668" s="88" t="n"/>
      <c r="Q668" s="88" t="n"/>
      <c r="R668" s="88" t="n"/>
      <c r="S668" s="88" t="n"/>
      <c r="T668" s="88" t="n"/>
      <c r="U668" s="129" t="n"/>
      <c r="V668" s="129" t="n"/>
    </row>
    <row r="669" ht="14.25" customHeight="1" s="83">
      <c r="A669" s="103" t="n"/>
      <c r="B669" s="125" t="n"/>
      <c r="C669" s="103" t="n"/>
      <c r="D669" s="126" t="n"/>
      <c r="E669" s="126" t="n"/>
      <c r="F669" s="127">
        <f>IF(D669="","",MAX(D669-E669,0))</f>
        <v/>
      </c>
      <c r="G669" s="130">
        <f>IF(E669="","",E669*GeneratorRate)</f>
        <v/>
      </c>
      <c r="H669" s="130">
        <f>IF(F669="","",F669*GovernmentRate)</f>
        <v/>
      </c>
      <c r="I669" s="130">
        <f>IF(D669="","",G669+H669)</f>
        <v/>
      </c>
      <c r="J669" s="129">
        <f>IFERROR(I669/COUNTIFS('Client DB &amp; Bed Mgmt'!$A:$A,A669,'Client DB &amp; Bed Mgmt'!$B:$B,C669,'Client DB &amp; Bed Mgmt'!$D:$D,"&lt;&gt;"),0)</f>
        <v/>
      </c>
      <c r="K669" s="88" t="n"/>
      <c r="L669" s="88" t="n"/>
      <c r="M669" s="88">
        <f>COUNTIFS('Client DB &amp; Bed Mgmt'!$B:$B,L669,'Client DB &amp; Bed Mgmt'!$E:$E,"Occupied")</f>
        <v/>
      </c>
      <c r="N669" s="88" t="n"/>
      <c r="O669" s="88" t="n"/>
      <c r="P669" s="88" t="n"/>
      <c r="Q669" s="88" t="n"/>
      <c r="R669" s="88" t="n"/>
      <c r="S669" s="88" t="n"/>
      <c r="T669" s="88" t="n"/>
      <c r="U669" s="129" t="n"/>
      <c r="V669" s="129" t="n"/>
    </row>
    <row r="670" ht="14.25" customHeight="1" s="83">
      <c r="A670" s="103" t="n"/>
      <c r="B670" s="125" t="n"/>
      <c r="C670" s="103" t="n"/>
      <c r="D670" s="126" t="n"/>
      <c r="E670" s="126" t="n"/>
      <c r="F670" s="127">
        <f>IF(D670="","",MAX(D670-E670,0))</f>
        <v/>
      </c>
      <c r="G670" s="130">
        <f>IF(E670="","",E670*GeneratorRate)</f>
        <v/>
      </c>
      <c r="H670" s="130">
        <f>IF(F670="","",F670*GovernmentRate)</f>
        <v/>
      </c>
      <c r="I670" s="130">
        <f>IF(D670="","",G670+H670)</f>
        <v/>
      </c>
      <c r="J670" s="129">
        <f>IFERROR(I670/COUNTIFS('Client DB &amp; Bed Mgmt'!$A:$A,A670,'Client DB &amp; Bed Mgmt'!$B:$B,C670,'Client DB &amp; Bed Mgmt'!$D:$D,"&lt;&gt;"),0)</f>
        <v/>
      </c>
      <c r="K670" s="88" t="n"/>
      <c r="L670" s="88" t="n"/>
      <c r="M670" s="88">
        <f>COUNTIFS('Client DB &amp; Bed Mgmt'!$B:$B,L670,'Client DB &amp; Bed Mgmt'!$E:$E,"Occupied")</f>
        <v/>
      </c>
      <c r="N670" s="88" t="n"/>
      <c r="O670" s="88" t="n"/>
      <c r="P670" s="88" t="n"/>
      <c r="Q670" s="88" t="n"/>
      <c r="R670" s="88" t="n"/>
      <c r="S670" s="88" t="n"/>
      <c r="T670" s="88" t="n"/>
      <c r="U670" s="129" t="n"/>
      <c r="V670" s="129" t="n"/>
    </row>
    <row r="671" ht="14.25" customHeight="1" s="83">
      <c r="A671" s="103" t="n"/>
      <c r="B671" s="125" t="n"/>
      <c r="C671" s="103" t="n"/>
      <c r="D671" s="126" t="n"/>
      <c r="E671" s="126" t="n"/>
      <c r="F671" s="127">
        <f>IF(D671="","",MAX(D671-E671,0))</f>
        <v/>
      </c>
      <c r="G671" s="130">
        <f>IF(E671="","",E671*GeneratorRate)</f>
        <v/>
      </c>
      <c r="H671" s="130">
        <f>IF(F671="","",F671*GovernmentRate)</f>
        <v/>
      </c>
      <c r="I671" s="130">
        <f>IF(D671="","",G671+H671)</f>
        <v/>
      </c>
      <c r="J671" s="129">
        <f>IFERROR(I671/COUNTIFS('Client DB &amp; Bed Mgmt'!$A:$A,A671,'Client DB &amp; Bed Mgmt'!$B:$B,C671,'Client DB &amp; Bed Mgmt'!$D:$D,"&lt;&gt;"),0)</f>
        <v/>
      </c>
      <c r="K671" s="88" t="n"/>
      <c r="L671" s="88" t="n"/>
      <c r="M671" s="88">
        <f>COUNTIFS('Client DB &amp; Bed Mgmt'!$B:$B,L671,'Client DB &amp; Bed Mgmt'!$E:$E,"Occupied")</f>
        <v/>
      </c>
      <c r="N671" s="88" t="n"/>
      <c r="O671" s="88" t="n"/>
      <c r="P671" s="88" t="n"/>
      <c r="Q671" s="88" t="n"/>
      <c r="R671" s="88" t="n"/>
      <c r="S671" s="88" t="n"/>
      <c r="T671" s="88" t="n"/>
      <c r="U671" s="129" t="n"/>
      <c r="V671" s="129" t="n"/>
    </row>
    <row r="672" ht="14.25" customHeight="1" s="83">
      <c r="A672" s="103" t="n"/>
      <c r="B672" s="125" t="n"/>
      <c r="C672" s="103" t="n"/>
      <c r="D672" s="126" t="n"/>
      <c r="E672" s="126" t="n"/>
      <c r="F672" s="127">
        <f>IF(D672="","",MAX(D672-E672,0))</f>
        <v/>
      </c>
      <c r="G672" s="130">
        <f>IF(E672="","",E672*GeneratorRate)</f>
        <v/>
      </c>
      <c r="H672" s="130">
        <f>IF(F672="","",F672*GovernmentRate)</f>
        <v/>
      </c>
      <c r="I672" s="130">
        <f>IF(D672="","",G672+H672)</f>
        <v/>
      </c>
      <c r="J672" s="129">
        <f>IFERROR(I672/COUNTIFS('Client DB &amp; Bed Mgmt'!$A:$A,A672,'Client DB &amp; Bed Mgmt'!$B:$B,C672,'Client DB &amp; Bed Mgmt'!$D:$D,"&lt;&gt;"),0)</f>
        <v/>
      </c>
      <c r="K672" s="88" t="n"/>
      <c r="L672" s="88" t="n"/>
      <c r="M672" s="88">
        <f>COUNTIFS('Client DB &amp; Bed Mgmt'!$B:$B,L672,'Client DB &amp; Bed Mgmt'!$E:$E,"Occupied")</f>
        <v/>
      </c>
      <c r="N672" s="88" t="n"/>
      <c r="O672" s="88" t="n"/>
      <c r="P672" s="88" t="n"/>
      <c r="Q672" s="88" t="n"/>
      <c r="R672" s="88" t="n"/>
      <c r="S672" s="88" t="n"/>
      <c r="T672" s="88" t="n"/>
      <c r="U672" s="129" t="n"/>
      <c r="V672" s="129" t="n"/>
    </row>
    <row r="673" ht="14.25" customHeight="1" s="83">
      <c r="A673" s="103" t="n"/>
      <c r="B673" s="125" t="n"/>
      <c r="C673" s="103" t="n"/>
      <c r="D673" s="126" t="n"/>
      <c r="E673" s="126" t="n"/>
      <c r="F673" s="127">
        <f>IF(D673="","",MAX(D673-E673,0))</f>
        <v/>
      </c>
      <c r="G673" s="130">
        <f>IF(E673="","",E673*GeneratorRate)</f>
        <v/>
      </c>
      <c r="H673" s="130">
        <f>IF(F673="","",F673*GovernmentRate)</f>
        <v/>
      </c>
      <c r="I673" s="130">
        <f>IF(D673="","",G673+H673)</f>
        <v/>
      </c>
      <c r="J673" s="129">
        <f>IFERROR(I673/COUNTIFS('Client DB &amp; Bed Mgmt'!$A:$A,A673,'Client DB &amp; Bed Mgmt'!$B:$B,C673,'Client DB &amp; Bed Mgmt'!$D:$D,"&lt;&gt;"),0)</f>
        <v/>
      </c>
      <c r="K673" s="88" t="n"/>
      <c r="L673" s="88" t="n"/>
      <c r="M673" s="88">
        <f>COUNTIFS('Client DB &amp; Bed Mgmt'!$B:$B,L673,'Client DB &amp; Bed Mgmt'!$E:$E,"Occupied")</f>
        <v/>
      </c>
      <c r="N673" s="88" t="n"/>
      <c r="O673" s="88" t="n"/>
      <c r="P673" s="88" t="n"/>
      <c r="Q673" s="88" t="n"/>
      <c r="R673" s="88" t="n"/>
      <c r="S673" s="88" t="n"/>
      <c r="T673" s="88" t="n"/>
      <c r="U673" s="129" t="n"/>
      <c r="V673" s="129" t="n"/>
    </row>
    <row r="674" ht="14.25" customHeight="1" s="83">
      <c r="A674" s="103" t="n"/>
      <c r="B674" s="125" t="n"/>
      <c r="C674" s="103" t="n"/>
      <c r="D674" s="126" t="n"/>
      <c r="E674" s="126" t="n"/>
      <c r="F674" s="127">
        <f>IF(D674="","",MAX(D674-E674,0))</f>
        <v/>
      </c>
      <c r="G674" s="130">
        <f>IF(E674="","",E674*GeneratorRate)</f>
        <v/>
      </c>
      <c r="H674" s="130">
        <f>IF(F674="","",F674*GovernmentRate)</f>
        <v/>
      </c>
      <c r="I674" s="130">
        <f>IF(D674="","",G674+H674)</f>
        <v/>
      </c>
      <c r="J674" s="129">
        <f>IFERROR(I674/COUNTIFS('Client DB &amp; Bed Mgmt'!$A:$A,A674,'Client DB &amp; Bed Mgmt'!$B:$B,C674,'Client DB &amp; Bed Mgmt'!$D:$D,"&lt;&gt;"),0)</f>
        <v/>
      </c>
      <c r="K674" s="88" t="n"/>
      <c r="L674" s="88" t="n"/>
      <c r="M674" s="88">
        <f>COUNTIFS('Client DB &amp; Bed Mgmt'!$B:$B,L674,'Client DB &amp; Bed Mgmt'!$E:$E,"Occupied")</f>
        <v/>
      </c>
      <c r="N674" s="88" t="n"/>
      <c r="O674" s="88" t="n"/>
      <c r="P674" s="88" t="n"/>
      <c r="Q674" s="88" t="n"/>
      <c r="R674" s="88" t="n"/>
      <c r="S674" s="88" t="n"/>
      <c r="T674" s="88" t="n"/>
      <c r="U674" s="129" t="n"/>
      <c r="V674" s="129" t="n"/>
    </row>
    <row r="675" ht="14.25" customHeight="1" s="83">
      <c r="A675" s="103" t="n"/>
      <c r="B675" s="125" t="n"/>
      <c r="C675" s="103" t="n"/>
      <c r="D675" s="126" t="n"/>
      <c r="E675" s="126" t="n"/>
      <c r="F675" s="127">
        <f>IF(D675="","",MAX(D675-E675,0))</f>
        <v/>
      </c>
      <c r="G675" s="130">
        <f>IF(E675="","",E675*GeneratorRate)</f>
        <v/>
      </c>
      <c r="H675" s="130">
        <f>IF(F675="","",F675*GovernmentRate)</f>
        <v/>
      </c>
      <c r="I675" s="130">
        <f>IF(D675="","",G675+H675)</f>
        <v/>
      </c>
      <c r="J675" s="129">
        <f>IFERROR(I675/COUNTIFS('Client DB &amp; Bed Mgmt'!$A:$A,A675,'Client DB &amp; Bed Mgmt'!$B:$B,C675,'Client DB &amp; Bed Mgmt'!$D:$D,"&lt;&gt;"),0)</f>
        <v/>
      </c>
      <c r="K675" s="88" t="n"/>
      <c r="L675" s="88" t="n"/>
      <c r="M675" s="88">
        <f>COUNTIFS('Client DB &amp; Bed Mgmt'!$B:$B,L675,'Client DB &amp; Bed Mgmt'!$E:$E,"Occupied")</f>
        <v/>
      </c>
      <c r="N675" s="88" t="n"/>
      <c r="O675" s="88" t="n"/>
      <c r="P675" s="88" t="n"/>
      <c r="Q675" s="88" t="n"/>
      <c r="R675" s="88" t="n"/>
      <c r="S675" s="88" t="n"/>
      <c r="T675" s="88" t="n"/>
      <c r="U675" s="129" t="n"/>
      <c r="V675" s="129" t="n"/>
    </row>
    <row r="676" ht="14.25" customHeight="1" s="83">
      <c r="A676" s="103" t="n"/>
      <c r="B676" s="125" t="n"/>
      <c r="C676" s="103" t="n"/>
      <c r="D676" s="126" t="n"/>
      <c r="E676" s="126" t="n"/>
      <c r="F676" s="127">
        <f>IF(D676="","",MAX(D676-E676,0))</f>
        <v/>
      </c>
      <c r="G676" s="130">
        <f>IF(E676="","",E676*GeneratorRate)</f>
        <v/>
      </c>
      <c r="H676" s="130">
        <f>IF(F676="","",F676*GovernmentRate)</f>
        <v/>
      </c>
      <c r="I676" s="130">
        <f>IF(D676="","",G676+H676)</f>
        <v/>
      </c>
      <c r="J676" s="129">
        <f>IFERROR(I676/COUNTIFS('Client DB &amp; Bed Mgmt'!$A:$A,A676,'Client DB &amp; Bed Mgmt'!$B:$B,C676,'Client DB &amp; Bed Mgmt'!$D:$D,"&lt;&gt;"),0)</f>
        <v/>
      </c>
      <c r="K676" s="88" t="n"/>
      <c r="L676" s="88" t="n"/>
      <c r="M676" s="88">
        <f>COUNTIFS('Client DB &amp; Bed Mgmt'!$B:$B,L676,'Client DB &amp; Bed Mgmt'!$E:$E,"Occupied")</f>
        <v/>
      </c>
      <c r="N676" s="88" t="n"/>
      <c r="O676" s="88" t="n"/>
      <c r="P676" s="88" t="n"/>
      <c r="Q676" s="88" t="n"/>
      <c r="R676" s="88" t="n"/>
      <c r="S676" s="88" t="n"/>
      <c r="T676" s="88" t="n"/>
      <c r="U676" s="129" t="n"/>
      <c r="V676" s="129" t="n"/>
    </row>
    <row r="677" ht="14.25" customHeight="1" s="83">
      <c r="A677" s="103" t="n"/>
      <c r="B677" s="125" t="n"/>
      <c r="C677" s="103" t="n"/>
      <c r="D677" s="126" t="n"/>
      <c r="E677" s="126" t="n"/>
      <c r="F677" s="127">
        <f>IF(D677="","",MAX(D677-E677,0))</f>
        <v/>
      </c>
      <c r="G677" s="130">
        <f>IF(E677="","",E677*GeneratorRate)</f>
        <v/>
      </c>
      <c r="H677" s="130">
        <f>IF(F677="","",F677*GovernmentRate)</f>
        <v/>
      </c>
      <c r="I677" s="130">
        <f>IF(D677="","",G677+H677)</f>
        <v/>
      </c>
      <c r="J677" s="129">
        <f>IFERROR(I677/COUNTIFS('Client DB &amp; Bed Mgmt'!$A:$A,A677,'Client DB &amp; Bed Mgmt'!$B:$B,C677,'Client DB &amp; Bed Mgmt'!$D:$D,"&lt;&gt;"),0)</f>
        <v/>
      </c>
      <c r="K677" s="88" t="n"/>
      <c r="L677" s="88" t="n"/>
      <c r="M677" s="88">
        <f>COUNTIFS('Client DB &amp; Bed Mgmt'!$B:$B,L677,'Client DB &amp; Bed Mgmt'!$E:$E,"Occupied")</f>
        <v/>
      </c>
      <c r="N677" s="88" t="n"/>
      <c r="O677" s="88" t="n"/>
      <c r="P677" s="88" t="n"/>
      <c r="Q677" s="88" t="n"/>
      <c r="R677" s="88" t="n"/>
      <c r="S677" s="88" t="n"/>
      <c r="T677" s="88" t="n"/>
      <c r="U677" s="129" t="n"/>
      <c r="V677" s="129" t="n"/>
    </row>
    <row r="678" ht="14.25" customHeight="1" s="83">
      <c r="A678" s="103" t="n"/>
      <c r="B678" s="125" t="n"/>
      <c r="C678" s="103" t="n"/>
      <c r="D678" s="126" t="n"/>
      <c r="E678" s="126" t="n"/>
      <c r="F678" s="127">
        <f>IF(D678="","",MAX(D678-E678,0))</f>
        <v/>
      </c>
      <c r="G678" s="130">
        <f>IF(E678="","",E678*GeneratorRate)</f>
        <v/>
      </c>
      <c r="H678" s="130">
        <f>IF(F678="","",F678*GovernmentRate)</f>
        <v/>
      </c>
      <c r="I678" s="130">
        <f>IF(D678="","",G678+H678)</f>
        <v/>
      </c>
      <c r="J678" s="129">
        <f>IFERROR(I678/COUNTIFS('Client DB &amp; Bed Mgmt'!$A:$A,A678,'Client DB &amp; Bed Mgmt'!$B:$B,C678,'Client DB &amp; Bed Mgmt'!$D:$D,"&lt;&gt;"),0)</f>
        <v/>
      </c>
      <c r="K678" s="88" t="n"/>
      <c r="L678" s="88" t="n"/>
      <c r="M678" s="88">
        <f>COUNTIFS('Client DB &amp; Bed Mgmt'!$B:$B,L678,'Client DB &amp; Bed Mgmt'!$E:$E,"Occupied")</f>
        <v/>
      </c>
      <c r="N678" s="88" t="n"/>
      <c r="O678" s="88" t="n"/>
      <c r="P678" s="88" t="n"/>
      <c r="Q678" s="88" t="n"/>
      <c r="R678" s="88" t="n"/>
      <c r="S678" s="88" t="n"/>
      <c r="T678" s="88" t="n"/>
      <c r="U678" s="129" t="n"/>
      <c r="V678" s="129" t="n"/>
    </row>
    <row r="679" ht="14.25" customHeight="1" s="83">
      <c r="A679" s="103" t="n"/>
      <c r="B679" s="125" t="n"/>
      <c r="C679" s="103" t="n"/>
      <c r="D679" s="126" t="n"/>
      <c r="E679" s="126" t="n"/>
      <c r="F679" s="127">
        <f>IF(D679="","",MAX(D679-E679,0))</f>
        <v/>
      </c>
      <c r="G679" s="130">
        <f>IF(E679="","",E679*GeneratorRate)</f>
        <v/>
      </c>
      <c r="H679" s="130">
        <f>IF(F679="","",F679*GovernmentRate)</f>
        <v/>
      </c>
      <c r="I679" s="130">
        <f>IF(D679="","",G679+H679)</f>
        <v/>
      </c>
      <c r="J679" s="129">
        <f>IFERROR(I679/COUNTIFS('Client DB &amp; Bed Mgmt'!$A:$A,A679,'Client DB &amp; Bed Mgmt'!$B:$B,C679,'Client DB &amp; Bed Mgmt'!$D:$D,"&lt;&gt;"),0)</f>
        <v/>
      </c>
      <c r="K679" s="88" t="n"/>
      <c r="L679" s="88" t="n"/>
      <c r="M679" s="88">
        <f>COUNTIFS('Client DB &amp; Bed Mgmt'!$B:$B,L679,'Client DB &amp; Bed Mgmt'!$E:$E,"Occupied")</f>
        <v/>
      </c>
      <c r="N679" s="88" t="n"/>
      <c r="O679" s="88" t="n"/>
      <c r="P679" s="88" t="n"/>
      <c r="Q679" s="88" t="n"/>
      <c r="R679" s="88" t="n"/>
      <c r="S679" s="88" t="n"/>
      <c r="T679" s="88" t="n"/>
      <c r="U679" s="129" t="n"/>
      <c r="V679" s="129" t="n"/>
    </row>
    <row r="680" ht="14.25" customHeight="1" s="83">
      <c r="A680" s="103" t="n"/>
      <c r="B680" s="125" t="n"/>
      <c r="C680" s="103" t="n"/>
      <c r="D680" s="126" t="n"/>
      <c r="E680" s="126" t="n"/>
      <c r="F680" s="127">
        <f>IF(D680="","",MAX(D680-E680,0))</f>
        <v/>
      </c>
      <c r="G680" s="130">
        <f>IF(E680="","",E680*GeneratorRate)</f>
        <v/>
      </c>
      <c r="H680" s="130">
        <f>IF(F680="","",F680*GovernmentRate)</f>
        <v/>
      </c>
      <c r="I680" s="130">
        <f>IF(D680="","",G680+H680)</f>
        <v/>
      </c>
      <c r="J680" s="129">
        <f>IFERROR(I680/COUNTIFS('Client DB &amp; Bed Mgmt'!$A:$A,A680,'Client DB &amp; Bed Mgmt'!$B:$B,C680,'Client DB &amp; Bed Mgmt'!$D:$D,"&lt;&gt;"),0)</f>
        <v/>
      </c>
      <c r="K680" s="88" t="n"/>
      <c r="L680" s="88" t="n"/>
      <c r="M680" s="88">
        <f>COUNTIFS('Client DB &amp; Bed Mgmt'!$B:$B,L680,'Client DB &amp; Bed Mgmt'!$E:$E,"Occupied")</f>
        <v/>
      </c>
      <c r="N680" s="88" t="n"/>
      <c r="O680" s="88" t="n"/>
      <c r="P680" s="88" t="n"/>
      <c r="Q680" s="88" t="n"/>
      <c r="R680" s="88" t="n"/>
      <c r="S680" s="88" t="n"/>
      <c r="T680" s="88" t="n"/>
      <c r="U680" s="129" t="n"/>
      <c r="V680" s="129" t="n"/>
    </row>
    <row r="681" ht="14.25" customHeight="1" s="83">
      <c r="A681" s="103" t="n"/>
      <c r="B681" s="125" t="n"/>
      <c r="C681" s="103" t="n"/>
      <c r="D681" s="126" t="n"/>
      <c r="E681" s="126" t="n"/>
      <c r="F681" s="127">
        <f>IF(D681="","",MAX(D681-E681,0))</f>
        <v/>
      </c>
      <c r="G681" s="130">
        <f>IF(E681="","",E681*GeneratorRate)</f>
        <v/>
      </c>
      <c r="H681" s="130">
        <f>IF(F681="","",F681*GovernmentRate)</f>
        <v/>
      </c>
      <c r="I681" s="130">
        <f>IF(D681="","",G681+H681)</f>
        <v/>
      </c>
      <c r="J681" s="129">
        <f>IFERROR(I681/COUNTIFS('Client DB &amp; Bed Mgmt'!$A:$A,A681,'Client DB &amp; Bed Mgmt'!$B:$B,C681,'Client DB &amp; Bed Mgmt'!$D:$D,"&lt;&gt;"),0)</f>
        <v/>
      </c>
      <c r="K681" s="88" t="n"/>
      <c r="L681" s="88" t="n"/>
      <c r="M681" s="88">
        <f>COUNTIFS('Client DB &amp; Bed Mgmt'!$B:$B,L681,'Client DB &amp; Bed Mgmt'!$E:$E,"Occupied")</f>
        <v/>
      </c>
      <c r="N681" s="88" t="n"/>
      <c r="O681" s="88" t="n"/>
      <c r="P681" s="88" t="n"/>
      <c r="Q681" s="88" t="n"/>
      <c r="R681" s="88" t="n"/>
      <c r="S681" s="88" t="n"/>
      <c r="T681" s="88" t="n"/>
      <c r="U681" s="129" t="n"/>
      <c r="V681" s="129" t="n"/>
    </row>
    <row r="682" ht="14.25" customHeight="1" s="83">
      <c r="A682" s="103" t="n"/>
      <c r="B682" s="125" t="n"/>
      <c r="C682" s="103" t="n"/>
      <c r="D682" s="126" t="n"/>
      <c r="E682" s="126" t="n"/>
      <c r="F682" s="127">
        <f>IF(D682="","",MAX(D682-E682,0))</f>
        <v/>
      </c>
      <c r="G682" s="130">
        <f>IF(E682="","",E682*GeneratorRate)</f>
        <v/>
      </c>
      <c r="H682" s="130">
        <f>IF(F682="","",F682*GovernmentRate)</f>
        <v/>
      </c>
      <c r="I682" s="130">
        <f>IF(D682="","",G682+H682)</f>
        <v/>
      </c>
      <c r="J682" s="129">
        <f>IFERROR(I682/COUNTIFS('Client DB &amp; Bed Mgmt'!$A:$A,A682,'Client DB &amp; Bed Mgmt'!$B:$B,C682,'Client DB &amp; Bed Mgmt'!$D:$D,"&lt;&gt;"),0)</f>
        <v/>
      </c>
      <c r="K682" s="88" t="n"/>
      <c r="L682" s="88" t="n"/>
      <c r="M682" s="88">
        <f>COUNTIFS('Client DB &amp; Bed Mgmt'!$B:$B,L682,'Client DB &amp; Bed Mgmt'!$E:$E,"Occupied")</f>
        <v/>
      </c>
      <c r="N682" s="88" t="n"/>
      <c r="O682" s="88" t="n"/>
      <c r="P682" s="88" t="n"/>
      <c r="Q682" s="88" t="n"/>
      <c r="R682" s="88" t="n"/>
      <c r="S682" s="88" t="n"/>
      <c r="T682" s="88" t="n"/>
      <c r="U682" s="129" t="n"/>
      <c r="V682" s="129" t="n"/>
    </row>
    <row r="683" ht="14.25" customHeight="1" s="83">
      <c r="A683" s="103" t="n"/>
      <c r="B683" s="125" t="n"/>
      <c r="C683" s="103" t="n"/>
      <c r="D683" s="126" t="n"/>
      <c r="E683" s="126" t="n"/>
      <c r="F683" s="127">
        <f>IF(D683="","",MAX(D683-E683,0))</f>
        <v/>
      </c>
      <c r="G683" s="130">
        <f>IF(E683="","",E683*GeneratorRate)</f>
        <v/>
      </c>
      <c r="H683" s="130">
        <f>IF(F683="","",F683*GovernmentRate)</f>
        <v/>
      </c>
      <c r="I683" s="130">
        <f>IF(D683="","",G683+H683)</f>
        <v/>
      </c>
      <c r="J683" s="129">
        <f>IFERROR(I683/COUNTIFS('Client DB &amp; Bed Mgmt'!$A:$A,A683,'Client DB &amp; Bed Mgmt'!$B:$B,C683,'Client DB &amp; Bed Mgmt'!$D:$D,"&lt;&gt;"),0)</f>
        <v/>
      </c>
      <c r="K683" s="88" t="n"/>
      <c r="L683" s="88" t="n"/>
      <c r="M683" s="88">
        <f>COUNTIFS('Client DB &amp; Bed Mgmt'!$B:$B,L683,'Client DB &amp; Bed Mgmt'!$E:$E,"Occupied")</f>
        <v/>
      </c>
      <c r="N683" s="88" t="n"/>
      <c r="O683" s="88" t="n"/>
      <c r="P683" s="88" t="n"/>
      <c r="Q683" s="88" t="n"/>
      <c r="R683" s="88" t="n"/>
      <c r="S683" s="88" t="n"/>
      <c r="T683" s="88" t="n"/>
      <c r="U683" s="129" t="n"/>
      <c r="V683" s="129" t="n"/>
    </row>
    <row r="684" ht="14.25" customHeight="1" s="83">
      <c r="A684" s="103" t="n"/>
      <c r="B684" s="125" t="n"/>
      <c r="C684" s="103" t="n"/>
      <c r="D684" s="126" t="n"/>
      <c r="E684" s="126" t="n"/>
      <c r="F684" s="127">
        <f>IF(D684="","",MAX(D684-E684,0))</f>
        <v/>
      </c>
      <c r="G684" s="130">
        <f>IF(E684="","",E684*GeneratorRate)</f>
        <v/>
      </c>
      <c r="H684" s="130">
        <f>IF(F684="","",F684*GovernmentRate)</f>
        <v/>
      </c>
      <c r="I684" s="130">
        <f>IF(D684="","",G684+H684)</f>
        <v/>
      </c>
      <c r="J684" s="129">
        <f>IFERROR(I684/COUNTIFS('Client DB &amp; Bed Mgmt'!$A:$A,A684,'Client DB &amp; Bed Mgmt'!$B:$B,C684,'Client DB &amp; Bed Mgmt'!$D:$D,"&lt;&gt;"),0)</f>
        <v/>
      </c>
      <c r="K684" s="88" t="n"/>
      <c r="L684" s="88" t="n"/>
      <c r="M684" s="88">
        <f>COUNTIFS('Client DB &amp; Bed Mgmt'!$B:$B,L684,'Client DB &amp; Bed Mgmt'!$E:$E,"Occupied")</f>
        <v/>
      </c>
      <c r="N684" s="88" t="n"/>
      <c r="O684" s="88" t="n"/>
      <c r="P684" s="88" t="n"/>
      <c r="Q684" s="88" t="n"/>
      <c r="R684" s="88" t="n"/>
      <c r="S684" s="88" t="n"/>
      <c r="T684" s="88" t="n"/>
      <c r="U684" s="129" t="n"/>
      <c r="V684" s="129" t="n"/>
    </row>
    <row r="685" ht="14.25" customHeight="1" s="83">
      <c r="A685" s="103" t="n"/>
      <c r="B685" s="125" t="n"/>
      <c r="C685" s="103" t="n"/>
      <c r="D685" s="126" t="n"/>
      <c r="E685" s="126" t="n"/>
      <c r="F685" s="127">
        <f>IF(D685="","",MAX(D685-E685,0))</f>
        <v/>
      </c>
      <c r="G685" s="130">
        <f>IF(E685="","",E685*GeneratorRate)</f>
        <v/>
      </c>
      <c r="H685" s="130">
        <f>IF(F685="","",F685*GovernmentRate)</f>
        <v/>
      </c>
      <c r="I685" s="130">
        <f>IF(D685="","",G685+H685)</f>
        <v/>
      </c>
      <c r="J685" s="129">
        <f>IFERROR(I685/COUNTIFS('Client DB &amp; Bed Mgmt'!$A:$A,A685,'Client DB &amp; Bed Mgmt'!$B:$B,C685,'Client DB &amp; Bed Mgmt'!$D:$D,"&lt;&gt;"),0)</f>
        <v/>
      </c>
      <c r="K685" s="88" t="n"/>
      <c r="L685" s="88" t="n"/>
      <c r="M685" s="88">
        <f>COUNTIFS('Client DB &amp; Bed Mgmt'!$B:$B,L685,'Client DB &amp; Bed Mgmt'!$E:$E,"Occupied")</f>
        <v/>
      </c>
      <c r="N685" s="88" t="n"/>
      <c r="O685" s="88" t="n"/>
      <c r="P685" s="88" t="n"/>
      <c r="Q685" s="88" t="n"/>
      <c r="R685" s="88" t="n"/>
      <c r="S685" s="88" t="n"/>
      <c r="T685" s="88" t="n"/>
      <c r="U685" s="129" t="n"/>
      <c r="V685" s="129" t="n"/>
    </row>
    <row r="686" ht="14.25" customHeight="1" s="83">
      <c r="A686" s="103" t="n"/>
      <c r="B686" s="125" t="n"/>
      <c r="C686" s="103" t="n"/>
      <c r="D686" s="126" t="n"/>
      <c r="E686" s="126" t="n"/>
      <c r="F686" s="127">
        <f>IF(D686="","",MAX(D686-E686,0))</f>
        <v/>
      </c>
      <c r="G686" s="130">
        <f>IF(E686="","",E686*GeneratorRate)</f>
        <v/>
      </c>
      <c r="H686" s="130">
        <f>IF(F686="","",F686*GovernmentRate)</f>
        <v/>
      </c>
      <c r="I686" s="130">
        <f>IF(D686="","",G686+H686)</f>
        <v/>
      </c>
      <c r="J686" s="129">
        <f>IFERROR(I686/COUNTIFS('Client DB &amp; Bed Mgmt'!$A:$A,A686,'Client DB &amp; Bed Mgmt'!$B:$B,C686,'Client DB &amp; Bed Mgmt'!$D:$D,"&lt;&gt;"),0)</f>
        <v/>
      </c>
      <c r="K686" s="88" t="n"/>
      <c r="L686" s="88" t="n"/>
      <c r="M686" s="88">
        <f>COUNTIFS('Client DB &amp; Bed Mgmt'!$B:$B,L686,'Client DB &amp; Bed Mgmt'!$E:$E,"Occupied")</f>
        <v/>
      </c>
      <c r="N686" s="88" t="n"/>
      <c r="O686" s="88" t="n"/>
      <c r="P686" s="88" t="n"/>
      <c r="Q686" s="88" t="n"/>
      <c r="R686" s="88" t="n"/>
      <c r="S686" s="88" t="n"/>
      <c r="T686" s="88" t="n"/>
      <c r="U686" s="129" t="n"/>
      <c r="V686" s="129" t="n"/>
    </row>
    <row r="687" ht="14.25" customHeight="1" s="83">
      <c r="A687" s="103" t="n"/>
      <c r="B687" s="125" t="n"/>
      <c r="C687" s="103" t="n"/>
      <c r="D687" s="126" t="n"/>
      <c r="E687" s="126" t="n"/>
      <c r="F687" s="127">
        <f>IF(D687="","",MAX(D687-E687,0))</f>
        <v/>
      </c>
      <c r="G687" s="130">
        <f>IF(E687="","",E687*GeneratorRate)</f>
        <v/>
      </c>
      <c r="H687" s="130">
        <f>IF(F687="","",F687*GovernmentRate)</f>
        <v/>
      </c>
      <c r="I687" s="130">
        <f>IF(D687="","",G687+H687)</f>
        <v/>
      </c>
      <c r="J687" s="129">
        <f>IFERROR(I687/COUNTIFS('Client DB &amp; Bed Mgmt'!$A:$A,A687,'Client DB &amp; Bed Mgmt'!$B:$B,C687,'Client DB &amp; Bed Mgmt'!$D:$D,"&lt;&gt;"),0)</f>
        <v/>
      </c>
      <c r="K687" s="88" t="n"/>
      <c r="L687" s="88" t="n"/>
      <c r="M687" s="88">
        <f>COUNTIFS('Client DB &amp; Bed Mgmt'!$B:$B,L687,'Client DB &amp; Bed Mgmt'!$E:$E,"Occupied")</f>
        <v/>
      </c>
      <c r="N687" s="88" t="n"/>
      <c r="O687" s="88" t="n"/>
      <c r="P687" s="88" t="n"/>
      <c r="Q687" s="88" t="n"/>
      <c r="R687" s="88" t="n"/>
      <c r="S687" s="88" t="n"/>
      <c r="T687" s="88" t="n"/>
      <c r="U687" s="129" t="n"/>
      <c r="V687" s="129" t="n"/>
    </row>
    <row r="688" ht="14.25" customHeight="1" s="83">
      <c r="A688" s="103" t="n"/>
      <c r="B688" s="125" t="n"/>
      <c r="C688" s="103" t="n"/>
      <c r="D688" s="126" t="n"/>
      <c r="E688" s="126" t="n"/>
      <c r="F688" s="127">
        <f>IF(D688="","",MAX(D688-E688,0))</f>
        <v/>
      </c>
      <c r="G688" s="130">
        <f>IF(E688="","",E688*GeneratorRate)</f>
        <v/>
      </c>
      <c r="H688" s="130">
        <f>IF(F688="","",F688*GovernmentRate)</f>
        <v/>
      </c>
      <c r="I688" s="130">
        <f>IF(D688="","",G688+H688)</f>
        <v/>
      </c>
      <c r="J688" s="129">
        <f>IFERROR(I688/COUNTIFS('Client DB &amp; Bed Mgmt'!$A:$A,A688,'Client DB &amp; Bed Mgmt'!$B:$B,C688,'Client DB &amp; Bed Mgmt'!$D:$D,"&lt;&gt;"),0)</f>
        <v/>
      </c>
      <c r="K688" s="88" t="n"/>
      <c r="L688" s="88" t="n"/>
      <c r="M688" s="88">
        <f>COUNTIFS('Client DB &amp; Bed Mgmt'!$B:$B,L688,'Client DB &amp; Bed Mgmt'!$E:$E,"Occupied")</f>
        <v/>
      </c>
      <c r="N688" s="88" t="n"/>
      <c r="O688" s="88" t="n"/>
      <c r="P688" s="88" t="n"/>
      <c r="Q688" s="88" t="n"/>
      <c r="R688" s="88" t="n"/>
      <c r="S688" s="88" t="n"/>
      <c r="T688" s="88" t="n"/>
      <c r="U688" s="129" t="n"/>
      <c r="V688" s="129" t="n"/>
    </row>
    <row r="689" ht="14.25" customHeight="1" s="83">
      <c r="A689" s="103" t="n"/>
      <c r="B689" s="125" t="n"/>
      <c r="C689" s="103" t="n"/>
      <c r="D689" s="126" t="n"/>
      <c r="E689" s="126" t="n"/>
      <c r="F689" s="127">
        <f>IF(D689="","",MAX(D689-E689,0))</f>
        <v/>
      </c>
      <c r="G689" s="130">
        <f>IF(E689="","",E689*GeneratorRate)</f>
        <v/>
      </c>
      <c r="H689" s="130">
        <f>IF(F689="","",F689*GovernmentRate)</f>
        <v/>
      </c>
      <c r="I689" s="130">
        <f>IF(D689="","",G689+H689)</f>
        <v/>
      </c>
      <c r="J689" s="129">
        <f>IFERROR(I689/COUNTIFS('Client DB &amp; Bed Mgmt'!$A:$A,A689,'Client DB &amp; Bed Mgmt'!$B:$B,C689,'Client DB &amp; Bed Mgmt'!$D:$D,"&lt;&gt;"),0)</f>
        <v/>
      </c>
      <c r="K689" s="88" t="n"/>
      <c r="L689" s="88" t="n"/>
      <c r="M689" s="88">
        <f>COUNTIFS('Client DB &amp; Bed Mgmt'!$B:$B,L689,'Client DB &amp; Bed Mgmt'!$E:$E,"Occupied")</f>
        <v/>
      </c>
      <c r="N689" s="88" t="n"/>
      <c r="O689" s="88" t="n"/>
      <c r="P689" s="88" t="n"/>
      <c r="Q689" s="88" t="n"/>
      <c r="R689" s="88" t="n"/>
      <c r="S689" s="88" t="n"/>
      <c r="T689" s="88" t="n"/>
      <c r="U689" s="129" t="n"/>
      <c r="V689" s="129" t="n"/>
    </row>
    <row r="690" ht="14.25" customHeight="1" s="83">
      <c r="A690" s="103" t="n"/>
      <c r="B690" s="125" t="n"/>
      <c r="C690" s="103" t="n"/>
      <c r="D690" s="126" t="n"/>
      <c r="E690" s="126" t="n"/>
      <c r="F690" s="127">
        <f>IF(D690="","",MAX(D690-E690,0))</f>
        <v/>
      </c>
      <c r="G690" s="130">
        <f>IF(E690="","",E690*GeneratorRate)</f>
        <v/>
      </c>
      <c r="H690" s="130">
        <f>IF(F690="","",F690*GovernmentRate)</f>
        <v/>
      </c>
      <c r="I690" s="130">
        <f>IF(D690="","",G690+H690)</f>
        <v/>
      </c>
      <c r="J690" s="129">
        <f>IFERROR(I690/COUNTIFS('Client DB &amp; Bed Mgmt'!$A:$A,A690,'Client DB &amp; Bed Mgmt'!$B:$B,C690,'Client DB &amp; Bed Mgmt'!$D:$D,"&lt;&gt;"),0)</f>
        <v/>
      </c>
      <c r="K690" s="88" t="n"/>
      <c r="L690" s="88" t="n"/>
      <c r="M690" s="88">
        <f>COUNTIFS('Client DB &amp; Bed Mgmt'!$B:$B,L690,'Client DB &amp; Bed Mgmt'!$E:$E,"Occupied")</f>
        <v/>
      </c>
      <c r="N690" s="88" t="n"/>
      <c r="O690" s="88" t="n"/>
      <c r="P690" s="88" t="n"/>
      <c r="Q690" s="88" t="n"/>
      <c r="R690" s="88" t="n"/>
      <c r="S690" s="88" t="n"/>
      <c r="T690" s="88" t="n"/>
      <c r="U690" s="129" t="n"/>
      <c r="V690" s="129" t="n"/>
    </row>
    <row r="691" ht="14.25" customHeight="1" s="83">
      <c r="A691" s="103" t="n"/>
      <c r="B691" s="125" t="n"/>
      <c r="C691" s="103" t="n"/>
      <c r="D691" s="126" t="n"/>
      <c r="E691" s="126" t="n"/>
      <c r="F691" s="127">
        <f>IF(D691="","",MAX(D691-E691,0))</f>
        <v/>
      </c>
      <c r="G691" s="130">
        <f>IF(E691="","",E691*GeneratorRate)</f>
        <v/>
      </c>
      <c r="H691" s="130">
        <f>IF(F691="","",F691*GovernmentRate)</f>
        <v/>
      </c>
      <c r="I691" s="130">
        <f>IF(D691="","",G691+H691)</f>
        <v/>
      </c>
      <c r="J691" s="129">
        <f>IFERROR(I691/COUNTIFS('Client DB &amp; Bed Mgmt'!$A:$A,A691,'Client DB &amp; Bed Mgmt'!$B:$B,C691,'Client DB &amp; Bed Mgmt'!$D:$D,"&lt;&gt;"),0)</f>
        <v/>
      </c>
      <c r="K691" s="88" t="n"/>
      <c r="L691" s="88" t="n"/>
      <c r="M691" s="88">
        <f>COUNTIFS('Client DB &amp; Bed Mgmt'!$B:$B,L691,'Client DB &amp; Bed Mgmt'!$E:$E,"Occupied")</f>
        <v/>
      </c>
      <c r="N691" s="88" t="n"/>
      <c r="O691" s="88" t="n"/>
      <c r="P691" s="88" t="n"/>
      <c r="Q691" s="88" t="n"/>
      <c r="R691" s="88" t="n"/>
      <c r="S691" s="88" t="n"/>
      <c r="T691" s="88" t="n"/>
      <c r="U691" s="129" t="n"/>
      <c r="V691" s="129" t="n"/>
    </row>
    <row r="692" ht="14.25" customHeight="1" s="83">
      <c r="A692" s="103" t="n"/>
      <c r="B692" s="125" t="n"/>
      <c r="C692" s="103" t="n"/>
      <c r="D692" s="126" t="n"/>
      <c r="E692" s="126" t="n"/>
      <c r="F692" s="127">
        <f>IF(D692="","",MAX(D692-E692,0))</f>
        <v/>
      </c>
      <c r="G692" s="130">
        <f>IF(E692="","",E692*GeneratorRate)</f>
        <v/>
      </c>
      <c r="H692" s="130">
        <f>IF(F692="","",F692*GovernmentRate)</f>
        <v/>
      </c>
      <c r="I692" s="130">
        <f>IF(D692="","",G692+H692)</f>
        <v/>
      </c>
      <c r="J692" s="129">
        <f>IFERROR(I692/COUNTIFS('Client DB &amp; Bed Mgmt'!$A:$A,A692,'Client DB &amp; Bed Mgmt'!$B:$B,C692,'Client DB &amp; Bed Mgmt'!$D:$D,"&lt;&gt;"),0)</f>
        <v/>
      </c>
      <c r="K692" s="88" t="n"/>
      <c r="L692" s="88" t="n"/>
      <c r="M692" s="88">
        <f>COUNTIFS('Client DB &amp; Bed Mgmt'!$B:$B,L692,'Client DB &amp; Bed Mgmt'!$E:$E,"Occupied")</f>
        <v/>
      </c>
      <c r="N692" s="88" t="n"/>
      <c r="O692" s="88" t="n"/>
      <c r="P692" s="88" t="n"/>
      <c r="Q692" s="88" t="n"/>
      <c r="R692" s="88" t="n"/>
      <c r="S692" s="88" t="n"/>
      <c r="T692" s="88" t="n"/>
      <c r="U692" s="129" t="n"/>
      <c r="V692" s="129" t="n"/>
    </row>
    <row r="693" ht="14.25" customHeight="1" s="83">
      <c r="A693" s="103" t="n"/>
      <c r="B693" s="125" t="n"/>
      <c r="C693" s="103" t="n"/>
      <c r="D693" s="126" t="n"/>
      <c r="E693" s="126" t="n"/>
      <c r="F693" s="127">
        <f>IF(D693="","",MAX(D693-E693,0))</f>
        <v/>
      </c>
      <c r="G693" s="130">
        <f>IF(E693="","",E693*GeneratorRate)</f>
        <v/>
      </c>
      <c r="H693" s="130">
        <f>IF(F693="","",F693*GovernmentRate)</f>
        <v/>
      </c>
      <c r="I693" s="130">
        <f>IF(D693="","",G693+H693)</f>
        <v/>
      </c>
      <c r="J693" s="129">
        <f>IFERROR(I693/COUNTIFS('Client DB &amp; Bed Mgmt'!$A:$A,A693,'Client DB &amp; Bed Mgmt'!$B:$B,C693,'Client DB &amp; Bed Mgmt'!$D:$D,"&lt;&gt;"),0)</f>
        <v/>
      </c>
      <c r="K693" s="88" t="n"/>
      <c r="L693" s="88" t="n"/>
      <c r="M693" s="88">
        <f>COUNTIFS('Client DB &amp; Bed Mgmt'!$B:$B,L693,'Client DB &amp; Bed Mgmt'!$E:$E,"Occupied")</f>
        <v/>
      </c>
      <c r="N693" s="88" t="n"/>
      <c r="O693" s="88" t="n"/>
      <c r="P693" s="88" t="n"/>
      <c r="Q693" s="88" t="n"/>
      <c r="R693" s="88" t="n"/>
      <c r="S693" s="88" t="n"/>
      <c r="T693" s="88" t="n"/>
      <c r="U693" s="129" t="n"/>
      <c r="V693" s="129" t="n"/>
    </row>
    <row r="694" ht="14.25" customHeight="1" s="83">
      <c r="A694" s="103" t="n"/>
      <c r="B694" s="125" t="n"/>
      <c r="C694" s="103" t="n"/>
      <c r="D694" s="126" t="n"/>
      <c r="E694" s="126" t="n"/>
      <c r="F694" s="127">
        <f>IF(D694="","",MAX(D694-E694,0))</f>
        <v/>
      </c>
      <c r="G694" s="130">
        <f>IF(E694="","",E694*GeneratorRate)</f>
        <v/>
      </c>
      <c r="H694" s="130">
        <f>IF(F694="","",F694*GovernmentRate)</f>
        <v/>
      </c>
      <c r="I694" s="130">
        <f>IF(D694="","",G694+H694)</f>
        <v/>
      </c>
      <c r="J694" s="129">
        <f>IFERROR(I694/COUNTIFS('Client DB &amp; Bed Mgmt'!$A:$A,A694,'Client DB &amp; Bed Mgmt'!$B:$B,C694,'Client DB &amp; Bed Mgmt'!$D:$D,"&lt;&gt;"),0)</f>
        <v/>
      </c>
      <c r="K694" s="88" t="n"/>
      <c r="L694" s="88" t="n"/>
      <c r="M694" s="88">
        <f>COUNTIFS('Client DB &amp; Bed Mgmt'!$B:$B,L694,'Client DB &amp; Bed Mgmt'!$E:$E,"Occupied")</f>
        <v/>
      </c>
      <c r="N694" s="88" t="n"/>
      <c r="O694" s="88" t="n"/>
      <c r="P694" s="88" t="n"/>
      <c r="Q694" s="88" t="n"/>
      <c r="R694" s="88" t="n"/>
      <c r="S694" s="88" t="n"/>
      <c r="T694" s="88" t="n"/>
      <c r="U694" s="129" t="n"/>
      <c r="V694" s="129" t="n"/>
    </row>
    <row r="695" ht="14.25" customHeight="1" s="83">
      <c r="A695" s="103" t="n"/>
      <c r="B695" s="125" t="n"/>
      <c r="C695" s="103" t="n"/>
      <c r="D695" s="126" t="n"/>
      <c r="E695" s="126" t="n"/>
      <c r="F695" s="127">
        <f>IF(D695="","",MAX(D695-E695,0))</f>
        <v/>
      </c>
      <c r="G695" s="130">
        <f>IF(E695="","",E695*GeneratorRate)</f>
        <v/>
      </c>
      <c r="H695" s="130">
        <f>IF(F695="","",F695*GovernmentRate)</f>
        <v/>
      </c>
      <c r="I695" s="130">
        <f>IF(D695="","",G695+H695)</f>
        <v/>
      </c>
      <c r="J695" s="129">
        <f>IFERROR(I695/COUNTIFS('Client DB &amp; Bed Mgmt'!$A:$A,A695,'Client DB &amp; Bed Mgmt'!$B:$B,C695,'Client DB &amp; Bed Mgmt'!$D:$D,"&lt;&gt;"),0)</f>
        <v/>
      </c>
      <c r="K695" s="88" t="n"/>
      <c r="L695" s="88" t="n"/>
      <c r="M695" s="88">
        <f>COUNTIFS('Client DB &amp; Bed Mgmt'!$B:$B,L695,'Client DB &amp; Bed Mgmt'!$E:$E,"Occupied")</f>
        <v/>
      </c>
      <c r="N695" s="88" t="n"/>
      <c r="O695" s="88" t="n"/>
      <c r="P695" s="88" t="n"/>
      <c r="Q695" s="88" t="n"/>
      <c r="R695" s="88" t="n"/>
      <c r="S695" s="88" t="n"/>
      <c r="T695" s="88" t="n"/>
      <c r="U695" s="129" t="n"/>
      <c r="V695" s="129" t="n"/>
    </row>
    <row r="696" ht="14.25" customHeight="1" s="83">
      <c r="A696" s="103" t="n"/>
      <c r="B696" s="125" t="n"/>
      <c r="C696" s="103" t="n"/>
      <c r="D696" s="126" t="n"/>
      <c r="E696" s="126" t="n"/>
      <c r="F696" s="127">
        <f>IF(D696="","",MAX(D696-E696,0))</f>
        <v/>
      </c>
      <c r="G696" s="130">
        <f>IF(E696="","",E696*GeneratorRate)</f>
        <v/>
      </c>
      <c r="H696" s="130">
        <f>IF(F696="","",F696*GovernmentRate)</f>
        <v/>
      </c>
      <c r="I696" s="130">
        <f>IF(D696="","",G696+H696)</f>
        <v/>
      </c>
      <c r="J696" s="129">
        <f>IFERROR(I696/COUNTIFS('Client DB &amp; Bed Mgmt'!$A:$A,A696,'Client DB &amp; Bed Mgmt'!$B:$B,C696,'Client DB &amp; Bed Mgmt'!$D:$D,"&lt;&gt;"),0)</f>
        <v/>
      </c>
      <c r="K696" s="88" t="n"/>
      <c r="L696" s="88" t="n"/>
      <c r="M696" s="88">
        <f>COUNTIFS('Client DB &amp; Bed Mgmt'!$B:$B,L696,'Client DB &amp; Bed Mgmt'!$E:$E,"Occupied")</f>
        <v/>
      </c>
      <c r="N696" s="88" t="n"/>
      <c r="O696" s="88" t="n"/>
      <c r="P696" s="88" t="n"/>
      <c r="Q696" s="88" t="n"/>
      <c r="R696" s="88" t="n"/>
      <c r="S696" s="88" t="n"/>
      <c r="T696" s="88" t="n"/>
      <c r="U696" s="129" t="n"/>
      <c r="V696" s="129" t="n"/>
    </row>
    <row r="697" ht="14.25" customHeight="1" s="83">
      <c r="A697" s="103" t="n"/>
      <c r="B697" s="125" t="n"/>
      <c r="C697" s="103" t="n"/>
      <c r="D697" s="126" t="n"/>
      <c r="E697" s="126" t="n"/>
      <c r="F697" s="127">
        <f>IF(D697="","",MAX(D697-E697,0))</f>
        <v/>
      </c>
      <c r="G697" s="130">
        <f>IF(E697="","",E697*GeneratorRate)</f>
        <v/>
      </c>
      <c r="H697" s="130">
        <f>IF(F697="","",F697*GovernmentRate)</f>
        <v/>
      </c>
      <c r="I697" s="130">
        <f>IF(D697="","",G697+H697)</f>
        <v/>
      </c>
      <c r="J697" s="129">
        <f>IFERROR(I697/COUNTIFS('Client DB &amp; Bed Mgmt'!$A:$A,A697,'Client DB &amp; Bed Mgmt'!$B:$B,C697,'Client DB &amp; Bed Mgmt'!$D:$D,"&lt;&gt;"),0)</f>
        <v/>
      </c>
      <c r="K697" s="88" t="n"/>
      <c r="L697" s="88" t="n"/>
      <c r="M697" s="88">
        <f>COUNTIFS('Client DB &amp; Bed Mgmt'!$B:$B,L697,'Client DB &amp; Bed Mgmt'!$E:$E,"Occupied")</f>
        <v/>
      </c>
      <c r="N697" s="88" t="n"/>
      <c r="O697" s="88" t="n"/>
      <c r="P697" s="88" t="n"/>
      <c r="Q697" s="88" t="n"/>
      <c r="R697" s="88" t="n"/>
      <c r="S697" s="88" t="n"/>
      <c r="T697" s="88" t="n"/>
      <c r="U697" s="129" t="n"/>
      <c r="V697" s="129" t="n"/>
    </row>
    <row r="698" ht="14.25" customHeight="1" s="83">
      <c r="A698" s="103" t="n"/>
      <c r="B698" s="125" t="n"/>
      <c r="C698" s="103" t="n"/>
      <c r="D698" s="126" t="n"/>
      <c r="E698" s="126" t="n"/>
      <c r="F698" s="127">
        <f>IF(D698="","",MAX(D698-E698,0))</f>
        <v/>
      </c>
      <c r="G698" s="130">
        <f>IF(E698="","",E698*GeneratorRate)</f>
        <v/>
      </c>
      <c r="H698" s="130">
        <f>IF(F698="","",F698*GovernmentRate)</f>
        <v/>
      </c>
      <c r="I698" s="130">
        <f>IF(D698="","",G698+H698)</f>
        <v/>
      </c>
      <c r="J698" s="129">
        <f>IFERROR(I698/COUNTIFS('Client DB &amp; Bed Mgmt'!$A:$A,A698,'Client DB &amp; Bed Mgmt'!$B:$B,C698,'Client DB &amp; Bed Mgmt'!$D:$D,"&lt;&gt;"),0)</f>
        <v/>
      </c>
      <c r="K698" s="88" t="n"/>
      <c r="L698" s="88" t="n"/>
      <c r="M698" s="88">
        <f>COUNTIFS('Client DB &amp; Bed Mgmt'!$B:$B,L698,'Client DB &amp; Bed Mgmt'!$E:$E,"Occupied")</f>
        <v/>
      </c>
      <c r="N698" s="88" t="n"/>
      <c r="O698" s="88" t="n"/>
      <c r="P698" s="88" t="n"/>
      <c r="Q698" s="88" t="n"/>
      <c r="R698" s="88" t="n"/>
      <c r="S698" s="88" t="n"/>
      <c r="T698" s="88" t="n"/>
      <c r="U698" s="129" t="n"/>
      <c r="V698" s="129" t="n"/>
    </row>
    <row r="699" ht="14.25" customHeight="1" s="83">
      <c r="A699" s="103" t="n"/>
      <c r="B699" s="125" t="n"/>
      <c r="C699" s="103" t="n"/>
      <c r="D699" s="126" t="n"/>
      <c r="E699" s="126" t="n"/>
      <c r="F699" s="127">
        <f>IF(D699="","",MAX(D699-E699,0))</f>
        <v/>
      </c>
      <c r="G699" s="130">
        <f>IF(E699="","",E699*GeneratorRate)</f>
        <v/>
      </c>
      <c r="H699" s="130">
        <f>IF(F699="","",F699*GovernmentRate)</f>
        <v/>
      </c>
      <c r="I699" s="130">
        <f>IF(D699="","",G699+H699)</f>
        <v/>
      </c>
      <c r="J699" s="129">
        <f>IFERROR(I699/COUNTIFS('Client DB &amp; Bed Mgmt'!$A:$A,A699,'Client DB &amp; Bed Mgmt'!$B:$B,C699,'Client DB &amp; Bed Mgmt'!$D:$D,"&lt;&gt;"),0)</f>
        <v/>
      </c>
      <c r="K699" s="88" t="n"/>
      <c r="L699" s="88" t="n"/>
      <c r="M699" s="88">
        <f>COUNTIFS('Client DB &amp; Bed Mgmt'!$B:$B,L699,'Client DB &amp; Bed Mgmt'!$E:$E,"Occupied")</f>
        <v/>
      </c>
      <c r="N699" s="88" t="n"/>
      <c r="O699" s="88" t="n"/>
      <c r="P699" s="88" t="n"/>
      <c r="Q699" s="88" t="n"/>
      <c r="R699" s="88" t="n"/>
      <c r="S699" s="88" t="n"/>
      <c r="T699" s="88" t="n"/>
      <c r="U699" s="129" t="n"/>
      <c r="V699" s="129" t="n"/>
    </row>
    <row r="700" ht="14.25" customHeight="1" s="83">
      <c r="A700" s="103" t="n"/>
      <c r="B700" s="125" t="n"/>
      <c r="C700" s="103" t="n"/>
      <c r="D700" s="126" t="n"/>
      <c r="E700" s="126" t="n"/>
      <c r="F700" s="127">
        <f>IF(D700="","",MAX(D700-E700,0))</f>
        <v/>
      </c>
      <c r="G700" s="130">
        <f>IF(E700="","",E700*GeneratorRate)</f>
        <v/>
      </c>
      <c r="H700" s="130">
        <f>IF(F700="","",F700*GovernmentRate)</f>
        <v/>
      </c>
      <c r="I700" s="130">
        <f>IF(D700="","",G700+H700)</f>
        <v/>
      </c>
      <c r="J700" s="129">
        <f>IFERROR(I700/COUNTIFS('Client DB &amp; Bed Mgmt'!$A:$A,A700,'Client DB &amp; Bed Mgmt'!$B:$B,C700,'Client DB &amp; Bed Mgmt'!$D:$D,"&lt;&gt;"),0)</f>
        <v/>
      </c>
      <c r="K700" s="88" t="n"/>
      <c r="L700" s="88" t="n"/>
      <c r="M700" s="88">
        <f>COUNTIFS('Client DB &amp; Bed Mgmt'!$B:$B,L700,'Client DB &amp; Bed Mgmt'!$E:$E,"Occupied")</f>
        <v/>
      </c>
      <c r="N700" s="88" t="n"/>
      <c r="O700" s="88" t="n"/>
      <c r="P700" s="88" t="n"/>
      <c r="Q700" s="88" t="n"/>
      <c r="R700" s="88" t="n"/>
      <c r="S700" s="88" t="n"/>
      <c r="T700" s="88" t="n"/>
      <c r="U700" s="129" t="n"/>
      <c r="V700" s="129" t="n"/>
    </row>
    <row r="701" ht="14.25" customHeight="1" s="83">
      <c r="A701" s="103" t="n"/>
      <c r="B701" s="125" t="n"/>
      <c r="C701" s="103" t="n"/>
      <c r="D701" s="126" t="n"/>
      <c r="E701" s="126" t="n"/>
      <c r="F701" s="127">
        <f>IF(D701="","",MAX(D701-E701,0))</f>
        <v/>
      </c>
      <c r="G701" s="130">
        <f>IF(E701="","",E701*GeneratorRate)</f>
        <v/>
      </c>
      <c r="H701" s="130">
        <f>IF(F701="","",F701*GovernmentRate)</f>
        <v/>
      </c>
      <c r="I701" s="130">
        <f>IF(D701="","",G701+H701)</f>
        <v/>
      </c>
      <c r="J701" s="129">
        <f>IFERROR(I701/COUNTIFS('Client DB &amp; Bed Mgmt'!$A:$A,A701,'Client DB &amp; Bed Mgmt'!$B:$B,C701,'Client DB &amp; Bed Mgmt'!$D:$D,"&lt;&gt;"),0)</f>
        <v/>
      </c>
      <c r="K701" s="88" t="n"/>
      <c r="L701" s="88" t="n"/>
      <c r="M701" s="88">
        <f>COUNTIFS('Client DB &amp; Bed Mgmt'!$B:$B,L701,'Client DB &amp; Bed Mgmt'!$E:$E,"Occupied")</f>
        <v/>
      </c>
      <c r="N701" s="88" t="n"/>
      <c r="O701" s="88" t="n"/>
      <c r="P701" s="88" t="n"/>
      <c r="Q701" s="88" t="n"/>
      <c r="R701" s="88" t="n"/>
      <c r="S701" s="88" t="n"/>
      <c r="T701" s="88" t="n"/>
      <c r="U701" s="129" t="n"/>
      <c r="V701" s="129" t="n"/>
    </row>
    <row r="702" ht="14.25" customHeight="1" s="83">
      <c r="A702" s="103" t="n"/>
      <c r="B702" s="125" t="n"/>
      <c r="C702" s="103" t="n"/>
      <c r="D702" s="126" t="n"/>
      <c r="E702" s="126" t="n"/>
      <c r="F702" s="127">
        <f>IF(D702="","",MAX(D702-E702,0))</f>
        <v/>
      </c>
      <c r="G702" s="130">
        <f>IF(E702="","",E702*GeneratorRate)</f>
        <v/>
      </c>
      <c r="H702" s="130">
        <f>IF(F702="","",F702*GovernmentRate)</f>
        <v/>
      </c>
      <c r="I702" s="130">
        <f>IF(D702="","",G702+H702)</f>
        <v/>
      </c>
      <c r="J702" s="129">
        <f>IFERROR(I702/COUNTIFS('Client DB &amp; Bed Mgmt'!$A:$A,A702,'Client DB &amp; Bed Mgmt'!$B:$B,C702,'Client DB &amp; Bed Mgmt'!$D:$D,"&lt;&gt;"),0)</f>
        <v/>
      </c>
      <c r="K702" s="88" t="n"/>
      <c r="L702" s="88" t="n"/>
      <c r="M702" s="88">
        <f>COUNTIFS('Client DB &amp; Bed Mgmt'!$B:$B,L702,'Client DB &amp; Bed Mgmt'!$E:$E,"Occupied")</f>
        <v/>
      </c>
      <c r="N702" s="88" t="n"/>
      <c r="O702" s="88" t="n"/>
      <c r="P702" s="88" t="n"/>
      <c r="Q702" s="88" t="n"/>
      <c r="R702" s="88" t="n"/>
      <c r="S702" s="88" t="n"/>
      <c r="T702" s="88" t="n"/>
      <c r="U702" s="129" t="n"/>
      <c r="V702" s="129" t="n"/>
    </row>
    <row r="703" ht="14.25" customHeight="1" s="83">
      <c r="A703" s="103" t="n"/>
      <c r="B703" s="125" t="n"/>
      <c r="C703" s="103" t="n"/>
      <c r="D703" s="126" t="n"/>
      <c r="E703" s="126" t="n"/>
      <c r="F703" s="127">
        <f>IF(D703="","",MAX(D703-E703,0))</f>
        <v/>
      </c>
      <c r="G703" s="130">
        <f>IF(E703="","",E703*GeneratorRate)</f>
        <v/>
      </c>
      <c r="H703" s="130">
        <f>IF(F703="","",F703*GovernmentRate)</f>
        <v/>
      </c>
      <c r="I703" s="130">
        <f>IF(D703="","",G703+H703)</f>
        <v/>
      </c>
      <c r="J703" s="129">
        <f>IFERROR(I703/COUNTIFS('Client DB &amp; Bed Mgmt'!$A:$A,A703,'Client DB &amp; Bed Mgmt'!$B:$B,C703,'Client DB &amp; Bed Mgmt'!$D:$D,"&lt;&gt;"),0)</f>
        <v/>
      </c>
      <c r="K703" s="88" t="n"/>
      <c r="L703" s="88" t="n"/>
      <c r="M703" s="88">
        <f>COUNTIFS('Client DB &amp; Bed Mgmt'!$B:$B,L703,'Client DB &amp; Bed Mgmt'!$E:$E,"Occupied")</f>
        <v/>
      </c>
      <c r="N703" s="88" t="n"/>
      <c r="O703" s="88" t="n"/>
      <c r="P703" s="88" t="n"/>
      <c r="Q703" s="88" t="n"/>
      <c r="R703" s="88" t="n"/>
      <c r="S703" s="88" t="n"/>
      <c r="T703" s="88" t="n"/>
      <c r="U703" s="129" t="n"/>
      <c r="V703" s="129" t="n"/>
    </row>
    <row r="704" ht="14.25" customHeight="1" s="83">
      <c r="A704" s="103" t="n"/>
      <c r="B704" s="125" t="n"/>
      <c r="C704" s="103" t="n"/>
      <c r="D704" s="126" t="n"/>
      <c r="E704" s="126" t="n"/>
      <c r="F704" s="127">
        <f>IF(D704="","",MAX(D704-E704,0))</f>
        <v/>
      </c>
      <c r="G704" s="130">
        <f>IF(E704="","",E704*GeneratorRate)</f>
        <v/>
      </c>
      <c r="H704" s="130">
        <f>IF(F704="","",F704*GovernmentRate)</f>
        <v/>
      </c>
      <c r="I704" s="130">
        <f>IF(D704="","",G704+H704)</f>
        <v/>
      </c>
      <c r="J704" s="129">
        <f>IFERROR(I704/COUNTIFS('Client DB &amp; Bed Mgmt'!$A:$A,A704,'Client DB &amp; Bed Mgmt'!$B:$B,C704,'Client DB &amp; Bed Mgmt'!$D:$D,"&lt;&gt;"),0)</f>
        <v/>
      </c>
      <c r="K704" s="88" t="n"/>
      <c r="L704" s="88" t="n"/>
      <c r="M704" s="88">
        <f>COUNTIFS('Client DB &amp; Bed Mgmt'!$B:$B,L704,'Client DB &amp; Bed Mgmt'!$E:$E,"Occupied")</f>
        <v/>
      </c>
      <c r="N704" s="88" t="n"/>
      <c r="O704" s="88" t="n"/>
      <c r="P704" s="88" t="n"/>
      <c r="Q704" s="88" t="n"/>
      <c r="R704" s="88" t="n"/>
      <c r="S704" s="88" t="n"/>
      <c r="T704" s="88" t="n"/>
      <c r="U704" s="129" t="n"/>
      <c r="V704" s="129" t="n"/>
    </row>
    <row r="705" ht="14.25" customHeight="1" s="83">
      <c r="A705" s="103" t="n"/>
      <c r="B705" s="125" t="n"/>
      <c r="C705" s="103" t="n"/>
      <c r="D705" s="126" t="n"/>
      <c r="E705" s="126" t="n"/>
      <c r="F705" s="127">
        <f>IF(D705="","",MAX(D705-E705,0))</f>
        <v/>
      </c>
      <c r="G705" s="130">
        <f>IF(E705="","",E705*GeneratorRate)</f>
        <v/>
      </c>
      <c r="H705" s="130">
        <f>IF(F705="","",F705*GovernmentRate)</f>
        <v/>
      </c>
      <c r="I705" s="130">
        <f>IF(D705="","",G705+H705)</f>
        <v/>
      </c>
      <c r="J705" s="129">
        <f>IFERROR(I705/COUNTIFS('Client DB &amp; Bed Mgmt'!$A:$A,A705,'Client DB &amp; Bed Mgmt'!$B:$B,C705,'Client DB &amp; Bed Mgmt'!$D:$D,"&lt;&gt;"),0)</f>
        <v/>
      </c>
      <c r="K705" s="88" t="n"/>
      <c r="L705" s="88" t="n"/>
      <c r="M705" s="88">
        <f>COUNTIFS('Client DB &amp; Bed Mgmt'!$B:$B,L705,'Client DB &amp; Bed Mgmt'!$E:$E,"Occupied")</f>
        <v/>
      </c>
      <c r="N705" s="88" t="n"/>
      <c r="O705" s="88" t="n"/>
      <c r="P705" s="88" t="n"/>
      <c r="Q705" s="88" t="n"/>
      <c r="R705" s="88" t="n"/>
      <c r="S705" s="88" t="n"/>
      <c r="T705" s="88" t="n"/>
      <c r="U705" s="129" t="n"/>
      <c r="V705" s="129" t="n"/>
    </row>
    <row r="706" ht="14.25" customHeight="1" s="83">
      <c r="A706" s="103" t="n"/>
      <c r="B706" s="125" t="n"/>
      <c r="C706" s="103" t="n"/>
      <c r="D706" s="126" t="n"/>
      <c r="E706" s="126" t="n"/>
      <c r="F706" s="127">
        <f>IF(D706="","",MAX(D706-E706,0))</f>
        <v/>
      </c>
      <c r="G706" s="130">
        <f>IF(E706="","",E706*GeneratorRate)</f>
        <v/>
      </c>
      <c r="H706" s="130">
        <f>IF(F706="","",F706*GovernmentRate)</f>
        <v/>
      </c>
      <c r="I706" s="130">
        <f>IF(D706="","",G706+H706)</f>
        <v/>
      </c>
      <c r="J706" s="129">
        <f>IFERROR(I706/COUNTIFS('Client DB &amp; Bed Mgmt'!$A:$A,A706,'Client DB &amp; Bed Mgmt'!$B:$B,C706,'Client DB &amp; Bed Mgmt'!$D:$D,"&lt;&gt;"),0)</f>
        <v/>
      </c>
      <c r="K706" s="88" t="n"/>
      <c r="L706" s="88" t="n"/>
      <c r="M706" s="88">
        <f>COUNTIFS('Client DB &amp; Bed Mgmt'!$B:$B,L706,'Client DB &amp; Bed Mgmt'!$E:$E,"Occupied")</f>
        <v/>
      </c>
      <c r="N706" s="88" t="n"/>
      <c r="O706" s="88" t="n"/>
      <c r="P706" s="88" t="n"/>
      <c r="Q706" s="88" t="n"/>
      <c r="R706" s="88" t="n"/>
      <c r="S706" s="88" t="n"/>
      <c r="T706" s="88" t="n"/>
      <c r="U706" s="129" t="n"/>
      <c r="V706" s="129" t="n"/>
    </row>
    <row r="707" ht="14.25" customHeight="1" s="83">
      <c r="A707" s="103" t="n"/>
      <c r="B707" s="125" t="n"/>
      <c r="C707" s="103" t="n"/>
      <c r="D707" s="126" t="n"/>
      <c r="E707" s="126" t="n"/>
      <c r="F707" s="127">
        <f>IF(D707="","",MAX(D707-E707,0))</f>
        <v/>
      </c>
      <c r="G707" s="130">
        <f>IF(E707="","",E707*GeneratorRate)</f>
        <v/>
      </c>
      <c r="H707" s="130">
        <f>IF(F707="","",F707*GovernmentRate)</f>
        <v/>
      </c>
      <c r="I707" s="130">
        <f>IF(D707="","",G707+H707)</f>
        <v/>
      </c>
      <c r="J707" s="129">
        <f>IFERROR(I707/COUNTIFS('Client DB &amp; Bed Mgmt'!$A:$A,A707,'Client DB &amp; Bed Mgmt'!$B:$B,C707,'Client DB &amp; Bed Mgmt'!$D:$D,"&lt;&gt;"),0)</f>
        <v/>
      </c>
      <c r="K707" s="88" t="n"/>
      <c r="L707" s="88" t="n"/>
      <c r="M707" s="88">
        <f>COUNTIFS('Client DB &amp; Bed Mgmt'!$B:$B,L707,'Client DB &amp; Bed Mgmt'!$E:$E,"Occupied")</f>
        <v/>
      </c>
      <c r="N707" s="88" t="n"/>
      <c r="O707" s="88" t="n"/>
      <c r="P707" s="88" t="n"/>
      <c r="Q707" s="88" t="n"/>
      <c r="R707" s="88" t="n"/>
      <c r="S707" s="88" t="n"/>
      <c r="T707" s="88" t="n"/>
      <c r="U707" s="129" t="n"/>
      <c r="V707" s="129" t="n"/>
    </row>
    <row r="708" ht="14.25" customHeight="1" s="83">
      <c r="A708" s="103" t="n"/>
      <c r="B708" s="125" t="n"/>
      <c r="C708" s="103" t="n"/>
      <c r="D708" s="126" t="n"/>
      <c r="E708" s="126" t="n"/>
      <c r="F708" s="127">
        <f>IF(D708="","",MAX(D708-E708,0))</f>
        <v/>
      </c>
      <c r="G708" s="130">
        <f>IF(E708="","",E708*GeneratorRate)</f>
        <v/>
      </c>
      <c r="H708" s="130">
        <f>IF(F708="","",F708*GovernmentRate)</f>
        <v/>
      </c>
      <c r="I708" s="130">
        <f>IF(D708="","",G708+H708)</f>
        <v/>
      </c>
      <c r="J708" s="129">
        <f>IFERROR(I708/COUNTIFS('Client DB &amp; Bed Mgmt'!$A:$A,A708,'Client DB &amp; Bed Mgmt'!$B:$B,C708,'Client DB &amp; Bed Mgmt'!$D:$D,"&lt;&gt;"),0)</f>
        <v/>
      </c>
      <c r="K708" s="88" t="n"/>
      <c r="L708" s="88" t="n"/>
      <c r="M708" s="88">
        <f>COUNTIFS('Client DB &amp; Bed Mgmt'!$B:$B,L708,'Client DB &amp; Bed Mgmt'!$E:$E,"Occupied")</f>
        <v/>
      </c>
      <c r="N708" s="88" t="n"/>
      <c r="O708" s="88" t="n"/>
      <c r="P708" s="88" t="n"/>
      <c r="Q708" s="88" t="n"/>
      <c r="R708" s="88" t="n"/>
      <c r="S708" s="88" t="n"/>
      <c r="T708" s="88" t="n"/>
      <c r="U708" s="129" t="n"/>
      <c r="V708" s="129" t="n"/>
    </row>
    <row r="709" ht="14.25" customHeight="1" s="83">
      <c r="A709" s="103" t="n"/>
      <c r="B709" s="125" t="n"/>
      <c r="C709" s="103" t="n"/>
      <c r="D709" s="126" t="n"/>
      <c r="E709" s="126" t="n"/>
      <c r="F709" s="127">
        <f>IF(D709="","",MAX(D709-E709,0))</f>
        <v/>
      </c>
      <c r="G709" s="130">
        <f>IF(E709="","",E709*GeneratorRate)</f>
        <v/>
      </c>
      <c r="H709" s="130">
        <f>IF(F709="","",F709*GovernmentRate)</f>
        <v/>
      </c>
      <c r="I709" s="130">
        <f>IF(D709="","",G709+H709)</f>
        <v/>
      </c>
      <c r="J709" s="129">
        <f>IFERROR(I709/COUNTIFS('Client DB &amp; Bed Mgmt'!$A:$A,A709,'Client DB &amp; Bed Mgmt'!$B:$B,C709,'Client DB &amp; Bed Mgmt'!$D:$D,"&lt;&gt;"),0)</f>
        <v/>
      </c>
      <c r="K709" s="88" t="n"/>
      <c r="L709" s="88" t="n"/>
      <c r="M709" s="88">
        <f>COUNTIFS('Client DB &amp; Bed Mgmt'!$B:$B,L709,'Client DB &amp; Bed Mgmt'!$E:$E,"Occupied")</f>
        <v/>
      </c>
      <c r="N709" s="88" t="n"/>
      <c r="O709" s="88" t="n"/>
      <c r="P709" s="88" t="n"/>
      <c r="Q709" s="88" t="n"/>
      <c r="R709" s="88" t="n"/>
      <c r="S709" s="88" t="n"/>
      <c r="T709" s="88" t="n"/>
      <c r="U709" s="129" t="n"/>
      <c r="V709" s="129" t="n"/>
    </row>
    <row r="710" ht="14.25" customHeight="1" s="83">
      <c r="A710" s="103" t="n"/>
      <c r="B710" s="125" t="n"/>
      <c r="C710" s="103" t="n"/>
      <c r="D710" s="126" t="n"/>
      <c r="E710" s="126" t="n"/>
      <c r="F710" s="127">
        <f>IF(D710="","",MAX(D710-E710,0))</f>
        <v/>
      </c>
      <c r="G710" s="130">
        <f>IF(E710="","",E710*GeneratorRate)</f>
        <v/>
      </c>
      <c r="H710" s="130">
        <f>IF(F710="","",F710*GovernmentRate)</f>
        <v/>
      </c>
      <c r="I710" s="130">
        <f>IF(D710="","",G710+H710)</f>
        <v/>
      </c>
      <c r="J710" s="129">
        <f>IFERROR(I710/COUNTIFS('Client DB &amp; Bed Mgmt'!$A:$A,A710,'Client DB &amp; Bed Mgmt'!$B:$B,C710,'Client DB &amp; Bed Mgmt'!$D:$D,"&lt;&gt;"),0)</f>
        <v/>
      </c>
      <c r="K710" s="88" t="n"/>
      <c r="L710" s="88" t="n"/>
      <c r="M710" s="88">
        <f>COUNTIFS('Client DB &amp; Bed Mgmt'!$B:$B,L710,'Client DB &amp; Bed Mgmt'!$E:$E,"Occupied")</f>
        <v/>
      </c>
      <c r="N710" s="88" t="n"/>
      <c r="O710" s="88" t="n"/>
      <c r="P710" s="88" t="n"/>
      <c r="Q710" s="88" t="n"/>
      <c r="R710" s="88" t="n"/>
      <c r="S710" s="88" t="n"/>
      <c r="T710" s="88" t="n"/>
      <c r="U710" s="129" t="n"/>
      <c r="V710" s="129" t="n"/>
    </row>
    <row r="711" ht="14.25" customHeight="1" s="83">
      <c r="A711" s="103" t="n"/>
      <c r="B711" s="125" t="n"/>
      <c r="C711" s="103" t="n"/>
      <c r="D711" s="126" t="n"/>
      <c r="E711" s="126" t="n"/>
      <c r="F711" s="127">
        <f>IF(D711="","",MAX(D711-E711,0))</f>
        <v/>
      </c>
      <c r="G711" s="130">
        <f>IF(E711="","",E711*GeneratorRate)</f>
        <v/>
      </c>
      <c r="H711" s="130">
        <f>IF(F711="","",F711*GovernmentRate)</f>
        <v/>
      </c>
      <c r="I711" s="130">
        <f>IF(D711="","",G711+H711)</f>
        <v/>
      </c>
      <c r="J711" s="129">
        <f>IFERROR(I711/COUNTIFS('Client DB &amp; Bed Mgmt'!$A:$A,A711,'Client DB &amp; Bed Mgmt'!$B:$B,C711,'Client DB &amp; Bed Mgmt'!$D:$D,"&lt;&gt;"),0)</f>
        <v/>
      </c>
      <c r="K711" s="88" t="n"/>
      <c r="L711" s="88" t="n"/>
      <c r="M711" s="88">
        <f>COUNTIFS('Client DB &amp; Bed Mgmt'!$B:$B,L711,'Client DB &amp; Bed Mgmt'!$E:$E,"Occupied")</f>
        <v/>
      </c>
      <c r="N711" s="88" t="n"/>
      <c r="O711" s="88" t="n"/>
      <c r="P711" s="88" t="n"/>
      <c r="Q711" s="88" t="n"/>
      <c r="R711" s="88" t="n"/>
      <c r="S711" s="88" t="n"/>
      <c r="T711" s="88" t="n"/>
      <c r="U711" s="129" t="n"/>
      <c r="V711" s="129" t="n"/>
    </row>
    <row r="712" ht="14.25" customHeight="1" s="83">
      <c r="A712" s="103" t="n"/>
      <c r="B712" s="125" t="n"/>
      <c r="C712" s="103" t="n"/>
      <c r="D712" s="126" t="n"/>
      <c r="E712" s="126" t="n"/>
      <c r="F712" s="127">
        <f>IF(D712="","",MAX(D712-E712,0))</f>
        <v/>
      </c>
      <c r="G712" s="130">
        <f>IF(E712="","",E712*GeneratorRate)</f>
        <v/>
      </c>
      <c r="H712" s="130">
        <f>IF(F712="","",F712*GovernmentRate)</f>
        <v/>
      </c>
      <c r="I712" s="130">
        <f>IF(D712="","",G712+H712)</f>
        <v/>
      </c>
      <c r="J712" s="129">
        <f>IFERROR(I712/COUNTIFS('Client DB &amp; Bed Mgmt'!$A:$A,A712,'Client DB &amp; Bed Mgmt'!$B:$B,C712,'Client DB &amp; Bed Mgmt'!$D:$D,"&lt;&gt;"),0)</f>
        <v/>
      </c>
      <c r="K712" s="88" t="n"/>
      <c r="L712" s="88" t="n"/>
      <c r="M712" s="88">
        <f>COUNTIFS('Client DB &amp; Bed Mgmt'!$B:$B,L712,'Client DB &amp; Bed Mgmt'!$E:$E,"Occupied")</f>
        <v/>
      </c>
      <c r="N712" s="88" t="n"/>
      <c r="O712" s="88" t="n"/>
      <c r="P712" s="88" t="n"/>
      <c r="Q712" s="88" t="n"/>
      <c r="R712" s="88" t="n"/>
      <c r="S712" s="88" t="n"/>
      <c r="T712" s="88" t="n"/>
      <c r="U712" s="129" t="n"/>
      <c r="V712" s="129" t="n"/>
    </row>
    <row r="713" ht="14.25" customHeight="1" s="83">
      <c r="A713" s="103" t="n"/>
      <c r="B713" s="125" t="n"/>
      <c r="C713" s="103" t="n"/>
      <c r="D713" s="126" t="n"/>
      <c r="E713" s="126" t="n"/>
      <c r="F713" s="127">
        <f>IF(D713="","",MAX(D713-E713,0))</f>
        <v/>
      </c>
      <c r="G713" s="130">
        <f>IF(E713="","",E713*GeneratorRate)</f>
        <v/>
      </c>
      <c r="H713" s="130">
        <f>IF(F713="","",F713*GovernmentRate)</f>
        <v/>
      </c>
      <c r="I713" s="130">
        <f>IF(D713="","",G713+H713)</f>
        <v/>
      </c>
      <c r="J713" s="129">
        <f>IFERROR(I713/COUNTIFS('Client DB &amp; Bed Mgmt'!$A:$A,A713,'Client DB &amp; Bed Mgmt'!$B:$B,C713,'Client DB &amp; Bed Mgmt'!$D:$D,"&lt;&gt;"),0)</f>
        <v/>
      </c>
      <c r="K713" s="88" t="n"/>
      <c r="L713" s="88" t="n"/>
      <c r="M713" s="88">
        <f>COUNTIFS('Client DB &amp; Bed Mgmt'!$B:$B,L713,'Client DB &amp; Bed Mgmt'!$E:$E,"Occupied")</f>
        <v/>
      </c>
      <c r="N713" s="88" t="n"/>
      <c r="O713" s="88" t="n"/>
      <c r="P713" s="88" t="n"/>
      <c r="Q713" s="88" t="n"/>
      <c r="R713" s="88" t="n"/>
      <c r="S713" s="88" t="n"/>
      <c r="T713" s="88" t="n"/>
      <c r="U713" s="129" t="n"/>
      <c r="V713" s="129" t="n"/>
    </row>
    <row r="714" ht="14.25" customHeight="1" s="83">
      <c r="A714" s="103" t="n"/>
      <c r="B714" s="125" t="n"/>
      <c r="C714" s="103" t="n"/>
      <c r="D714" s="126" t="n"/>
      <c r="E714" s="126" t="n"/>
      <c r="F714" s="127">
        <f>IF(D714="","",MAX(D714-E714,0))</f>
        <v/>
      </c>
      <c r="G714" s="130">
        <f>IF(E714="","",E714*GeneratorRate)</f>
        <v/>
      </c>
      <c r="H714" s="130">
        <f>IF(F714="","",F714*GovernmentRate)</f>
        <v/>
      </c>
      <c r="I714" s="130">
        <f>IF(D714="","",G714+H714)</f>
        <v/>
      </c>
      <c r="J714" s="129">
        <f>IFERROR(I714/COUNTIFS('Client DB &amp; Bed Mgmt'!$A:$A,A714,'Client DB &amp; Bed Mgmt'!$B:$B,C714,'Client DB &amp; Bed Mgmt'!$D:$D,"&lt;&gt;"),0)</f>
        <v/>
      </c>
      <c r="K714" s="88" t="n"/>
      <c r="L714" s="88" t="n"/>
      <c r="M714" s="88">
        <f>COUNTIFS('Client DB &amp; Bed Mgmt'!$B:$B,L714,'Client DB &amp; Bed Mgmt'!$E:$E,"Occupied")</f>
        <v/>
      </c>
      <c r="N714" s="88" t="n"/>
      <c r="O714" s="88" t="n"/>
      <c r="P714" s="88" t="n"/>
      <c r="Q714" s="88" t="n"/>
      <c r="R714" s="88" t="n"/>
      <c r="S714" s="88" t="n"/>
      <c r="T714" s="88" t="n"/>
      <c r="U714" s="129" t="n"/>
      <c r="V714" s="129" t="n"/>
    </row>
    <row r="715" ht="14.25" customHeight="1" s="83">
      <c r="A715" s="103" t="n"/>
      <c r="B715" s="125" t="n"/>
      <c r="C715" s="103" t="n"/>
      <c r="D715" s="126" t="n"/>
      <c r="E715" s="126" t="n"/>
      <c r="F715" s="127">
        <f>IF(D715="","",MAX(D715-E715,0))</f>
        <v/>
      </c>
      <c r="G715" s="130">
        <f>IF(E715="","",E715*GeneratorRate)</f>
        <v/>
      </c>
      <c r="H715" s="130">
        <f>IF(F715="","",F715*GovernmentRate)</f>
        <v/>
      </c>
      <c r="I715" s="130">
        <f>IF(D715="","",G715+H715)</f>
        <v/>
      </c>
      <c r="J715" s="129">
        <f>IFERROR(I715/COUNTIFS('Client DB &amp; Bed Mgmt'!$A:$A,A715,'Client DB &amp; Bed Mgmt'!$B:$B,C715,'Client DB &amp; Bed Mgmt'!$D:$D,"&lt;&gt;"),0)</f>
        <v/>
      </c>
      <c r="K715" s="88" t="n"/>
      <c r="L715" s="88" t="n"/>
      <c r="M715" s="88">
        <f>COUNTIFS('Client DB &amp; Bed Mgmt'!$B:$B,L715,'Client DB &amp; Bed Mgmt'!$E:$E,"Occupied")</f>
        <v/>
      </c>
      <c r="N715" s="88" t="n"/>
      <c r="O715" s="88" t="n"/>
      <c r="P715" s="88" t="n"/>
      <c r="Q715" s="88" t="n"/>
      <c r="R715" s="88" t="n"/>
      <c r="S715" s="88" t="n"/>
      <c r="T715" s="88" t="n"/>
      <c r="U715" s="129" t="n"/>
      <c r="V715" s="129" t="n"/>
    </row>
    <row r="716" ht="14.25" customHeight="1" s="83">
      <c r="A716" s="103" t="n"/>
      <c r="B716" s="125" t="n"/>
      <c r="C716" s="103" t="n"/>
      <c r="D716" s="126" t="n"/>
      <c r="E716" s="126" t="n"/>
      <c r="F716" s="127">
        <f>IF(D716="","",MAX(D716-E716,0))</f>
        <v/>
      </c>
      <c r="G716" s="130">
        <f>IF(E716="","",E716*GeneratorRate)</f>
        <v/>
      </c>
      <c r="H716" s="130">
        <f>IF(F716="","",F716*GovernmentRate)</f>
        <v/>
      </c>
      <c r="I716" s="130">
        <f>IF(D716="","",G716+H716)</f>
        <v/>
      </c>
      <c r="J716" s="129">
        <f>IFERROR(I716/COUNTIFS('Client DB &amp; Bed Mgmt'!$A:$A,A716,'Client DB &amp; Bed Mgmt'!$B:$B,C716,'Client DB &amp; Bed Mgmt'!$D:$D,"&lt;&gt;"),0)</f>
        <v/>
      </c>
      <c r="K716" s="88" t="n"/>
      <c r="L716" s="88" t="n"/>
      <c r="M716" s="88">
        <f>COUNTIFS('Client DB &amp; Bed Mgmt'!$B:$B,L716,'Client DB &amp; Bed Mgmt'!$E:$E,"Occupied")</f>
        <v/>
      </c>
      <c r="N716" s="88" t="n"/>
      <c r="O716" s="88" t="n"/>
      <c r="P716" s="88" t="n"/>
      <c r="Q716" s="88" t="n"/>
      <c r="R716" s="88" t="n"/>
      <c r="S716" s="88" t="n"/>
      <c r="T716" s="88" t="n"/>
      <c r="U716" s="129" t="n"/>
      <c r="V716" s="129" t="n"/>
    </row>
    <row r="717" ht="14.25" customHeight="1" s="83">
      <c r="A717" s="103" t="n"/>
      <c r="B717" s="125" t="n"/>
      <c r="C717" s="103" t="n"/>
      <c r="D717" s="126" t="n"/>
      <c r="E717" s="126" t="n"/>
      <c r="F717" s="127">
        <f>IF(D717="","",MAX(D717-E717,0))</f>
        <v/>
      </c>
      <c r="G717" s="130">
        <f>IF(E717="","",E717*GeneratorRate)</f>
        <v/>
      </c>
      <c r="H717" s="130">
        <f>IF(F717="","",F717*GovernmentRate)</f>
        <v/>
      </c>
      <c r="I717" s="130">
        <f>IF(D717="","",G717+H717)</f>
        <v/>
      </c>
      <c r="J717" s="129">
        <f>IFERROR(I717/COUNTIFS('Client DB &amp; Bed Mgmt'!$A:$A,A717,'Client DB &amp; Bed Mgmt'!$B:$B,C717,'Client DB &amp; Bed Mgmt'!$D:$D,"&lt;&gt;"),0)</f>
        <v/>
      </c>
      <c r="K717" s="88" t="n"/>
      <c r="L717" s="88" t="n"/>
      <c r="M717" s="88">
        <f>COUNTIFS('Client DB &amp; Bed Mgmt'!$B:$B,L717,'Client DB &amp; Bed Mgmt'!$E:$E,"Occupied")</f>
        <v/>
      </c>
      <c r="N717" s="88" t="n"/>
      <c r="O717" s="88" t="n"/>
      <c r="P717" s="88" t="n"/>
      <c r="Q717" s="88" t="n"/>
      <c r="R717" s="88" t="n"/>
      <c r="S717" s="88" t="n"/>
      <c r="T717" s="88" t="n"/>
      <c r="U717" s="129" t="n"/>
      <c r="V717" s="129" t="n"/>
    </row>
    <row r="718" ht="14.25" customHeight="1" s="83">
      <c r="A718" s="103" t="n"/>
      <c r="B718" s="125" t="n"/>
      <c r="C718" s="103" t="n"/>
      <c r="D718" s="126" t="n"/>
      <c r="E718" s="126" t="n"/>
      <c r="F718" s="127">
        <f>IF(D718="","",MAX(D718-E718,0))</f>
        <v/>
      </c>
      <c r="G718" s="130">
        <f>IF(E718="","",E718*GeneratorRate)</f>
        <v/>
      </c>
      <c r="H718" s="130">
        <f>IF(F718="","",F718*GovernmentRate)</f>
        <v/>
      </c>
      <c r="I718" s="130">
        <f>IF(D718="","",G718+H718)</f>
        <v/>
      </c>
      <c r="J718" s="129">
        <f>IFERROR(I718/COUNTIFS('Client DB &amp; Bed Mgmt'!$A:$A,A718,'Client DB &amp; Bed Mgmt'!$B:$B,C718,'Client DB &amp; Bed Mgmt'!$D:$D,"&lt;&gt;"),0)</f>
        <v/>
      </c>
      <c r="K718" s="88" t="n"/>
      <c r="L718" s="88" t="n"/>
      <c r="M718" s="88">
        <f>COUNTIFS('Client DB &amp; Bed Mgmt'!$B:$B,L718,'Client DB &amp; Bed Mgmt'!$E:$E,"Occupied")</f>
        <v/>
      </c>
      <c r="N718" s="88" t="n"/>
      <c r="O718" s="88" t="n"/>
      <c r="P718" s="88" t="n"/>
      <c r="Q718" s="88" t="n"/>
      <c r="R718" s="88" t="n"/>
      <c r="S718" s="88" t="n"/>
      <c r="T718" s="88" t="n"/>
      <c r="U718" s="129" t="n"/>
      <c r="V718" s="129" t="n"/>
    </row>
    <row r="719" ht="14.25" customHeight="1" s="83">
      <c r="A719" s="103" t="n"/>
      <c r="B719" s="125" t="n"/>
      <c r="C719" s="103" t="n"/>
      <c r="D719" s="126" t="n"/>
      <c r="E719" s="126" t="n"/>
      <c r="F719" s="127">
        <f>IF(D719="","",MAX(D719-E719,0))</f>
        <v/>
      </c>
      <c r="G719" s="130">
        <f>IF(E719="","",E719*GeneratorRate)</f>
        <v/>
      </c>
      <c r="H719" s="130">
        <f>IF(F719="","",F719*GovernmentRate)</f>
        <v/>
      </c>
      <c r="I719" s="130">
        <f>IF(D719="","",G719+H719)</f>
        <v/>
      </c>
      <c r="J719" s="129">
        <f>IFERROR(I719/COUNTIFS('Client DB &amp; Bed Mgmt'!$A:$A,A719,'Client DB &amp; Bed Mgmt'!$B:$B,C719,'Client DB &amp; Bed Mgmt'!$D:$D,"&lt;&gt;"),0)</f>
        <v/>
      </c>
      <c r="K719" s="88" t="n"/>
      <c r="L719" s="88" t="n"/>
      <c r="M719" s="88">
        <f>COUNTIFS('Client DB &amp; Bed Mgmt'!$B:$B,L719,'Client DB &amp; Bed Mgmt'!$E:$E,"Occupied")</f>
        <v/>
      </c>
      <c r="N719" s="88" t="n"/>
      <c r="O719" s="88" t="n"/>
      <c r="P719" s="88" t="n"/>
      <c r="Q719" s="88" t="n"/>
      <c r="R719" s="88" t="n"/>
      <c r="S719" s="88" t="n"/>
      <c r="T719" s="88" t="n"/>
      <c r="U719" s="129" t="n"/>
      <c r="V719" s="129" t="n"/>
    </row>
    <row r="720" ht="14.25" customHeight="1" s="83">
      <c r="A720" s="103" t="n"/>
      <c r="B720" s="125" t="n"/>
      <c r="C720" s="103" t="n"/>
      <c r="D720" s="126" t="n"/>
      <c r="E720" s="126" t="n"/>
      <c r="F720" s="127">
        <f>IF(D720="","",MAX(D720-E720,0))</f>
        <v/>
      </c>
      <c r="G720" s="130">
        <f>IF(E720="","",E720*GeneratorRate)</f>
        <v/>
      </c>
      <c r="H720" s="130">
        <f>IF(F720="","",F720*GovernmentRate)</f>
        <v/>
      </c>
      <c r="I720" s="130">
        <f>IF(D720="","",G720+H720)</f>
        <v/>
      </c>
      <c r="J720" s="129">
        <f>IFERROR(I720/COUNTIFS('Client DB &amp; Bed Mgmt'!$A:$A,A720,'Client DB &amp; Bed Mgmt'!$B:$B,C720,'Client DB &amp; Bed Mgmt'!$D:$D,"&lt;&gt;"),0)</f>
        <v/>
      </c>
      <c r="K720" s="88" t="n"/>
      <c r="L720" s="88" t="n"/>
      <c r="M720" s="88">
        <f>COUNTIFS('Client DB &amp; Bed Mgmt'!$B:$B,L720,'Client DB &amp; Bed Mgmt'!$E:$E,"Occupied")</f>
        <v/>
      </c>
      <c r="N720" s="88" t="n"/>
      <c r="O720" s="88" t="n"/>
      <c r="P720" s="88" t="n"/>
      <c r="Q720" s="88" t="n"/>
      <c r="R720" s="88" t="n"/>
      <c r="S720" s="88" t="n"/>
      <c r="T720" s="88" t="n"/>
      <c r="U720" s="129" t="n"/>
      <c r="V720" s="129" t="n"/>
    </row>
    <row r="721" ht="14.25" customHeight="1" s="83">
      <c r="A721" s="103" t="n"/>
      <c r="B721" s="125" t="n"/>
      <c r="C721" s="103" t="n"/>
      <c r="D721" s="126" t="n"/>
      <c r="E721" s="126" t="n"/>
      <c r="F721" s="127">
        <f>IF(D721="","",MAX(D721-E721,0))</f>
        <v/>
      </c>
      <c r="G721" s="130">
        <f>IF(E721="","",E721*GeneratorRate)</f>
        <v/>
      </c>
      <c r="H721" s="130">
        <f>IF(F721="","",F721*GovernmentRate)</f>
        <v/>
      </c>
      <c r="I721" s="130">
        <f>IF(D721="","",G721+H721)</f>
        <v/>
      </c>
      <c r="J721" s="129">
        <f>IFERROR(I721/COUNTIFS('Client DB &amp; Bed Mgmt'!$A:$A,A721,'Client DB &amp; Bed Mgmt'!$B:$B,C721,'Client DB &amp; Bed Mgmt'!$D:$D,"&lt;&gt;"),0)</f>
        <v/>
      </c>
      <c r="K721" s="88" t="n"/>
      <c r="L721" s="88" t="n"/>
      <c r="M721" s="88">
        <f>COUNTIFS('Client DB &amp; Bed Mgmt'!$B:$B,L721,'Client DB &amp; Bed Mgmt'!$E:$E,"Occupied")</f>
        <v/>
      </c>
      <c r="N721" s="88" t="n"/>
      <c r="O721" s="88" t="n"/>
      <c r="P721" s="88" t="n"/>
      <c r="Q721" s="88" t="n"/>
      <c r="R721" s="88" t="n"/>
      <c r="S721" s="88" t="n"/>
      <c r="T721" s="88" t="n"/>
      <c r="U721" s="129" t="n"/>
      <c r="V721" s="129" t="n"/>
    </row>
    <row r="722" ht="14.25" customHeight="1" s="83">
      <c r="A722" s="103" t="n"/>
      <c r="B722" s="125" t="n"/>
      <c r="C722" s="103" t="n"/>
      <c r="D722" s="126" t="n"/>
      <c r="E722" s="126" t="n"/>
      <c r="F722" s="127">
        <f>IF(D722="","",MAX(D722-E722,0))</f>
        <v/>
      </c>
      <c r="G722" s="130">
        <f>IF(E722="","",E722*GeneratorRate)</f>
        <v/>
      </c>
      <c r="H722" s="130">
        <f>IF(F722="","",F722*GovernmentRate)</f>
        <v/>
      </c>
      <c r="I722" s="130">
        <f>IF(D722="","",G722+H722)</f>
        <v/>
      </c>
      <c r="J722" s="129">
        <f>IFERROR(I722/COUNTIFS('Client DB &amp; Bed Mgmt'!$A:$A,A722,'Client DB &amp; Bed Mgmt'!$B:$B,C722,'Client DB &amp; Bed Mgmt'!$D:$D,"&lt;&gt;"),0)</f>
        <v/>
      </c>
      <c r="K722" s="88" t="n"/>
      <c r="L722" s="88" t="n"/>
      <c r="M722" s="88">
        <f>COUNTIFS('Client DB &amp; Bed Mgmt'!$B:$B,L722,'Client DB &amp; Bed Mgmt'!$E:$E,"Occupied")</f>
        <v/>
      </c>
      <c r="N722" s="88" t="n"/>
      <c r="O722" s="88" t="n"/>
      <c r="P722" s="88" t="n"/>
      <c r="Q722" s="88" t="n"/>
      <c r="R722" s="88" t="n"/>
      <c r="S722" s="88" t="n"/>
      <c r="T722" s="88" t="n"/>
      <c r="U722" s="129" t="n"/>
      <c r="V722" s="129" t="n"/>
    </row>
    <row r="723" ht="14.25" customHeight="1" s="83">
      <c r="A723" s="103" t="n"/>
      <c r="B723" s="125" t="n"/>
      <c r="C723" s="103" t="n"/>
      <c r="D723" s="126" t="n"/>
      <c r="E723" s="126" t="n"/>
      <c r="F723" s="127">
        <f>IF(D723="","",MAX(D723-E723,0))</f>
        <v/>
      </c>
      <c r="G723" s="130">
        <f>IF(E723="","",E723*GeneratorRate)</f>
        <v/>
      </c>
      <c r="H723" s="130">
        <f>IF(F723="","",F723*GovernmentRate)</f>
        <v/>
      </c>
      <c r="I723" s="130">
        <f>IF(D723="","",G723+H723)</f>
        <v/>
      </c>
      <c r="J723" s="129">
        <f>IFERROR(I723/COUNTIFS('Client DB &amp; Bed Mgmt'!$A:$A,A723,'Client DB &amp; Bed Mgmt'!$B:$B,C723,'Client DB &amp; Bed Mgmt'!$D:$D,"&lt;&gt;"),0)</f>
        <v/>
      </c>
      <c r="K723" s="88" t="n"/>
      <c r="L723" s="88" t="n"/>
      <c r="M723" s="88">
        <f>COUNTIFS('Client DB &amp; Bed Mgmt'!$B:$B,L723,'Client DB &amp; Bed Mgmt'!$E:$E,"Occupied")</f>
        <v/>
      </c>
      <c r="N723" s="88" t="n"/>
      <c r="O723" s="88" t="n"/>
      <c r="P723" s="88" t="n"/>
      <c r="Q723" s="88" t="n"/>
      <c r="R723" s="88" t="n"/>
      <c r="S723" s="88" t="n"/>
      <c r="T723" s="88" t="n"/>
      <c r="U723" s="129" t="n"/>
      <c r="V723" s="129" t="n"/>
    </row>
    <row r="724" ht="14.25" customHeight="1" s="83">
      <c r="A724" s="103" t="n"/>
      <c r="B724" s="125" t="n"/>
      <c r="C724" s="103" t="n"/>
      <c r="D724" s="126" t="n"/>
      <c r="E724" s="126" t="n"/>
      <c r="F724" s="127">
        <f>IF(D724="","",MAX(D724-E724,0))</f>
        <v/>
      </c>
      <c r="G724" s="130">
        <f>IF(E724="","",E724*GeneratorRate)</f>
        <v/>
      </c>
      <c r="H724" s="130">
        <f>IF(F724="","",F724*GovernmentRate)</f>
        <v/>
      </c>
      <c r="I724" s="130">
        <f>IF(D724="","",G724+H724)</f>
        <v/>
      </c>
      <c r="J724" s="129">
        <f>IFERROR(I724/COUNTIFS('Client DB &amp; Bed Mgmt'!$A:$A,A724,'Client DB &amp; Bed Mgmt'!$B:$B,C724,'Client DB &amp; Bed Mgmt'!$D:$D,"&lt;&gt;"),0)</f>
        <v/>
      </c>
      <c r="K724" s="88" t="n"/>
      <c r="L724" s="88" t="n"/>
      <c r="M724" s="88">
        <f>COUNTIFS('Client DB &amp; Bed Mgmt'!$B:$B,L724,'Client DB &amp; Bed Mgmt'!$E:$E,"Occupied")</f>
        <v/>
      </c>
      <c r="N724" s="88" t="n"/>
      <c r="O724" s="88" t="n"/>
      <c r="P724" s="88" t="n"/>
      <c r="Q724" s="88" t="n"/>
      <c r="R724" s="88" t="n"/>
      <c r="S724" s="88" t="n"/>
      <c r="T724" s="88" t="n"/>
      <c r="U724" s="129" t="n"/>
      <c r="V724" s="129" t="n"/>
    </row>
    <row r="725" ht="14.25" customHeight="1" s="83">
      <c r="A725" s="103" t="n"/>
      <c r="B725" s="125" t="n"/>
      <c r="C725" s="103" t="n"/>
      <c r="D725" s="126" t="n"/>
      <c r="E725" s="126" t="n"/>
      <c r="F725" s="127">
        <f>IF(D725="","",MAX(D725-E725,0))</f>
        <v/>
      </c>
      <c r="G725" s="130">
        <f>IF(E725="","",E725*GeneratorRate)</f>
        <v/>
      </c>
      <c r="H725" s="130">
        <f>IF(F725="","",F725*GovernmentRate)</f>
        <v/>
      </c>
      <c r="I725" s="130">
        <f>IF(D725="","",G725+H725)</f>
        <v/>
      </c>
      <c r="J725" s="129">
        <f>IFERROR(I725/COUNTIFS('Client DB &amp; Bed Mgmt'!$A:$A,A725,'Client DB &amp; Bed Mgmt'!$B:$B,C725,'Client DB &amp; Bed Mgmt'!$D:$D,"&lt;&gt;"),0)</f>
        <v/>
      </c>
      <c r="K725" s="88" t="n"/>
      <c r="L725" s="88" t="n"/>
      <c r="M725" s="88">
        <f>COUNTIFS('Client DB &amp; Bed Mgmt'!$B:$B,L725,'Client DB &amp; Bed Mgmt'!$E:$E,"Occupied")</f>
        <v/>
      </c>
      <c r="N725" s="88" t="n"/>
      <c r="O725" s="88" t="n"/>
      <c r="P725" s="88" t="n"/>
      <c r="Q725" s="88" t="n"/>
      <c r="R725" s="88" t="n"/>
      <c r="S725" s="88" t="n"/>
      <c r="T725" s="88" t="n"/>
      <c r="U725" s="129" t="n"/>
      <c r="V725" s="129" t="n"/>
    </row>
    <row r="726" ht="14.25" customHeight="1" s="83">
      <c r="A726" s="103" t="n"/>
      <c r="B726" s="125" t="n"/>
      <c r="C726" s="103" t="n"/>
      <c r="D726" s="126" t="n"/>
      <c r="E726" s="126" t="n"/>
      <c r="F726" s="127">
        <f>IF(D726="","",MAX(D726-E726,0))</f>
        <v/>
      </c>
      <c r="G726" s="130">
        <f>IF(E726="","",E726*GeneratorRate)</f>
        <v/>
      </c>
      <c r="H726" s="130">
        <f>IF(F726="","",F726*GovernmentRate)</f>
        <v/>
      </c>
      <c r="I726" s="130">
        <f>IF(D726="","",G726+H726)</f>
        <v/>
      </c>
      <c r="J726" s="129">
        <f>IFERROR(I726/COUNTIFS('Client DB &amp; Bed Mgmt'!$A:$A,A726,'Client DB &amp; Bed Mgmt'!$B:$B,C726,'Client DB &amp; Bed Mgmt'!$D:$D,"&lt;&gt;"),0)</f>
        <v/>
      </c>
      <c r="K726" s="88" t="n"/>
      <c r="L726" s="88" t="n"/>
      <c r="M726" s="88">
        <f>COUNTIFS('Client DB &amp; Bed Mgmt'!$B:$B,L726,'Client DB &amp; Bed Mgmt'!$E:$E,"Occupied")</f>
        <v/>
      </c>
      <c r="N726" s="88" t="n"/>
      <c r="O726" s="88" t="n"/>
      <c r="P726" s="88" t="n"/>
      <c r="Q726" s="88" t="n"/>
      <c r="R726" s="88" t="n"/>
      <c r="S726" s="88" t="n"/>
      <c r="T726" s="88" t="n"/>
      <c r="U726" s="129" t="n"/>
      <c r="V726" s="129" t="n"/>
    </row>
    <row r="727" ht="14.25" customHeight="1" s="83">
      <c r="A727" s="103" t="n"/>
      <c r="B727" s="125" t="n"/>
      <c r="C727" s="103" t="n"/>
      <c r="D727" s="126" t="n"/>
      <c r="E727" s="126" t="n"/>
      <c r="F727" s="127">
        <f>IF(D727="","",MAX(D727-E727,0))</f>
        <v/>
      </c>
      <c r="G727" s="130">
        <f>IF(E727="","",E727*GeneratorRate)</f>
        <v/>
      </c>
      <c r="H727" s="130">
        <f>IF(F727="","",F727*GovernmentRate)</f>
        <v/>
      </c>
      <c r="I727" s="130">
        <f>IF(D727="","",G727+H727)</f>
        <v/>
      </c>
      <c r="J727" s="129">
        <f>IFERROR(I727/COUNTIFS('Client DB &amp; Bed Mgmt'!$A:$A,A727,'Client DB &amp; Bed Mgmt'!$B:$B,C727,'Client DB &amp; Bed Mgmt'!$D:$D,"&lt;&gt;"),0)</f>
        <v/>
      </c>
      <c r="K727" s="88" t="n"/>
      <c r="L727" s="88" t="n"/>
      <c r="M727" s="88">
        <f>COUNTIFS('Client DB &amp; Bed Mgmt'!$B:$B,L727,'Client DB &amp; Bed Mgmt'!$E:$E,"Occupied")</f>
        <v/>
      </c>
      <c r="N727" s="88" t="n"/>
      <c r="O727" s="88" t="n"/>
      <c r="P727" s="88" t="n"/>
      <c r="Q727" s="88" t="n"/>
      <c r="R727" s="88" t="n"/>
      <c r="S727" s="88" t="n"/>
      <c r="T727" s="88" t="n"/>
      <c r="U727" s="129" t="n"/>
      <c r="V727" s="129" t="n"/>
    </row>
    <row r="728" ht="14.25" customHeight="1" s="83">
      <c r="A728" s="103" t="n"/>
      <c r="B728" s="125" t="n"/>
      <c r="C728" s="103" t="n"/>
      <c r="D728" s="126" t="n"/>
      <c r="E728" s="126" t="n"/>
      <c r="F728" s="127">
        <f>IF(D728="","",MAX(D728-E728,0))</f>
        <v/>
      </c>
      <c r="G728" s="130">
        <f>IF(E728="","",E728*GeneratorRate)</f>
        <v/>
      </c>
      <c r="H728" s="130">
        <f>IF(F728="","",F728*GovernmentRate)</f>
        <v/>
      </c>
      <c r="I728" s="130">
        <f>IF(D728="","",G728+H728)</f>
        <v/>
      </c>
      <c r="J728" s="129">
        <f>IFERROR(I728/COUNTIFS('Client DB &amp; Bed Mgmt'!$A:$A,A728,'Client DB &amp; Bed Mgmt'!$B:$B,C728,'Client DB &amp; Bed Mgmt'!$D:$D,"&lt;&gt;"),0)</f>
        <v/>
      </c>
      <c r="K728" s="88" t="n"/>
      <c r="L728" s="88" t="n"/>
      <c r="M728" s="88">
        <f>COUNTIFS('Client DB &amp; Bed Mgmt'!$B:$B,L728,'Client DB &amp; Bed Mgmt'!$E:$E,"Occupied")</f>
        <v/>
      </c>
      <c r="N728" s="88" t="n"/>
      <c r="O728" s="88" t="n"/>
      <c r="P728" s="88" t="n"/>
      <c r="Q728" s="88" t="n"/>
      <c r="R728" s="88" t="n"/>
      <c r="S728" s="88" t="n"/>
      <c r="T728" s="88" t="n"/>
      <c r="U728" s="129" t="n"/>
      <c r="V728" s="129" t="n"/>
    </row>
    <row r="729" ht="14.25" customHeight="1" s="83">
      <c r="A729" s="103" t="n"/>
      <c r="B729" s="125" t="n"/>
      <c r="C729" s="103" t="n"/>
      <c r="D729" s="126" t="n"/>
      <c r="E729" s="126" t="n"/>
      <c r="F729" s="127">
        <f>IF(D729="","",MAX(D729-E729,0))</f>
        <v/>
      </c>
      <c r="G729" s="130">
        <f>IF(E729="","",E729*GeneratorRate)</f>
        <v/>
      </c>
      <c r="H729" s="130">
        <f>IF(F729="","",F729*GovernmentRate)</f>
        <v/>
      </c>
      <c r="I729" s="130">
        <f>IF(D729="","",G729+H729)</f>
        <v/>
      </c>
      <c r="J729" s="129">
        <f>IFERROR(I729/COUNTIFS('Client DB &amp; Bed Mgmt'!$A:$A,A729,'Client DB &amp; Bed Mgmt'!$B:$B,C729,'Client DB &amp; Bed Mgmt'!$D:$D,"&lt;&gt;"),0)</f>
        <v/>
      </c>
      <c r="K729" s="88" t="n"/>
      <c r="L729" s="88" t="n"/>
      <c r="M729" s="88">
        <f>COUNTIFS('Client DB &amp; Bed Mgmt'!$B:$B,L729,'Client DB &amp; Bed Mgmt'!$E:$E,"Occupied")</f>
        <v/>
      </c>
      <c r="N729" s="88" t="n"/>
      <c r="O729" s="88" t="n"/>
      <c r="P729" s="88" t="n"/>
      <c r="Q729" s="88" t="n"/>
      <c r="R729" s="88" t="n"/>
      <c r="S729" s="88" t="n"/>
      <c r="T729" s="88" t="n"/>
      <c r="U729" s="129" t="n"/>
      <c r="V729" s="129" t="n"/>
    </row>
    <row r="730" ht="14.25" customHeight="1" s="83">
      <c r="A730" s="103" t="n"/>
      <c r="B730" s="125" t="n"/>
      <c r="C730" s="103" t="n"/>
      <c r="D730" s="126" t="n"/>
      <c r="E730" s="126" t="n"/>
      <c r="F730" s="127">
        <f>IF(D730="","",MAX(D730-E730,0))</f>
        <v/>
      </c>
      <c r="G730" s="130">
        <f>IF(E730="","",E730*GeneratorRate)</f>
        <v/>
      </c>
      <c r="H730" s="130">
        <f>IF(F730="","",F730*GovernmentRate)</f>
        <v/>
      </c>
      <c r="I730" s="130">
        <f>IF(D730="","",G730+H730)</f>
        <v/>
      </c>
      <c r="J730" s="129">
        <f>IFERROR(I730/COUNTIFS('Client DB &amp; Bed Mgmt'!$A:$A,A730,'Client DB &amp; Bed Mgmt'!$B:$B,C730,'Client DB &amp; Bed Mgmt'!$D:$D,"&lt;&gt;"),0)</f>
        <v/>
      </c>
      <c r="K730" s="88" t="n"/>
      <c r="L730" s="88" t="n"/>
      <c r="M730" s="88">
        <f>COUNTIFS('Client DB &amp; Bed Mgmt'!$B:$B,L730,'Client DB &amp; Bed Mgmt'!$E:$E,"Occupied")</f>
        <v/>
      </c>
      <c r="N730" s="88" t="n"/>
      <c r="O730" s="88" t="n"/>
      <c r="P730" s="88" t="n"/>
      <c r="Q730" s="88" t="n"/>
      <c r="R730" s="88" t="n"/>
      <c r="S730" s="88" t="n"/>
      <c r="T730" s="88" t="n"/>
      <c r="U730" s="129" t="n"/>
      <c r="V730" s="129" t="n"/>
    </row>
    <row r="731" ht="14.25" customHeight="1" s="83">
      <c r="A731" s="103" t="n"/>
      <c r="B731" s="125" t="n"/>
      <c r="C731" s="103" t="n"/>
      <c r="D731" s="126" t="n"/>
      <c r="E731" s="126" t="n"/>
      <c r="F731" s="127">
        <f>IF(D731="","",MAX(D731-E731,0))</f>
        <v/>
      </c>
      <c r="G731" s="130">
        <f>IF(E731="","",E731*GeneratorRate)</f>
        <v/>
      </c>
      <c r="H731" s="130">
        <f>IF(F731="","",F731*GovernmentRate)</f>
        <v/>
      </c>
      <c r="I731" s="130">
        <f>IF(D731="","",G731+H731)</f>
        <v/>
      </c>
      <c r="J731" s="129">
        <f>IFERROR(I731/COUNTIFS('Client DB &amp; Bed Mgmt'!$A:$A,A731,'Client DB &amp; Bed Mgmt'!$B:$B,C731,'Client DB &amp; Bed Mgmt'!$D:$D,"&lt;&gt;"),0)</f>
        <v/>
      </c>
      <c r="K731" s="88" t="n"/>
      <c r="L731" s="88" t="n"/>
      <c r="M731" s="88">
        <f>COUNTIFS('Client DB &amp; Bed Mgmt'!$B:$B,L731,'Client DB &amp; Bed Mgmt'!$E:$E,"Occupied")</f>
        <v/>
      </c>
      <c r="N731" s="88" t="n"/>
      <c r="O731" s="88" t="n"/>
      <c r="P731" s="88" t="n"/>
      <c r="Q731" s="88" t="n"/>
      <c r="R731" s="88" t="n"/>
      <c r="S731" s="88" t="n"/>
      <c r="T731" s="88" t="n"/>
      <c r="U731" s="129" t="n"/>
      <c r="V731" s="129" t="n"/>
    </row>
    <row r="732" ht="14.25" customHeight="1" s="83">
      <c r="A732" s="103" t="n"/>
      <c r="B732" s="125" t="n"/>
      <c r="C732" s="103" t="n"/>
      <c r="D732" s="126" t="n"/>
      <c r="E732" s="126" t="n"/>
      <c r="F732" s="127">
        <f>IF(D732="","",MAX(D732-E732,0))</f>
        <v/>
      </c>
      <c r="G732" s="130">
        <f>IF(E732="","",E732*GeneratorRate)</f>
        <v/>
      </c>
      <c r="H732" s="130">
        <f>IF(F732="","",F732*GovernmentRate)</f>
        <v/>
      </c>
      <c r="I732" s="130">
        <f>IF(D732="","",G732+H732)</f>
        <v/>
      </c>
      <c r="J732" s="129">
        <f>IFERROR(I732/COUNTIFS('Client DB &amp; Bed Mgmt'!$A:$A,A732,'Client DB &amp; Bed Mgmt'!$B:$B,C732,'Client DB &amp; Bed Mgmt'!$D:$D,"&lt;&gt;"),0)</f>
        <v/>
      </c>
      <c r="K732" s="88" t="n"/>
      <c r="L732" s="88" t="n"/>
      <c r="M732" s="88">
        <f>COUNTIFS('Client DB &amp; Bed Mgmt'!$B:$B,L732,'Client DB &amp; Bed Mgmt'!$E:$E,"Occupied")</f>
        <v/>
      </c>
      <c r="N732" s="88" t="n"/>
      <c r="O732" s="88" t="n"/>
      <c r="P732" s="88" t="n"/>
      <c r="Q732" s="88" t="n"/>
      <c r="R732" s="88" t="n"/>
      <c r="S732" s="88" t="n"/>
      <c r="T732" s="88" t="n"/>
      <c r="U732" s="129" t="n"/>
      <c r="V732" s="129" t="n"/>
    </row>
    <row r="733" ht="14.25" customHeight="1" s="83">
      <c r="A733" s="103" t="n"/>
      <c r="B733" s="125" t="n"/>
      <c r="C733" s="103" t="n"/>
      <c r="D733" s="126" t="n"/>
      <c r="E733" s="126" t="n"/>
      <c r="F733" s="127">
        <f>IF(D733="","",MAX(D733-E733,0))</f>
        <v/>
      </c>
      <c r="G733" s="130">
        <f>IF(E733="","",E733*GeneratorRate)</f>
        <v/>
      </c>
      <c r="H733" s="130">
        <f>IF(F733="","",F733*GovernmentRate)</f>
        <v/>
      </c>
      <c r="I733" s="130">
        <f>IF(D733="","",G733+H733)</f>
        <v/>
      </c>
      <c r="J733" s="129">
        <f>IFERROR(I733/COUNTIFS('Client DB &amp; Bed Mgmt'!$A:$A,A733,'Client DB &amp; Bed Mgmt'!$B:$B,C733,'Client DB &amp; Bed Mgmt'!$D:$D,"&lt;&gt;"),0)</f>
        <v/>
      </c>
      <c r="K733" s="88" t="n"/>
      <c r="L733" s="88" t="n"/>
      <c r="M733" s="88">
        <f>COUNTIFS('Client DB &amp; Bed Mgmt'!$B:$B,L733,'Client DB &amp; Bed Mgmt'!$E:$E,"Occupied")</f>
        <v/>
      </c>
      <c r="N733" s="88" t="n"/>
      <c r="O733" s="88" t="n"/>
      <c r="P733" s="88" t="n"/>
      <c r="Q733" s="88" t="n"/>
      <c r="R733" s="88" t="n"/>
      <c r="S733" s="88" t="n"/>
      <c r="T733" s="88" t="n"/>
      <c r="U733" s="129" t="n"/>
      <c r="V733" s="129" t="n"/>
    </row>
    <row r="734" ht="14.25" customHeight="1" s="83">
      <c r="A734" s="103" t="n"/>
      <c r="B734" s="125" t="n"/>
      <c r="C734" s="103" t="n"/>
      <c r="D734" s="126" t="n"/>
      <c r="E734" s="126" t="n"/>
      <c r="F734" s="127">
        <f>IF(D734="","",MAX(D734-E734,0))</f>
        <v/>
      </c>
      <c r="G734" s="130">
        <f>IF(E734="","",E734*GeneratorRate)</f>
        <v/>
      </c>
      <c r="H734" s="130">
        <f>IF(F734="","",F734*GovernmentRate)</f>
        <v/>
      </c>
      <c r="I734" s="130">
        <f>IF(D734="","",G734+H734)</f>
        <v/>
      </c>
      <c r="J734" s="129">
        <f>IFERROR(I734/COUNTIFS('Client DB &amp; Bed Mgmt'!$A:$A,A734,'Client DB &amp; Bed Mgmt'!$B:$B,C734,'Client DB &amp; Bed Mgmt'!$D:$D,"&lt;&gt;"),0)</f>
        <v/>
      </c>
      <c r="K734" s="88" t="n"/>
      <c r="L734" s="88" t="n"/>
      <c r="M734" s="88">
        <f>COUNTIFS('Client DB &amp; Bed Mgmt'!$B:$B,L734,'Client DB &amp; Bed Mgmt'!$E:$E,"Occupied")</f>
        <v/>
      </c>
      <c r="N734" s="88" t="n"/>
      <c r="O734" s="88" t="n"/>
      <c r="P734" s="88" t="n"/>
      <c r="Q734" s="88" t="n"/>
      <c r="R734" s="88" t="n"/>
      <c r="S734" s="88" t="n"/>
      <c r="T734" s="88" t="n"/>
      <c r="U734" s="129" t="n"/>
      <c r="V734" s="129" t="n"/>
    </row>
    <row r="735" ht="14.25" customHeight="1" s="83">
      <c r="A735" s="103" t="n"/>
      <c r="B735" s="125" t="n"/>
      <c r="C735" s="103" t="n"/>
      <c r="D735" s="126" t="n"/>
      <c r="E735" s="126" t="n"/>
      <c r="F735" s="127">
        <f>IF(D735="","",MAX(D735-E735,0))</f>
        <v/>
      </c>
      <c r="G735" s="130">
        <f>IF(E735="","",E735*GeneratorRate)</f>
        <v/>
      </c>
      <c r="H735" s="130">
        <f>IF(F735="","",F735*GovernmentRate)</f>
        <v/>
      </c>
      <c r="I735" s="130">
        <f>IF(D735="","",G735+H735)</f>
        <v/>
      </c>
      <c r="J735" s="129">
        <f>IFERROR(I735/COUNTIFS('Client DB &amp; Bed Mgmt'!$A:$A,A735,'Client DB &amp; Bed Mgmt'!$B:$B,C735,'Client DB &amp; Bed Mgmt'!$D:$D,"&lt;&gt;"),0)</f>
        <v/>
      </c>
      <c r="K735" s="88" t="n"/>
      <c r="L735" s="88" t="n"/>
      <c r="M735" s="88">
        <f>COUNTIFS('Client DB &amp; Bed Mgmt'!$B:$B,L735,'Client DB &amp; Bed Mgmt'!$E:$E,"Occupied")</f>
        <v/>
      </c>
      <c r="N735" s="88" t="n"/>
      <c r="O735" s="88" t="n"/>
      <c r="P735" s="88" t="n"/>
      <c r="Q735" s="88" t="n"/>
      <c r="R735" s="88" t="n"/>
      <c r="S735" s="88" t="n"/>
      <c r="T735" s="88" t="n"/>
      <c r="U735" s="129" t="n"/>
      <c r="V735" s="129" t="n"/>
    </row>
    <row r="736" ht="14.25" customHeight="1" s="83">
      <c r="A736" s="103" t="n"/>
      <c r="B736" s="125" t="n"/>
      <c r="C736" s="103" t="n"/>
      <c r="D736" s="126" t="n"/>
      <c r="E736" s="126" t="n"/>
      <c r="F736" s="127">
        <f>IF(D736="","",MAX(D736-E736,0))</f>
        <v/>
      </c>
      <c r="G736" s="130">
        <f>IF(E736="","",E736*GeneratorRate)</f>
        <v/>
      </c>
      <c r="H736" s="130">
        <f>IF(F736="","",F736*GovernmentRate)</f>
        <v/>
      </c>
      <c r="I736" s="130">
        <f>IF(D736="","",G736+H736)</f>
        <v/>
      </c>
      <c r="J736" s="129">
        <f>IFERROR(I736/COUNTIFS('Client DB &amp; Bed Mgmt'!$A:$A,A736,'Client DB &amp; Bed Mgmt'!$B:$B,C736,'Client DB &amp; Bed Mgmt'!$D:$D,"&lt;&gt;"),0)</f>
        <v/>
      </c>
      <c r="K736" s="88" t="n"/>
      <c r="L736" s="88" t="n"/>
      <c r="M736" s="88">
        <f>COUNTIFS('Client DB &amp; Bed Mgmt'!$B:$B,L736,'Client DB &amp; Bed Mgmt'!$E:$E,"Occupied")</f>
        <v/>
      </c>
      <c r="N736" s="88" t="n"/>
      <c r="O736" s="88" t="n"/>
      <c r="P736" s="88" t="n"/>
      <c r="Q736" s="88" t="n"/>
      <c r="R736" s="88" t="n"/>
      <c r="S736" s="88" t="n"/>
      <c r="T736" s="88" t="n"/>
      <c r="U736" s="129" t="n"/>
      <c r="V736" s="129" t="n"/>
    </row>
    <row r="737" ht="14.25" customHeight="1" s="83">
      <c r="A737" s="103" t="n"/>
      <c r="B737" s="125" t="n"/>
      <c r="C737" s="103" t="n"/>
      <c r="D737" s="126" t="n"/>
      <c r="E737" s="126" t="n"/>
      <c r="F737" s="127">
        <f>IF(D737="","",MAX(D737-E737,0))</f>
        <v/>
      </c>
      <c r="G737" s="130">
        <f>IF(E737="","",E737*GeneratorRate)</f>
        <v/>
      </c>
      <c r="H737" s="130">
        <f>IF(F737="","",F737*GovernmentRate)</f>
        <v/>
      </c>
      <c r="I737" s="130">
        <f>IF(D737="","",G737+H737)</f>
        <v/>
      </c>
      <c r="J737" s="129">
        <f>IFERROR(I737/COUNTIFS('Client DB &amp; Bed Mgmt'!$A:$A,A737,'Client DB &amp; Bed Mgmt'!$B:$B,C737,'Client DB &amp; Bed Mgmt'!$D:$D,"&lt;&gt;"),0)</f>
        <v/>
      </c>
      <c r="K737" s="88" t="n"/>
      <c r="L737" s="88" t="n"/>
      <c r="M737" s="88">
        <f>COUNTIFS('Client DB &amp; Bed Mgmt'!$B:$B,L737,'Client DB &amp; Bed Mgmt'!$E:$E,"Occupied")</f>
        <v/>
      </c>
      <c r="N737" s="88" t="n"/>
      <c r="O737" s="88" t="n"/>
      <c r="P737" s="88" t="n"/>
      <c r="Q737" s="88" t="n"/>
      <c r="R737" s="88" t="n"/>
      <c r="S737" s="88" t="n"/>
      <c r="T737" s="88" t="n"/>
      <c r="U737" s="129" t="n"/>
      <c r="V737" s="129" t="n"/>
    </row>
    <row r="738" ht="14.25" customHeight="1" s="83">
      <c r="A738" s="103" t="n"/>
      <c r="B738" s="125" t="n"/>
      <c r="C738" s="103" t="n"/>
      <c r="D738" s="126" t="n"/>
      <c r="E738" s="126" t="n"/>
      <c r="F738" s="127">
        <f>IF(D738="","",MAX(D738-E738,0))</f>
        <v/>
      </c>
      <c r="G738" s="130">
        <f>IF(E738="","",E738*GeneratorRate)</f>
        <v/>
      </c>
      <c r="H738" s="130">
        <f>IF(F738="","",F738*GovernmentRate)</f>
        <v/>
      </c>
      <c r="I738" s="130">
        <f>IF(D738="","",G738+H738)</f>
        <v/>
      </c>
      <c r="J738" s="129">
        <f>IFERROR(I738/COUNTIFS('Client DB &amp; Bed Mgmt'!$A:$A,A738,'Client DB &amp; Bed Mgmt'!$B:$B,C738,'Client DB &amp; Bed Mgmt'!$D:$D,"&lt;&gt;"),0)</f>
        <v/>
      </c>
      <c r="K738" s="88" t="n"/>
      <c r="L738" s="88" t="n"/>
      <c r="M738" s="88">
        <f>COUNTIFS('Client DB &amp; Bed Mgmt'!$B:$B,L738,'Client DB &amp; Bed Mgmt'!$E:$E,"Occupied")</f>
        <v/>
      </c>
      <c r="N738" s="88" t="n"/>
      <c r="O738" s="88" t="n"/>
      <c r="P738" s="88" t="n"/>
      <c r="Q738" s="88" t="n"/>
      <c r="R738" s="88" t="n"/>
      <c r="S738" s="88" t="n"/>
      <c r="T738" s="88" t="n"/>
      <c r="U738" s="129" t="n"/>
      <c r="V738" s="129" t="n"/>
    </row>
    <row r="739" ht="14.25" customHeight="1" s="83">
      <c r="A739" s="103" t="n"/>
      <c r="B739" s="125" t="n"/>
      <c r="C739" s="103" t="n"/>
      <c r="D739" s="126" t="n"/>
      <c r="E739" s="126" t="n"/>
      <c r="F739" s="127">
        <f>IF(D739="","",MAX(D739-E739,0))</f>
        <v/>
      </c>
      <c r="G739" s="130">
        <f>IF(E739="","",E739*GeneratorRate)</f>
        <v/>
      </c>
      <c r="H739" s="130">
        <f>IF(F739="","",F739*GovernmentRate)</f>
        <v/>
      </c>
      <c r="I739" s="130">
        <f>IF(D739="","",G739+H739)</f>
        <v/>
      </c>
      <c r="J739" s="129">
        <f>IFERROR(I739/COUNTIFS('Client DB &amp; Bed Mgmt'!$A:$A,A739,'Client DB &amp; Bed Mgmt'!$B:$B,C739,'Client DB &amp; Bed Mgmt'!$D:$D,"&lt;&gt;"),0)</f>
        <v/>
      </c>
      <c r="K739" s="88" t="n"/>
      <c r="L739" s="88" t="n"/>
      <c r="M739" s="88">
        <f>COUNTIFS('Client DB &amp; Bed Mgmt'!$B:$B,L739,'Client DB &amp; Bed Mgmt'!$E:$E,"Occupied")</f>
        <v/>
      </c>
      <c r="N739" s="88" t="n"/>
      <c r="O739" s="88" t="n"/>
      <c r="P739" s="88" t="n"/>
      <c r="Q739" s="88" t="n"/>
      <c r="R739" s="88" t="n"/>
      <c r="S739" s="88" t="n"/>
      <c r="T739" s="88" t="n"/>
      <c r="U739" s="129" t="n"/>
      <c r="V739" s="129" t="n"/>
    </row>
    <row r="740" ht="14.25" customHeight="1" s="83">
      <c r="A740" s="103" t="n"/>
      <c r="B740" s="125" t="n"/>
      <c r="C740" s="103" t="n"/>
      <c r="D740" s="126" t="n"/>
      <c r="E740" s="126" t="n"/>
      <c r="F740" s="127">
        <f>IF(D740="","",MAX(D740-E740,0))</f>
        <v/>
      </c>
      <c r="G740" s="130">
        <f>IF(E740="","",E740*GeneratorRate)</f>
        <v/>
      </c>
      <c r="H740" s="130">
        <f>IF(F740="","",F740*GovernmentRate)</f>
        <v/>
      </c>
      <c r="I740" s="130">
        <f>IF(D740="","",G740+H740)</f>
        <v/>
      </c>
      <c r="J740" s="129">
        <f>IFERROR(I740/COUNTIFS('Client DB &amp; Bed Mgmt'!$A:$A,A740,'Client DB &amp; Bed Mgmt'!$B:$B,C740,'Client DB &amp; Bed Mgmt'!$D:$D,"&lt;&gt;"),0)</f>
        <v/>
      </c>
      <c r="K740" s="88" t="n"/>
      <c r="L740" s="88" t="n"/>
      <c r="M740" s="88">
        <f>COUNTIFS('Client DB &amp; Bed Mgmt'!$B:$B,L740,'Client DB &amp; Bed Mgmt'!$E:$E,"Occupied")</f>
        <v/>
      </c>
      <c r="N740" s="88" t="n"/>
      <c r="O740" s="88" t="n"/>
      <c r="P740" s="88" t="n"/>
      <c r="Q740" s="88" t="n"/>
      <c r="R740" s="88" t="n"/>
      <c r="S740" s="88" t="n"/>
      <c r="T740" s="88" t="n"/>
      <c r="U740" s="129" t="n"/>
      <c r="V740" s="129" t="n"/>
    </row>
    <row r="741" ht="14.25" customHeight="1" s="83">
      <c r="A741" s="103" t="n"/>
      <c r="B741" s="125" t="n"/>
      <c r="C741" s="103" t="n"/>
      <c r="D741" s="126" t="n"/>
      <c r="E741" s="126" t="n"/>
      <c r="F741" s="127">
        <f>IF(D741="","",MAX(D741-E741,0))</f>
        <v/>
      </c>
      <c r="G741" s="130">
        <f>IF(E741="","",E741*GeneratorRate)</f>
        <v/>
      </c>
      <c r="H741" s="130">
        <f>IF(F741="","",F741*GovernmentRate)</f>
        <v/>
      </c>
      <c r="I741" s="130">
        <f>IF(D741="","",G741+H741)</f>
        <v/>
      </c>
      <c r="J741" s="129">
        <f>IFERROR(I741/COUNTIFS('Client DB &amp; Bed Mgmt'!$A:$A,A741,'Client DB &amp; Bed Mgmt'!$B:$B,C741,'Client DB &amp; Bed Mgmt'!$D:$D,"&lt;&gt;"),0)</f>
        <v/>
      </c>
      <c r="K741" s="88" t="n"/>
      <c r="L741" s="88" t="n"/>
      <c r="M741" s="88">
        <f>COUNTIFS('Client DB &amp; Bed Mgmt'!$B:$B,L741,'Client DB &amp; Bed Mgmt'!$E:$E,"Occupied")</f>
        <v/>
      </c>
      <c r="N741" s="88" t="n"/>
      <c r="O741" s="88" t="n"/>
      <c r="P741" s="88" t="n"/>
      <c r="Q741" s="88" t="n"/>
      <c r="R741" s="88" t="n"/>
      <c r="S741" s="88" t="n"/>
      <c r="T741" s="88" t="n"/>
      <c r="U741" s="129" t="n"/>
      <c r="V741" s="129" t="n"/>
    </row>
    <row r="742" ht="14.25" customHeight="1" s="83">
      <c r="A742" s="103" t="n"/>
      <c r="B742" s="125" t="n"/>
      <c r="C742" s="103" t="n"/>
      <c r="D742" s="126" t="n"/>
      <c r="E742" s="126" t="n"/>
      <c r="F742" s="127">
        <f>IF(D742="","",MAX(D742-E742,0))</f>
        <v/>
      </c>
      <c r="G742" s="130">
        <f>IF(E742="","",E742*GeneratorRate)</f>
        <v/>
      </c>
      <c r="H742" s="130">
        <f>IF(F742="","",F742*GovernmentRate)</f>
        <v/>
      </c>
      <c r="I742" s="130">
        <f>IF(D742="","",G742+H742)</f>
        <v/>
      </c>
      <c r="J742" s="129">
        <f>IFERROR(I742/COUNTIFS('Client DB &amp; Bed Mgmt'!$A:$A,A742,'Client DB &amp; Bed Mgmt'!$B:$B,C742,'Client DB &amp; Bed Mgmt'!$D:$D,"&lt;&gt;"),0)</f>
        <v/>
      </c>
      <c r="K742" s="88" t="n"/>
      <c r="L742" s="88" t="n"/>
      <c r="M742" s="88">
        <f>COUNTIFS('Client DB &amp; Bed Mgmt'!$B:$B,L742,'Client DB &amp; Bed Mgmt'!$E:$E,"Occupied")</f>
        <v/>
      </c>
      <c r="N742" s="88" t="n"/>
      <c r="O742" s="88" t="n"/>
      <c r="P742" s="88" t="n"/>
      <c r="Q742" s="88" t="n"/>
      <c r="R742" s="88" t="n"/>
      <c r="S742" s="88" t="n"/>
      <c r="T742" s="88" t="n"/>
      <c r="U742" s="129" t="n"/>
      <c r="V742" s="129" t="n"/>
    </row>
    <row r="743" ht="14.25" customHeight="1" s="83">
      <c r="A743" s="103" t="n"/>
      <c r="B743" s="125" t="n"/>
      <c r="C743" s="103" t="n"/>
      <c r="D743" s="126" t="n"/>
      <c r="E743" s="126" t="n"/>
      <c r="F743" s="127">
        <f>IF(D743="","",MAX(D743-E743,0))</f>
        <v/>
      </c>
      <c r="G743" s="130">
        <f>IF(E743="","",E743*GeneratorRate)</f>
        <v/>
      </c>
      <c r="H743" s="130">
        <f>IF(F743="","",F743*GovernmentRate)</f>
        <v/>
      </c>
      <c r="I743" s="130">
        <f>IF(D743="","",G743+H743)</f>
        <v/>
      </c>
      <c r="J743" s="129">
        <f>IFERROR(I743/COUNTIFS('Client DB &amp; Bed Mgmt'!$A:$A,A743,'Client DB &amp; Bed Mgmt'!$B:$B,C743,'Client DB &amp; Bed Mgmt'!$D:$D,"&lt;&gt;"),0)</f>
        <v/>
      </c>
      <c r="K743" s="88" t="n"/>
      <c r="L743" s="88" t="n"/>
      <c r="M743" s="88">
        <f>COUNTIFS('Client DB &amp; Bed Mgmt'!$B:$B,L743,'Client DB &amp; Bed Mgmt'!$E:$E,"Occupied")</f>
        <v/>
      </c>
      <c r="N743" s="88" t="n"/>
      <c r="O743" s="88" t="n"/>
      <c r="P743" s="88" t="n"/>
      <c r="Q743" s="88" t="n"/>
      <c r="R743" s="88" t="n"/>
      <c r="S743" s="88" t="n"/>
      <c r="T743" s="88" t="n"/>
      <c r="U743" s="129" t="n"/>
      <c r="V743" s="129" t="n"/>
    </row>
    <row r="744" ht="14.25" customHeight="1" s="83">
      <c r="A744" s="103" t="n"/>
      <c r="B744" s="125" t="n"/>
      <c r="C744" s="103" t="n"/>
      <c r="D744" s="126" t="n"/>
      <c r="E744" s="126" t="n"/>
      <c r="F744" s="127">
        <f>IF(D744="","",MAX(D744-E744,0))</f>
        <v/>
      </c>
      <c r="G744" s="130">
        <f>IF(E744="","",E744*GeneratorRate)</f>
        <v/>
      </c>
      <c r="H744" s="130">
        <f>IF(F744="","",F744*GovernmentRate)</f>
        <v/>
      </c>
      <c r="I744" s="130">
        <f>IF(D744="","",G744+H744)</f>
        <v/>
      </c>
      <c r="J744" s="129">
        <f>IFERROR(I744/COUNTIFS('Client DB &amp; Bed Mgmt'!$A:$A,A744,'Client DB &amp; Bed Mgmt'!$B:$B,C744,'Client DB &amp; Bed Mgmt'!$D:$D,"&lt;&gt;"),0)</f>
        <v/>
      </c>
      <c r="K744" s="88" t="n"/>
      <c r="L744" s="88" t="n"/>
      <c r="M744" s="88">
        <f>COUNTIFS('Client DB &amp; Bed Mgmt'!$B:$B,L744,'Client DB &amp; Bed Mgmt'!$E:$E,"Occupied")</f>
        <v/>
      </c>
      <c r="N744" s="88" t="n"/>
      <c r="O744" s="88" t="n"/>
      <c r="P744" s="88" t="n"/>
      <c r="Q744" s="88" t="n"/>
      <c r="R744" s="88" t="n"/>
      <c r="S744" s="88" t="n"/>
      <c r="T744" s="88" t="n"/>
      <c r="U744" s="129" t="n"/>
      <c r="V744" s="129" t="n"/>
    </row>
    <row r="745" ht="14.25" customHeight="1" s="83">
      <c r="A745" s="103" t="n"/>
      <c r="B745" s="125" t="n"/>
      <c r="C745" s="103" t="n"/>
      <c r="D745" s="126" t="n"/>
      <c r="E745" s="126" t="n"/>
      <c r="F745" s="127">
        <f>IF(D745="","",MAX(D745-E745,0))</f>
        <v/>
      </c>
      <c r="G745" s="130">
        <f>IF(E745="","",E745*GeneratorRate)</f>
        <v/>
      </c>
      <c r="H745" s="130">
        <f>IF(F745="","",F745*GovernmentRate)</f>
        <v/>
      </c>
      <c r="I745" s="130">
        <f>IF(D745="","",G745+H745)</f>
        <v/>
      </c>
      <c r="J745" s="129">
        <f>IFERROR(I745/COUNTIFS('Client DB &amp; Bed Mgmt'!$A:$A,A745,'Client DB &amp; Bed Mgmt'!$B:$B,C745,'Client DB &amp; Bed Mgmt'!$D:$D,"&lt;&gt;"),0)</f>
        <v/>
      </c>
      <c r="K745" s="88" t="n"/>
      <c r="L745" s="88" t="n"/>
      <c r="M745" s="88">
        <f>COUNTIFS('Client DB &amp; Bed Mgmt'!$B:$B,L745,'Client DB &amp; Bed Mgmt'!$E:$E,"Occupied")</f>
        <v/>
      </c>
      <c r="N745" s="88" t="n"/>
      <c r="O745" s="88" t="n"/>
      <c r="P745" s="88" t="n"/>
      <c r="Q745" s="88" t="n"/>
      <c r="R745" s="88" t="n"/>
      <c r="S745" s="88" t="n"/>
      <c r="T745" s="88" t="n"/>
      <c r="U745" s="129" t="n"/>
      <c r="V745" s="129" t="n"/>
    </row>
    <row r="746" ht="14.25" customHeight="1" s="83">
      <c r="A746" s="103" t="n"/>
      <c r="B746" s="125" t="n"/>
      <c r="C746" s="103" t="n"/>
      <c r="D746" s="126" t="n"/>
      <c r="E746" s="126" t="n"/>
      <c r="F746" s="127">
        <f>IF(D746="","",MAX(D746-E746,0))</f>
        <v/>
      </c>
      <c r="G746" s="130">
        <f>IF(E746="","",E746*GeneratorRate)</f>
        <v/>
      </c>
      <c r="H746" s="130">
        <f>IF(F746="","",F746*GovernmentRate)</f>
        <v/>
      </c>
      <c r="I746" s="130">
        <f>IF(D746="","",G746+H746)</f>
        <v/>
      </c>
      <c r="J746" s="129">
        <f>IFERROR(I746/COUNTIFS('Client DB &amp; Bed Mgmt'!$A:$A,A746,'Client DB &amp; Bed Mgmt'!$B:$B,C746,'Client DB &amp; Bed Mgmt'!$D:$D,"&lt;&gt;"),0)</f>
        <v/>
      </c>
      <c r="K746" s="88" t="n"/>
      <c r="L746" s="88" t="n"/>
      <c r="M746" s="88">
        <f>COUNTIFS('Client DB &amp; Bed Mgmt'!$B:$B,L746,'Client DB &amp; Bed Mgmt'!$E:$E,"Occupied")</f>
        <v/>
      </c>
      <c r="N746" s="88" t="n"/>
      <c r="O746" s="88" t="n"/>
      <c r="P746" s="88" t="n"/>
      <c r="Q746" s="88" t="n"/>
      <c r="R746" s="88" t="n"/>
      <c r="S746" s="88" t="n"/>
      <c r="T746" s="88" t="n"/>
      <c r="U746" s="129" t="n"/>
      <c r="V746" s="129" t="n"/>
    </row>
    <row r="747" ht="14.25" customHeight="1" s="83">
      <c r="A747" s="103" t="n"/>
      <c r="B747" s="125" t="n"/>
      <c r="C747" s="103" t="n"/>
      <c r="D747" s="126" t="n"/>
      <c r="E747" s="126" t="n"/>
      <c r="F747" s="127">
        <f>IF(D747="","",MAX(D747-E747,0))</f>
        <v/>
      </c>
      <c r="G747" s="130">
        <f>IF(E747="","",E747*GeneratorRate)</f>
        <v/>
      </c>
      <c r="H747" s="130">
        <f>IF(F747="","",F747*GovernmentRate)</f>
        <v/>
      </c>
      <c r="I747" s="130">
        <f>IF(D747="","",G747+H747)</f>
        <v/>
      </c>
      <c r="J747" s="129">
        <f>IFERROR(I747/COUNTIFS('Client DB &amp; Bed Mgmt'!$A:$A,A747,'Client DB &amp; Bed Mgmt'!$B:$B,C747,'Client DB &amp; Bed Mgmt'!$D:$D,"&lt;&gt;"),0)</f>
        <v/>
      </c>
      <c r="K747" s="88" t="n"/>
      <c r="L747" s="88" t="n"/>
      <c r="M747" s="88">
        <f>COUNTIFS('Client DB &amp; Bed Mgmt'!$B:$B,L747,'Client DB &amp; Bed Mgmt'!$E:$E,"Occupied")</f>
        <v/>
      </c>
      <c r="N747" s="88" t="n"/>
      <c r="O747" s="88" t="n"/>
      <c r="P747" s="88" t="n"/>
      <c r="Q747" s="88" t="n"/>
      <c r="R747" s="88" t="n"/>
      <c r="S747" s="88" t="n"/>
      <c r="T747" s="88" t="n"/>
      <c r="U747" s="129" t="n"/>
      <c r="V747" s="129" t="n"/>
    </row>
    <row r="748" ht="14.25" customHeight="1" s="83">
      <c r="A748" s="103" t="n"/>
      <c r="B748" s="125" t="n"/>
      <c r="C748" s="103" t="n"/>
      <c r="D748" s="126" t="n"/>
      <c r="E748" s="126" t="n"/>
      <c r="F748" s="127">
        <f>IF(D748="","",MAX(D748-E748,0))</f>
        <v/>
      </c>
      <c r="G748" s="130">
        <f>IF(E748="","",E748*GeneratorRate)</f>
        <v/>
      </c>
      <c r="H748" s="130">
        <f>IF(F748="","",F748*GovernmentRate)</f>
        <v/>
      </c>
      <c r="I748" s="130">
        <f>IF(D748="","",G748+H748)</f>
        <v/>
      </c>
      <c r="J748" s="129">
        <f>IFERROR(I748/COUNTIFS('Client DB &amp; Bed Mgmt'!$A:$A,A748,'Client DB &amp; Bed Mgmt'!$B:$B,C748,'Client DB &amp; Bed Mgmt'!$D:$D,"&lt;&gt;"),0)</f>
        <v/>
      </c>
      <c r="K748" s="88" t="n"/>
      <c r="L748" s="88" t="n"/>
      <c r="M748" s="88">
        <f>COUNTIFS('Client DB &amp; Bed Mgmt'!$B:$B,L748,'Client DB &amp; Bed Mgmt'!$E:$E,"Occupied")</f>
        <v/>
      </c>
      <c r="N748" s="88" t="n"/>
      <c r="O748" s="88" t="n"/>
      <c r="P748" s="88" t="n"/>
      <c r="Q748" s="88" t="n"/>
      <c r="R748" s="88" t="n"/>
      <c r="S748" s="88" t="n"/>
      <c r="T748" s="88" t="n"/>
      <c r="U748" s="129" t="n"/>
      <c r="V748" s="129" t="n"/>
    </row>
    <row r="749" ht="14.25" customHeight="1" s="83">
      <c r="A749" s="103" t="n"/>
      <c r="B749" s="125" t="n"/>
      <c r="C749" s="103" t="n"/>
      <c r="D749" s="126" t="n"/>
      <c r="E749" s="126" t="n"/>
      <c r="F749" s="127">
        <f>IF(D749="","",MAX(D749-E749,0))</f>
        <v/>
      </c>
      <c r="G749" s="130">
        <f>IF(E749="","",E749*GeneratorRate)</f>
        <v/>
      </c>
      <c r="H749" s="130">
        <f>IF(F749="","",F749*GovernmentRate)</f>
        <v/>
      </c>
      <c r="I749" s="130">
        <f>IF(D749="","",G749+H749)</f>
        <v/>
      </c>
      <c r="J749" s="129">
        <f>IFERROR(I749/COUNTIFS('Client DB &amp; Bed Mgmt'!$A:$A,A749,'Client DB &amp; Bed Mgmt'!$B:$B,C749,'Client DB &amp; Bed Mgmt'!$D:$D,"&lt;&gt;"),0)</f>
        <v/>
      </c>
      <c r="K749" s="88" t="n"/>
      <c r="L749" s="88" t="n"/>
      <c r="M749" s="88">
        <f>COUNTIFS('Client DB &amp; Bed Mgmt'!$B:$B,L749,'Client DB &amp; Bed Mgmt'!$E:$E,"Occupied")</f>
        <v/>
      </c>
      <c r="N749" s="88" t="n"/>
      <c r="O749" s="88" t="n"/>
      <c r="P749" s="88" t="n"/>
      <c r="Q749" s="88" t="n"/>
      <c r="R749" s="88" t="n"/>
      <c r="S749" s="88" t="n"/>
      <c r="T749" s="88" t="n"/>
      <c r="U749" s="129" t="n"/>
      <c r="V749" s="129" t="n"/>
    </row>
    <row r="750" ht="14.25" customHeight="1" s="83">
      <c r="A750" s="103" t="n"/>
      <c r="B750" s="125" t="n"/>
      <c r="C750" s="103" t="n"/>
      <c r="D750" s="126" t="n"/>
      <c r="E750" s="126" t="n"/>
      <c r="F750" s="127">
        <f>IF(D750="","",MAX(D750-E750,0))</f>
        <v/>
      </c>
      <c r="G750" s="130">
        <f>IF(E750="","",E750*GeneratorRate)</f>
        <v/>
      </c>
      <c r="H750" s="130">
        <f>IF(F750="","",F750*GovernmentRate)</f>
        <v/>
      </c>
      <c r="I750" s="130">
        <f>IF(D750="","",G750+H750)</f>
        <v/>
      </c>
      <c r="J750" s="129">
        <f>IFERROR(I750/COUNTIFS('Client DB &amp; Bed Mgmt'!$A:$A,A750,'Client DB &amp; Bed Mgmt'!$B:$B,C750,'Client DB &amp; Bed Mgmt'!$D:$D,"&lt;&gt;"),0)</f>
        <v/>
      </c>
      <c r="K750" s="88" t="n"/>
      <c r="L750" s="88" t="n"/>
      <c r="M750" s="88">
        <f>COUNTIFS('Client DB &amp; Bed Mgmt'!$B:$B,L750,'Client DB &amp; Bed Mgmt'!$E:$E,"Occupied")</f>
        <v/>
      </c>
      <c r="N750" s="88" t="n"/>
      <c r="O750" s="88" t="n"/>
      <c r="P750" s="88" t="n"/>
      <c r="Q750" s="88" t="n"/>
      <c r="R750" s="88" t="n"/>
      <c r="S750" s="88" t="n"/>
      <c r="T750" s="88" t="n"/>
      <c r="U750" s="129" t="n"/>
      <c r="V750" s="129" t="n"/>
    </row>
    <row r="751" ht="14.25" customHeight="1" s="83">
      <c r="A751" s="103" t="n"/>
      <c r="B751" s="125" t="n"/>
      <c r="C751" s="103" t="n"/>
      <c r="D751" s="126" t="n"/>
      <c r="E751" s="126" t="n"/>
      <c r="F751" s="127">
        <f>IF(D751="","",MAX(D751-E751,0))</f>
        <v/>
      </c>
      <c r="G751" s="130">
        <f>IF(E751="","",E751*GeneratorRate)</f>
        <v/>
      </c>
      <c r="H751" s="130">
        <f>IF(F751="","",F751*GovernmentRate)</f>
        <v/>
      </c>
      <c r="I751" s="130">
        <f>IF(D751="","",G751+H751)</f>
        <v/>
      </c>
      <c r="J751" s="129">
        <f>IFERROR(I751/COUNTIFS('Client DB &amp; Bed Mgmt'!$A:$A,A751,'Client DB &amp; Bed Mgmt'!$B:$B,C751,'Client DB &amp; Bed Mgmt'!$D:$D,"&lt;&gt;"),0)</f>
        <v/>
      </c>
      <c r="K751" s="88" t="n"/>
      <c r="L751" s="88" t="n"/>
      <c r="M751" s="88">
        <f>COUNTIFS('Client DB &amp; Bed Mgmt'!$B:$B,L751,'Client DB &amp; Bed Mgmt'!$E:$E,"Occupied")</f>
        <v/>
      </c>
      <c r="N751" s="88" t="n"/>
      <c r="O751" s="88" t="n"/>
      <c r="P751" s="88" t="n"/>
      <c r="Q751" s="88" t="n"/>
      <c r="R751" s="88" t="n"/>
      <c r="S751" s="88" t="n"/>
      <c r="T751" s="88" t="n"/>
      <c r="U751" s="129" t="n"/>
      <c r="V751" s="129" t="n"/>
    </row>
    <row r="752" ht="14.25" customHeight="1" s="83">
      <c r="A752" s="103" t="n"/>
      <c r="B752" s="125" t="n"/>
      <c r="C752" s="103" t="n"/>
      <c r="D752" s="126" t="n"/>
      <c r="E752" s="126" t="n"/>
      <c r="F752" s="127">
        <f>IF(D752="","",MAX(D752-E752,0))</f>
        <v/>
      </c>
      <c r="G752" s="130">
        <f>IF(E752="","",E752*GeneratorRate)</f>
        <v/>
      </c>
      <c r="H752" s="130">
        <f>IF(F752="","",F752*GovernmentRate)</f>
        <v/>
      </c>
      <c r="I752" s="130">
        <f>IF(D752="","",G752+H752)</f>
        <v/>
      </c>
      <c r="J752" s="129">
        <f>IFERROR(I752/COUNTIFS('Client DB &amp; Bed Mgmt'!$A:$A,A752,'Client DB &amp; Bed Mgmt'!$B:$B,C752,'Client DB &amp; Bed Mgmt'!$D:$D,"&lt;&gt;"),0)</f>
        <v/>
      </c>
      <c r="K752" s="88" t="n"/>
      <c r="L752" s="88" t="n"/>
      <c r="M752" s="88">
        <f>COUNTIFS('Client DB &amp; Bed Mgmt'!$B:$B,L752,'Client DB &amp; Bed Mgmt'!$E:$E,"Occupied")</f>
        <v/>
      </c>
      <c r="N752" s="88" t="n"/>
      <c r="O752" s="88" t="n"/>
      <c r="P752" s="88" t="n"/>
      <c r="Q752" s="88" t="n"/>
      <c r="R752" s="88" t="n"/>
      <c r="S752" s="88" t="n"/>
      <c r="T752" s="88" t="n"/>
      <c r="U752" s="129" t="n"/>
      <c r="V752" s="129" t="n"/>
    </row>
    <row r="753" ht="14.25" customHeight="1" s="83">
      <c r="A753" s="103" t="n"/>
      <c r="B753" s="125" t="n"/>
      <c r="C753" s="103" t="n"/>
      <c r="D753" s="126" t="n"/>
      <c r="E753" s="126" t="n"/>
      <c r="F753" s="127">
        <f>IF(D753="","",MAX(D753-E753,0))</f>
        <v/>
      </c>
      <c r="G753" s="130">
        <f>IF(E753="","",E753*GeneratorRate)</f>
        <v/>
      </c>
      <c r="H753" s="130">
        <f>IF(F753="","",F753*GovernmentRate)</f>
        <v/>
      </c>
      <c r="I753" s="130">
        <f>IF(D753="","",G753+H753)</f>
        <v/>
      </c>
      <c r="J753" s="129">
        <f>IFERROR(I753/COUNTIFS('Client DB &amp; Bed Mgmt'!$A:$A,A753,'Client DB &amp; Bed Mgmt'!$B:$B,C753,'Client DB &amp; Bed Mgmt'!$D:$D,"&lt;&gt;"),0)</f>
        <v/>
      </c>
      <c r="K753" s="88" t="n"/>
      <c r="L753" s="88" t="n"/>
      <c r="M753" s="88">
        <f>COUNTIFS('Client DB &amp; Bed Mgmt'!$B:$B,L753,'Client DB &amp; Bed Mgmt'!$E:$E,"Occupied")</f>
        <v/>
      </c>
      <c r="N753" s="88" t="n"/>
      <c r="O753" s="88" t="n"/>
      <c r="P753" s="88" t="n"/>
      <c r="Q753" s="88" t="n"/>
      <c r="R753" s="88" t="n"/>
      <c r="S753" s="88" t="n"/>
      <c r="T753" s="88" t="n"/>
      <c r="U753" s="129" t="n"/>
      <c r="V753" s="129" t="n"/>
    </row>
    <row r="754" ht="14.25" customHeight="1" s="83">
      <c r="A754" s="103" t="n"/>
      <c r="B754" s="125" t="n"/>
      <c r="C754" s="103" t="n"/>
      <c r="D754" s="126" t="n"/>
      <c r="E754" s="126" t="n"/>
      <c r="F754" s="127">
        <f>IF(D754="","",MAX(D754-E754,0))</f>
        <v/>
      </c>
      <c r="G754" s="130">
        <f>IF(E754="","",E754*GeneratorRate)</f>
        <v/>
      </c>
      <c r="H754" s="130">
        <f>IF(F754="","",F754*GovernmentRate)</f>
        <v/>
      </c>
      <c r="I754" s="130">
        <f>IF(D754="","",G754+H754)</f>
        <v/>
      </c>
      <c r="J754" s="129">
        <f>IFERROR(I754/COUNTIFS('Client DB &amp; Bed Mgmt'!$A:$A,A754,'Client DB &amp; Bed Mgmt'!$B:$B,C754,'Client DB &amp; Bed Mgmt'!$D:$D,"&lt;&gt;"),0)</f>
        <v/>
      </c>
      <c r="K754" s="88" t="n"/>
      <c r="L754" s="88" t="n"/>
      <c r="M754" s="88">
        <f>COUNTIFS('Client DB &amp; Bed Mgmt'!$B:$B,L754,'Client DB &amp; Bed Mgmt'!$E:$E,"Occupied")</f>
        <v/>
      </c>
      <c r="N754" s="88" t="n"/>
      <c r="O754" s="88" t="n"/>
      <c r="P754" s="88" t="n"/>
      <c r="Q754" s="88" t="n"/>
      <c r="R754" s="88" t="n"/>
      <c r="S754" s="88" t="n"/>
      <c r="T754" s="88" t="n"/>
      <c r="U754" s="129" t="n"/>
      <c r="V754" s="129" t="n"/>
    </row>
    <row r="755" ht="14.25" customHeight="1" s="83">
      <c r="A755" s="103" t="n"/>
      <c r="B755" s="125" t="n"/>
      <c r="C755" s="103" t="n"/>
      <c r="D755" s="126" t="n"/>
      <c r="E755" s="126" t="n"/>
      <c r="F755" s="127">
        <f>IF(D755="","",MAX(D755-E755,0))</f>
        <v/>
      </c>
      <c r="G755" s="130">
        <f>IF(E755="","",E755*GeneratorRate)</f>
        <v/>
      </c>
      <c r="H755" s="130">
        <f>IF(F755="","",F755*GovernmentRate)</f>
        <v/>
      </c>
      <c r="I755" s="130">
        <f>IF(D755="","",G755+H755)</f>
        <v/>
      </c>
      <c r="J755" s="129">
        <f>IFERROR(I755/COUNTIFS('Client DB &amp; Bed Mgmt'!$A:$A,A755,'Client DB &amp; Bed Mgmt'!$B:$B,C755,'Client DB &amp; Bed Mgmt'!$D:$D,"&lt;&gt;"),0)</f>
        <v/>
      </c>
      <c r="K755" s="88" t="n"/>
      <c r="L755" s="88" t="n"/>
      <c r="M755" s="88">
        <f>COUNTIFS('Client DB &amp; Bed Mgmt'!$B:$B,L755,'Client DB &amp; Bed Mgmt'!$E:$E,"Occupied")</f>
        <v/>
      </c>
      <c r="N755" s="88" t="n"/>
      <c r="O755" s="88" t="n"/>
      <c r="P755" s="88" t="n"/>
      <c r="Q755" s="88" t="n"/>
      <c r="R755" s="88" t="n"/>
      <c r="S755" s="88" t="n"/>
      <c r="T755" s="88" t="n"/>
      <c r="U755" s="129" t="n"/>
      <c r="V755" s="129" t="n"/>
    </row>
    <row r="756" ht="14.25" customHeight="1" s="83">
      <c r="A756" s="103" t="n"/>
      <c r="B756" s="125" t="n"/>
      <c r="C756" s="103" t="n"/>
      <c r="D756" s="126" t="n"/>
      <c r="E756" s="126" t="n"/>
      <c r="F756" s="127">
        <f>IF(D756="","",MAX(D756-E756,0))</f>
        <v/>
      </c>
      <c r="G756" s="130">
        <f>IF(E756="","",E756*GeneratorRate)</f>
        <v/>
      </c>
      <c r="H756" s="130">
        <f>IF(F756="","",F756*GovernmentRate)</f>
        <v/>
      </c>
      <c r="I756" s="130">
        <f>IF(D756="","",G756+H756)</f>
        <v/>
      </c>
      <c r="J756" s="129">
        <f>IFERROR(I756/COUNTIFS('Client DB &amp; Bed Mgmt'!$A:$A,A756,'Client DB &amp; Bed Mgmt'!$B:$B,C756,'Client DB &amp; Bed Mgmt'!$D:$D,"&lt;&gt;"),0)</f>
        <v/>
      </c>
      <c r="K756" s="88" t="n"/>
      <c r="L756" s="88" t="n"/>
      <c r="M756" s="88">
        <f>COUNTIFS('Client DB &amp; Bed Mgmt'!$B:$B,L756,'Client DB &amp; Bed Mgmt'!$E:$E,"Occupied")</f>
        <v/>
      </c>
      <c r="N756" s="88" t="n"/>
      <c r="O756" s="88" t="n"/>
      <c r="P756" s="88" t="n"/>
      <c r="Q756" s="88" t="n"/>
      <c r="R756" s="88" t="n"/>
      <c r="S756" s="88" t="n"/>
      <c r="T756" s="88" t="n"/>
      <c r="U756" s="129" t="n"/>
      <c r="V756" s="129" t="n"/>
    </row>
    <row r="757" ht="14.25" customHeight="1" s="83">
      <c r="A757" s="103" t="n"/>
      <c r="B757" s="125" t="n"/>
      <c r="C757" s="103" t="n"/>
      <c r="D757" s="126" t="n"/>
      <c r="E757" s="126" t="n"/>
      <c r="F757" s="127">
        <f>IF(D757="","",MAX(D757-E757,0))</f>
        <v/>
      </c>
      <c r="G757" s="130">
        <f>IF(E757="","",E757*GeneratorRate)</f>
        <v/>
      </c>
      <c r="H757" s="130">
        <f>IF(F757="","",F757*GovernmentRate)</f>
        <v/>
      </c>
      <c r="I757" s="130">
        <f>IF(D757="","",G757+H757)</f>
        <v/>
      </c>
      <c r="J757" s="129">
        <f>IFERROR(I757/COUNTIFS('Client DB &amp; Bed Mgmt'!$A:$A,A757,'Client DB &amp; Bed Mgmt'!$B:$B,C757,'Client DB &amp; Bed Mgmt'!$D:$D,"&lt;&gt;"),0)</f>
        <v/>
      </c>
      <c r="K757" s="88" t="n"/>
      <c r="L757" s="88" t="n"/>
      <c r="M757" s="88">
        <f>COUNTIFS('Client DB &amp; Bed Mgmt'!$B:$B,L757,'Client DB &amp; Bed Mgmt'!$E:$E,"Occupied")</f>
        <v/>
      </c>
      <c r="N757" s="88" t="n"/>
      <c r="O757" s="88" t="n"/>
      <c r="P757" s="88" t="n"/>
      <c r="Q757" s="88" t="n"/>
      <c r="R757" s="88" t="n"/>
      <c r="S757" s="88" t="n"/>
      <c r="T757" s="88" t="n"/>
      <c r="U757" s="129" t="n"/>
      <c r="V757" s="129" t="n"/>
    </row>
    <row r="758" ht="14.25" customHeight="1" s="83">
      <c r="A758" s="103" t="n"/>
      <c r="B758" s="125" t="n"/>
      <c r="C758" s="103" t="n"/>
      <c r="D758" s="126" t="n"/>
      <c r="E758" s="126" t="n"/>
      <c r="F758" s="127">
        <f>IF(D758="","",MAX(D758-E758,0))</f>
        <v/>
      </c>
      <c r="G758" s="130">
        <f>IF(E758="","",E758*GeneratorRate)</f>
        <v/>
      </c>
      <c r="H758" s="130">
        <f>IF(F758="","",F758*GovernmentRate)</f>
        <v/>
      </c>
      <c r="I758" s="130">
        <f>IF(D758="","",G758+H758)</f>
        <v/>
      </c>
      <c r="J758" s="129">
        <f>IFERROR(I758/COUNTIFS('Client DB &amp; Bed Mgmt'!$A:$A,A758,'Client DB &amp; Bed Mgmt'!$B:$B,C758,'Client DB &amp; Bed Mgmt'!$D:$D,"&lt;&gt;"),0)</f>
        <v/>
      </c>
      <c r="K758" s="88" t="n"/>
      <c r="L758" s="88" t="n"/>
      <c r="M758" s="88">
        <f>COUNTIFS('Client DB &amp; Bed Mgmt'!$B:$B,L758,'Client DB &amp; Bed Mgmt'!$E:$E,"Occupied")</f>
        <v/>
      </c>
      <c r="N758" s="88" t="n"/>
      <c r="O758" s="88" t="n"/>
      <c r="P758" s="88" t="n"/>
      <c r="Q758" s="88" t="n"/>
      <c r="R758" s="88" t="n"/>
      <c r="S758" s="88" t="n"/>
      <c r="T758" s="88" t="n"/>
      <c r="U758" s="129" t="n"/>
      <c r="V758" s="129" t="n"/>
    </row>
    <row r="759" ht="14.25" customHeight="1" s="83">
      <c r="A759" s="103" t="n"/>
      <c r="B759" s="125" t="n"/>
      <c r="C759" s="103" t="n"/>
      <c r="D759" s="126" t="n"/>
      <c r="E759" s="126" t="n"/>
      <c r="F759" s="127">
        <f>IF(D759="","",MAX(D759-E759,0))</f>
        <v/>
      </c>
      <c r="G759" s="130">
        <f>IF(E759="","",E759*GeneratorRate)</f>
        <v/>
      </c>
      <c r="H759" s="130">
        <f>IF(F759="","",F759*GovernmentRate)</f>
        <v/>
      </c>
      <c r="I759" s="130">
        <f>IF(D759="","",G759+H759)</f>
        <v/>
      </c>
      <c r="J759" s="129">
        <f>IFERROR(I759/COUNTIFS('Client DB &amp; Bed Mgmt'!$A:$A,A759,'Client DB &amp; Bed Mgmt'!$B:$B,C759,'Client DB &amp; Bed Mgmt'!$D:$D,"&lt;&gt;"),0)</f>
        <v/>
      </c>
      <c r="K759" s="88" t="n"/>
      <c r="L759" s="88" t="n"/>
      <c r="M759" s="88">
        <f>COUNTIFS('Client DB &amp; Bed Mgmt'!$B:$B,L759,'Client DB &amp; Bed Mgmt'!$E:$E,"Occupied")</f>
        <v/>
      </c>
      <c r="N759" s="88" t="n"/>
      <c r="O759" s="88" t="n"/>
      <c r="P759" s="88" t="n"/>
      <c r="Q759" s="88" t="n"/>
      <c r="R759" s="88" t="n"/>
      <c r="S759" s="88" t="n"/>
      <c r="T759" s="88" t="n"/>
      <c r="U759" s="129" t="n"/>
      <c r="V759" s="129" t="n"/>
    </row>
    <row r="760" ht="14.25" customHeight="1" s="83">
      <c r="A760" s="103" t="n"/>
      <c r="B760" s="125" t="n"/>
      <c r="C760" s="103" t="n"/>
      <c r="D760" s="126" t="n"/>
      <c r="E760" s="126" t="n"/>
      <c r="F760" s="127">
        <f>IF(D760="","",MAX(D760-E760,0))</f>
        <v/>
      </c>
      <c r="G760" s="130">
        <f>IF(E760="","",E760*GeneratorRate)</f>
        <v/>
      </c>
      <c r="H760" s="130">
        <f>IF(F760="","",F760*GovernmentRate)</f>
        <v/>
      </c>
      <c r="I760" s="130">
        <f>IF(D760="","",G760+H760)</f>
        <v/>
      </c>
      <c r="J760" s="129">
        <f>IFERROR(I760/COUNTIFS('Client DB &amp; Bed Mgmt'!$A:$A,A760,'Client DB &amp; Bed Mgmt'!$B:$B,C760,'Client DB &amp; Bed Mgmt'!$D:$D,"&lt;&gt;"),0)</f>
        <v/>
      </c>
      <c r="K760" s="88" t="n"/>
      <c r="L760" s="88" t="n"/>
      <c r="M760" s="88">
        <f>COUNTIFS('Client DB &amp; Bed Mgmt'!$B:$B,L760,'Client DB &amp; Bed Mgmt'!$E:$E,"Occupied")</f>
        <v/>
      </c>
      <c r="N760" s="88" t="n"/>
      <c r="O760" s="88" t="n"/>
      <c r="P760" s="88" t="n"/>
      <c r="Q760" s="88" t="n"/>
      <c r="R760" s="88" t="n"/>
      <c r="S760" s="88" t="n"/>
      <c r="T760" s="88" t="n"/>
      <c r="U760" s="129" t="n"/>
      <c r="V760" s="129" t="n"/>
    </row>
    <row r="761" ht="14.25" customHeight="1" s="83">
      <c r="A761" s="103" t="n"/>
      <c r="B761" s="125" t="n"/>
      <c r="C761" s="103" t="n"/>
      <c r="D761" s="126" t="n"/>
      <c r="E761" s="126" t="n"/>
      <c r="F761" s="127">
        <f>IF(D761="","",MAX(D761-E761,0))</f>
        <v/>
      </c>
      <c r="G761" s="130">
        <f>IF(E761="","",E761*GeneratorRate)</f>
        <v/>
      </c>
      <c r="H761" s="130">
        <f>IF(F761="","",F761*GovernmentRate)</f>
        <v/>
      </c>
      <c r="I761" s="130">
        <f>IF(D761="","",G761+H761)</f>
        <v/>
      </c>
      <c r="J761" s="129">
        <f>IFERROR(I761/COUNTIFS('Client DB &amp; Bed Mgmt'!$A:$A,A761,'Client DB &amp; Bed Mgmt'!$B:$B,C761,'Client DB &amp; Bed Mgmt'!$D:$D,"&lt;&gt;"),0)</f>
        <v/>
      </c>
      <c r="K761" s="88" t="n"/>
      <c r="L761" s="88" t="n"/>
      <c r="M761" s="88">
        <f>COUNTIFS('Client DB &amp; Bed Mgmt'!$B:$B,L761,'Client DB &amp; Bed Mgmt'!$E:$E,"Occupied")</f>
        <v/>
      </c>
      <c r="N761" s="88" t="n"/>
      <c r="O761" s="88" t="n"/>
      <c r="P761" s="88" t="n"/>
      <c r="Q761" s="88" t="n"/>
      <c r="R761" s="88" t="n"/>
      <c r="S761" s="88" t="n"/>
      <c r="T761" s="88" t="n"/>
      <c r="U761" s="129" t="n"/>
      <c r="V761" s="129" t="n"/>
    </row>
    <row r="762" ht="14.25" customHeight="1" s="83">
      <c r="A762" s="103" t="n"/>
      <c r="B762" s="125" t="n"/>
      <c r="C762" s="103" t="n"/>
      <c r="D762" s="126" t="n"/>
      <c r="E762" s="126" t="n"/>
      <c r="F762" s="127">
        <f>IF(D762="","",MAX(D762-E762,0))</f>
        <v/>
      </c>
      <c r="G762" s="130">
        <f>IF(E762="","",E762*GeneratorRate)</f>
        <v/>
      </c>
      <c r="H762" s="130">
        <f>IF(F762="","",F762*GovernmentRate)</f>
        <v/>
      </c>
      <c r="I762" s="130">
        <f>IF(D762="","",G762+H762)</f>
        <v/>
      </c>
      <c r="J762" s="129">
        <f>IFERROR(I762/COUNTIFS('Client DB &amp; Bed Mgmt'!$A:$A,A762,'Client DB &amp; Bed Mgmt'!$B:$B,C762,'Client DB &amp; Bed Mgmt'!$D:$D,"&lt;&gt;"),0)</f>
        <v/>
      </c>
      <c r="K762" s="88" t="n"/>
      <c r="L762" s="88" t="n"/>
      <c r="M762" s="88">
        <f>COUNTIFS('Client DB &amp; Bed Mgmt'!$B:$B,L762,'Client DB &amp; Bed Mgmt'!$E:$E,"Occupied")</f>
        <v/>
      </c>
      <c r="N762" s="88" t="n"/>
      <c r="O762" s="88" t="n"/>
      <c r="P762" s="88" t="n"/>
      <c r="Q762" s="88" t="n"/>
      <c r="R762" s="88" t="n"/>
      <c r="S762" s="88" t="n"/>
      <c r="T762" s="88" t="n"/>
      <c r="U762" s="129" t="n"/>
      <c r="V762" s="129" t="n"/>
    </row>
    <row r="763" ht="14.25" customHeight="1" s="83">
      <c r="A763" s="103" t="n"/>
      <c r="B763" s="125" t="n"/>
      <c r="C763" s="103" t="n"/>
      <c r="D763" s="126" t="n"/>
      <c r="E763" s="126" t="n"/>
      <c r="F763" s="127">
        <f>IF(D763="","",MAX(D763-E763,0))</f>
        <v/>
      </c>
      <c r="G763" s="130">
        <f>IF(E763="","",E763*GeneratorRate)</f>
        <v/>
      </c>
      <c r="H763" s="130">
        <f>IF(F763="","",F763*GovernmentRate)</f>
        <v/>
      </c>
      <c r="I763" s="130">
        <f>IF(D763="","",G763+H763)</f>
        <v/>
      </c>
      <c r="J763" s="129">
        <f>IFERROR(I763/COUNTIFS('Client DB &amp; Bed Mgmt'!$A:$A,A763,'Client DB &amp; Bed Mgmt'!$B:$B,C763,'Client DB &amp; Bed Mgmt'!$D:$D,"&lt;&gt;"),0)</f>
        <v/>
      </c>
      <c r="K763" s="88" t="n"/>
      <c r="L763" s="88" t="n"/>
      <c r="M763" s="88">
        <f>COUNTIFS('Client DB &amp; Bed Mgmt'!$B:$B,L763,'Client DB &amp; Bed Mgmt'!$E:$E,"Occupied")</f>
        <v/>
      </c>
      <c r="N763" s="88" t="n"/>
      <c r="O763" s="88" t="n"/>
      <c r="P763" s="88" t="n"/>
      <c r="Q763" s="88" t="n"/>
      <c r="R763" s="88" t="n"/>
      <c r="S763" s="88" t="n"/>
      <c r="T763" s="88" t="n"/>
      <c r="U763" s="129" t="n"/>
      <c r="V763" s="129" t="n"/>
    </row>
    <row r="764" ht="14.25" customHeight="1" s="83">
      <c r="A764" s="103" t="n"/>
      <c r="B764" s="125" t="n"/>
      <c r="C764" s="103" t="n"/>
      <c r="D764" s="126" t="n"/>
      <c r="E764" s="126" t="n"/>
      <c r="F764" s="127">
        <f>IF(D764="","",MAX(D764-E764,0))</f>
        <v/>
      </c>
      <c r="G764" s="130">
        <f>IF(E764="","",E764*GeneratorRate)</f>
        <v/>
      </c>
      <c r="H764" s="130">
        <f>IF(F764="","",F764*GovernmentRate)</f>
        <v/>
      </c>
      <c r="I764" s="130">
        <f>IF(D764="","",G764+H764)</f>
        <v/>
      </c>
      <c r="J764" s="129">
        <f>IFERROR(I764/COUNTIFS('Client DB &amp; Bed Mgmt'!$A:$A,A764,'Client DB &amp; Bed Mgmt'!$B:$B,C764,'Client DB &amp; Bed Mgmt'!$D:$D,"&lt;&gt;"),0)</f>
        <v/>
      </c>
      <c r="K764" s="88" t="n"/>
      <c r="L764" s="88" t="n"/>
      <c r="M764" s="88">
        <f>COUNTIFS('Client DB &amp; Bed Mgmt'!$B:$B,L764,'Client DB &amp; Bed Mgmt'!$E:$E,"Occupied")</f>
        <v/>
      </c>
      <c r="N764" s="88" t="n"/>
      <c r="O764" s="88" t="n"/>
      <c r="P764" s="88" t="n"/>
      <c r="Q764" s="88" t="n"/>
      <c r="R764" s="88" t="n"/>
      <c r="S764" s="88" t="n"/>
      <c r="T764" s="88" t="n"/>
      <c r="U764" s="129" t="n"/>
      <c r="V764" s="129" t="n"/>
    </row>
    <row r="765" ht="14.25" customHeight="1" s="83">
      <c r="A765" s="103" t="n"/>
      <c r="B765" s="125" t="n"/>
      <c r="C765" s="103" t="n"/>
      <c r="D765" s="126" t="n"/>
      <c r="E765" s="126" t="n"/>
      <c r="F765" s="127">
        <f>IF(D765="","",MAX(D765-E765,0))</f>
        <v/>
      </c>
      <c r="G765" s="130">
        <f>IF(E765="","",E765*GeneratorRate)</f>
        <v/>
      </c>
      <c r="H765" s="130">
        <f>IF(F765="","",F765*GovernmentRate)</f>
        <v/>
      </c>
      <c r="I765" s="130">
        <f>IF(D765="","",G765+H765)</f>
        <v/>
      </c>
      <c r="J765" s="129">
        <f>IFERROR(I765/COUNTIFS('Client DB &amp; Bed Mgmt'!$A:$A,A765,'Client DB &amp; Bed Mgmt'!$B:$B,C765,'Client DB &amp; Bed Mgmt'!$D:$D,"&lt;&gt;"),0)</f>
        <v/>
      </c>
      <c r="K765" s="88" t="n"/>
      <c r="L765" s="88" t="n"/>
      <c r="M765" s="88">
        <f>COUNTIFS('Client DB &amp; Bed Mgmt'!$B:$B,L765,'Client DB &amp; Bed Mgmt'!$E:$E,"Occupied")</f>
        <v/>
      </c>
      <c r="N765" s="88" t="n"/>
      <c r="O765" s="88" t="n"/>
      <c r="P765" s="88" t="n"/>
      <c r="Q765" s="88" t="n"/>
      <c r="R765" s="88" t="n"/>
      <c r="S765" s="88" t="n"/>
      <c r="T765" s="88" t="n"/>
      <c r="U765" s="129" t="n"/>
      <c r="V765" s="129" t="n"/>
    </row>
    <row r="766" ht="14.25" customHeight="1" s="83">
      <c r="A766" s="103" t="n"/>
      <c r="B766" s="125" t="n"/>
      <c r="C766" s="103" t="n"/>
      <c r="D766" s="126" t="n"/>
      <c r="E766" s="126" t="n"/>
      <c r="F766" s="127">
        <f>IF(D766="","",MAX(D766-E766,0))</f>
        <v/>
      </c>
      <c r="G766" s="130">
        <f>IF(E766="","",E766*GeneratorRate)</f>
        <v/>
      </c>
      <c r="H766" s="130">
        <f>IF(F766="","",F766*GovernmentRate)</f>
        <v/>
      </c>
      <c r="I766" s="130">
        <f>IF(D766="","",G766+H766)</f>
        <v/>
      </c>
      <c r="J766" s="129">
        <f>IFERROR(I766/COUNTIFS('Client DB &amp; Bed Mgmt'!$A:$A,A766,'Client DB &amp; Bed Mgmt'!$B:$B,C766,'Client DB &amp; Bed Mgmt'!$D:$D,"&lt;&gt;"),0)</f>
        <v/>
      </c>
      <c r="K766" s="88" t="n"/>
      <c r="L766" s="88" t="n"/>
      <c r="M766" s="88">
        <f>COUNTIFS('Client DB &amp; Bed Mgmt'!$B:$B,L766,'Client DB &amp; Bed Mgmt'!$E:$E,"Occupied")</f>
        <v/>
      </c>
      <c r="N766" s="88" t="n"/>
      <c r="O766" s="88" t="n"/>
      <c r="P766" s="88" t="n"/>
      <c r="Q766" s="88" t="n"/>
      <c r="R766" s="88" t="n"/>
      <c r="S766" s="88" t="n"/>
      <c r="T766" s="88" t="n"/>
      <c r="U766" s="129" t="n"/>
      <c r="V766" s="129" t="n"/>
    </row>
    <row r="767" ht="14.25" customHeight="1" s="83">
      <c r="A767" s="103" t="n"/>
      <c r="B767" s="125" t="n"/>
      <c r="C767" s="103" t="n"/>
      <c r="D767" s="126" t="n"/>
      <c r="E767" s="126" t="n"/>
      <c r="F767" s="127">
        <f>IF(D767="","",MAX(D767-E767,0))</f>
        <v/>
      </c>
      <c r="G767" s="130">
        <f>IF(E767="","",E767*GeneratorRate)</f>
        <v/>
      </c>
      <c r="H767" s="130">
        <f>IF(F767="","",F767*GovernmentRate)</f>
        <v/>
      </c>
      <c r="I767" s="130">
        <f>IF(D767="","",G767+H767)</f>
        <v/>
      </c>
      <c r="J767" s="129">
        <f>IFERROR(I767/COUNTIFS('Client DB &amp; Bed Mgmt'!$A:$A,A767,'Client DB &amp; Bed Mgmt'!$B:$B,C767,'Client DB &amp; Bed Mgmt'!$D:$D,"&lt;&gt;"),0)</f>
        <v/>
      </c>
      <c r="K767" s="88" t="n"/>
      <c r="L767" s="88" t="n"/>
      <c r="M767" s="88">
        <f>COUNTIFS('Client DB &amp; Bed Mgmt'!$B:$B,L767,'Client DB &amp; Bed Mgmt'!$E:$E,"Occupied")</f>
        <v/>
      </c>
      <c r="N767" s="88" t="n"/>
      <c r="O767" s="88" t="n"/>
      <c r="P767" s="88" t="n"/>
      <c r="Q767" s="88" t="n"/>
      <c r="R767" s="88" t="n"/>
      <c r="S767" s="88" t="n"/>
      <c r="T767" s="88" t="n"/>
      <c r="U767" s="129" t="n"/>
      <c r="V767" s="129" t="n"/>
    </row>
    <row r="768" ht="14.25" customHeight="1" s="83">
      <c r="A768" s="103" t="n"/>
      <c r="B768" s="125" t="n"/>
      <c r="C768" s="103" t="n"/>
      <c r="D768" s="126" t="n"/>
      <c r="E768" s="126" t="n"/>
      <c r="F768" s="127">
        <f>IF(D768="","",MAX(D768-E768,0))</f>
        <v/>
      </c>
      <c r="G768" s="130">
        <f>IF(E768="","",E768*GeneratorRate)</f>
        <v/>
      </c>
      <c r="H768" s="130">
        <f>IF(F768="","",F768*GovernmentRate)</f>
        <v/>
      </c>
      <c r="I768" s="130">
        <f>IF(D768="","",G768+H768)</f>
        <v/>
      </c>
      <c r="J768" s="129">
        <f>IFERROR(I768/COUNTIFS('Client DB &amp; Bed Mgmt'!$A:$A,A768,'Client DB &amp; Bed Mgmt'!$B:$B,C768,'Client DB &amp; Bed Mgmt'!$D:$D,"&lt;&gt;"),0)</f>
        <v/>
      </c>
      <c r="K768" s="88" t="n"/>
      <c r="L768" s="88" t="n"/>
      <c r="M768" s="88">
        <f>COUNTIFS('Client DB &amp; Bed Mgmt'!$B:$B,L768,'Client DB &amp; Bed Mgmt'!$E:$E,"Occupied")</f>
        <v/>
      </c>
      <c r="N768" s="88" t="n"/>
      <c r="O768" s="88" t="n"/>
      <c r="P768" s="88" t="n"/>
      <c r="Q768" s="88" t="n"/>
      <c r="R768" s="88" t="n"/>
      <c r="S768" s="88" t="n"/>
      <c r="T768" s="88" t="n"/>
      <c r="U768" s="129" t="n"/>
      <c r="V768" s="129" t="n"/>
    </row>
    <row r="769" ht="14.25" customHeight="1" s="83">
      <c r="A769" s="103" t="n"/>
      <c r="B769" s="125" t="n"/>
      <c r="C769" s="103" t="n"/>
      <c r="D769" s="126" t="n"/>
      <c r="E769" s="126" t="n"/>
      <c r="F769" s="127">
        <f>IF(D769="","",MAX(D769-E769,0))</f>
        <v/>
      </c>
      <c r="G769" s="130">
        <f>IF(E769="","",E769*GeneratorRate)</f>
        <v/>
      </c>
      <c r="H769" s="130">
        <f>IF(F769="","",F769*GovernmentRate)</f>
        <v/>
      </c>
      <c r="I769" s="130">
        <f>IF(D769="","",G769+H769)</f>
        <v/>
      </c>
      <c r="J769" s="129">
        <f>IFERROR(I769/COUNTIFS('Client DB &amp; Bed Mgmt'!$A:$A,A769,'Client DB &amp; Bed Mgmt'!$B:$B,C769,'Client DB &amp; Bed Mgmt'!$D:$D,"&lt;&gt;"),0)</f>
        <v/>
      </c>
      <c r="K769" s="88" t="n"/>
      <c r="L769" s="88" t="n"/>
      <c r="M769" s="88">
        <f>COUNTIFS('Client DB &amp; Bed Mgmt'!$B:$B,L769,'Client DB &amp; Bed Mgmt'!$E:$E,"Occupied")</f>
        <v/>
      </c>
      <c r="N769" s="88" t="n"/>
      <c r="O769" s="88" t="n"/>
      <c r="P769" s="88" t="n"/>
      <c r="Q769" s="88" t="n"/>
      <c r="R769" s="88" t="n"/>
      <c r="S769" s="88" t="n"/>
      <c r="T769" s="88" t="n"/>
      <c r="U769" s="129" t="n"/>
      <c r="V769" s="129" t="n"/>
    </row>
    <row r="770" ht="14.25" customHeight="1" s="83">
      <c r="A770" s="103" t="n"/>
      <c r="B770" s="125" t="n"/>
      <c r="C770" s="103" t="n"/>
      <c r="D770" s="126" t="n"/>
      <c r="E770" s="126" t="n"/>
      <c r="F770" s="127">
        <f>IF(D770="","",MAX(D770-E770,0))</f>
        <v/>
      </c>
      <c r="G770" s="130">
        <f>IF(E770="","",E770*GeneratorRate)</f>
        <v/>
      </c>
      <c r="H770" s="130">
        <f>IF(F770="","",F770*GovernmentRate)</f>
        <v/>
      </c>
      <c r="I770" s="130">
        <f>IF(D770="","",G770+H770)</f>
        <v/>
      </c>
      <c r="J770" s="129">
        <f>IFERROR(I770/COUNTIFS('Client DB &amp; Bed Mgmt'!$A:$A,A770,'Client DB &amp; Bed Mgmt'!$B:$B,C770,'Client DB &amp; Bed Mgmt'!$D:$D,"&lt;&gt;"),0)</f>
        <v/>
      </c>
      <c r="K770" s="88" t="n"/>
      <c r="L770" s="88" t="n"/>
      <c r="M770" s="88">
        <f>COUNTIFS('Client DB &amp; Bed Mgmt'!$B:$B,L770,'Client DB &amp; Bed Mgmt'!$E:$E,"Occupied")</f>
        <v/>
      </c>
      <c r="N770" s="88" t="n"/>
      <c r="O770" s="88" t="n"/>
      <c r="P770" s="88" t="n"/>
      <c r="Q770" s="88" t="n"/>
      <c r="R770" s="88" t="n"/>
      <c r="S770" s="88" t="n"/>
      <c r="T770" s="88" t="n"/>
      <c r="U770" s="129" t="n"/>
      <c r="V770" s="129" t="n"/>
    </row>
    <row r="771" ht="14.25" customHeight="1" s="83">
      <c r="A771" s="103" t="n"/>
      <c r="B771" s="125" t="n"/>
      <c r="C771" s="103" t="n"/>
      <c r="D771" s="126" t="n"/>
      <c r="E771" s="126" t="n"/>
      <c r="F771" s="127">
        <f>IF(D771="","",MAX(D771-E771,0))</f>
        <v/>
      </c>
      <c r="G771" s="130">
        <f>IF(E771="","",E771*GeneratorRate)</f>
        <v/>
      </c>
      <c r="H771" s="130">
        <f>IF(F771="","",F771*GovernmentRate)</f>
        <v/>
      </c>
      <c r="I771" s="130">
        <f>IF(D771="","",G771+H771)</f>
        <v/>
      </c>
      <c r="J771" s="129">
        <f>IFERROR(I771/COUNTIFS('Client DB &amp; Bed Mgmt'!$A:$A,A771,'Client DB &amp; Bed Mgmt'!$B:$B,C771,'Client DB &amp; Bed Mgmt'!$D:$D,"&lt;&gt;"),0)</f>
        <v/>
      </c>
      <c r="K771" s="88" t="n"/>
      <c r="L771" s="88" t="n"/>
      <c r="M771" s="88">
        <f>COUNTIFS('Client DB &amp; Bed Mgmt'!$B:$B,L771,'Client DB &amp; Bed Mgmt'!$E:$E,"Occupied")</f>
        <v/>
      </c>
      <c r="N771" s="88" t="n"/>
      <c r="O771" s="88" t="n"/>
      <c r="P771" s="88" t="n"/>
      <c r="Q771" s="88" t="n"/>
      <c r="R771" s="88" t="n"/>
      <c r="S771" s="88" t="n"/>
      <c r="T771" s="88" t="n"/>
      <c r="U771" s="129" t="n"/>
      <c r="V771" s="129" t="n"/>
    </row>
    <row r="772" ht="14.25" customHeight="1" s="83">
      <c r="A772" s="103" t="n"/>
      <c r="B772" s="125" t="n"/>
      <c r="C772" s="103" t="n"/>
      <c r="D772" s="126" t="n"/>
      <c r="E772" s="126" t="n"/>
      <c r="F772" s="127">
        <f>IF(D772="","",MAX(D772-E772,0))</f>
        <v/>
      </c>
      <c r="G772" s="130">
        <f>IF(E772="","",E772*GeneratorRate)</f>
        <v/>
      </c>
      <c r="H772" s="130">
        <f>IF(F772="","",F772*GovernmentRate)</f>
        <v/>
      </c>
      <c r="I772" s="130">
        <f>IF(D772="","",G772+H772)</f>
        <v/>
      </c>
      <c r="J772" s="129">
        <f>IFERROR(I772/COUNTIFS('Client DB &amp; Bed Mgmt'!$A:$A,A772,'Client DB &amp; Bed Mgmt'!$B:$B,C772,'Client DB &amp; Bed Mgmt'!$D:$D,"&lt;&gt;"),0)</f>
        <v/>
      </c>
      <c r="K772" s="88" t="n"/>
      <c r="L772" s="88" t="n"/>
      <c r="M772" s="88">
        <f>COUNTIFS('Client DB &amp; Bed Mgmt'!$B:$B,L772,'Client DB &amp; Bed Mgmt'!$E:$E,"Occupied")</f>
        <v/>
      </c>
      <c r="N772" s="88" t="n"/>
      <c r="O772" s="88" t="n"/>
      <c r="P772" s="88" t="n"/>
      <c r="Q772" s="88" t="n"/>
      <c r="R772" s="88" t="n"/>
      <c r="S772" s="88" t="n"/>
      <c r="T772" s="88" t="n"/>
      <c r="U772" s="129" t="n"/>
      <c r="V772" s="129" t="n"/>
    </row>
    <row r="773" ht="14.25" customHeight="1" s="83">
      <c r="A773" s="103" t="n"/>
      <c r="B773" s="125" t="n"/>
      <c r="C773" s="103" t="n"/>
      <c r="D773" s="126" t="n"/>
      <c r="E773" s="126" t="n"/>
      <c r="F773" s="127">
        <f>IF(D773="","",MAX(D773-E773,0))</f>
        <v/>
      </c>
      <c r="G773" s="130">
        <f>IF(E773="","",E773*GeneratorRate)</f>
        <v/>
      </c>
      <c r="H773" s="130">
        <f>IF(F773="","",F773*GovernmentRate)</f>
        <v/>
      </c>
      <c r="I773" s="130">
        <f>IF(D773="","",G773+H773)</f>
        <v/>
      </c>
      <c r="J773" s="129">
        <f>IFERROR(I773/COUNTIFS('Client DB &amp; Bed Mgmt'!$A:$A,A773,'Client DB &amp; Bed Mgmt'!$B:$B,C773,'Client DB &amp; Bed Mgmt'!$D:$D,"&lt;&gt;"),0)</f>
        <v/>
      </c>
      <c r="K773" s="88" t="n"/>
      <c r="L773" s="88" t="n"/>
      <c r="M773" s="88">
        <f>COUNTIFS('Client DB &amp; Bed Mgmt'!$B:$B,L773,'Client DB &amp; Bed Mgmt'!$E:$E,"Occupied")</f>
        <v/>
      </c>
      <c r="N773" s="88" t="n"/>
      <c r="O773" s="88" t="n"/>
      <c r="P773" s="88" t="n"/>
      <c r="Q773" s="88" t="n"/>
      <c r="R773" s="88" t="n"/>
      <c r="S773" s="88" t="n"/>
      <c r="T773" s="88" t="n"/>
      <c r="U773" s="129" t="n"/>
      <c r="V773" s="129" t="n"/>
    </row>
    <row r="774" ht="14.25" customHeight="1" s="83">
      <c r="A774" s="103" t="n"/>
      <c r="B774" s="125" t="n"/>
      <c r="C774" s="103" t="n"/>
      <c r="D774" s="126" t="n"/>
      <c r="E774" s="126" t="n"/>
      <c r="F774" s="127">
        <f>IF(D774="","",MAX(D774-E774,0))</f>
        <v/>
      </c>
      <c r="G774" s="130">
        <f>IF(E774="","",E774*GeneratorRate)</f>
        <v/>
      </c>
      <c r="H774" s="130">
        <f>IF(F774="","",F774*GovernmentRate)</f>
        <v/>
      </c>
      <c r="I774" s="130">
        <f>IF(D774="","",G774+H774)</f>
        <v/>
      </c>
      <c r="J774" s="129">
        <f>IFERROR(I774/COUNTIFS('Client DB &amp; Bed Mgmt'!$A:$A,A774,'Client DB &amp; Bed Mgmt'!$B:$B,C774,'Client DB &amp; Bed Mgmt'!$D:$D,"&lt;&gt;"),0)</f>
        <v/>
      </c>
      <c r="K774" s="88" t="n"/>
      <c r="L774" s="88" t="n"/>
      <c r="M774" s="88">
        <f>COUNTIFS('Client DB &amp; Bed Mgmt'!$B:$B,L774,'Client DB &amp; Bed Mgmt'!$E:$E,"Occupied")</f>
        <v/>
      </c>
      <c r="N774" s="88" t="n"/>
      <c r="O774" s="88" t="n"/>
      <c r="P774" s="88" t="n"/>
      <c r="Q774" s="88" t="n"/>
      <c r="R774" s="88" t="n"/>
      <c r="S774" s="88" t="n"/>
      <c r="T774" s="88" t="n"/>
      <c r="U774" s="129" t="n"/>
      <c r="V774" s="129" t="n"/>
    </row>
    <row r="775" ht="14.25" customHeight="1" s="83">
      <c r="A775" s="103" t="n"/>
      <c r="B775" s="125" t="n"/>
      <c r="C775" s="103" t="n"/>
      <c r="D775" s="126" t="n"/>
      <c r="E775" s="126" t="n"/>
      <c r="F775" s="127">
        <f>IF(D775="","",MAX(D775-E775,0))</f>
        <v/>
      </c>
      <c r="G775" s="130">
        <f>IF(E775="","",E775*GeneratorRate)</f>
        <v/>
      </c>
      <c r="H775" s="130">
        <f>IF(F775="","",F775*GovernmentRate)</f>
        <v/>
      </c>
      <c r="I775" s="130">
        <f>IF(D775="","",G775+H775)</f>
        <v/>
      </c>
      <c r="J775" s="129">
        <f>IFERROR(I775/COUNTIFS('Client DB &amp; Bed Mgmt'!$A:$A,A775,'Client DB &amp; Bed Mgmt'!$B:$B,C775,'Client DB &amp; Bed Mgmt'!$D:$D,"&lt;&gt;"),0)</f>
        <v/>
      </c>
      <c r="K775" s="88" t="n"/>
      <c r="L775" s="88" t="n"/>
      <c r="M775" s="88">
        <f>COUNTIFS('Client DB &amp; Bed Mgmt'!$B:$B,L775,'Client DB &amp; Bed Mgmt'!$E:$E,"Occupied")</f>
        <v/>
      </c>
      <c r="N775" s="88" t="n"/>
      <c r="O775" s="88" t="n"/>
      <c r="P775" s="88" t="n"/>
      <c r="Q775" s="88" t="n"/>
      <c r="R775" s="88" t="n"/>
      <c r="S775" s="88" t="n"/>
      <c r="T775" s="88" t="n"/>
      <c r="U775" s="129" t="n"/>
      <c r="V775" s="129" t="n"/>
    </row>
    <row r="776" ht="14.25" customHeight="1" s="83">
      <c r="A776" s="103" t="n"/>
      <c r="B776" s="125" t="n"/>
      <c r="C776" s="103" t="n"/>
      <c r="D776" s="126" t="n"/>
      <c r="E776" s="126" t="n"/>
      <c r="F776" s="127">
        <f>IF(D776="","",MAX(D776-E776,0))</f>
        <v/>
      </c>
      <c r="G776" s="130">
        <f>IF(E776="","",E776*GeneratorRate)</f>
        <v/>
      </c>
      <c r="H776" s="130">
        <f>IF(F776="","",F776*GovernmentRate)</f>
        <v/>
      </c>
      <c r="I776" s="130">
        <f>IF(D776="","",G776+H776)</f>
        <v/>
      </c>
      <c r="J776" s="129">
        <f>IFERROR(I776/COUNTIFS('Client DB &amp; Bed Mgmt'!$A:$A,A776,'Client DB &amp; Bed Mgmt'!$B:$B,C776,'Client DB &amp; Bed Mgmt'!$D:$D,"&lt;&gt;"),0)</f>
        <v/>
      </c>
      <c r="K776" s="88" t="n"/>
      <c r="L776" s="88" t="n"/>
      <c r="M776" s="88">
        <f>COUNTIFS('Client DB &amp; Bed Mgmt'!$B:$B,L776,'Client DB &amp; Bed Mgmt'!$E:$E,"Occupied")</f>
        <v/>
      </c>
      <c r="N776" s="88" t="n"/>
      <c r="O776" s="88" t="n"/>
      <c r="P776" s="88" t="n"/>
      <c r="Q776" s="88" t="n"/>
      <c r="R776" s="88" t="n"/>
      <c r="S776" s="88" t="n"/>
      <c r="T776" s="88" t="n"/>
      <c r="U776" s="129" t="n"/>
      <c r="V776" s="129" t="n"/>
    </row>
    <row r="777" ht="14.25" customHeight="1" s="83">
      <c r="A777" s="103" t="n"/>
      <c r="B777" s="125" t="n"/>
      <c r="C777" s="103" t="n"/>
      <c r="D777" s="126" t="n"/>
      <c r="E777" s="126" t="n"/>
      <c r="F777" s="127">
        <f>IF(D777="","",MAX(D777-E777,0))</f>
        <v/>
      </c>
      <c r="G777" s="130">
        <f>IF(E777="","",E777*GeneratorRate)</f>
        <v/>
      </c>
      <c r="H777" s="130">
        <f>IF(F777="","",F777*GovernmentRate)</f>
        <v/>
      </c>
      <c r="I777" s="130">
        <f>IF(D777="","",G777+H777)</f>
        <v/>
      </c>
      <c r="J777" s="129">
        <f>IFERROR(I777/COUNTIFS('Client DB &amp; Bed Mgmt'!$A:$A,A777,'Client DB &amp; Bed Mgmt'!$B:$B,C777,'Client DB &amp; Bed Mgmt'!$D:$D,"&lt;&gt;"),0)</f>
        <v/>
      </c>
      <c r="K777" s="88" t="n"/>
      <c r="L777" s="88" t="n"/>
      <c r="M777" s="88">
        <f>COUNTIFS('Client DB &amp; Bed Mgmt'!$B:$B,L777,'Client DB &amp; Bed Mgmt'!$E:$E,"Occupied")</f>
        <v/>
      </c>
      <c r="N777" s="88" t="n"/>
      <c r="O777" s="88" t="n"/>
      <c r="P777" s="88" t="n"/>
      <c r="Q777" s="88" t="n"/>
      <c r="R777" s="88" t="n"/>
      <c r="S777" s="88" t="n"/>
      <c r="T777" s="88" t="n"/>
      <c r="U777" s="129" t="n"/>
      <c r="V777" s="129" t="n"/>
    </row>
    <row r="778" ht="14.25" customHeight="1" s="83">
      <c r="A778" s="103" t="n"/>
      <c r="B778" s="125" t="n"/>
      <c r="C778" s="103" t="n"/>
      <c r="D778" s="126" t="n"/>
      <c r="E778" s="126" t="n"/>
      <c r="F778" s="127">
        <f>IF(D778="","",MAX(D778-E778,0))</f>
        <v/>
      </c>
      <c r="G778" s="130">
        <f>IF(E778="","",E778*GeneratorRate)</f>
        <v/>
      </c>
      <c r="H778" s="130">
        <f>IF(F778="","",F778*GovernmentRate)</f>
        <v/>
      </c>
      <c r="I778" s="130">
        <f>IF(D778="","",G778+H778)</f>
        <v/>
      </c>
      <c r="J778" s="129">
        <f>IFERROR(I778/COUNTIFS('Client DB &amp; Bed Mgmt'!$A:$A,A778,'Client DB &amp; Bed Mgmt'!$B:$B,C778,'Client DB &amp; Bed Mgmt'!$D:$D,"&lt;&gt;"),0)</f>
        <v/>
      </c>
      <c r="K778" s="88" t="n"/>
      <c r="L778" s="88" t="n"/>
      <c r="M778" s="88">
        <f>COUNTIFS('Client DB &amp; Bed Mgmt'!$B:$B,L778,'Client DB &amp; Bed Mgmt'!$E:$E,"Occupied")</f>
        <v/>
      </c>
      <c r="N778" s="88" t="n"/>
      <c r="O778" s="88" t="n"/>
      <c r="P778" s="88" t="n"/>
      <c r="Q778" s="88" t="n"/>
      <c r="R778" s="88" t="n"/>
      <c r="S778" s="88" t="n"/>
      <c r="T778" s="88" t="n"/>
      <c r="U778" s="129" t="n"/>
      <c r="V778" s="129" t="n"/>
    </row>
    <row r="779" ht="14.25" customHeight="1" s="83">
      <c r="A779" s="103" t="n"/>
      <c r="B779" s="125" t="n"/>
      <c r="C779" s="103" t="n"/>
      <c r="D779" s="126" t="n"/>
      <c r="E779" s="126" t="n"/>
      <c r="F779" s="127">
        <f>IF(D779="","",MAX(D779-E779,0))</f>
        <v/>
      </c>
      <c r="G779" s="130">
        <f>IF(E779="","",E779*GeneratorRate)</f>
        <v/>
      </c>
      <c r="H779" s="130">
        <f>IF(F779="","",F779*GovernmentRate)</f>
        <v/>
      </c>
      <c r="I779" s="130">
        <f>IF(D779="","",G779+H779)</f>
        <v/>
      </c>
      <c r="J779" s="129">
        <f>IFERROR(I779/COUNTIFS('Client DB &amp; Bed Mgmt'!$A:$A,A779,'Client DB &amp; Bed Mgmt'!$B:$B,C779,'Client DB &amp; Bed Mgmt'!$D:$D,"&lt;&gt;"),0)</f>
        <v/>
      </c>
      <c r="K779" s="88" t="n"/>
      <c r="L779" s="88" t="n"/>
      <c r="M779" s="88">
        <f>COUNTIFS('Client DB &amp; Bed Mgmt'!$B:$B,L779,'Client DB &amp; Bed Mgmt'!$E:$E,"Occupied")</f>
        <v/>
      </c>
      <c r="N779" s="88" t="n"/>
      <c r="O779" s="88" t="n"/>
      <c r="P779" s="88" t="n"/>
      <c r="Q779" s="88" t="n"/>
      <c r="R779" s="88" t="n"/>
      <c r="S779" s="88" t="n"/>
      <c r="T779" s="88" t="n"/>
      <c r="U779" s="129" t="n"/>
      <c r="V779" s="129" t="n"/>
    </row>
    <row r="780" ht="14.25" customHeight="1" s="83">
      <c r="A780" s="103" t="n"/>
      <c r="B780" s="125" t="n"/>
      <c r="C780" s="103" t="n"/>
      <c r="D780" s="126" t="n"/>
      <c r="E780" s="126" t="n"/>
      <c r="F780" s="127">
        <f>IF(D780="","",MAX(D780-E780,0))</f>
        <v/>
      </c>
      <c r="G780" s="130">
        <f>IF(E780="","",E780*GeneratorRate)</f>
        <v/>
      </c>
      <c r="H780" s="130">
        <f>IF(F780="","",F780*GovernmentRate)</f>
        <v/>
      </c>
      <c r="I780" s="130">
        <f>IF(D780="","",G780+H780)</f>
        <v/>
      </c>
      <c r="J780" s="129">
        <f>IFERROR(I780/COUNTIFS('Client DB &amp; Bed Mgmt'!$A:$A,A780,'Client DB &amp; Bed Mgmt'!$B:$B,C780,'Client DB &amp; Bed Mgmt'!$D:$D,"&lt;&gt;"),0)</f>
        <v/>
      </c>
      <c r="K780" s="88" t="n"/>
      <c r="L780" s="88" t="n"/>
      <c r="M780" s="88">
        <f>COUNTIFS('Client DB &amp; Bed Mgmt'!$B:$B,L780,'Client DB &amp; Bed Mgmt'!$E:$E,"Occupied")</f>
        <v/>
      </c>
      <c r="N780" s="88" t="n"/>
      <c r="O780" s="88" t="n"/>
      <c r="P780" s="88" t="n"/>
      <c r="Q780" s="88" t="n"/>
      <c r="R780" s="88" t="n"/>
      <c r="S780" s="88" t="n"/>
      <c r="T780" s="88" t="n"/>
      <c r="U780" s="129" t="n"/>
      <c r="V780" s="129" t="n"/>
    </row>
    <row r="781" ht="14.25" customHeight="1" s="83">
      <c r="A781" s="103" t="n"/>
      <c r="B781" s="125" t="n"/>
      <c r="C781" s="103" t="n"/>
      <c r="D781" s="126" t="n"/>
      <c r="E781" s="126" t="n"/>
      <c r="F781" s="127">
        <f>IF(D781="","",MAX(D781-E781,0))</f>
        <v/>
      </c>
      <c r="G781" s="130">
        <f>IF(E781="","",E781*GeneratorRate)</f>
        <v/>
      </c>
      <c r="H781" s="130">
        <f>IF(F781="","",F781*GovernmentRate)</f>
        <v/>
      </c>
      <c r="I781" s="130">
        <f>IF(D781="","",G781+H781)</f>
        <v/>
      </c>
      <c r="J781" s="129">
        <f>IFERROR(I781/COUNTIFS('Client DB &amp; Bed Mgmt'!$A:$A,A781,'Client DB &amp; Bed Mgmt'!$B:$B,C781,'Client DB &amp; Bed Mgmt'!$D:$D,"&lt;&gt;"),0)</f>
        <v/>
      </c>
      <c r="K781" s="88" t="n"/>
      <c r="L781" s="88" t="n"/>
      <c r="M781" s="88">
        <f>COUNTIFS('Client DB &amp; Bed Mgmt'!$B:$B,L781,'Client DB &amp; Bed Mgmt'!$E:$E,"Occupied")</f>
        <v/>
      </c>
      <c r="N781" s="88" t="n"/>
      <c r="O781" s="88" t="n"/>
      <c r="P781" s="88" t="n"/>
      <c r="Q781" s="88" t="n"/>
      <c r="R781" s="88" t="n"/>
      <c r="S781" s="88" t="n"/>
      <c r="T781" s="88" t="n"/>
      <c r="U781" s="129" t="n"/>
      <c r="V781" s="129" t="n"/>
    </row>
    <row r="782" ht="14.25" customHeight="1" s="83">
      <c r="A782" s="103" t="n"/>
      <c r="B782" s="125" t="n"/>
      <c r="C782" s="103" t="n"/>
      <c r="D782" s="126" t="n"/>
      <c r="E782" s="126" t="n"/>
      <c r="F782" s="127">
        <f>IF(D782="","",MAX(D782-E782,0))</f>
        <v/>
      </c>
      <c r="G782" s="130">
        <f>IF(E782="","",E782*GeneratorRate)</f>
        <v/>
      </c>
      <c r="H782" s="130">
        <f>IF(F782="","",F782*GovernmentRate)</f>
        <v/>
      </c>
      <c r="I782" s="130">
        <f>IF(D782="","",G782+H782)</f>
        <v/>
      </c>
      <c r="J782" s="129">
        <f>IFERROR(I782/COUNTIFS('Client DB &amp; Bed Mgmt'!$A:$A,A782,'Client DB &amp; Bed Mgmt'!$B:$B,C782,'Client DB &amp; Bed Mgmt'!$D:$D,"&lt;&gt;"),0)</f>
        <v/>
      </c>
      <c r="K782" s="88" t="n"/>
      <c r="L782" s="88" t="n"/>
      <c r="M782" s="88">
        <f>COUNTIFS('Client DB &amp; Bed Mgmt'!$B:$B,L782,'Client DB &amp; Bed Mgmt'!$E:$E,"Occupied")</f>
        <v/>
      </c>
      <c r="N782" s="88" t="n"/>
      <c r="O782" s="88" t="n"/>
      <c r="P782" s="88" t="n"/>
      <c r="Q782" s="88" t="n"/>
      <c r="R782" s="88" t="n"/>
      <c r="S782" s="88" t="n"/>
      <c r="T782" s="88" t="n"/>
      <c r="U782" s="129" t="n"/>
      <c r="V782" s="129" t="n"/>
    </row>
    <row r="783" ht="14.25" customHeight="1" s="83">
      <c r="A783" s="103" t="n"/>
      <c r="B783" s="125" t="n"/>
      <c r="C783" s="103" t="n"/>
      <c r="D783" s="126" t="n"/>
      <c r="E783" s="126" t="n"/>
      <c r="F783" s="127">
        <f>IF(D783="","",MAX(D783-E783,0))</f>
        <v/>
      </c>
      <c r="G783" s="130">
        <f>IF(E783="","",E783*GeneratorRate)</f>
        <v/>
      </c>
      <c r="H783" s="130">
        <f>IF(F783="","",F783*GovernmentRate)</f>
        <v/>
      </c>
      <c r="I783" s="130">
        <f>IF(D783="","",G783+H783)</f>
        <v/>
      </c>
      <c r="J783" s="129">
        <f>IFERROR(I783/COUNTIFS('Client DB &amp; Bed Mgmt'!$A:$A,A783,'Client DB &amp; Bed Mgmt'!$B:$B,C783,'Client DB &amp; Bed Mgmt'!$D:$D,"&lt;&gt;"),0)</f>
        <v/>
      </c>
      <c r="K783" s="88" t="n"/>
      <c r="L783" s="88" t="n"/>
      <c r="M783" s="88">
        <f>COUNTIFS('Client DB &amp; Bed Mgmt'!$B:$B,L783,'Client DB &amp; Bed Mgmt'!$E:$E,"Occupied")</f>
        <v/>
      </c>
      <c r="N783" s="88" t="n"/>
      <c r="O783" s="88" t="n"/>
      <c r="P783" s="88" t="n"/>
      <c r="Q783" s="88" t="n"/>
      <c r="R783" s="88" t="n"/>
      <c r="S783" s="88" t="n"/>
      <c r="T783" s="88" t="n"/>
      <c r="U783" s="129" t="n"/>
      <c r="V783" s="129" t="n"/>
    </row>
    <row r="784" ht="14.25" customHeight="1" s="83">
      <c r="A784" s="103" t="n"/>
      <c r="B784" s="125" t="n"/>
      <c r="C784" s="103" t="n"/>
      <c r="D784" s="126" t="n"/>
      <c r="E784" s="126" t="n"/>
      <c r="F784" s="127">
        <f>IF(D784="","",MAX(D784-E784,0))</f>
        <v/>
      </c>
      <c r="G784" s="130">
        <f>IF(E784="","",E784*GeneratorRate)</f>
        <v/>
      </c>
      <c r="H784" s="130">
        <f>IF(F784="","",F784*GovernmentRate)</f>
        <v/>
      </c>
      <c r="I784" s="130">
        <f>IF(D784="","",G784+H784)</f>
        <v/>
      </c>
      <c r="J784" s="129">
        <f>IFERROR(I784/COUNTIFS('Client DB &amp; Bed Mgmt'!$A:$A,A784,'Client DB &amp; Bed Mgmt'!$B:$B,C784,'Client DB &amp; Bed Mgmt'!$D:$D,"&lt;&gt;"),0)</f>
        <v/>
      </c>
      <c r="K784" s="88" t="n"/>
      <c r="L784" s="88" t="n"/>
      <c r="M784" s="88">
        <f>COUNTIFS('Client DB &amp; Bed Mgmt'!$B:$B,L784,'Client DB &amp; Bed Mgmt'!$E:$E,"Occupied")</f>
        <v/>
      </c>
      <c r="N784" s="88" t="n"/>
      <c r="O784" s="88" t="n"/>
      <c r="P784" s="88" t="n"/>
      <c r="Q784" s="88" t="n"/>
      <c r="R784" s="88" t="n"/>
      <c r="S784" s="88" t="n"/>
      <c r="T784" s="88" t="n"/>
      <c r="U784" s="129" t="n"/>
      <c r="V784" s="129" t="n"/>
    </row>
    <row r="785" ht="14.25" customHeight="1" s="83">
      <c r="A785" s="103" t="n"/>
      <c r="B785" s="125" t="n"/>
      <c r="C785" s="103" t="n"/>
      <c r="D785" s="126" t="n"/>
      <c r="E785" s="126" t="n"/>
      <c r="F785" s="127">
        <f>IF(D785="","",MAX(D785-E785,0))</f>
        <v/>
      </c>
      <c r="G785" s="130">
        <f>IF(E785="","",E785*GeneratorRate)</f>
        <v/>
      </c>
      <c r="H785" s="130">
        <f>IF(F785="","",F785*GovernmentRate)</f>
        <v/>
      </c>
      <c r="I785" s="130">
        <f>IF(D785="","",G785+H785)</f>
        <v/>
      </c>
      <c r="J785" s="129">
        <f>IFERROR(I785/COUNTIFS('Client DB &amp; Bed Mgmt'!$A:$A,A785,'Client DB &amp; Bed Mgmt'!$B:$B,C785,'Client DB &amp; Bed Mgmt'!$D:$D,"&lt;&gt;"),0)</f>
        <v/>
      </c>
      <c r="K785" s="88" t="n"/>
      <c r="L785" s="88" t="n"/>
      <c r="M785" s="88">
        <f>COUNTIFS('Client DB &amp; Bed Mgmt'!$B:$B,L785,'Client DB &amp; Bed Mgmt'!$E:$E,"Occupied")</f>
        <v/>
      </c>
      <c r="N785" s="88" t="n"/>
      <c r="O785" s="88" t="n"/>
      <c r="P785" s="88" t="n"/>
      <c r="Q785" s="88" t="n"/>
      <c r="R785" s="88" t="n"/>
      <c r="S785" s="88" t="n"/>
      <c r="T785" s="88" t="n"/>
      <c r="U785" s="129" t="n"/>
      <c r="V785" s="129" t="n"/>
    </row>
    <row r="786" ht="14.25" customHeight="1" s="83">
      <c r="A786" s="103" t="n"/>
      <c r="B786" s="125" t="n"/>
      <c r="C786" s="103" t="n"/>
      <c r="D786" s="126" t="n"/>
      <c r="E786" s="126" t="n"/>
      <c r="F786" s="127">
        <f>IF(D786="","",MAX(D786-E786,0))</f>
        <v/>
      </c>
      <c r="G786" s="130">
        <f>IF(E786="","",E786*GeneratorRate)</f>
        <v/>
      </c>
      <c r="H786" s="130">
        <f>IF(F786="","",F786*GovernmentRate)</f>
        <v/>
      </c>
      <c r="I786" s="130">
        <f>IF(D786="","",G786+H786)</f>
        <v/>
      </c>
      <c r="J786" s="129">
        <f>IFERROR(I786/COUNTIFS('Client DB &amp; Bed Mgmt'!$A:$A,A786,'Client DB &amp; Bed Mgmt'!$B:$B,C786,'Client DB &amp; Bed Mgmt'!$D:$D,"&lt;&gt;"),0)</f>
        <v/>
      </c>
      <c r="K786" s="88" t="n"/>
      <c r="L786" s="88" t="n"/>
      <c r="M786" s="88">
        <f>COUNTIFS('Client DB &amp; Bed Mgmt'!$B:$B,L786,'Client DB &amp; Bed Mgmt'!$E:$E,"Occupied")</f>
        <v/>
      </c>
      <c r="N786" s="88" t="n"/>
      <c r="O786" s="88" t="n"/>
      <c r="P786" s="88" t="n"/>
      <c r="Q786" s="88" t="n"/>
      <c r="R786" s="88" t="n"/>
      <c r="S786" s="88" t="n"/>
      <c r="T786" s="88" t="n"/>
      <c r="U786" s="129" t="n"/>
      <c r="V786" s="129" t="n"/>
    </row>
    <row r="787" ht="14.25" customHeight="1" s="83">
      <c r="A787" s="103" t="n"/>
      <c r="B787" s="125" t="n"/>
      <c r="C787" s="103" t="n"/>
      <c r="D787" s="126" t="n"/>
      <c r="E787" s="126" t="n"/>
      <c r="F787" s="127">
        <f>IF(D787="","",MAX(D787-E787,0))</f>
        <v/>
      </c>
      <c r="G787" s="130">
        <f>IF(E787="","",E787*GeneratorRate)</f>
        <v/>
      </c>
      <c r="H787" s="130">
        <f>IF(F787="","",F787*GovernmentRate)</f>
        <v/>
      </c>
      <c r="I787" s="130">
        <f>IF(D787="","",G787+H787)</f>
        <v/>
      </c>
      <c r="J787" s="129">
        <f>IFERROR(I787/COUNTIFS('Client DB &amp; Bed Mgmt'!$A:$A,A787,'Client DB &amp; Bed Mgmt'!$B:$B,C787,'Client DB &amp; Bed Mgmt'!$D:$D,"&lt;&gt;"),0)</f>
        <v/>
      </c>
      <c r="K787" s="88" t="n"/>
      <c r="L787" s="88" t="n"/>
      <c r="M787" s="88">
        <f>COUNTIFS('Client DB &amp; Bed Mgmt'!$B:$B,L787,'Client DB &amp; Bed Mgmt'!$E:$E,"Occupied")</f>
        <v/>
      </c>
      <c r="N787" s="88" t="n"/>
      <c r="O787" s="88" t="n"/>
      <c r="P787" s="88" t="n"/>
      <c r="Q787" s="88" t="n"/>
      <c r="R787" s="88" t="n"/>
      <c r="S787" s="88" t="n"/>
      <c r="T787" s="88" t="n"/>
      <c r="U787" s="129" t="n"/>
      <c r="V787" s="129" t="n"/>
    </row>
    <row r="788" ht="14.25" customHeight="1" s="83">
      <c r="A788" s="103" t="n"/>
      <c r="B788" s="125" t="n"/>
      <c r="C788" s="103" t="n"/>
      <c r="D788" s="126" t="n"/>
      <c r="E788" s="126" t="n"/>
      <c r="F788" s="127">
        <f>IF(D788="","",MAX(D788-E788,0))</f>
        <v/>
      </c>
      <c r="G788" s="130">
        <f>IF(E788="","",E788*GeneratorRate)</f>
        <v/>
      </c>
      <c r="H788" s="130">
        <f>IF(F788="","",F788*GovernmentRate)</f>
        <v/>
      </c>
      <c r="I788" s="130">
        <f>IF(D788="","",G788+H788)</f>
        <v/>
      </c>
      <c r="J788" s="129">
        <f>IFERROR(I788/COUNTIFS('Client DB &amp; Bed Mgmt'!$A:$A,A788,'Client DB &amp; Bed Mgmt'!$B:$B,C788,'Client DB &amp; Bed Mgmt'!$D:$D,"&lt;&gt;"),0)</f>
        <v/>
      </c>
      <c r="K788" s="88" t="n"/>
      <c r="L788" s="88" t="n"/>
      <c r="M788" s="88">
        <f>COUNTIFS('Client DB &amp; Bed Mgmt'!$B:$B,L788,'Client DB &amp; Bed Mgmt'!$E:$E,"Occupied")</f>
        <v/>
      </c>
      <c r="N788" s="88" t="n"/>
      <c r="O788" s="88" t="n"/>
      <c r="P788" s="88" t="n"/>
      <c r="Q788" s="88" t="n"/>
      <c r="R788" s="88" t="n"/>
      <c r="S788" s="88" t="n"/>
      <c r="T788" s="88" t="n"/>
      <c r="U788" s="129" t="n"/>
      <c r="V788" s="129" t="n"/>
    </row>
    <row r="789" ht="14.25" customHeight="1" s="83">
      <c r="A789" s="103" t="n"/>
      <c r="B789" s="125" t="n"/>
      <c r="C789" s="103" t="n"/>
      <c r="D789" s="126" t="n"/>
      <c r="E789" s="126" t="n"/>
      <c r="F789" s="127">
        <f>IF(D789="","",MAX(D789-E789,0))</f>
        <v/>
      </c>
      <c r="G789" s="130">
        <f>IF(E789="","",E789*GeneratorRate)</f>
        <v/>
      </c>
      <c r="H789" s="130">
        <f>IF(F789="","",F789*GovernmentRate)</f>
        <v/>
      </c>
      <c r="I789" s="130">
        <f>IF(D789="","",G789+H789)</f>
        <v/>
      </c>
      <c r="J789" s="129">
        <f>IFERROR(I789/COUNTIFS('Client DB &amp; Bed Mgmt'!$A:$A,A789,'Client DB &amp; Bed Mgmt'!$B:$B,C789,'Client DB &amp; Bed Mgmt'!$D:$D,"&lt;&gt;"),0)</f>
        <v/>
      </c>
      <c r="K789" s="88" t="n"/>
      <c r="L789" s="88" t="n"/>
      <c r="M789" s="88">
        <f>COUNTIFS('Client DB &amp; Bed Mgmt'!$B:$B,L789,'Client DB &amp; Bed Mgmt'!$E:$E,"Occupied")</f>
        <v/>
      </c>
      <c r="N789" s="88" t="n"/>
      <c r="O789" s="88" t="n"/>
      <c r="P789" s="88" t="n"/>
      <c r="Q789" s="88" t="n"/>
      <c r="R789" s="88" t="n"/>
      <c r="S789" s="88" t="n"/>
      <c r="T789" s="88" t="n"/>
      <c r="U789" s="129" t="n"/>
      <c r="V789" s="129" t="n"/>
    </row>
    <row r="790" ht="14.25" customHeight="1" s="83">
      <c r="A790" s="103" t="n"/>
      <c r="B790" s="125" t="n"/>
      <c r="C790" s="103" t="n"/>
      <c r="D790" s="126" t="n"/>
      <c r="E790" s="126" t="n"/>
      <c r="F790" s="127">
        <f>IF(D790="","",MAX(D790-E790,0))</f>
        <v/>
      </c>
      <c r="G790" s="130">
        <f>IF(E790="","",E790*GeneratorRate)</f>
        <v/>
      </c>
      <c r="H790" s="130">
        <f>IF(F790="","",F790*GovernmentRate)</f>
        <v/>
      </c>
      <c r="I790" s="130">
        <f>IF(D790="","",G790+H790)</f>
        <v/>
      </c>
      <c r="J790" s="129">
        <f>IFERROR(I790/COUNTIFS('Client DB &amp; Bed Mgmt'!$A:$A,A790,'Client DB &amp; Bed Mgmt'!$B:$B,C790,'Client DB &amp; Bed Mgmt'!$D:$D,"&lt;&gt;"),0)</f>
        <v/>
      </c>
      <c r="K790" s="88" t="n"/>
      <c r="L790" s="88" t="n"/>
      <c r="M790" s="88">
        <f>COUNTIFS('Client DB &amp; Bed Mgmt'!$B:$B,L790,'Client DB &amp; Bed Mgmt'!$E:$E,"Occupied")</f>
        <v/>
      </c>
      <c r="N790" s="88" t="n"/>
      <c r="O790" s="88" t="n"/>
      <c r="P790" s="88" t="n"/>
      <c r="Q790" s="88" t="n"/>
      <c r="R790" s="88" t="n"/>
      <c r="S790" s="88" t="n"/>
      <c r="T790" s="88" t="n"/>
      <c r="U790" s="129" t="n"/>
      <c r="V790" s="129" t="n"/>
    </row>
    <row r="791" ht="14.25" customHeight="1" s="83">
      <c r="A791" s="103" t="n"/>
      <c r="B791" s="125" t="n"/>
      <c r="C791" s="103" t="n"/>
      <c r="D791" s="126" t="n"/>
      <c r="E791" s="126" t="n"/>
      <c r="F791" s="127">
        <f>IF(D791="","",MAX(D791-E791,0))</f>
        <v/>
      </c>
      <c r="G791" s="130">
        <f>IF(E791="","",E791*GeneratorRate)</f>
        <v/>
      </c>
      <c r="H791" s="130">
        <f>IF(F791="","",F791*GovernmentRate)</f>
        <v/>
      </c>
      <c r="I791" s="130">
        <f>IF(D791="","",G791+H791)</f>
        <v/>
      </c>
      <c r="J791" s="129">
        <f>IFERROR(I791/COUNTIFS('Client DB &amp; Bed Mgmt'!$A:$A,A791,'Client DB &amp; Bed Mgmt'!$B:$B,C791,'Client DB &amp; Bed Mgmt'!$D:$D,"&lt;&gt;"),0)</f>
        <v/>
      </c>
      <c r="K791" s="88" t="n"/>
      <c r="L791" s="88" t="n"/>
      <c r="M791" s="88">
        <f>COUNTIFS('Client DB &amp; Bed Mgmt'!$B:$B,L791,'Client DB &amp; Bed Mgmt'!$E:$E,"Occupied")</f>
        <v/>
      </c>
      <c r="N791" s="88" t="n"/>
      <c r="O791" s="88" t="n"/>
      <c r="P791" s="88" t="n"/>
      <c r="Q791" s="88" t="n"/>
      <c r="R791" s="88" t="n"/>
      <c r="S791" s="88" t="n"/>
      <c r="T791" s="88" t="n"/>
      <c r="U791" s="129" t="n"/>
      <c r="V791" s="129" t="n"/>
    </row>
    <row r="792" ht="14.25" customHeight="1" s="83">
      <c r="A792" s="103" t="n"/>
      <c r="B792" s="125" t="n"/>
      <c r="C792" s="103" t="n"/>
      <c r="D792" s="126" t="n"/>
      <c r="E792" s="126" t="n"/>
      <c r="F792" s="127">
        <f>IF(D792="","",MAX(D792-E792,0))</f>
        <v/>
      </c>
      <c r="G792" s="130">
        <f>IF(E792="","",E792*GeneratorRate)</f>
        <v/>
      </c>
      <c r="H792" s="130">
        <f>IF(F792="","",F792*GovernmentRate)</f>
        <v/>
      </c>
      <c r="I792" s="130">
        <f>IF(D792="","",G792+H792)</f>
        <v/>
      </c>
      <c r="J792" s="129">
        <f>IFERROR(I792/COUNTIFS('Client DB &amp; Bed Mgmt'!$A:$A,A792,'Client DB &amp; Bed Mgmt'!$B:$B,C792,'Client DB &amp; Bed Mgmt'!$D:$D,"&lt;&gt;"),0)</f>
        <v/>
      </c>
      <c r="K792" s="88" t="n"/>
      <c r="L792" s="88" t="n"/>
      <c r="M792" s="88">
        <f>COUNTIFS('Client DB &amp; Bed Mgmt'!$B:$B,L792,'Client DB &amp; Bed Mgmt'!$E:$E,"Occupied")</f>
        <v/>
      </c>
      <c r="N792" s="88" t="n"/>
      <c r="O792" s="88" t="n"/>
      <c r="P792" s="88" t="n"/>
      <c r="Q792" s="88" t="n"/>
      <c r="R792" s="88" t="n"/>
      <c r="S792" s="88" t="n"/>
      <c r="T792" s="88" t="n"/>
      <c r="U792" s="129" t="n"/>
      <c r="V792" s="129" t="n"/>
    </row>
    <row r="793" ht="14.25" customHeight="1" s="83">
      <c r="A793" s="103" t="n"/>
      <c r="B793" s="125" t="n"/>
      <c r="C793" s="103" t="n"/>
      <c r="D793" s="126" t="n"/>
      <c r="E793" s="126" t="n"/>
      <c r="F793" s="127">
        <f>IF(D793="","",MAX(D793-E793,0))</f>
        <v/>
      </c>
      <c r="G793" s="130">
        <f>IF(E793="","",E793*GeneratorRate)</f>
        <v/>
      </c>
      <c r="H793" s="130">
        <f>IF(F793="","",F793*GovernmentRate)</f>
        <v/>
      </c>
      <c r="I793" s="130">
        <f>IF(D793="","",G793+H793)</f>
        <v/>
      </c>
      <c r="J793" s="129">
        <f>IFERROR(I793/COUNTIFS('Client DB &amp; Bed Mgmt'!$A:$A,A793,'Client DB &amp; Bed Mgmt'!$B:$B,C793,'Client DB &amp; Bed Mgmt'!$D:$D,"&lt;&gt;"),0)</f>
        <v/>
      </c>
      <c r="K793" s="88" t="n"/>
      <c r="L793" s="88" t="n"/>
      <c r="M793" s="88">
        <f>COUNTIFS('Client DB &amp; Bed Mgmt'!$B:$B,L793,'Client DB &amp; Bed Mgmt'!$E:$E,"Occupied")</f>
        <v/>
      </c>
      <c r="N793" s="88" t="n"/>
      <c r="O793" s="88" t="n"/>
      <c r="P793" s="88" t="n"/>
      <c r="Q793" s="88" t="n"/>
      <c r="R793" s="88" t="n"/>
      <c r="S793" s="88" t="n"/>
      <c r="T793" s="88" t="n"/>
      <c r="U793" s="129" t="n"/>
      <c r="V793" s="129" t="n"/>
    </row>
    <row r="794" ht="14.25" customHeight="1" s="83">
      <c r="A794" s="103" t="n"/>
      <c r="B794" s="125" t="n"/>
      <c r="C794" s="103" t="n"/>
      <c r="D794" s="126" t="n"/>
      <c r="E794" s="126" t="n"/>
      <c r="F794" s="127">
        <f>IF(D794="","",MAX(D794-E794,0))</f>
        <v/>
      </c>
      <c r="G794" s="130">
        <f>IF(E794="","",E794*GeneratorRate)</f>
        <v/>
      </c>
      <c r="H794" s="130">
        <f>IF(F794="","",F794*GovernmentRate)</f>
        <v/>
      </c>
      <c r="I794" s="130">
        <f>IF(D794="","",G794+H794)</f>
        <v/>
      </c>
      <c r="J794" s="129">
        <f>IFERROR(I794/COUNTIFS('Client DB &amp; Bed Mgmt'!$A:$A,A794,'Client DB &amp; Bed Mgmt'!$B:$B,C794,'Client DB &amp; Bed Mgmt'!$D:$D,"&lt;&gt;"),0)</f>
        <v/>
      </c>
      <c r="K794" s="88" t="n"/>
      <c r="L794" s="88" t="n"/>
      <c r="M794" s="88">
        <f>COUNTIFS('Client DB &amp; Bed Mgmt'!$B:$B,L794,'Client DB &amp; Bed Mgmt'!$E:$E,"Occupied")</f>
        <v/>
      </c>
      <c r="N794" s="88" t="n"/>
      <c r="O794" s="88" t="n"/>
      <c r="P794" s="88" t="n"/>
      <c r="Q794" s="88" t="n"/>
      <c r="R794" s="88" t="n"/>
      <c r="S794" s="88" t="n"/>
      <c r="T794" s="88" t="n"/>
      <c r="U794" s="129" t="n"/>
      <c r="V794" s="129" t="n"/>
    </row>
    <row r="795" ht="14.25" customHeight="1" s="83">
      <c r="A795" s="103" t="n"/>
      <c r="B795" s="125" t="n"/>
      <c r="C795" s="103" t="n"/>
      <c r="D795" s="126" t="n"/>
      <c r="E795" s="126" t="n"/>
      <c r="F795" s="127">
        <f>IF(D795="","",MAX(D795-E795,0))</f>
        <v/>
      </c>
      <c r="G795" s="130">
        <f>IF(E795="","",E795*GeneratorRate)</f>
        <v/>
      </c>
      <c r="H795" s="130">
        <f>IF(F795="","",F795*GovernmentRate)</f>
        <v/>
      </c>
      <c r="I795" s="130">
        <f>IF(D795="","",G795+H795)</f>
        <v/>
      </c>
      <c r="J795" s="129">
        <f>IFERROR(I795/COUNTIFS('Client DB &amp; Bed Mgmt'!$A:$A,A795,'Client DB &amp; Bed Mgmt'!$B:$B,C795,'Client DB &amp; Bed Mgmt'!$D:$D,"&lt;&gt;"),0)</f>
        <v/>
      </c>
      <c r="K795" s="88" t="n"/>
      <c r="L795" s="88" t="n"/>
      <c r="M795" s="88">
        <f>COUNTIFS('Client DB &amp; Bed Mgmt'!$B:$B,L795,'Client DB &amp; Bed Mgmt'!$E:$E,"Occupied")</f>
        <v/>
      </c>
      <c r="N795" s="88" t="n"/>
      <c r="O795" s="88" t="n"/>
      <c r="P795" s="88" t="n"/>
      <c r="Q795" s="88" t="n"/>
      <c r="R795" s="88" t="n"/>
      <c r="S795" s="88" t="n"/>
      <c r="T795" s="88" t="n"/>
      <c r="U795" s="129" t="n"/>
      <c r="V795" s="129" t="n"/>
    </row>
    <row r="796" ht="14.25" customHeight="1" s="83">
      <c r="A796" s="103" t="n"/>
      <c r="B796" s="125" t="n"/>
      <c r="C796" s="103" t="n"/>
      <c r="D796" s="126" t="n"/>
      <c r="E796" s="126" t="n"/>
      <c r="F796" s="127">
        <f>IF(D796="","",MAX(D796-E796,0))</f>
        <v/>
      </c>
      <c r="G796" s="130">
        <f>IF(E796="","",E796*GeneratorRate)</f>
        <v/>
      </c>
      <c r="H796" s="130">
        <f>IF(F796="","",F796*GovernmentRate)</f>
        <v/>
      </c>
      <c r="I796" s="130">
        <f>IF(D796="","",G796+H796)</f>
        <v/>
      </c>
      <c r="J796" s="129">
        <f>IFERROR(I796/COUNTIFS('Client DB &amp; Bed Mgmt'!$A:$A,A796,'Client DB &amp; Bed Mgmt'!$B:$B,C796,'Client DB &amp; Bed Mgmt'!$D:$D,"&lt;&gt;"),0)</f>
        <v/>
      </c>
      <c r="K796" s="88" t="n"/>
      <c r="L796" s="88" t="n"/>
      <c r="M796" s="88">
        <f>COUNTIFS('Client DB &amp; Bed Mgmt'!$B:$B,L796,'Client DB &amp; Bed Mgmt'!$E:$E,"Occupied")</f>
        <v/>
      </c>
      <c r="N796" s="88" t="n"/>
      <c r="O796" s="88" t="n"/>
      <c r="P796" s="88" t="n"/>
      <c r="Q796" s="88" t="n"/>
      <c r="R796" s="88" t="n"/>
      <c r="S796" s="88" t="n"/>
      <c r="T796" s="88" t="n"/>
      <c r="U796" s="129" t="n"/>
      <c r="V796" s="129" t="n"/>
    </row>
    <row r="797" ht="14.25" customHeight="1" s="83">
      <c r="A797" s="103" t="n"/>
      <c r="B797" s="125" t="n"/>
      <c r="C797" s="103" t="n"/>
      <c r="D797" s="126" t="n"/>
      <c r="E797" s="126" t="n"/>
      <c r="F797" s="127">
        <f>IF(D797="","",MAX(D797-E797,0))</f>
        <v/>
      </c>
      <c r="G797" s="130">
        <f>IF(E797="","",E797*GeneratorRate)</f>
        <v/>
      </c>
      <c r="H797" s="130">
        <f>IF(F797="","",F797*GovernmentRate)</f>
        <v/>
      </c>
      <c r="I797" s="130">
        <f>IF(D797="","",G797+H797)</f>
        <v/>
      </c>
      <c r="J797" s="129">
        <f>IFERROR(I797/COUNTIFS('Client DB &amp; Bed Mgmt'!$A:$A,A797,'Client DB &amp; Bed Mgmt'!$B:$B,C797,'Client DB &amp; Bed Mgmt'!$D:$D,"&lt;&gt;"),0)</f>
        <v/>
      </c>
      <c r="K797" s="88" t="n"/>
      <c r="L797" s="88" t="n"/>
      <c r="M797" s="88">
        <f>COUNTIFS('Client DB &amp; Bed Mgmt'!$B:$B,L797,'Client DB &amp; Bed Mgmt'!$E:$E,"Occupied")</f>
        <v/>
      </c>
      <c r="N797" s="88" t="n"/>
      <c r="O797" s="88" t="n"/>
      <c r="P797" s="88" t="n"/>
      <c r="Q797" s="88" t="n"/>
      <c r="R797" s="88" t="n"/>
      <c r="S797" s="88" t="n"/>
      <c r="T797" s="88" t="n"/>
      <c r="U797" s="129" t="n"/>
      <c r="V797" s="129" t="n"/>
    </row>
    <row r="798" ht="14.25" customHeight="1" s="83">
      <c r="A798" s="103" t="n"/>
      <c r="B798" s="125" t="n"/>
      <c r="C798" s="103" t="n"/>
      <c r="D798" s="126" t="n"/>
      <c r="E798" s="126" t="n"/>
      <c r="F798" s="127">
        <f>IF(D798="","",MAX(D798-E798,0))</f>
        <v/>
      </c>
      <c r="G798" s="130">
        <f>IF(E798="","",E798*GeneratorRate)</f>
        <v/>
      </c>
      <c r="H798" s="130">
        <f>IF(F798="","",F798*GovernmentRate)</f>
        <v/>
      </c>
      <c r="I798" s="130">
        <f>IF(D798="","",G798+H798)</f>
        <v/>
      </c>
      <c r="J798" s="129">
        <f>IFERROR(I798/COUNTIFS('Client DB &amp; Bed Mgmt'!$A:$A,A798,'Client DB &amp; Bed Mgmt'!$B:$B,C798,'Client DB &amp; Bed Mgmt'!$D:$D,"&lt;&gt;"),0)</f>
        <v/>
      </c>
      <c r="K798" s="88" t="n"/>
      <c r="L798" s="88" t="n"/>
      <c r="M798" s="88">
        <f>COUNTIFS('Client DB &amp; Bed Mgmt'!$B:$B,L798,'Client DB &amp; Bed Mgmt'!$E:$E,"Occupied")</f>
        <v/>
      </c>
      <c r="N798" s="88" t="n"/>
      <c r="O798" s="88" t="n"/>
      <c r="P798" s="88" t="n"/>
      <c r="Q798" s="88" t="n"/>
      <c r="R798" s="88" t="n"/>
      <c r="S798" s="88" t="n"/>
      <c r="T798" s="88" t="n"/>
      <c r="U798" s="129" t="n"/>
      <c r="V798" s="129" t="n"/>
    </row>
    <row r="799" ht="14.25" customHeight="1" s="83">
      <c r="A799" s="103" t="n"/>
      <c r="B799" s="125" t="n"/>
      <c r="C799" s="103" t="n"/>
      <c r="D799" s="126" t="n"/>
      <c r="E799" s="126" t="n"/>
      <c r="F799" s="127">
        <f>IF(D799="","",MAX(D799-E799,0))</f>
        <v/>
      </c>
      <c r="G799" s="130">
        <f>IF(E799="","",E799*GeneratorRate)</f>
        <v/>
      </c>
      <c r="H799" s="130">
        <f>IF(F799="","",F799*GovernmentRate)</f>
        <v/>
      </c>
      <c r="I799" s="130">
        <f>IF(D799="","",G799+H799)</f>
        <v/>
      </c>
      <c r="J799" s="129">
        <f>IFERROR(I799/COUNTIFS('Client DB &amp; Bed Mgmt'!$A:$A,A799,'Client DB &amp; Bed Mgmt'!$B:$B,C799,'Client DB &amp; Bed Mgmt'!$D:$D,"&lt;&gt;"),0)</f>
        <v/>
      </c>
      <c r="K799" s="88" t="n"/>
      <c r="L799" s="88" t="n"/>
      <c r="M799" s="88">
        <f>COUNTIFS('Client DB &amp; Bed Mgmt'!$B:$B,L799,'Client DB &amp; Bed Mgmt'!$E:$E,"Occupied")</f>
        <v/>
      </c>
      <c r="N799" s="88" t="n"/>
      <c r="O799" s="88" t="n"/>
      <c r="P799" s="88" t="n"/>
      <c r="Q799" s="88" t="n"/>
      <c r="R799" s="88" t="n"/>
      <c r="S799" s="88" t="n"/>
      <c r="T799" s="88" t="n"/>
      <c r="U799" s="129" t="n"/>
      <c r="V799" s="129" t="n"/>
    </row>
    <row r="800" ht="14.25" customHeight="1" s="83">
      <c r="A800" s="103" t="n"/>
      <c r="B800" s="125" t="n"/>
      <c r="C800" s="103" t="n"/>
      <c r="D800" s="126" t="n"/>
      <c r="E800" s="126" t="n"/>
      <c r="F800" s="127">
        <f>IF(D800="","",MAX(D800-E800,0))</f>
        <v/>
      </c>
      <c r="G800" s="130">
        <f>IF(E800="","",E800*GeneratorRate)</f>
        <v/>
      </c>
      <c r="H800" s="130">
        <f>IF(F800="","",F800*GovernmentRate)</f>
        <v/>
      </c>
      <c r="I800" s="130">
        <f>IF(D800="","",G800+H800)</f>
        <v/>
      </c>
      <c r="J800" s="129">
        <f>IFERROR(I800/COUNTIFS('Client DB &amp; Bed Mgmt'!$A:$A,A800,'Client DB &amp; Bed Mgmt'!$B:$B,C800,'Client DB &amp; Bed Mgmt'!$D:$D,"&lt;&gt;"),0)</f>
        <v/>
      </c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129" t="n"/>
      <c r="V800" s="129" t="n"/>
    </row>
  </sheetData>
  <mergeCells count="4">
    <mergeCell ref="A4:I4"/>
    <mergeCell ref="K4:S4"/>
    <mergeCell ref="A2:H2"/>
    <mergeCell ref="A1:H1"/>
  </mergeCells>
  <conditionalFormatting sqref="F6:F800">
    <cfRule type="cellIs" rank="0" priority="2" equalAverage="0" operator="lessThan" aboveAverage="0" dxfId="4" text="" percent="0" bottom="0">
      <formula>0</formula>
    </cfRule>
  </conditionalFormatting>
  <conditionalFormatting sqref="T6:T300">
    <cfRule type="cellIs" rank="0" priority="3" equalAverage="0" operator="greaterThan" aboveAverage="0" dxfId="13" text="" percent="0" bottom="0">
      <formula>50</formula>
    </cfRule>
  </conditionalFormatting>
  <dataValidations count="3">
    <dataValidation sqref="A6:A301 A302:A800 K6:K224 K225:L300 M6:M300" showDropDown="0" showInputMessage="0" showErrorMessage="0" allowBlank="1" errorTitle="Invalid selection" error="Select a value from the dropdown list." type="list" errorStyle="stop" operator="between">
      <formula1>DormList</formula1>
      <formula2>0</formula2>
    </dataValidation>
    <dataValidation sqref="B6:B800" showDropDown="0" showInputMessage="0" showErrorMessage="0" allowBlank="1" errorTitle="Invalid selection" error="Select a value from the dropdown list." type="list" errorStyle="stop" operator="between">
      <formula1>MonthList</formula1>
      <formula2>0</formula2>
    </dataValidation>
    <dataValidation sqref="D6:E301 D302:E800 N6:O300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35"/>
  <sheetViews>
    <sheetView showFormulas="0" showGridLines="0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F12" activeCellId="0" sqref="F12"/>
    </sheetView>
  </sheetViews>
  <sheetFormatPr baseColWidth="8" defaultColWidth="9.00390625" defaultRowHeight="14.25" customHeight="0" zeroHeight="0" outlineLevelRow="0"/>
  <cols>
    <col width="3" customWidth="1" style="82" min="1" max="1"/>
    <col width="24" customWidth="1" style="82" min="2" max="2"/>
    <col width="22" customWidth="1" style="82" min="3" max="3"/>
    <col width="4" customWidth="1" style="82" min="4" max="5"/>
    <col width="22" customWidth="1" style="82" min="6" max="6"/>
    <col width="18" customWidth="1" style="82" min="7" max="7"/>
    <col width="16" customWidth="1" style="82" min="8" max="8"/>
  </cols>
  <sheetData>
    <row r="1" ht="15" customHeight="1" s="83">
      <c r="A1" s="100" t="n"/>
      <c r="B1" s="100" t="n"/>
      <c r="C1" s="100" t="n"/>
      <c r="D1" s="100" t="n"/>
      <c r="E1" s="100" t="n"/>
      <c r="F1" s="100" t="n"/>
      <c r="G1" s="100" t="n"/>
      <c r="H1" s="100" t="n"/>
    </row>
    <row r="2" ht="30.75" customHeight="1" s="83">
      <c r="A2" s="100" t="n"/>
      <c r="B2" s="131" t="inlineStr">
        <is>
          <t>DooRm Invoice</t>
        </is>
      </c>
      <c r="C2" s="132" t="n"/>
      <c r="D2" s="132" t="n"/>
      <c r="E2" s="132" t="n"/>
      <c r="F2" s="132" t="n"/>
      <c r="G2" s="133" t="n"/>
      <c r="H2" s="100" t="n"/>
    </row>
    <row r="3" ht="14.25" customHeight="1" s="83">
      <c r="A3" s="100" t="n"/>
      <c r="B3" s="134" t="inlineStr">
        <is>
          <t>Professional student housing / dormitory billing statement</t>
        </is>
      </c>
      <c r="C3" s="85" t="n"/>
      <c r="D3" s="85" t="n"/>
      <c r="E3" s="85" t="n"/>
      <c r="F3" s="85" t="n"/>
      <c r="G3" s="135" t="n"/>
      <c r="H3" s="100" t="n"/>
    </row>
    <row r="4" ht="14.25" customHeight="1" s="83">
      <c r="A4" s="100" t="n"/>
      <c r="B4" s="136" t="n"/>
      <c r="C4" s="100" t="n"/>
      <c r="D4" s="100" t="n"/>
      <c r="E4" s="100" t="n"/>
      <c r="F4" s="100" t="n"/>
      <c r="G4" s="137" t="n"/>
      <c r="H4" s="100" t="n"/>
    </row>
    <row r="5" ht="14.25" customHeight="1" s="83">
      <c r="A5" s="100" t="n"/>
      <c r="B5" s="138" t="inlineStr">
        <is>
          <t>Lookup By</t>
        </is>
      </c>
      <c r="C5" s="139" t="inlineStr">
        <is>
          <t>Client Name</t>
        </is>
      </c>
      <c r="D5" s="100" t="n"/>
      <c r="E5" s="100" t="n"/>
      <c r="F5" s="140" t="inlineStr">
        <is>
          <t>Payment Status</t>
        </is>
      </c>
      <c r="G5" s="141">
        <f>IFERROR(_xlfn.XLOOKUP($C$6,'Client DB &amp; Bed Mgmt'!$D:$D,'Client DB &amp; Bed Mgmt'!$L:$L,""),"")</f>
        <v/>
      </c>
      <c r="H5" s="100" t="n"/>
    </row>
    <row r="6" ht="14.25" customHeight="1" s="83">
      <c r="A6" s="100" t="n"/>
      <c r="B6" s="138" t="inlineStr">
        <is>
          <t>Client / Bed Selection</t>
        </is>
      </c>
      <c r="C6" s="139" t="inlineStr">
        <is>
          <t>ikr</t>
        </is>
      </c>
      <c r="D6" s="100" t="n"/>
      <c r="E6" s="100" t="n"/>
      <c r="F6" s="140" t="inlineStr">
        <is>
          <t>Due Date</t>
        </is>
      </c>
      <c r="G6" s="142">
        <f>EOMONTH(C7,0)</f>
        <v/>
      </c>
      <c r="H6" s="100" t="n"/>
    </row>
    <row r="7" ht="14.25" customHeight="1" s="83">
      <c r="A7" s="100" t="n"/>
      <c r="B7" s="138" t="inlineStr">
        <is>
          <t>Billing Month</t>
        </is>
      </c>
      <c r="C7" s="143">
        <f>IFERROR(DATE(YEAR($G$12),MONTH($G$12),1),CurrentMonth)</f>
        <v/>
      </c>
      <c r="D7" s="100" t="n"/>
      <c r="E7" s="100" t="n"/>
      <c r="F7" s="140" t="inlineStr">
        <is>
          <t>Invoice #</t>
        </is>
      </c>
      <c r="G7" s="144" t="n"/>
      <c r="H7" s="100" t="n"/>
    </row>
    <row r="8" ht="14.25" customHeight="1" s="83">
      <c r="A8" s="100" t="n"/>
      <c r="B8" s="136" t="n"/>
      <c r="C8" s="100" t="n"/>
      <c r="D8" s="100" t="n"/>
      <c r="E8" s="100" t="n"/>
      <c r="F8" s="100" t="n"/>
      <c r="G8" s="137" t="n"/>
      <c r="H8" s="100" t="n"/>
    </row>
    <row r="9" ht="14.25" customHeight="1" s="83">
      <c r="A9" s="100" t="n"/>
      <c r="B9" s="136" t="n"/>
      <c r="C9" s="100" t="n"/>
      <c r="D9" s="100" t="n"/>
      <c r="E9" s="100" t="n"/>
      <c r="F9" s="100" t="n"/>
      <c r="G9" s="137" t="n"/>
      <c r="H9" s="100" t="n"/>
    </row>
    <row r="10" ht="19.5" customHeight="1" s="83">
      <c r="A10" s="100" t="n"/>
      <c r="B10" s="145" t="inlineStr">
        <is>
          <t>Client Name</t>
        </is>
      </c>
      <c r="C10" s="146">
        <f>C6</f>
        <v/>
      </c>
      <c r="D10" s="100" t="n"/>
      <c r="E10" s="100" t="n"/>
      <c r="F10" s="92" t="inlineStr">
        <is>
          <t>Phone</t>
        </is>
      </c>
      <c r="G10" s="147">
        <f>IFERROR(_xlfn.XLOOKUP($C$6,'Client DB &amp; Bed Mgmt'!$D:$D,'Client DB &amp; Bed Mgmt'!$Q:$Q,""),"")</f>
        <v/>
      </c>
      <c r="H10" s="100" t="n"/>
    </row>
    <row r="11" ht="19.5" customHeight="1" s="83">
      <c r="A11" s="100" t="n"/>
      <c r="B11" s="145" t="inlineStr">
        <is>
          <t>Dorm</t>
        </is>
      </c>
      <c r="C11" s="146">
        <f>IFERROR(_xlfn.XLOOKUP($C$6,'Client DB &amp; Bed Mgmt'!$D:$D,'Client DB &amp; Bed Mgmt'!$A:$A,""),"")</f>
        <v/>
      </c>
      <c r="D11" s="100" t="n"/>
      <c r="E11" s="100" t="n"/>
      <c r="F11" s="92" t="inlineStr">
        <is>
          <t>Contract End</t>
        </is>
      </c>
      <c r="G11" s="148">
        <f>IFERROR(_xlfn.XLOOKUP($C$6,'Client DB &amp; Bed Mgmt'!$D:$D,'Client DB &amp; Bed Mgmt'!$S:$S,""),"")</f>
        <v/>
      </c>
      <c r="H11" s="100" t="n"/>
    </row>
    <row r="12" ht="19.5" customHeight="1" s="83">
      <c r="A12" s="100" t="n"/>
      <c r="B12" s="145" t="inlineStr">
        <is>
          <t>Room</t>
        </is>
      </c>
      <c r="C12" s="146">
        <f>IFERROR(_xlfn.XLOOKUP($C$6,'Client DB &amp; Bed Mgmt'!$D:$D,'Client DB &amp; Bed Mgmt'!$B:$B,""),"")</f>
        <v/>
      </c>
      <c r="D12" s="100" t="n"/>
      <c r="E12" s="100" t="n"/>
      <c r="F12" s="92" t="inlineStr">
        <is>
          <t>Move-in Date</t>
        </is>
      </c>
      <c r="G12" s="148">
        <f>IFERROR(_xlfn.XLOOKUP($C$6,'Client DB &amp; Bed Mgmt'!$D:$D,'Client DB &amp; Bed Mgmt'!$M:$M,""),"")</f>
        <v/>
      </c>
      <c r="H12" s="100" t="n"/>
    </row>
    <row r="13" ht="19.5" customHeight="1" s="83">
      <c r="A13" s="100" t="n"/>
      <c r="B13" s="145" t="inlineStr">
        <is>
          <t>Bed</t>
        </is>
      </c>
      <c r="C13" s="146">
        <f>IFERROR(_xlfn.XLOOKUP($C$6,'Client DB &amp; Bed Mgmt'!$D:$D,'Client DB &amp; Bed Mgmt'!$C:$C,""),"")</f>
        <v/>
      </c>
      <c r="D13" s="100" t="n"/>
      <c r="E13" s="100" t="n"/>
      <c r="F13" s="92" t="inlineStr">
        <is>
          <t>Move-out Date</t>
        </is>
      </c>
      <c r="G13" s="148">
        <f>IFERROR(_xlfn.XLOOKUP($C$6,'Client DB &amp; Bed Mgmt'!$D:$D,'Client DB &amp; Bed Mgmt'!$N:$N,""),"")</f>
        <v/>
      </c>
      <c r="H13" s="100" t="n"/>
    </row>
    <row r="14" ht="14.25" customHeight="1" s="83">
      <c r="A14" s="100" t="n"/>
      <c r="B14" s="145" t="inlineStr">
        <is>
          <t>Billing Month</t>
        </is>
      </c>
      <c r="C14" s="149">
        <f>$C$7</f>
        <v/>
      </c>
      <c r="D14" s="100" t="n"/>
      <c r="E14" s="100" t="n"/>
      <c r="F14" s="92" t="n"/>
      <c r="G14" s="147" t="n"/>
      <c r="H14" s="100" t="n"/>
    </row>
    <row r="15" ht="14.25" customHeight="1" s="83">
      <c r="A15" s="100" t="n"/>
      <c r="B15" s="136" t="n"/>
      <c r="C15" s="100" t="n"/>
      <c r="D15" s="100" t="n"/>
      <c r="E15" s="100" t="n"/>
      <c r="F15" s="100" t="n"/>
      <c r="G15" s="137" t="n"/>
      <c r="H15" s="100" t="n"/>
    </row>
    <row r="16" ht="14.25" customHeight="1" s="83">
      <c r="A16" s="100" t="n"/>
      <c r="B16" s="136" t="n"/>
      <c r="C16" s="100" t="n"/>
      <c r="D16" s="100" t="n"/>
      <c r="E16" s="100" t="n"/>
      <c r="F16" s="100" t="n"/>
      <c r="G16" s="137" t="n"/>
      <c r="H16" s="100" t="n"/>
    </row>
    <row r="17" ht="15" customHeight="1" s="83">
      <c r="A17" s="100" t="n"/>
      <c r="B17" s="150" t="inlineStr">
        <is>
          <t>Charges</t>
        </is>
      </c>
      <c r="C17" s="85" t="n"/>
      <c r="D17" s="85" t="n"/>
      <c r="E17" s="85" t="n"/>
      <c r="F17" s="85" t="n"/>
      <c r="G17" s="135" t="n"/>
      <c r="H17" s="154" t="inlineStr">
        <is>
          <t>Prorata</t>
        </is>
      </c>
    </row>
    <row r="18" ht="14.25" customHeight="1" s="83">
      <c r="A18" s="100" t="n"/>
      <c r="B18" s="152" t="inlineStr">
        <is>
          <t>Base Rent / Loyer Par Personne</t>
        </is>
      </c>
      <c r="C18" s="153" t="n"/>
      <c r="D18" s="153" t="n"/>
      <c r="E18" s="153" t="n"/>
      <c r="F18" s="153" t="n"/>
      <c r="G18" s="154">
        <f>IFERROR(_xlfn.XLOOKUP($C$6,'Client DB &amp; Bed Mgmt'!$D:$D,'Client DB &amp; Bed Mgmt'!$I:$I,0),0)</f>
        <v/>
      </c>
      <c r="H18" s="154">
        <f>G18*$H$24</f>
        <v/>
      </c>
    </row>
    <row r="19" ht="14.25" customHeight="1" s="83">
      <c r="A19" s="100" t="n"/>
      <c r="B19" s="152" t="inlineStr">
        <is>
          <t>Electricity Per Person</t>
        </is>
      </c>
      <c r="C19" s="153" t="n"/>
      <c r="D19" s="153" t="n"/>
      <c r="E19" s="153" t="n"/>
      <c r="F19" s="153" t="n"/>
      <c r="G19" s="154">
        <f>IFERROR(_xlfn.XLOOKUP($C$6,'Client DB &amp; Bed Mgmt'!$D:$D,'Client DB &amp; Bed Mgmt'!$J:$J,0),0)</f>
        <v/>
      </c>
      <c r="H19" s="154">
        <f>'Electricity Management'!$AA$6</f>
        <v/>
      </c>
    </row>
    <row r="20" ht="14.25" customHeight="1" s="83">
      <c r="A20" s="100" t="n"/>
      <c r="B20" s="152" t="inlineStr">
        <is>
          <t>Common Area Electricity</t>
        </is>
      </c>
      <c r="C20" s="153" t="n"/>
      <c r="D20" s="153" t="n"/>
      <c r="E20" s="153" t="n"/>
      <c r="F20" s="153" t="n"/>
      <c r="G20" s="154">
        <f>IFERROR(_xlfn.XLOOKUP($C$6,'Client DB &amp; Bed Mgmt'!$D:$D,'Client DB &amp; Bed Mgmt'!$K:$K,0),0)</f>
        <v/>
      </c>
      <c r="H20" s="154">
        <f>'Electricity Management'!$AB$6</f>
        <v/>
      </c>
    </row>
    <row r="21" ht="14.25" customHeight="1" s="83">
      <c r="A21" s="100" t="n"/>
      <c r="B21" s="152" t="inlineStr">
        <is>
          <t>Fixed Generator Fee</t>
        </is>
      </c>
      <c r="C21" s="153" t="n"/>
      <c r="D21" s="153" t="n"/>
      <c r="E21" s="153" t="n"/>
      <c r="F21" s="153" t="n"/>
      <c r="G21" s="154">
        <f>FixedGeneratorFee</f>
        <v/>
      </c>
      <c r="H21" s="154">
        <f>G21*$H$24</f>
        <v/>
      </c>
    </row>
    <row r="22" ht="14.25" customHeight="1" s="83">
      <c r="A22" s="100" t="n"/>
      <c r="B22" s="152" t="inlineStr">
        <is>
          <t>Fixed Government Fee</t>
        </is>
      </c>
      <c r="C22" s="153" t="n"/>
      <c r="D22" s="153" t="n"/>
      <c r="E22" s="153" t="n"/>
      <c r="F22" s="153" t="n"/>
      <c r="G22" s="154">
        <f>FixedGovernmentFee</f>
        <v/>
      </c>
      <c r="H22" s="154">
        <f>G22*$H$24</f>
        <v/>
      </c>
    </row>
    <row r="23" ht="14.25" customHeight="1" s="83">
      <c r="A23" s="100" t="n"/>
      <c r="B23" s="152" t="n"/>
      <c r="C23" s="153" t="n"/>
      <c r="D23" s="153" t="n"/>
      <c r="E23" s="153" t="n"/>
      <c r="F23" s="153" t="n"/>
      <c r="G23" s="154" t="n"/>
      <c r="H23" s="154" t="n"/>
    </row>
    <row r="24" ht="14.25" customHeight="1" s="83">
      <c r="A24" s="100" t="n"/>
      <c r="B24" s="155" t="inlineStr">
        <is>
          <t>Calculs visibles: Client DB colonne S = Loyer Par Personne; Electricity colonne J = Electricity Per Personne.</t>
        </is>
      </c>
      <c r="C24" s="85" t="n"/>
      <c r="D24" s="85" t="n"/>
      <c r="E24" s="85" t="n"/>
      <c r="F24" s="85" t="n"/>
      <c r="G24" s="135" t="n"/>
      <c r="H24" s="135">
        <f>'Electricity Management'!$Z$6</f>
        <v/>
      </c>
    </row>
    <row r="25" ht="19.5" customHeight="1" s="83">
      <c r="A25" s="100" t="n"/>
      <c r="B25" s="156" t="inlineStr">
        <is>
          <t>Total Amount Due</t>
        </is>
      </c>
      <c r="C25" s="85" t="n"/>
      <c r="D25" s="85" t="n"/>
      <c r="E25" s="85" t="n"/>
      <c r="F25" s="85" t="n"/>
      <c r="G25" s="158">
        <f>SUM(G18:G22)</f>
        <v/>
      </c>
      <c r="H25" s="158">
        <f>SUM(H18:H22)</f>
        <v/>
      </c>
    </row>
    <row r="26" ht="14.25" customHeight="1" s="83">
      <c r="A26" s="100" t="n"/>
      <c r="B26" s="136" t="n"/>
      <c r="C26" s="100" t="n"/>
      <c r="D26" s="100" t="n"/>
      <c r="E26" s="100" t="n"/>
      <c r="F26" s="100" t="n"/>
      <c r="G26" s="137" t="n"/>
      <c r="H26" s="100" t="n"/>
    </row>
    <row r="27" ht="14.25" customHeight="1" s="83">
      <c r="A27" s="100" t="n"/>
      <c r="B27" s="136" t="n"/>
      <c r="C27" s="100" t="n"/>
      <c r="D27" s="100" t="n"/>
      <c r="E27" s="100" t="n"/>
      <c r="F27" s="100" t="n"/>
      <c r="G27" s="137" t="n"/>
      <c r="H27" s="100" t="n"/>
    </row>
    <row r="28" ht="14.25" customHeight="1" s="83">
      <c r="A28" s="100" t="n"/>
      <c r="B28" s="159" t="inlineStr">
        <is>
          <t>Notes</t>
        </is>
      </c>
      <c r="C28" s="100" t="n"/>
      <c r="D28" s="100" t="n"/>
      <c r="E28" s="100" t="n"/>
      <c r="F28" s="100" t="n"/>
      <c r="G28" s="137" t="n"/>
      <c r="H28" s="100" t="n"/>
    </row>
    <row r="29" ht="90" customHeight="1" s="83">
      <c r="A29" s="100" t="n"/>
      <c r="B29" s="160" t="inlineStr">
        <is>
          <t>Payment instructions / client notes</t>
        </is>
      </c>
      <c r="C29" s="161" t="n"/>
      <c r="D29" s="161" t="n"/>
      <c r="E29" s="161" t="n"/>
      <c r="F29" s="161" t="n"/>
      <c r="G29" s="162" t="n"/>
      <c r="H29" s="100" t="n"/>
    </row>
    <row r="30" ht="14.25" customHeight="1" s="83">
      <c r="A30" s="100" t="n"/>
      <c r="B30" s="163" t="n"/>
      <c r="C30" s="85" t="n"/>
      <c r="D30" s="85" t="n"/>
      <c r="E30" s="85" t="n"/>
      <c r="F30" s="85" t="n"/>
      <c r="G30" s="135" t="n"/>
      <c r="H30" s="100" t="n"/>
    </row>
    <row r="31" ht="14.25" customHeight="1" s="83">
      <c r="A31" s="100" t="n"/>
      <c r="B31" s="163" t="n"/>
      <c r="C31" s="85" t="n"/>
      <c r="D31" s="85" t="n"/>
      <c r="E31" s="85" t="n"/>
      <c r="F31" s="85" t="n"/>
      <c r="G31" s="135" t="n"/>
      <c r="H31" s="100" t="n"/>
    </row>
    <row r="32" ht="14.25" customHeight="1" s="83">
      <c r="A32" s="100" t="n"/>
      <c r="B32" s="163" t="n"/>
      <c r="C32" s="85" t="n"/>
      <c r="D32" s="85" t="n"/>
      <c r="E32" s="85" t="n"/>
      <c r="F32" s="85" t="n"/>
      <c r="G32" s="135" t="n"/>
      <c r="H32" s="100" t="n"/>
    </row>
    <row r="33" ht="14.25" customHeight="1" s="83">
      <c r="A33" s="100" t="n"/>
      <c r="B33" s="163" t="n"/>
      <c r="C33" s="85" t="n"/>
      <c r="D33" s="85" t="n"/>
      <c r="E33" s="85" t="n"/>
      <c r="F33" s="85" t="n"/>
      <c r="G33" s="135" t="n"/>
      <c r="H33" s="100" t="n"/>
    </row>
    <row r="34" ht="15" customHeight="1" s="83">
      <c r="A34" s="100" t="n"/>
      <c r="B34" s="164" t="n"/>
      <c r="C34" s="165" t="n"/>
      <c r="D34" s="165" t="n"/>
      <c r="E34" s="165" t="n"/>
      <c r="F34" s="165" t="n"/>
      <c r="G34" s="166" t="n"/>
      <c r="H34" s="100" t="n"/>
    </row>
    <row r="35" ht="14.25" customHeight="1" s="83">
      <c r="A35" s="100" t="n"/>
      <c r="B35" s="100" t="n"/>
      <c r="C35" s="100" t="n"/>
      <c r="D35" s="100" t="n"/>
      <c r="E35" s="100" t="n"/>
      <c r="F35" s="100" t="n"/>
      <c r="G35" s="100" t="n"/>
      <c r="H35" s="100" t="n"/>
    </row>
  </sheetData>
  <mergeCells count="12">
    <mergeCell ref="B3:G3"/>
    <mergeCell ref="B2:G2"/>
    <mergeCell ref="B21:F21"/>
    <mergeCell ref="B24:G24"/>
    <mergeCell ref="B20:F20"/>
    <mergeCell ref="B29:G34"/>
    <mergeCell ref="B25:F25"/>
    <mergeCell ref="B17:G17"/>
    <mergeCell ref="B19:F19"/>
    <mergeCell ref="B23:F23"/>
    <mergeCell ref="B22:F22"/>
    <mergeCell ref="B18:F18"/>
  </mergeCells>
  <conditionalFormatting sqref="G5">
    <cfRule type="expression" rank="0" priority="2" equalAverage="0" aboveAverage="0" dxfId="4" text="" percent="0" bottom="0">
      <formula>G5="Overdue"</formula>
    </cfRule>
    <cfRule type="expression" rank="0" priority="3" equalAverage="0" aboveAverage="0" dxfId="8" text="" percent="0" bottom="0">
      <formula>G5="Paid"</formula>
    </cfRule>
  </conditionalFormatting>
  <dataValidations count="5">
    <dataValidation sqref="C5" showDropDown="0" showInputMessage="0" showErrorMessage="0" allowBlank="1" errorTitle="Invalid selection" error="Select a value from the dropdown list." type="list" errorStyle="stop" operator="between">
      <formula1>InvoiceSelectorTypeList</formula1>
      <formula2>0</formula2>
    </dataValidation>
    <dataValidation sqref="G5" showDropDown="0" showInputMessage="0" showErrorMessage="0" allowBlank="1" errorTitle="Invalid selection" error="Select a value from the dropdown list." type="list" errorStyle="stop" operator="between">
      <formula1>PaymentStatusList</formula1>
      <formula2>0</formula2>
    </dataValidation>
    <dataValidation sqref="C6" showDropDown="0" showInputMessage="0" showErrorMessage="0" allowBlank="1" errorTitle="Invalid selection" error="Select a value from the dropdown list." type="list" errorStyle="stop" operator="between">
      <formula1>ClientNameList</formula1>
      <formula2>0</formula2>
    </dataValidation>
    <dataValidation sqref="G6" showDropDown="0" showInputMessage="0" showErrorMessage="0" allowBlank="1" errorTitle="Invalid date" error="Enter a valid date using dd/mm/yyyy." type="date" errorStyle="stop" operator="greaterThanOrEqual">
      <formula1>DATE(2020,1,1)</formula1>
      <formula2>0</formula2>
    </dataValidation>
    <dataValidation sqref="C7" showDropDown="0" showInputMessage="0" showErrorMessage="0" allowBlank="1" errorTitle="Invalid selection" error="Select a value from the dropdown list." type="list" errorStyle="stop" operator="between">
      <formula1>MonthList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U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42" activePane="bottomLeft" state="frozen"/>
      <selection pane="topLeft" activeCell="A1" activeCellId="0" sqref="A1"/>
      <selection pane="bottomLeft" activeCell="AE44" activeCellId="0" sqref="AE44"/>
    </sheetView>
  </sheetViews>
  <sheetFormatPr baseColWidth="8" defaultColWidth="9.00390625" defaultRowHeight="14.25" customHeight="0" zeroHeight="0" outlineLevelRow="0"/>
  <cols>
    <col width="14" customWidth="1" style="82" min="1" max="2"/>
    <col width="15" customWidth="1" style="82" min="3" max="3"/>
    <col width="14" customWidth="1" style="82" min="4" max="5"/>
    <col width="16" customWidth="1" style="82" min="6" max="6"/>
    <col width="12" customWidth="1" style="82" min="7" max="7"/>
    <col width="18" customWidth="1" style="82" min="8" max="8"/>
    <col width="16" customWidth="1" style="82" min="9" max="11"/>
    <col width="20" customWidth="1" style="82" min="12" max="12"/>
    <col width="12" customWidth="1" style="82" min="13" max="13"/>
    <col width="14" customWidth="1" style="82" min="14" max="14"/>
    <col width="12" customWidth="1" style="82" min="15" max="17"/>
    <col width="14" customWidth="1" style="82" min="18" max="18"/>
    <col width="18" customWidth="1" style="82" min="19" max="19"/>
    <col width="14" customWidth="1" style="82" min="20" max="20"/>
    <col width="12" customWidth="1" style="82" min="21" max="21"/>
  </cols>
  <sheetData>
    <row r="1" ht="27.75" customHeight="1" s="83">
      <c r="A1" s="84" t="inlineStr">
        <is>
          <t>12-Month Financial Model &amp; Cash Flow</t>
        </is>
      </c>
      <c r="B1" s="85" t="n"/>
      <c r="C1" s="85" t="n"/>
      <c r="D1" s="85" t="n"/>
      <c r="E1" s="85" t="n"/>
      <c r="F1" s="85" t="n"/>
      <c r="G1" s="85" t="n"/>
      <c r="H1" s="85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</row>
    <row r="2" ht="14.25" customHeight="1" s="83">
      <c r="A2" s="86" t="inlineStr">
        <is>
          <t>Rolling forecast for revenue, operating expenses, rent, and profitability.</t>
        </is>
      </c>
      <c r="B2" s="85" t="n"/>
      <c r="C2" s="85" t="n"/>
      <c r="D2" s="85" t="n"/>
      <c r="E2" s="85" t="n"/>
      <c r="F2" s="85" t="n"/>
      <c r="G2" s="85" t="n"/>
      <c r="H2" s="85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</row>
    <row r="3" ht="14.25" customHeight="1" s="83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</row>
    <row r="4" ht="14.25" customHeight="1" s="83">
      <c r="A4" s="102" t="inlineStr">
        <is>
          <t>Start Date</t>
        </is>
      </c>
      <c r="B4" s="167" t="n">
        <v>46082</v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</row>
    <row r="5" ht="14.25" customHeight="1" s="83">
      <c r="A5" s="102" t="inlineStr">
        <is>
          <t>Bed Capacity</t>
        </is>
      </c>
      <c r="B5" s="95">
        <f>SUM(DormRegistry[Bed Capacity])</f>
        <v/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</row>
    <row r="6" ht="14.25" customHeight="1" s="83">
      <c r="A6" s="102" t="inlineStr">
        <is>
          <t>Rent Per Bed</t>
        </is>
      </c>
      <c r="B6" s="168">
        <f>DefaultRentPerBed</f>
        <v/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</row>
    <row r="7" ht="28.5" customHeight="1" s="83">
      <c r="A7" s="102" t="inlineStr">
        <is>
          <t>Target Occupancy %</t>
        </is>
      </c>
      <c r="B7" s="169">
        <f>TargetOccupancy</f>
        <v/>
      </c>
      <c r="C7" s="88" t="n"/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</row>
    <row r="8" ht="14.25" customHeight="1" s="83">
      <c r="A8" s="102" t="inlineStr">
        <is>
          <t>Inflation %</t>
        </is>
      </c>
      <c r="B8" s="169">
        <f>InflationRate</f>
        <v/>
      </c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</row>
    <row r="9" ht="28.5" customHeight="1" s="83">
      <c r="A9" s="102" t="inlineStr">
        <is>
          <t>Generator Rate per kWh</t>
        </is>
      </c>
      <c r="B9" s="168">
        <f>GeneratorRate</f>
        <v/>
      </c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</row>
    <row r="10" ht="28.5" customHeight="1" s="83">
      <c r="A10" s="102" t="inlineStr">
        <is>
          <t>Government Rate per kWh</t>
        </is>
      </c>
      <c r="B10" s="168">
        <f>GovernmentRate</f>
        <v/>
      </c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</row>
    <row r="11" ht="14.25" customHeight="1" s="83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</row>
    <row r="12" ht="14.25" customHeight="1" s="83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</row>
    <row r="13" ht="28.5" customHeight="1" s="83">
      <c r="A13" s="124" t="inlineStr">
        <is>
          <t>Month</t>
        </is>
      </c>
      <c r="B13" s="124" t="inlineStr">
        <is>
          <t>Dorm Name</t>
        </is>
      </c>
      <c r="C13" s="124" t="inlineStr">
        <is>
          <t>Ownership Type</t>
        </is>
      </c>
      <c r="D13" s="124" t="inlineStr">
        <is>
          <t>Bed Capacity</t>
        </is>
      </c>
      <c r="E13" s="124" t="inlineStr">
        <is>
          <t>Rent Per Bed</t>
        </is>
      </c>
      <c r="F13" s="124" t="inlineStr">
        <is>
          <t>Target Occupancy %</t>
        </is>
      </c>
      <c r="G13" s="124" t="inlineStr">
        <is>
          <t>Inflation %</t>
        </is>
      </c>
      <c r="H13" s="124" t="inlineStr">
        <is>
          <t>Maximum Gross Revenue</t>
        </is>
      </c>
      <c r="I13" s="124" t="inlineStr">
        <is>
          <t>Actual Revenue</t>
        </is>
      </c>
      <c r="J13" s="124" t="inlineStr">
        <is>
          <t>Target Revenue</t>
        </is>
      </c>
      <c r="K13" s="124" t="inlineStr">
        <is>
          <t>Municipality Fees</t>
        </is>
      </c>
      <c r="L13" s="124" t="inlineStr">
        <is>
          <t>Building Subscription Fees</t>
        </is>
      </c>
      <c r="M13" s="124" t="inlineStr">
        <is>
          <t>Cleaning</t>
        </is>
      </c>
      <c r="N13" s="124" t="inlineStr">
        <is>
          <t>Maintenance</t>
        </is>
      </c>
      <c r="O13" s="124" t="inlineStr">
        <is>
          <t>Internet</t>
        </is>
      </c>
      <c r="P13" s="124" t="inlineStr">
        <is>
          <t>Supplies</t>
        </is>
      </c>
      <c r="Q13" s="124" t="inlineStr">
        <is>
          <t>Marketing</t>
        </is>
      </c>
      <c r="R13" s="124" t="inlineStr">
        <is>
          <t>Building Rent</t>
        </is>
      </c>
      <c r="S13" s="124" t="inlineStr">
        <is>
          <t>Operating Expenses</t>
        </is>
      </c>
      <c r="T13" s="124" t="inlineStr">
        <is>
          <t>Net Profit</t>
        </is>
      </c>
      <c r="U13" s="124" t="inlineStr">
        <is>
          <t>Net Margin</t>
        </is>
      </c>
    </row>
    <row r="14" ht="14.25" customHeight="1" s="83">
      <c r="A14" s="125">
        <f>EDATE(StartDate,0)</f>
        <v/>
      </c>
      <c r="B14" s="103" t="inlineStr">
        <is>
          <t>Dorm 1</t>
        </is>
      </c>
      <c r="C14" s="170">
        <f>IFERROR(_xlfn.XLOOKUP(B14,DormRegistry[Dorm Name],DormRegistry[Ownership Type]),"")</f>
        <v/>
      </c>
      <c r="D14" s="170">
        <f>IFERROR(_xlfn.XLOOKUP(B14,DormRegistry[Dorm Name],DormRegistry[Bed Capacity]),0)</f>
        <v/>
      </c>
      <c r="E14" s="130">
        <f>$B$6*(1+$B$8)^(YEAR(A14)-YEAR(StartDate))</f>
        <v/>
      </c>
      <c r="F14" s="105">
        <f>$B$7</f>
        <v/>
      </c>
      <c r="G14" s="105">
        <f>$B$8</f>
        <v/>
      </c>
      <c r="H14" s="130">
        <f>D14*E14</f>
        <v/>
      </c>
      <c r="I14" s="130" t="n"/>
      <c r="J14" s="130">
        <f>D14*F14*E14</f>
        <v/>
      </c>
      <c r="K14" s="104" t="n">
        <v>75</v>
      </c>
      <c r="L14" s="104" t="n">
        <v>50</v>
      </c>
      <c r="M14" s="104" t="n">
        <v>150</v>
      </c>
      <c r="N14" s="104" t="n">
        <v>125</v>
      </c>
      <c r="O14" s="104" t="n">
        <v>60</v>
      </c>
      <c r="P14" s="104" t="n">
        <v>80</v>
      </c>
      <c r="Q14" s="104" t="n">
        <v>40</v>
      </c>
      <c r="R14" s="130">
        <f>IF(C14="Owned",0,2500)</f>
        <v/>
      </c>
      <c r="S14" s="130">
        <f>SUM(K14:R14)</f>
        <v/>
      </c>
      <c r="T14" s="130">
        <f>I14-S14</f>
        <v/>
      </c>
      <c r="U14" s="105">
        <f>IFERROR(T14/I14,0)</f>
        <v/>
      </c>
    </row>
    <row r="15" hidden="1" ht="14.25" customHeight="1" s="83">
      <c r="A15" s="125">
        <f>EDATE(StartDate,0)</f>
        <v/>
      </c>
      <c r="B15" s="103" t="inlineStr">
        <is>
          <t>Dorm 2</t>
        </is>
      </c>
      <c r="C15" s="170">
        <f>IFERROR(_xlfn.XLOOKUP(B15,DormRegistry[Dorm Name],DormRegistry[Ownership Type]),"")</f>
        <v/>
      </c>
      <c r="D15" s="170">
        <f>IFERROR(_xlfn.XLOOKUP(B15,DormRegistry[Dorm Name],DormRegistry[Bed Capacity]),0)</f>
        <v/>
      </c>
      <c r="E15" s="130">
        <f>$B$6*(1+$B$8)^(YEAR(A15)-YEAR(StartDate))</f>
        <v/>
      </c>
      <c r="F15" s="105">
        <f>$B$7</f>
        <v/>
      </c>
      <c r="G15" s="105">
        <f>$B$8</f>
        <v/>
      </c>
      <c r="H15" s="130">
        <f>D15*E15</f>
        <v/>
      </c>
      <c r="I15" s="130" t="n"/>
      <c r="J15" s="130">
        <f>D15*F15*E15</f>
        <v/>
      </c>
      <c r="K15" s="104" t="n">
        <v>75</v>
      </c>
      <c r="L15" s="104" t="n">
        <v>50</v>
      </c>
      <c r="M15" s="104" t="n">
        <v>150</v>
      </c>
      <c r="N15" s="104" t="n">
        <v>125</v>
      </c>
      <c r="O15" s="104" t="n">
        <v>60</v>
      </c>
      <c r="P15" s="104" t="n">
        <v>80</v>
      </c>
      <c r="Q15" s="104" t="n">
        <v>40</v>
      </c>
      <c r="R15" s="130">
        <f>IF(C15="Owned",0,2500)</f>
        <v/>
      </c>
      <c r="S15" s="130">
        <f>SUM(K15:R15)</f>
        <v/>
      </c>
      <c r="T15" s="130">
        <f>I15-S15</f>
        <v/>
      </c>
      <c r="U15" s="105">
        <f>IFERROR(T15/I15,0)</f>
        <v/>
      </c>
    </row>
    <row r="16" hidden="1" ht="14.25" customHeight="1" s="83">
      <c r="A16" s="125">
        <f>EDATE(StartDate,0)</f>
        <v/>
      </c>
      <c r="B16" s="103" t="inlineStr">
        <is>
          <t>Dorm 3</t>
        </is>
      </c>
      <c r="C16" s="170">
        <f>IFERROR(_xlfn.XLOOKUP(B16,DormRegistry[Dorm Name],DormRegistry[Ownership Type]),"")</f>
        <v/>
      </c>
      <c r="D16" s="170">
        <f>IFERROR(_xlfn.XLOOKUP(B16,DormRegistry[Dorm Name],DormRegistry[Bed Capacity]),0)</f>
        <v/>
      </c>
      <c r="E16" s="130">
        <f>$B$6*(1+$B$8)^(YEAR(A16)-YEAR(StartDate))</f>
        <v/>
      </c>
      <c r="F16" s="105">
        <f>$B$7</f>
        <v/>
      </c>
      <c r="G16" s="105">
        <f>$B$8</f>
        <v/>
      </c>
      <c r="H16" s="130">
        <f>D16*E16</f>
        <v/>
      </c>
      <c r="I16" s="130" t="n"/>
      <c r="J16" s="130">
        <f>D16*F16*E16</f>
        <v/>
      </c>
      <c r="K16" s="104" t="n">
        <v>75</v>
      </c>
      <c r="L16" s="104" t="n">
        <v>50</v>
      </c>
      <c r="M16" s="104" t="n">
        <v>150</v>
      </c>
      <c r="N16" s="104" t="n">
        <v>125</v>
      </c>
      <c r="O16" s="104" t="n">
        <v>60</v>
      </c>
      <c r="P16" s="104" t="n">
        <v>80</v>
      </c>
      <c r="Q16" s="104" t="n">
        <v>40</v>
      </c>
      <c r="R16" s="130">
        <f>IF(C16="Owned",0,2500)</f>
        <v/>
      </c>
      <c r="S16" s="130">
        <f>SUM(K16:R16)</f>
        <v/>
      </c>
      <c r="T16" s="130">
        <f>I16-S16</f>
        <v/>
      </c>
      <c r="U16" s="105">
        <f>IFERROR(T16/I16,0)</f>
        <v/>
      </c>
    </row>
    <row r="17" ht="14.25" customHeight="1" s="83">
      <c r="A17" s="125">
        <f>EDATE(StartDate,1)</f>
        <v/>
      </c>
      <c r="B17" s="103" t="inlineStr">
        <is>
          <t>Dorm 1</t>
        </is>
      </c>
      <c r="C17" s="170">
        <f>IFERROR(_xlfn.XLOOKUP(B17,DormRegistry[Dorm Name],DormRegistry[Ownership Type]),"")</f>
        <v/>
      </c>
      <c r="D17" s="170">
        <f>IFERROR(_xlfn.XLOOKUP(B17,DormRegistry[Dorm Name],DormRegistry[Bed Capacity]),0)</f>
        <v/>
      </c>
      <c r="E17" s="130">
        <f>$B$6*(1+$B$8)^(YEAR(A17)-YEAR(StartDate))</f>
        <v/>
      </c>
      <c r="F17" s="105">
        <f>$B$7</f>
        <v/>
      </c>
      <c r="G17" s="105">
        <f>$B$8</f>
        <v/>
      </c>
      <c r="H17" s="130">
        <f>D17*E17</f>
        <v/>
      </c>
      <c r="I17" s="130" t="n"/>
      <c r="J17" s="130">
        <f>D17*F17*E17</f>
        <v/>
      </c>
      <c r="K17" s="104" t="n">
        <v>75</v>
      </c>
      <c r="L17" s="104" t="n">
        <v>50</v>
      </c>
      <c r="M17" s="104" t="n">
        <v>150</v>
      </c>
      <c r="N17" s="104" t="n">
        <v>125</v>
      </c>
      <c r="O17" s="104" t="n">
        <v>60</v>
      </c>
      <c r="P17" s="104" t="n">
        <v>80</v>
      </c>
      <c r="Q17" s="104" t="n">
        <v>40</v>
      </c>
      <c r="R17" s="130">
        <f>IF(C17="Owned",0,2500)</f>
        <v/>
      </c>
      <c r="S17" s="130">
        <f>SUM(K17:R17)</f>
        <v/>
      </c>
      <c r="T17" s="130">
        <f>I17-S17</f>
        <v/>
      </c>
      <c r="U17" s="105">
        <f>IFERROR(T17/I17,0)</f>
        <v/>
      </c>
    </row>
    <row r="18" hidden="1" ht="14.25" customHeight="1" s="83">
      <c r="A18" s="125">
        <f>EDATE(StartDate,1)</f>
        <v/>
      </c>
      <c r="B18" s="103" t="inlineStr">
        <is>
          <t>Dorm 2</t>
        </is>
      </c>
      <c r="C18" s="170">
        <f>IFERROR(_xlfn.XLOOKUP(B18,DormRegistry[Dorm Name],DormRegistry[Ownership Type]),"")</f>
        <v/>
      </c>
      <c r="D18" s="170">
        <f>IFERROR(_xlfn.XLOOKUP(B18,DormRegistry[Dorm Name],DormRegistry[Bed Capacity]),0)</f>
        <v/>
      </c>
      <c r="E18" s="130">
        <f>$B$6*(1+$B$8)^(YEAR(A18)-YEAR(StartDate))</f>
        <v/>
      </c>
      <c r="F18" s="105">
        <f>$B$7</f>
        <v/>
      </c>
      <c r="G18" s="105">
        <f>$B$8</f>
        <v/>
      </c>
      <c r="H18" s="130">
        <f>D18*E18</f>
        <v/>
      </c>
      <c r="I18" s="130" t="n"/>
      <c r="J18" s="130">
        <f>D18*F18*E18</f>
        <v/>
      </c>
      <c r="K18" s="104" t="n">
        <v>75</v>
      </c>
      <c r="L18" s="104" t="n">
        <v>50</v>
      </c>
      <c r="M18" s="104" t="n">
        <v>150</v>
      </c>
      <c r="N18" s="104" t="n">
        <v>125</v>
      </c>
      <c r="O18" s="104" t="n">
        <v>60</v>
      </c>
      <c r="P18" s="104" t="n">
        <v>80</v>
      </c>
      <c r="Q18" s="104" t="n">
        <v>40</v>
      </c>
      <c r="R18" s="130">
        <f>IF(C18="Owned",0,2500)</f>
        <v/>
      </c>
      <c r="S18" s="130">
        <f>SUM(K18:R18)</f>
        <v/>
      </c>
      <c r="T18" s="130">
        <f>I18-S18</f>
        <v/>
      </c>
      <c r="U18" s="105">
        <f>IFERROR(T18/I18,0)</f>
        <v/>
      </c>
    </row>
    <row r="19" hidden="1" ht="14.25" customHeight="1" s="83">
      <c r="A19" s="125">
        <f>EDATE(StartDate,1)</f>
        <v/>
      </c>
      <c r="B19" s="103" t="inlineStr">
        <is>
          <t>Dorm 3</t>
        </is>
      </c>
      <c r="C19" s="170">
        <f>IFERROR(_xlfn.XLOOKUP(B19,DormRegistry[Dorm Name],DormRegistry[Ownership Type]),"")</f>
        <v/>
      </c>
      <c r="D19" s="170">
        <f>IFERROR(_xlfn.XLOOKUP(B19,DormRegistry[Dorm Name],DormRegistry[Bed Capacity]),0)</f>
        <v/>
      </c>
      <c r="E19" s="130">
        <f>$B$6*(1+$B$8)^(YEAR(A19)-YEAR(StartDate))</f>
        <v/>
      </c>
      <c r="F19" s="105">
        <f>$B$7</f>
        <v/>
      </c>
      <c r="G19" s="105">
        <f>$B$8</f>
        <v/>
      </c>
      <c r="H19" s="130">
        <f>D19*E19</f>
        <v/>
      </c>
      <c r="I19" s="130" t="n"/>
      <c r="J19" s="130">
        <f>D19*F19*E19</f>
        <v/>
      </c>
      <c r="K19" s="104" t="n">
        <v>75</v>
      </c>
      <c r="L19" s="104" t="n">
        <v>50</v>
      </c>
      <c r="M19" s="104" t="n">
        <v>150</v>
      </c>
      <c r="N19" s="104" t="n">
        <v>125</v>
      </c>
      <c r="O19" s="104" t="n">
        <v>60</v>
      </c>
      <c r="P19" s="104" t="n">
        <v>80</v>
      </c>
      <c r="Q19" s="104" t="n">
        <v>40</v>
      </c>
      <c r="R19" s="130">
        <f>IF(C19="Owned",0,2500)</f>
        <v/>
      </c>
      <c r="S19" s="130">
        <f>SUM(K19:R19)</f>
        <v/>
      </c>
      <c r="T19" s="130">
        <f>I19-S19</f>
        <v/>
      </c>
      <c r="U19" s="105">
        <f>IFERROR(T19/I19,0)</f>
        <v/>
      </c>
    </row>
    <row r="20" ht="14.25" customHeight="1" s="83">
      <c r="A20" s="125">
        <f>EDATE(StartDate,2)</f>
        <v/>
      </c>
      <c r="B20" s="103" t="inlineStr">
        <is>
          <t>Dorm 1</t>
        </is>
      </c>
      <c r="C20" s="170">
        <f>IFERROR(_xlfn.XLOOKUP(B20,DormRegistry[Dorm Name],DormRegistry[Ownership Type]),"")</f>
        <v/>
      </c>
      <c r="D20" s="170">
        <f>IFERROR(_xlfn.XLOOKUP(B20,DormRegistry[Dorm Name],DormRegistry[Bed Capacity]),0)</f>
        <v/>
      </c>
      <c r="E20" s="130">
        <f>$B$6*(1+$B$8)^(YEAR(A20)-YEAR(StartDate))</f>
        <v/>
      </c>
      <c r="F20" s="105">
        <f>$B$7</f>
        <v/>
      </c>
      <c r="G20" s="105">
        <f>$B$8</f>
        <v/>
      </c>
      <c r="H20" s="130">
        <f>D20*E20</f>
        <v/>
      </c>
      <c r="I20" s="130" t="n"/>
      <c r="J20" s="130">
        <f>D20*F20*E20</f>
        <v/>
      </c>
      <c r="K20" s="104" t="n">
        <v>75</v>
      </c>
      <c r="L20" s="104" t="n">
        <v>50</v>
      </c>
      <c r="M20" s="104" t="n">
        <v>150</v>
      </c>
      <c r="N20" s="104" t="n">
        <v>125</v>
      </c>
      <c r="O20" s="104" t="n">
        <v>60</v>
      </c>
      <c r="P20" s="104" t="n">
        <v>80</v>
      </c>
      <c r="Q20" s="104" t="n">
        <v>40</v>
      </c>
      <c r="R20" s="130">
        <f>IF(C20="Owned",0,2500)</f>
        <v/>
      </c>
      <c r="S20" s="130">
        <f>SUM(K20:R20)</f>
        <v/>
      </c>
      <c r="T20" s="130">
        <f>I20-S20</f>
        <v/>
      </c>
      <c r="U20" s="105">
        <f>IFERROR(T20/I20,0)</f>
        <v/>
      </c>
    </row>
    <row r="21" hidden="1" ht="14.25" customHeight="1" s="83">
      <c r="A21" s="125">
        <f>EDATE(StartDate,2)</f>
        <v/>
      </c>
      <c r="B21" s="103" t="inlineStr">
        <is>
          <t>Dorm 2</t>
        </is>
      </c>
      <c r="C21" s="170">
        <f>IFERROR(_xlfn.XLOOKUP(B21,DormRegistry[Dorm Name],DormRegistry[Ownership Type]),"")</f>
        <v/>
      </c>
      <c r="D21" s="170">
        <f>IFERROR(_xlfn.XLOOKUP(B21,DormRegistry[Dorm Name],DormRegistry[Bed Capacity]),0)</f>
        <v/>
      </c>
      <c r="E21" s="130">
        <f>$B$6*(1+$B$8)^(YEAR(A21)-YEAR(StartDate))</f>
        <v/>
      </c>
      <c r="F21" s="105">
        <f>$B$7</f>
        <v/>
      </c>
      <c r="G21" s="105">
        <f>$B$8</f>
        <v/>
      </c>
      <c r="H21" s="130">
        <f>D21*E21</f>
        <v/>
      </c>
      <c r="I21" s="130" t="n"/>
      <c r="J21" s="130">
        <f>D21*F21*E21</f>
        <v/>
      </c>
      <c r="K21" s="104" t="n">
        <v>75</v>
      </c>
      <c r="L21" s="104" t="n">
        <v>50</v>
      </c>
      <c r="M21" s="104" t="n">
        <v>150</v>
      </c>
      <c r="N21" s="104" t="n">
        <v>125</v>
      </c>
      <c r="O21" s="104" t="n">
        <v>60</v>
      </c>
      <c r="P21" s="104" t="n">
        <v>80</v>
      </c>
      <c r="Q21" s="104" t="n">
        <v>40</v>
      </c>
      <c r="R21" s="130">
        <f>IF(C21="Owned",0,2500)</f>
        <v/>
      </c>
      <c r="S21" s="130">
        <f>SUM(K21:R21)</f>
        <v/>
      </c>
      <c r="T21" s="130">
        <f>I21-S21</f>
        <v/>
      </c>
      <c r="U21" s="105">
        <f>IFERROR(T21/I21,0)</f>
        <v/>
      </c>
    </row>
    <row r="22" hidden="1" ht="14.25" customHeight="1" s="83">
      <c r="A22" s="125">
        <f>EDATE(StartDate,2)</f>
        <v/>
      </c>
      <c r="B22" s="103" t="inlineStr">
        <is>
          <t>Dorm 3</t>
        </is>
      </c>
      <c r="C22" s="170">
        <f>IFERROR(_xlfn.XLOOKUP(B22,DormRegistry[Dorm Name],DormRegistry[Ownership Type]),"")</f>
        <v/>
      </c>
      <c r="D22" s="170">
        <f>IFERROR(_xlfn.XLOOKUP(B22,DormRegistry[Dorm Name],DormRegistry[Bed Capacity]),0)</f>
        <v/>
      </c>
      <c r="E22" s="130">
        <f>$B$6*(1+$B$8)^(YEAR(A22)-YEAR(StartDate))</f>
        <v/>
      </c>
      <c r="F22" s="105">
        <f>$B$7</f>
        <v/>
      </c>
      <c r="G22" s="105">
        <f>$B$8</f>
        <v/>
      </c>
      <c r="H22" s="130">
        <f>D22*E22</f>
        <v/>
      </c>
      <c r="I22" s="130" t="n"/>
      <c r="J22" s="130">
        <f>D22*F22*E22</f>
        <v/>
      </c>
      <c r="K22" s="104" t="n">
        <v>75</v>
      </c>
      <c r="L22" s="104" t="n">
        <v>50</v>
      </c>
      <c r="M22" s="104" t="n">
        <v>150</v>
      </c>
      <c r="N22" s="104" t="n">
        <v>125</v>
      </c>
      <c r="O22" s="104" t="n">
        <v>60</v>
      </c>
      <c r="P22" s="104" t="n">
        <v>80</v>
      </c>
      <c r="Q22" s="104" t="n">
        <v>40</v>
      </c>
      <c r="R22" s="130">
        <f>IF(C22="Owned",0,2500)</f>
        <v/>
      </c>
      <c r="S22" s="130">
        <f>SUM(K22:R22)</f>
        <v/>
      </c>
      <c r="T22" s="130">
        <f>I22-S22</f>
        <v/>
      </c>
      <c r="U22" s="105">
        <f>IFERROR(T22/I22,0)</f>
        <v/>
      </c>
    </row>
    <row r="23" ht="14.25" customHeight="1" s="83">
      <c r="A23" s="125">
        <f>EDATE(StartDate,3)</f>
        <v/>
      </c>
      <c r="B23" s="103" t="inlineStr">
        <is>
          <t>Dorm 1</t>
        </is>
      </c>
      <c r="C23" s="170">
        <f>IFERROR(_xlfn.XLOOKUP(B23,DormRegistry[Dorm Name],DormRegistry[Ownership Type]),"")</f>
        <v/>
      </c>
      <c r="D23" s="170">
        <f>IFERROR(_xlfn.XLOOKUP(B23,DormRegistry[Dorm Name],DormRegistry[Bed Capacity]),0)</f>
        <v/>
      </c>
      <c r="E23" s="130">
        <f>$B$6*(1+$B$8)^(YEAR(A23)-YEAR(StartDate))</f>
        <v/>
      </c>
      <c r="F23" s="105">
        <f>$B$7</f>
        <v/>
      </c>
      <c r="G23" s="105">
        <f>$B$8</f>
        <v/>
      </c>
      <c r="H23" s="130">
        <f>D23*E23</f>
        <v/>
      </c>
      <c r="I23" s="130" t="n"/>
      <c r="J23" s="130">
        <f>D23*F23*E23</f>
        <v/>
      </c>
      <c r="K23" s="104" t="n">
        <v>75</v>
      </c>
      <c r="L23" s="104" t="n">
        <v>50</v>
      </c>
      <c r="M23" s="104" t="n">
        <v>150</v>
      </c>
      <c r="N23" s="104" t="n">
        <v>125</v>
      </c>
      <c r="O23" s="104" t="n">
        <v>60</v>
      </c>
      <c r="P23" s="104" t="n">
        <v>80</v>
      </c>
      <c r="Q23" s="104" t="n">
        <v>40</v>
      </c>
      <c r="R23" s="130">
        <f>IF(C23="Owned",0,2500)</f>
        <v/>
      </c>
      <c r="S23" s="130">
        <f>SUM(K23:R23)</f>
        <v/>
      </c>
      <c r="T23" s="130">
        <f>I23-S23</f>
        <v/>
      </c>
      <c r="U23" s="105">
        <f>IFERROR(T23/I23,0)</f>
        <v/>
      </c>
    </row>
    <row r="24" hidden="1" ht="14.25" customHeight="1" s="83">
      <c r="A24" s="125">
        <f>EDATE(StartDate,3)</f>
        <v/>
      </c>
      <c r="B24" s="103" t="inlineStr">
        <is>
          <t>Dorm 2</t>
        </is>
      </c>
      <c r="C24" s="170">
        <f>IFERROR(_xlfn.XLOOKUP(B24,DormRegistry[Dorm Name],DormRegistry[Ownership Type]),"")</f>
        <v/>
      </c>
      <c r="D24" s="170">
        <f>IFERROR(_xlfn.XLOOKUP(B24,DormRegistry[Dorm Name],DormRegistry[Bed Capacity]),0)</f>
        <v/>
      </c>
      <c r="E24" s="130">
        <f>$B$6*(1+$B$8)^(YEAR(A24)-YEAR(StartDate))</f>
        <v/>
      </c>
      <c r="F24" s="105">
        <f>$B$7</f>
        <v/>
      </c>
      <c r="G24" s="105">
        <f>$B$8</f>
        <v/>
      </c>
      <c r="H24" s="130">
        <f>D24*E24</f>
        <v/>
      </c>
      <c r="I24" s="130" t="n"/>
      <c r="J24" s="130">
        <f>D24*F24*E24</f>
        <v/>
      </c>
      <c r="K24" s="104" t="n">
        <v>75</v>
      </c>
      <c r="L24" s="104" t="n">
        <v>50</v>
      </c>
      <c r="M24" s="104" t="n">
        <v>150</v>
      </c>
      <c r="N24" s="104" t="n">
        <v>125</v>
      </c>
      <c r="O24" s="104" t="n">
        <v>60</v>
      </c>
      <c r="P24" s="104" t="n">
        <v>80</v>
      </c>
      <c r="Q24" s="104" t="n">
        <v>40</v>
      </c>
      <c r="R24" s="130">
        <f>IF(C24="Owned",0,2500)</f>
        <v/>
      </c>
      <c r="S24" s="130">
        <f>SUM(K24:R24)</f>
        <v/>
      </c>
      <c r="T24" s="130">
        <f>I24-S24</f>
        <v/>
      </c>
      <c r="U24" s="105">
        <f>IFERROR(T24/I24,0)</f>
        <v/>
      </c>
    </row>
    <row r="25" hidden="1" ht="14.25" customHeight="1" s="83">
      <c r="A25" s="125">
        <f>EDATE(StartDate,3)</f>
        <v/>
      </c>
      <c r="B25" s="103" t="inlineStr">
        <is>
          <t>Dorm 3</t>
        </is>
      </c>
      <c r="C25" s="170">
        <f>IFERROR(_xlfn.XLOOKUP(B25,DormRegistry[Dorm Name],DormRegistry[Ownership Type]),"")</f>
        <v/>
      </c>
      <c r="D25" s="170">
        <f>IFERROR(_xlfn.XLOOKUP(B25,DormRegistry[Dorm Name],DormRegistry[Bed Capacity]),0)</f>
        <v/>
      </c>
      <c r="E25" s="130">
        <f>$B$6*(1+$B$8)^(YEAR(A25)-YEAR(StartDate))</f>
        <v/>
      </c>
      <c r="F25" s="105">
        <f>$B$7</f>
        <v/>
      </c>
      <c r="G25" s="105">
        <f>$B$8</f>
        <v/>
      </c>
      <c r="H25" s="130">
        <f>D25*E25</f>
        <v/>
      </c>
      <c r="I25" s="130" t="n"/>
      <c r="J25" s="130">
        <f>D25*F25*E25</f>
        <v/>
      </c>
      <c r="K25" s="104" t="n">
        <v>75</v>
      </c>
      <c r="L25" s="104" t="n">
        <v>50</v>
      </c>
      <c r="M25" s="104" t="n">
        <v>150</v>
      </c>
      <c r="N25" s="104" t="n">
        <v>125</v>
      </c>
      <c r="O25" s="104" t="n">
        <v>60</v>
      </c>
      <c r="P25" s="104" t="n">
        <v>80</v>
      </c>
      <c r="Q25" s="104" t="n">
        <v>40</v>
      </c>
      <c r="R25" s="130">
        <f>IF(C25="Owned",0,2500)</f>
        <v/>
      </c>
      <c r="S25" s="130">
        <f>SUM(K25:R25)</f>
        <v/>
      </c>
      <c r="T25" s="130">
        <f>I25-S25</f>
        <v/>
      </c>
      <c r="U25" s="105">
        <f>IFERROR(T25/I25,0)</f>
        <v/>
      </c>
    </row>
    <row r="26" ht="14.25" customHeight="1" s="83">
      <c r="A26" s="125">
        <f>EDATE(StartDate,4)</f>
        <v/>
      </c>
      <c r="B26" s="103" t="inlineStr">
        <is>
          <t>Dorm 1</t>
        </is>
      </c>
      <c r="C26" s="170">
        <f>IFERROR(_xlfn.XLOOKUP(B26,DormRegistry[Dorm Name],DormRegistry[Ownership Type]),"")</f>
        <v/>
      </c>
      <c r="D26" s="170">
        <f>IFERROR(_xlfn.XLOOKUP(B26,DormRegistry[Dorm Name],DormRegistry[Bed Capacity]),0)</f>
        <v/>
      </c>
      <c r="E26" s="130">
        <f>$B$6*(1+$B$8)^(YEAR(A26)-YEAR(StartDate))</f>
        <v/>
      </c>
      <c r="F26" s="105">
        <f>$B$7</f>
        <v/>
      </c>
      <c r="G26" s="105">
        <f>$B$8</f>
        <v/>
      </c>
      <c r="H26" s="130">
        <f>D26*E26</f>
        <v/>
      </c>
      <c r="I26" s="130" t="n"/>
      <c r="J26" s="130">
        <f>D26*F26*E26</f>
        <v/>
      </c>
      <c r="K26" s="104" t="n">
        <v>75</v>
      </c>
      <c r="L26" s="104" t="n">
        <v>50</v>
      </c>
      <c r="M26" s="104" t="n">
        <v>150</v>
      </c>
      <c r="N26" s="104" t="n">
        <v>125</v>
      </c>
      <c r="O26" s="104" t="n">
        <v>60</v>
      </c>
      <c r="P26" s="104" t="n">
        <v>80</v>
      </c>
      <c r="Q26" s="104" t="n">
        <v>40</v>
      </c>
      <c r="R26" s="130">
        <f>IF(C26="Owned",0,2500)</f>
        <v/>
      </c>
      <c r="S26" s="130">
        <f>SUM(K26:R26)</f>
        <v/>
      </c>
      <c r="T26" s="130">
        <f>I26-S26</f>
        <v/>
      </c>
      <c r="U26" s="105">
        <f>IFERROR(T26/I26,0)</f>
        <v/>
      </c>
    </row>
    <row r="27" hidden="1" ht="14.25" customHeight="1" s="83">
      <c r="A27" s="125">
        <f>EDATE(StartDate,4)</f>
        <v/>
      </c>
      <c r="B27" s="103" t="inlineStr">
        <is>
          <t>Dorm 2</t>
        </is>
      </c>
      <c r="C27" s="170">
        <f>IFERROR(_xlfn.XLOOKUP(B27,DormRegistry[Dorm Name],DormRegistry[Ownership Type]),"")</f>
        <v/>
      </c>
      <c r="D27" s="170">
        <f>IFERROR(_xlfn.XLOOKUP(B27,DormRegistry[Dorm Name],DormRegistry[Bed Capacity]),0)</f>
        <v/>
      </c>
      <c r="E27" s="130">
        <f>$B$6*(1+$B$8)^(YEAR(A27)-YEAR(StartDate))</f>
        <v/>
      </c>
      <c r="F27" s="105">
        <f>$B$7</f>
        <v/>
      </c>
      <c r="G27" s="105">
        <f>$B$8</f>
        <v/>
      </c>
      <c r="H27" s="130">
        <f>D27*E27</f>
        <v/>
      </c>
      <c r="I27" s="130" t="n"/>
      <c r="J27" s="130">
        <f>D27*F27*E27</f>
        <v/>
      </c>
      <c r="K27" s="104" t="n">
        <v>75</v>
      </c>
      <c r="L27" s="104" t="n">
        <v>50</v>
      </c>
      <c r="M27" s="104" t="n">
        <v>150</v>
      </c>
      <c r="N27" s="104" t="n">
        <v>125</v>
      </c>
      <c r="O27" s="104" t="n">
        <v>60</v>
      </c>
      <c r="P27" s="104" t="n">
        <v>80</v>
      </c>
      <c r="Q27" s="104" t="n">
        <v>40</v>
      </c>
      <c r="R27" s="130">
        <f>IF(C27="Owned",0,2500)</f>
        <v/>
      </c>
      <c r="S27" s="130">
        <f>SUM(K27:R27)</f>
        <v/>
      </c>
      <c r="T27" s="130">
        <f>I27-S27</f>
        <v/>
      </c>
      <c r="U27" s="105">
        <f>IFERROR(T27/I27,0)</f>
        <v/>
      </c>
    </row>
    <row r="28" hidden="1" ht="14.25" customHeight="1" s="83">
      <c r="A28" s="125">
        <f>EDATE(StartDate,4)</f>
        <v/>
      </c>
      <c r="B28" s="103" t="inlineStr">
        <is>
          <t>Dorm 3</t>
        </is>
      </c>
      <c r="C28" s="170">
        <f>IFERROR(_xlfn.XLOOKUP(B28,DormRegistry[Dorm Name],DormRegistry[Ownership Type]),"")</f>
        <v/>
      </c>
      <c r="D28" s="170">
        <f>IFERROR(_xlfn.XLOOKUP(B28,DormRegistry[Dorm Name],DormRegistry[Bed Capacity]),0)</f>
        <v/>
      </c>
      <c r="E28" s="130">
        <f>$B$6*(1+$B$8)^(YEAR(A28)-YEAR(StartDate))</f>
        <v/>
      </c>
      <c r="F28" s="105">
        <f>$B$7</f>
        <v/>
      </c>
      <c r="G28" s="105">
        <f>$B$8</f>
        <v/>
      </c>
      <c r="H28" s="130">
        <f>D28*E28</f>
        <v/>
      </c>
      <c r="I28" s="130" t="n"/>
      <c r="J28" s="130">
        <f>D28*F28*E28</f>
        <v/>
      </c>
      <c r="K28" s="104" t="n">
        <v>75</v>
      </c>
      <c r="L28" s="104" t="n">
        <v>50</v>
      </c>
      <c r="M28" s="104" t="n">
        <v>150</v>
      </c>
      <c r="N28" s="104" t="n">
        <v>125</v>
      </c>
      <c r="O28" s="104" t="n">
        <v>60</v>
      </c>
      <c r="P28" s="104" t="n">
        <v>80</v>
      </c>
      <c r="Q28" s="104" t="n">
        <v>40</v>
      </c>
      <c r="R28" s="130">
        <f>IF(C28="Owned",0,2500)</f>
        <v/>
      </c>
      <c r="S28" s="130">
        <f>SUM(K28:R28)</f>
        <v/>
      </c>
      <c r="T28" s="130">
        <f>I28-S28</f>
        <v/>
      </c>
      <c r="U28" s="105">
        <f>IFERROR(T28/I28,0)</f>
        <v/>
      </c>
    </row>
    <row r="29" ht="14.25" customHeight="1" s="83">
      <c r="A29" s="125">
        <f>EDATE(StartDate,5)</f>
        <v/>
      </c>
      <c r="B29" s="103" t="inlineStr">
        <is>
          <t>Dorm 1</t>
        </is>
      </c>
      <c r="C29" s="170">
        <f>IFERROR(_xlfn.XLOOKUP(B29,DormRegistry[Dorm Name],DormRegistry[Ownership Type]),"")</f>
        <v/>
      </c>
      <c r="D29" s="170">
        <f>IFERROR(_xlfn.XLOOKUP(B29,DormRegistry[Dorm Name],DormRegistry[Bed Capacity]),0)</f>
        <v/>
      </c>
      <c r="E29" s="130">
        <f>$B$6*(1+$B$8)^(YEAR(A29)-YEAR(StartDate))</f>
        <v/>
      </c>
      <c r="F29" s="105">
        <f>$B$7</f>
        <v/>
      </c>
      <c r="G29" s="105">
        <f>$B$8</f>
        <v/>
      </c>
      <c r="H29" s="130">
        <f>D29*E29</f>
        <v/>
      </c>
      <c r="I29" s="130" t="n"/>
      <c r="J29" s="130">
        <f>D29*F29*E29</f>
        <v/>
      </c>
      <c r="K29" s="104" t="n">
        <v>75</v>
      </c>
      <c r="L29" s="104" t="n">
        <v>50</v>
      </c>
      <c r="M29" s="104" t="n">
        <v>150</v>
      </c>
      <c r="N29" s="104" t="n">
        <v>125</v>
      </c>
      <c r="O29" s="104" t="n">
        <v>60</v>
      </c>
      <c r="P29" s="104" t="n">
        <v>80</v>
      </c>
      <c r="Q29" s="104" t="n">
        <v>40</v>
      </c>
      <c r="R29" s="130">
        <f>IF(C29="Owned",0,2500)</f>
        <v/>
      </c>
      <c r="S29" s="130">
        <f>SUM(K29:R29)</f>
        <v/>
      </c>
      <c r="T29" s="130">
        <f>I29-S29</f>
        <v/>
      </c>
      <c r="U29" s="105">
        <f>IFERROR(T29/I29,0)</f>
        <v/>
      </c>
    </row>
    <row r="30" hidden="1" ht="14.25" customHeight="1" s="83">
      <c r="A30" s="125">
        <f>EDATE(StartDate,5)</f>
        <v/>
      </c>
      <c r="B30" s="103" t="inlineStr">
        <is>
          <t>Dorm 2</t>
        </is>
      </c>
      <c r="C30" s="170">
        <f>IFERROR(_xlfn.XLOOKUP(B30,DormRegistry[Dorm Name],DormRegistry[Ownership Type]),"")</f>
        <v/>
      </c>
      <c r="D30" s="170">
        <f>IFERROR(_xlfn.XLOOKUP(B30,DormRegistry[Dorm Name],DormRegistry[Bed Capacity]),0)</f>
        <v/>
      </c>
      <c r="E30" s="130">
        <f>$B$6*(1+$B$8)^(YEAR(A30)-YEAR(StartDate))</f>
        <v/>
      </c>
      <c r="F30" s="105">
        <f>$B$7</f>
        <v/>
      </c>
      <c r="G30" s="105">
        <f>$B$8</f>
        <v/>
      </c>
      <c r="H30" s="130">
        <f>D30*E30</f>
        <v/>
      </c>
      <c r="I30" s="130" t="n"/>
      <c r="J30" s="130">
        <f>D30*F30*E30</f>
        <v/>
      </c>
      <c r="K30" s="104" t="n">
        <v>75</v>
      </c>
      <c r="L30" s="104" t="n">
        <v>50</v>
      </c>
      <c r="M30" s="104" t="n">
        <v>150</v>
      </c>
      <c r="N30" s="104" t="n">
        <v>125</v>
      </c>
      <c r="O30" s="104" t="n">
        <v>60</v>
      </c>
      <c r="P30" s="104" t="n">
        <v>80</v>
      </c>
      <c r="Q30" s="104" t="n">
        <v>40</v>
      </c>
      <c r="R30" s="130">
        <f>IF(C30="Owned",0,2500)</f>
        <v/>
      </c>
      <c r="S30" s="130">
        <f>SUM(K30:R30)</f>
        <v/>
      </c>
      <c r="T30" s="130">
        <f>I30-S30</f>
        <v/>
      </c>
      <c r="U30" s="105">
        <f>IFERROR(T30/I30,0)</f>
        <v/>
      </c>
    </row>
    <row r="31" hidden="1" ht="14.25" customHeight="1" s="83">
      <c r="A31" s="125">
        <f>EDATE(StartDate,5)</f>
        <v/>
      </c>
      <c r="B31" s="103" t="inlineStr">
        <is>
          <t>Dorm 3</t>
        </is>
      </c>
      <c r="C31" s="170">
        <f>IFERROR(_xlfn.XLOOKUP(B31,DormRegistry[Dorm Name],DormRegistry[Ownership Type]),"")</f>
        <v/>
      </c>
      <c r="D31" s="170">
        <f>IFERROR(_xlfn.XLOOKUP(B31,DormRegistry[Dorm Name],DormRegistry[Bed Capacity]),0)</f>
        <v/>
      </c>
      <c r="E31" s="130">
        <f>$B$6*(1+$B$8)^(YEAR(A31)-YEAR(StartDate))</f>
        <v/>
      </c>
      <c r="F31" s="105">
        <f>$B$7</f>
        <v/>
      </c>
      <c r="G31" s="105">
        <f>$B$8</f>
        <v/>
      </c>
      <c r="H31" s="130">
        <f>D31*E31</f>
        <v/>
      </c>
      <c r="I31" s="130" t="n"/>
      <c r="J31" s="130">
        <f>D31*F31*E31</f>
        <v/>
      </c>
      <c r="K31" s="104" t="n">
        <v>75</v>
      </c>
      <c r="L31" s="104" t="n">
        <v>50</v>
      </c>
      <c r="M31" s="104" t="n">
        <v>150</v>
      </c>
      <c r="N31" s="104" t="n">
        <v>125</v>
      </c>
      <c r="O31" s="104" t="n">
        <v>60</v>
      </c>
      <c r="P31" s="104" t="n">
        <v>80</v>
      </c>
      <c r="Q31" s="104" t="n">
        <v>40</v>
      </c>
      <c r="R31" s="130">
        <f>IF(C31="Owned",0,2500)</f>
        <v/>
      </c>
      <c r="S31" s="130">
        <f>SUM(K31:R31)</f>
        <v/>
      </c>
      <c r="T31" s="130">
        <f>I31-S31</f>
        <v/>
      </c>
      <c r="U31" s="105">
        <f>IFERROR(T31/I31,0)</f>
        <v/>
      </c>
    </row>
    <row r="32" ht="14.25" customHeight="1" s="83">
      <c r="A32" s="125">
        <f>EDATE(StartDate,6)</f>
        <v/>
      </c>
      <c r="B32" s="103" t="inlineStr">
        <is>
          <t>Dorm 1</t>
        </is>
      </c>
      <c r="C32" s="170">
        <f>IFERROR(_xlfn.XLOOKUP(B32,DormRegistry[Dorm Name],DormRegistry[Ownership Type]),"")</f>
        <v/>
      </c>
      <c r="D32" s="170">
        <f>IFERROR(_xlfn.XLOOKUP(B32,DormRegistry[Dorm Name],DormRegistry[Bed Capacity]),0)</f>
        <v/>
      </c>
      <c r="E32" s="130">
        <f>$B$6*(1+$B$8)^(YEAR(A32)-YEAR(StartDate))</f>
        <v/>
      </c>
      <c r="F32" s="105">
        <f>$B$7</f>
        <v/>
      </c>
      <c r="G32" s="105">
        <f>$B$8</f>
        <v/>
      </c>
      <c r="H32" s="130">
        <f>D32*E32</f>
        <v/>
      </c>
      <c r="I32" s="130" t="n"/>
      <c r="J32" s="130">
        <f>D32*F32*E32</f>
        <v/>
      </c>
      <c r="K32" s="104" t="n">
        <v>75</v>
      </c>
      <c r="L32" s="104" t="n">
        <v>50</v>
      </c>
      <c r="M32" s="104" t="n">
        <v>150</v>
      </c>
      <c r="N32" s="104" t="n">
        <v>125</v>
      </c>
      <c r="O32" s="104" t="n">
        <v>60</v>
      </c>
      <c r="P32" s="104" t="n">
        <v>80</v>
      </c>
      <c r="Q32" s="104" t="n">
        <v>40</v>
      </c>
      <c r="R32" s="130">
        <f>IF(C32="Owned",0,2500)</f>
        <v/>
      </c>
      <c r="S32" s="130">
        <f>SUM(K32:R32)</f>
        <v/>
      </c>
      <c r="T32" s="130">
        <f>I32-S32</f>
        <v/>
      </c>
      <c r="U32" s="105">
        <f>IFERROR(T32/I32,0)</f>
        <v/>
      </c>
    </row>
    <row r="33" hidden="1" ht="14.25" customHeight="1" s="83">
      <c r="A33" s="125">
        <f>EDATE(StartDate,6)</f>
        <v/>
      </c>
      <c r="B33" s="103" t="inlineStr">
        <is>
          <t>Dorm 2</t>
        </is>
      </c>
      <c r="C33" s="170">
        <f>IFERROR(_xlfn.XLOOKUP(B33,DormRegistry[Dorm Name],DormRegistry[Ownership Type]),"")</f>
        <v/>
      </c>
      <c r="D33" s="170">
        <f>IFERROR(_xlfn.XLOOKUP(B33,DormRegistry[Dorm Name],DormRegistry[Bed Capacity]),0)</f>
        <v/>
      </c>
      <c r="E33" s="130">
        <f>$B$6*(1+$B$8)^(YEAR(A33)-YEAR(StartDate))</f>
        <v/>
      </c>
      <c r="F33" s="105">
        <f>$B$7</f>
        <v/>
      </c>
      <c r="G33" s="105">
        <f>$B$8</f>
        <v/>
      </c>
      <c r="H33" s="130">
        <f>D33*E33</f>
        <v/>
      </c>
      <c r="I33" s="130" t="n"/>
      <c r="J33" s="130">
        <f>D33*F33*E33</f>
        <v/>
      </c>
      <c r="K33" s="104" t="n">
        <v>75</v>
      </c>
      <c r="L33" s="104" t="n">
        <v>50</v>
      </c>
      <c r="M33" s="104" t="n">
        <v>150</v>
      </c>
      <c r="N33" s="104" t="n">
        <v>125</v>
      </c>
      <c r="O33" s="104" t="n">
        <v>60</v>
      </c>
      <c r="P33" s="104" t="n">
        <v>80</v>
      </c>
      <c r="Q33" s="104" t="n">
        <v>40</v>
      </c>
      <c r="R33" s="130">
        <f>IF(C33="Owned",0,2500)</f>
        <v/>
      </c>
      <c r="S33" s="130">
        <f>SUM(K33:R33)</f>
        <v/>
      </c>
      <c r="T33" s="130">
        <f>I33-S33</f>
        <v/>
      </c>
      <c r="U33" s="105">
        <f>IFERROR(T33/I33,0)</f>
        <v/>
      </c>
    </row>
    <row r="34" hidden="1" ht="14.25" customHeight="1" s="83">
      <c r="A34" s="125">
        <f>EDATE(StartDate,6)</f>
        <v/>
      </c>
      <c r="B34" s="103" t="inlineStr">
        <is>
          <t>Dorm 3</t>
        </is>
      </c>
      <c r="C34" s="170">
        <f>IFERROR(_xlfn.XLOOKUP(B34,DormRegistry[Dorm Name],DormRegistry[Ownership Type]),"")</f>
        <v/>
      </c>
      <c r="D34" s="170">
        <f>IFERROR(_xlfn.XLOOKUP(B34,DormRegistry[Dorm Name],DormRegistry[Bed Capacity]),0)</f>
        <v/>
      </c>
      <c r="E34" s="130">
        <f>$B$6*(1+$B$8)^(YEAR(A34)-YEAR(StartDate))</f>
        <v/>
      </c>
      <c r="F34" s="105">
        <f>$B$7</f>
        <v/>
      </c>
      <c r="G34" s="105">
        <f>$B$8</f>
        <v/>
      </c>
      <c r="H34" s="130">
        <f>D34*E34</f>
        <v/>
      </c>
      <c r="I34" s="130" t="n"/>
      <c r="J34" s="130">
        <f>D34*F34*E34</f>
        <v/>
      </c>
      <c r="K34" s="104" t="n">
        <v>75</v>
      </c>
      <c r="L34" s="104" t="n">
        <v>50</v>
      </c>
      <c r="M34" s="104" t="n">
        <v>150</v>
      </c>
      <c r="N34" s="104" t="n">
        <v>125</v>
      </c>
      <c r="O34" s="104" t="n">
        <v>60</v>
      </c>
      <c r="P34" s="104" t="n">
        <v>80</v>
      </c>
      <c r="Q34" s="104" t="n">
        <v>40</v>
      </c>
      <c r="R34" s="130">
        <f>IF(C34="Owned",0,2500)</f>
        <v/>
      </c>
      <c r="S34" s="130">
        <f>SUM(K34:R34)</f>
        <v/>
      </c>
      <c r="T34" s="130">
        <f>I34-S34</f>
        <v/>
      </c>
      <c r="U34" s="105">
        <f>IFERROR(T34/I34,0)</f>
        <v/>
      </c>
    </row>
    <row r="35" ht="14.25" customHeight="1" s="83">
      <c r="A35" s="125">
        <f>EDATE(StartDate,7)</f>
        <v/>
      </c>
      <c r="B35" s="103" t="inlineStr">
        <is>
          <t>Dorm 1</t>
        </is>
      </c>
      <c r="C35" s="170">
        <f>IFERROR(_xlfn.XLOOKUP(B35,DormRegistry[Dorm Name],DormRegistry[Ownership Type]),"")</f>
        <v/>
      </c>
      <c r="D35" s="170">
        <f>IFERROR(_xlfn.XLOOKUP(B35,DormRegistry[Dorm Name],DormRegistry[Bed Capacity]),0)</f>
        <v/>
      </c>
      <c r="E35" s="130">
        <f>$B$6*(1+$B$8)^(YEAR(A35)-YEAR(StartDate))</f>
        <v/>
      </c>
      <c r="F35" s="105">
        <f>$B$7</f>
        <v/>
      </c>
      <c r="G35" s="105">
        <f>$B$8</f>
        <v/>
      </c>
      <c r="H35" s="130">
        <f>D35*E35</f>
        <v/>
      </c>
      <c r="I35" s="130" t="n"/>
      <c r="J35" s="130">
        <f>D35*F35*E35</f>
        <v/>
      </c>
      <c r="K35" s="104" t="n">
        <v>75</v>
      </c>
      <c r="L35" s="104" t="n">
        <v>50</v>
      </c>
      <c r="M35" s="104" t="n">
        <v>150</v>
      </c>
      <c r="N35" s="104" t="n">
        <v>125</v>
      </c>
      <c r="O35" s="104" t="n">
        <v>60</v>
      </c>
      <c r="P35" s="104" t="n">
        <v>80</v>
      </c>
      <c r="Q35" s="104" t="n">
        <v>40</v>
      </c>
      <c r="R35" s="130">
        <f>IF(C35="Owned",0,2500)</f>
        <v/>
      </c>
      <c r="S35" s="130">
        <f>SUM(K35:R35)</f>
        <v/>
      </c>
      <c r="T35" s="130">
        <f>I35-S35</f>
        <v/>
      </c>
      <c r="U35" s="105">
        <f>IFERROR(T35/I35,0)</f>
        <v/>
      </c>
    </row>
    <row r="36" hidden="1" ht="14.25" customHeight="1" s="83">
      <c r="A36" s="125">
        <f>EDATE(StartDate,7)</f>
        <v/>
      </c>
      <c r="B36" s="103" t="inlineStr">
        <is>
          <t>Dorm 2</t>
        </is>
      </c>
      <c r="C36" s="170">
        <f>IFERROR(_xlfn.XLOOKUP(B36,DormRegistry[Dorm Name],DormRegistry[Ownership Type]),"")</f>
        <v/>
      </c>
      <c r="D36" s="170">
        <f>IFERROR(_xlfn.XLOOKUP(B36,DormRegistry[Dorm Name],DormRegistry[Bed Capacity]),0)</f>
        <v/>
      </c>
      <c r="E36" s="130">
        <f>$B$6*(1+$B$8)^(YEAR(A36)-YEAR(StartDate))</f>
        <v/>
      </c>
      <c r="F36" s="105">
        <f>$B$7</f>
        <v/>
      </c>
      <c r="G36" s="105">
        <f>$B$8</f>
        <v/>
      </c>
      <c r="H36" s="130">
        <f>D36*E36</f>
        <v/>
      </c>
      <c r="I36" s="130" t="n"/>
      <c r="J36" s="130">
        <f>D36*F36*E36</f>
        <v/>
      </c>
      <c r="K36" s="104" t="n">
        <v>75</v>
      </c>
      <c r="L36" s="104" t="n">
        <v>50</v>
      </c>
      <c r="M36" s="104" t="n">
        <v>150</v>
      </c>
      <c r="N36" s="104" t="n">
        <v>125</v>
      </c>
      <c r="O36" s="104" t="n">
        <v>60</v>
      </c>
      <c r="P36" s="104" t="n">
        <v>80</v>
      </c>
      <c r="Q36" s="104" t="n">
        <v>40</v>
      </c>
      <c r="R36" s="130">
        <f>IF(C36="Owned",0,2500)</f>
        <v/>
      </c>
      <c r="S36" s="130">
        <f>SUM(K36:R36)</f>
        <v/>
      </c>
      <c r="T36" s="130">
        <f>I36-S36</f>
        <v/>
      </c>
      <c r="U36" s="105">
        <f>IFERROR(T36/I36,0)</f>
        <v/>
      </c>
    </row>
    <row r="37" hidden="1" ht="14.25" customHeight="1" s="83">
      <c r="A37" s="125">
        <f>EDATE(StartDate,7)</f>
        <v/>
      </c>
      <c r="B37" s="103" t="inlineStr">
        <is>
          <t>Dorm 3</t>
        </is>
      </c>
      <c r="C37" s="170">
        <f>IFERROR(_xlfn.XLOOKUP(B37,DormRegistry[Dorm Name],DormRegistry[Ownership Type]),"")</f>
        <v/>
      </c>
      <c r="D37" s="170">
        <f>IFERROR(_xlfn.XLOOKUP(B37,DormRegistry[Dorm Name],DormRegistry[Bed Capacity]),0)</f>
        <v/>
      </c>
      <c r="E37" s="130">
        <f>$B$6*(1+$B$8)^(YEAR(A37)-YEAR(StartDate))</f>
        <v/>
      </c>
      <c r="F37" s="105">
        <f>$B$7</f>
        <v/>
      </c>
      <c r="G37" s="105">
        <f>$B$8</f>
        <v/>
      </c>
      <c r="H37" s="130">
        <f>D37*E37</f>
        <v/>
      </c>
      <c r="I37" s="130" t="n"/>
      <c r="J37" s="130">
        <f>D37*F37*E37</f>
        <v/>
      </c>
      <c r="K37" s="104" t="n">
        <v>75</v>
      </c>
      <c r="L37" s="104" t="n">
        <v>50</v>
      </c>
      <c r="M37" s="104" t="n">
        <v>150</v>
      </c>
      <c r="N37" s="104" t="n">
        <v>125</v>
      </c>
      <c r="O37" s="104" t="n">
        <v>60</v>
      </c>
      <c r="P37" s="104" t="n">
        <v>80</v>
      </c>
      <c r="Q37" s="104" t="n">
        <v>40</v>
      </c>
      <c r="R37" s="130">
        <f>IF(C37="Owned",0,2500)</f>
        <v/>
      </c>
      <c r="S37" s="130">
        <f>SUM(K37:R37)</f>
        <v/>
      </c>
      <c r="T37" s="130">
        <f>I37-S37</f>
        <v/>
      </c>
      <c r="U37" s="105">
        <f>IFERROR(T37/I37,0)</f>
        <v/>
      </c>
    </row>
    <row r="38" ht="14.25" customHeight="1" s="83">
      <c r="A38" s="125">
        <f>EDATE(StartDate,8)</f>
        <v/>
      </c>
      <c r="B38" s="103" t="inlineStr">
        <is>
          <t>Dorm 1</t>
        </is>
      </c>
      <c r="C38" s="170">
        <f>IFERROR(_xlfn.XLOOKUP(B38,DormRegistry[Dorm Name],DormRegistry[Ownership Type]),"")</f>
        <v/>
      </c>
      <c r="D38" s="170">
        <f>IFERROR(_xlfn.XLOOKUP(B38,DormRegistry[Dorm Name],DormRegistry[Bed Capacity]),0)</f>
        <v/>
      </c>
      <c r="E38" s="130">
        <f>$B$6*(1+$B$8)^(YEAR(A38)-YEAR(StartDate))</f>
        <v/>
      </c>
      <c r="F38" s="105">
        <f>$B$7</f>
        <v/>
      </c>
      <c r="G38" s="105">
        <f>$B$8</f>
        <v/>
      </c>
      <c r="H38" s="130">
        <f>D38*E38</f>
        <v/>
      </c>
      <c r="I38" s="130" t="n"/>
      <c r="J38" s="130">
        <f>D38*F38*E38</f>
        <v/>
      </c>
      <c r="K38" s="104" t="n">
        <v>75</v>
      </c>
      <c r="L38" s="104" t="n">
        <v>50</v>
      </c>
      <c r="M38" s="104" t="n">
        <v>150</v>
      </c>
      <c r="N38" s="104" t="n">
        <v>125</v>
      </c>
      <c r="O38" s="104" t="n">
        <v>60</v>
      </c>
      <c r="P38" s="104" t="n">
        <v>80</v>
      </c>
      <c r="Q38" s="104" t="n">
        <v>40</v>
      </c>
      <c r="R38" s="130">
        <f>IF(C38="Owned",0,2500)</f>
        <v/>
      </c>
      <c r="S38" s="130">
        <f>SUM(K38:R38)</f>
        <v/>
      </c>
      <c r="T38" s="130">
        <f>I38-S38</f>
        <v/>
      </c>
      <c r="U38" s="105">
        <f>IFERROR(T38/I38,0)</f>
        <v/>
      </c>
    </row>
    <row r="39" hidden="1" ht="14.25" customHeight="1" s="83">
      <c r="A39" s="125">
        <f>EDATE(StartDate,8)</f>
        <v/>
      </c>
      <c r="B39" s="103" t="inlineStr">
        <is>
          <t>Dorm 2</t>
        </is>
      </c>
      <c r="C39" s="170">
        <f>IFERROR(_xlfn.XLOOKUP(B39,DormRegistry[Dorm Name],DormRegistry[Ownership Type]),"")</f>
        <v/>
      </c>
      <c r="D39" s="170">
        <f>IFERROR(_xlfn.XLOOKUP(B39,DormRegistry[Dorm Name],DormRegistry[Bed Capacity]),0)</f>
        <v/>
      </c>
      <c r="E39" s="130">
        <f>$B$6*(1+$B$8)^(YEAR(A39)-YEAR(StartDate))</f>
        <v/>
      </c>
      <c r="F39" s="105">
        <f>$B$7</f>
        <v/>
      </c>
      <c r="G39" s="105">
        <f>$B$8</f>
        <v/>
      </c>
      <c r="H39" s="130">
        <f>D39*E39</f>
        <v/>
      </c>
      <c r="I39" s="130" t="n"/>
      <c r="J39" s="130">
        <f>D39*F39*E39</f>
        <v/>
      </c>
      <c r="K39" s="104" t="n">
        <v>75</v>
      </c>
      <c r="L39" s="104" t="n">
        <v>50</v>
      </c>
      <c r="M39" s="104" t="n">
        <v>150</v>
      </c>
      <c r="N39" s="104" t="n">
        <v>125</v>
      </c>
      <c r="O39" s="104" t="n">
        <v>60</v>
      </c>
      <c r="P39" s="104" t="n">
        <v>80</v>
      </c>
      <c r="Q39" s="104" t="n">
        <v>40</v>
      </c>
      <c r="R39" s="130">
        <f>IF(C39="Owned",0,2500)</f>
        <v/>
      </c>
      <c r="S39" s="130">
        <f>SUM(K39:R39)</f>
        <v/>
      </c>
      <c r="T39" s="130">
        <f>I39-S39</f>
        <v/>
      </c>
      <c r="U39" s="105">
        <f>IFERROR(T39/I39,0)</f>
        <v/>
      </c>
    </row>
    <row r="40" hidden="1" ht="14.25" customHeight="1" s="83">
      <c r="A40" s="125">
        <f>EDATE(StartDate,8)</f>
        <v/>
      </c>
      <c r="B40" s="103" t="inlineStr">
        <is>
          <t>Dorm 3</t>
        </is>
      </c>
      <c r="C40" s="170">
        <f>IFERROR(_xlfn.XLOOKUP(B40,DormRegistry[Dorm Name],DormRegistry[Ownership Type]),"")</f>
        <v/>
      </c>
      <c r="D40" s="170">
        <f>IFERROR(_xlfn.XLOOKUP(B40,DormRegistry[Dorm Name],DormRegistry[Bed Capacity]),0)</f>
        <v/>
      </c>
      <c r="E40" s="130">
        <f>$B$6*(1+$B$8)^(YEAR(A40)-YEAR(StartDate))</f>
        <v/>
      </c>
      <c r="F40" s="105">
        <f>$B$7</f>
        <v/>
      </c>
      <c r="G40" s="105">
        <f>$B$8</f>
        <v/>
      </c>
      <c r="H40" s="130">
        <f>D40*E40</f>
        <v/>
      </c>
      <c r="I40" s="130" t="n"/>
      <c r="J40" s="130">
        <f>D40*F40*E40</f>
        <v/>
      </c>
      <c r="K40" s="104" t="n">
        <v>75</v>
      </c>
      <c r="L40" s="104" t="n">
        <v>50</v>
      </c>
      <c r="M40" s="104" t="n">
        <v>150</v>
      </c>
      <c r="N40" s="104" t="n">
        <v>125</v>
      </c>
      <c r="O40" s="104" t="n">
        <v>60</v>
      </c>
      <c r="P40" s="104" t="n">
        <v>80</v>
      </c>
      <c r="Q40" s="104" t="n">
        <v>40</v>
      </c>
      <c r="R40" s="130">
        <f>IF(C40="Owned",0,2500)</f>
        <v/>
      </c>
      <c r="S40" s="130">
        <f>SUM(K40:R40)</f>
        <v/>
      </c>
      <c r="T40" s="130">
        <f>I40-S40</f>
        <v/>
      </c>
      <c r="U40" s="105">
        <f>IFERROR(T40/I40,0)</f>
        <v/>
      </c>
    </row>
    <row r="41" ht="14.25" customHeight="1" s="83">
      <c r="A41" s="125">
        <f>EDATE(StartDate,9)</f>
        <v/>
      </c>
      <c r="B41" s="103" t="inlineStr">
        <is>
          <t>Dorm 1</t>
        </is>
      </c>
      <c r="C41" s="170">
        <f>IFERROR(_xlfn.XLOOKUP(B41,DormRegistry[Dorm Name],DormRegistry[Ownership Type]),"")</f>
        <v/>
      </c>
      <c r="D41" s="170">
        <f>IFERROR(_xlfn.XLOOKUP(B41,DormRegistry[Dorm Name],DormRegistry[Bed Capacity]),0)</f>
        <v/>
      </c>
      <c r="E41" s="130">
        <f>$B$6*(1+$B$8)^(YEAR(A41)-YEAR(StartDate))</f>
        <v/>
      </c>
      <c r="F41" s="105">
        <f>$B$7</f>
        <v/>
      </c>
      <c r="G41" s="105">
        <f>$B$8</f>
        <v/>
      </c>
      <c r="H41" s="130">
        <f>D41*E41</f>
        <v/>
      </c>
      <c r="I41" s="130" t="n"/>
      <c r="J41" s="130">
        <f>D41*F41*E41</f>
        <v/>
      </c>
      <c r="K41" s="104" t="n">
        <v>75</v>
      </c>
      <c r="L41" s="104" t="n">
        <v>50</v>
      </c>
      <c r="M41" s="104" t="n">
        <v>150</v>
      </c>
      <c r="N41" s="104" t="n">
        <v>125</v>
      </c>
      <c r="O41" s="104" t="n">
        <v>60</v>
      </c>
      <c r="P41" s="104" t="n">
        <v>80</v>
      </c>
      <c r="Q41" s="104" t="n">
        <v>40</v>
      </c>
      <c r="R41" s="130">
        <f>IF(C41="Owned",0,2500)</f>
        <v/>
      </c>
      <c r="S41" s="130">
        <f>SUM(K41:R41)</f>
        <v/>
      </c>
      <c r="T41" s="130">
        <f>I41-S41</f>
        <v/>
      </c>
      <c r="U41" s="105">
        <f>IFERROR(T41/I41,0)</f>
        <v/>
      </c>
    </row>
    <row r="42" hidden="1" ht="14.25" customHeight="1" s="83">
      <c r="A42" s="125">
        <f>EDATE(StartDate,9)</f>
        <v/>
      </c>
      <c r="B42" s="103" t="inlineStr">
        <is>
          <t>Dorm 2</t>
        </is>
      </c>
      <c r="C42" s="170">
        <f>IFERROR(_xlfn.XLOOKUP(B42,DormRegistry[Dorm Name],DormRegistry[Ownership Type]),"")</f>
        <v/>
      </c>
      <c r="D42" s="170">
        <f>IFERROR(_xlfn.XLOOKUP(B42,DormRegistry[Dorm Name],DormRegistry[Bed Capacity]),0)</f>
        <v/>
      </c>
      <c r="E42" s="130">
        <f>$B$6*(1+$B$8)^(YEAR(A42)-YEAR(StartDate))</f>
        <v/>
      </c>
      <c r="F42" s="105">
        <f>$B$7</f>
        <v/>
      </c>
      <c r="G42" s="105">
        <f>$B$8</f>
        <v/>
      </c>
      <c r="H42" s="130">
        <f>D42*E42</f>
        <v/>
      </c>
      <c r="I42" s="130" t="n"/>
      <c r="J42" s="130">
        <f>D42*F42*E42</f>
        <v/>
      </c>
      <c r="K42" s="104" t="n">
        <v>75</v>
      </c>
      <c r="L42" s="104" t="n">
        <v>50</v>
      </c>
      <c r="M42" s="104" t="n">
        <v>150</v>
      </c>
      <c r="N42" s="104" t="n">
        <v>125</v>
      </c>
      <c r="O42" s="104" t="n">
        <v>60</v>
      </c>
      <c r="P42" s="104" t="n">
        <v>80</v>
      </c>
      <c r="Q42" s="104" t="n">
        <v>40</v>
      </c>
      <c r="R42" s="130">
        <f>IF(C42="Owned",0,2500)</f>
        <v/>
      </c>
      <c r="S42" s="130">
        <f>SUM(K42:R42)</f>
        <v/>
      </c>
      <c r="T42" s="130">
        <f>I42-S42</f>
        <v/>
      </c>
      <c r="U42" s="105">
        <f>IFERROR(T42/I42,0)</f>
        <v/>
      </c>
    </row>
    <row r="43" hidden="1" ht="14.25" customHeight="1" s="83">
      <c r="A43" s="125">
        <f>EDATE(StartDate,9)</f>
        <v/>
      </c>
      <c r="B43" s="103" t="inlineStr">
        <is>
          <t>Dorm 3</t>
        </is>
      </c>
      <c r="C43" s="170">
        <f>IFERROR(_xlfn.XLOOKUP(B43,DormRegistry[Dorm Name],DormRegistry[Ownership Type]),"")</f>
        <v/>
      </c>
      <c r="D43" s="170">
        <f>IFERROR(_xlfn.XLOOKUP(B43,DormRegistry[Dorm Name],DormRegistry[Bed Capacity]),0)</f>
        <v/>
      </c>
      <c r="E43" s="130">
        <f>$B$6*(1+$B$8)^(YEAR(A43)-YEAR(StartDate))</f>
        <v/>
      </c>
      <c r="F43" s="105">
        <f>$B$7</f>
        <v/>
      </c>
      <c r="G43" s="105">
        <f>$B$8</f>
        <v/>
      </c>
      <c r="H43" s="130">
        <f>D43*E43</f>
        <v/>
      </c>
      <c r="I43" s="130" t="n"/>
      <c r="J43" s="130">
        <f>D43*F43*E43</f>
        <v/>
      </c>
      <c r="K43" s="104" t="n">
        <v>75</v>
      </c>
      <c r="L43" s="104" t="n">
        <v>50</v>
      </c>
      <c r="M43" s="104" t="n">
        <v>150</v>
      </c>
      <c r="N43" s="104" t="n">
        <v>125</v>
      </c>
      <c r="O43" s="104" t="n">
        <v>60</v>
      </c>
      <c r="P43" s="104" t="n">
        <v>80</v>
      </c>
      <c r="Q43" s="104" t="n">
        <v>40</v>
      </c>
      <c r="R43" s="130">
        <f>IF(C43="Owned",0,2500)</f>
        <v/>
      </c>
      <c r="S43" s="130">
        <f>SUM(K43:R43)</f>
        <v/>
      </c>
      <c r="T43" s="130">
        <f>I43-S43</f>
        <v/>
      </c>
      <c r="U43" s="105">
        <f>IFERROR(T43/I43,0)</f>
        <v/>
      </c>
    </row>
    <row r="44" ht="14.25" customHeight="1" s="83">
      <c r="A44" s="125">
        <f>EDATE(StartDate,10)</f>
        <v/>
      </c>
      <c r="B44" s="103" t="inlineStr">
        <is>
          <t>Dorm 1</t>
        </is>
      </c>
      <c r="C44" s="170">
        <f>IFERROR(_xlfn.XLOOKUP(B44,DormRegistry[Dorm Name],DormRegistry[Ownership Type]),"")</f>
        <v/>
      </c>
      <c r="D44" s="170">
        <f>IFERROR(_xlfn.XLOOKUP(B44,DormRegistry[Dorm Name],DormRegistry[Bed Capacity]),0)</f>
        <v/>
      </c>
      <c r="E44" s="130">
        <f>$B$6*(1+$B$8)^(YEAR(A44)-YEAR(StartDate))</f>
        <v/>
      </c>
      <c r="F44" s="105">
        <f>$B$7</f>
        <v/>
      </c>
      <c r="G44" s="105">
        <f>$B$8</f>
        <v/>
      </c>
      <c r="H44" s="130">
        <f>D44*E44</f>
        <v/>
      </c>
      <c r="I44" s="130" t="n"/>
      <c r="J44" s="130">
        <f>D44*F44*E44</f>
        <v/>
      </c>
      <c r="K44" s="104" t="n">
        <v>75</v>
      </c>
      <c r="L44" s="104" t="n">
        <v>50</v>
      </c>
      <c r="M44" s="104" t="n">
        <v>150</v>
      </c>
      <c r="N44" s="104" t="n">
        <v>125</v>
      </c>
      <c r="O44" s="104" t="n">
        <v>60</v>
      </c>
      <c r="P44" s="104" t="n">
        <v>80</v>
      </c>
      <c r="Q44" s="104" t="n">
        <v>40</v>
      </c>
      <c r="R44" s="130">
        <f>IF(C44="Owned",0,2500)</f>
        <v/>
      </c>
      <c r="S44" s="130">
        <f>SUM(K44:R44)</f>
        <v/>
      </c>
      <c r="T44" s="130">
        <f>I44-S44</f>
        <v/>
      </c>
      <c r="U44" s="105">
        <f>IFERROR(T44/I44,0)</f>
        <v/>
      </c>
    </row>
    <row r="45" hidden="1" ht="14.25" customHeight="1" s="83">
      <c r="A45" s="125">
        <f>EDATE(StartDate,10)</f>
        <v/>
      </c>
      <c r="B45" s="103" t="inlineStr">
        <is>
          <t>Dorm 2</t>
        </is>
      </c>
      <c r="C45" s="170">
        <f>IFERROR(_xlfn.XLOOKUP(B45,DormRegistry[Dorm Name],DormRegistry[Ownership Type]),"")</f>
        <v/>
      </c>
      <c r="D45" s="170">
        <f>IFERROR(_xlfn.XLOOKUP(B45,DormRegistry[Dorm Name],DormRegistry[Bed Capacity]),0)</f>
        <v/>
      </c>
      <c r="E45" s="130">
        <f>$B$6*(1+$B$8)^(YEAR(A45)-YEAR(StartDate))</f>
        <v/>
      </c>
      <c r="F45" s="105">
        <f>$B$7</f>
        <v/>
      </c>
      <c r="G45" s="105">
        <f>$B$8</f>
        <v/>
      </c>
      <c r="H45" s="130">
        <f>D45*E45</f>
        <v/>
      </c>
      <c r="I45" s="130" t="n"/>
      <c r="J45" s="130">
        <f>D45*F45*E45</f>
        <v/>
      </c>
      <c r="K45" s="104" t="n">
        <v>75</v>
      </c>
      <c r="L45" s="104" t="n">
        <v>50</v>
      </c>
      <c r="M45" s="104" t="n">
        <v>150</v>
      </c>
      <c r="N45" s="104" t="n">
        <v>125</v>
      </c>
      <c r="O45" s="104" t="n">
        <v>60</v>
      </c>
      <c r="P45" s="104" t="n">
        <v>80</v>
      </c>
      <c r="Q45" s="104" t="n">
        <v>40</v>
      </c>
      <c r="R45" s="130">
        <f>IF(C45="Owned",0,2500)</f>
        <v/>
      </c>
      <c r="S45" s="130">
        <f>SUM(K45:R45)</f>
        <v/>
      </c>
      <c r="T45" s="130">
        <f>I45-S45</f>
        <v/>
      </c>
      <c r="U45" s="105">
        <f>IFERROR(T45/I45,0)</f>
        <v/>
      </c>
    </row>
    <row r="46" hidden="1" ht="14.25" customHeight="1" s="83">
      <c r="A46" s="125">
        <f>EDATE(StartDate,10)</f>
        <v/>
      </c>
      <c r="B46" s="103" t="inlineStr">
        <is>
          <t>Dorm 3</t>
        </is>
      </c>
      <c r="C46" s="170">
        <f>IFERROR(_xlfn.XLOOKUP(B46,DormRegistry[Dorm Name],DormRegistry[Ownership Type]),"")</f>
        <v/>
      </c>
      <c r="D46" s="170">
        <f>IFERROR(_xlfn.XLOOKUP(B46,DormRegistry[Dorm Name],DormRegistry[Bed Capacity]),0)</f>
        <v/>
      </c>
      <c r="E46" s="130">
        <f>$B$6*(1+$B$8)^(YEAR(A46)-YEAR(StartDate))</f>
        <v/>
      </c>
      <c r="F46" s="105">
        <f>$B$7</f>
        <v/>
      </c>
      <c r="G46" s="105">
        <f>$B$8</f>
        <v/>
      </c>
      <c r="H46" s="130">
        <f>D46*E46</f>
        <v/>
      </c>
      <c r="I46" s="130" t="n"/>
      <c r="J46" s="130">
        <f>D46*F46*E46</f>
        <v/>
      </c>
      <c r="K46" s="104" t="n">
        <v>75</v>
      </c>
      <c r="L46" s="104" t="n">
        <v>50</v>
      </c>
      <c r="M46" s="104" t="n">
        <v>150</v>
      </c>
      <c r="N46" s="104" t="n">
        <v>125</v>
      </c>
      <c r="O46" s="104" t="n">
        <v>60</v>
      </c>
      <c r="P46" s="104" t="n">
        <v>80</v>
      </c>
      <c r="Q46" s="104" t="n">
        <v>40</v>
      </c>
      <c r="R46" s="130">
        <f>IF(C46="Owned",0,2500)</f>
        <v/>
      </c>
      <c r="S46" s="130">
        <f>SUM(K46:R46)</f>
        <v/>
      </c>
      <c r="T46" s="130">
        <f>I46-S46</f>
        <v/>
      </c>
      <c r="U46" s="105">
        <f>IFERROR(T46/I46,0)</f>
        <v/>
      </c>
    </row>
    <row r="47" ht="14.25" customHeight="1" s="83">
      <c r="A47" s="125">
        <f>EDATE(StartDate,11)</f>
        <v/>
      </c>
      <c r="B47" s="103" t="inlineStr">
        <is>
          <t>Dorm 1</t>
        </is>
      </c>
      <c r="C47" s="170">
        <f>IFERROR(_xlfn.XLOOKUP(B47,DormRegistry[Dorm Name],DormRegistry[Ownership Type]),"")</f>
        <v/>
      </c>
      <c r="D47" s="170">
        <f>IFERROR(_xlfn.XLOOKUP(B47,DormRegistry[Dorm Name],DormRegistry[Bed Capacity]),0)</f>
        <v/>
      </c>
      <c r="E47" s="130">
        <f>$B$6*(1+$B$8)^(YEAR(A47)-YEAR(StartDate))</f>
        <v/>
      </c>
      <c r="F47" s="105">
        <f>$B$7</f>
        <v/>
      </c>
      <c r="G47" s="105">
        <f>$B$8</f>
        <v/>
      </c>
      <c r="H47" s="130">
        <f>D47*E47</f>
        <v/>
      </c>
      <c r="I47" s="130" t="n"/>
      <c r="J47" s="130">
        <f>D47*F47*E47</f>
        <v/>
      </c>
      <c r="K47" s="104" t="n">
        <v>75</v>
      </c>
      <c r="L47" s="104" t="n">
        <v>50</v>
      </c>
      <c r="M47" s="104" t="n">
        <v>150</v>
      </c>
      <c r="N47" s="104" t="n">
        <v>125</v>
      </c>
      <c r="O47" s="104" t="n">
        <v>60</v>
      </c>
      <c r="P47" s="104" t="n">
        <v>80</v>
      </c>
      <c r="Q47" s="104" t="n">
        <v>40</v>
      </c>
      <c r="R47" s="130">
        <f>IF(C47="Owned",0,2500)</f>
        <v/>
      </c>
      <c r="S47" s="130">
        <f>SUM(K47:R47)</f>
        <v/>
      </c>
      <c r="T47" s="130">
        <f>I47-S47</f>
        <v/>
      </c>
      <c r="U47" s="105">
        <f>IFERROR(T47/I47,0)</f>
        <v/>
      </c>
    </row>
    <row r="48" hidden="1" ht="14.25" customHeight="1" s="83">
      <c r="A48" s="125">
        <f>EDATE(StartDate,11)</f>
        <v/>
      </c>
      <c r="B48" s="103" t="inlineStr">
        <is>
          <t>Dorm 2</t>
        </is>
      </c>
      <c r="C48" s="170">
        <f>IFERROR(_xlfn.XLOOKUP(B48,DormRegistry[Dorm Name],DormRegistry[Ownership Type]),"")</f>
        <v/>
      </c>
      <c r="D48" s="170">
        <f>IFERROR(_xlfn.XLOOKUP(B48,DormRegistry[Dorm Name],DormRegistry[Bed Capacity]),0)</f>
        <v/>
      </c>
      <c r="E48" s="130">
        <f>$B$6*(1+$B$8)^(YEAR(A48)-YEAR(StartDate))</f>
        <v/>
      </c>
      <c r="F48" s="105">
        <f>$B$7</f>
        <v/>
      </c>
      <c r="G48" s="105">
        <f>$B$8</f>
        <v/>
      </c>
      <c r="H48" s="130">
        <f>D48*E48</f>
        <v/>
      </c>
      <c r="I48" s="130" t="n"/>
      <c r="J48" s="130">
        <f>D48*F48*E48</f>
        <v/>
      </c>
      <c r="K48" s="104" t="n">
        <v>75</v>
      </c>
      <c r="L48" s="104" t="n">
        <v>50</v>
      </c>
      <c r="M48" s="104" t="n">
        <v>150</v>
      </c>
      <c r="N48" s="104" t="n">
        <v>125</v>
      </c>
      <c r="O48" s="104" t="n">
        <v>60</v>
      </c>
      <c r="P48" s="104" t="n">
        <v>80</v>
      </c>
      <c r="Q48" s="104" t="n">
        <v>40</v>
      </c>
      <c r="R48" s="130">
        <f>IF(C48="Owned",0,2500)</f>
        <v/>
      </c>
      <c r="S48" s="130">
        <f>SUM(K48:R48)</f>
        <v/>
      </c>
      <c r="T48" s="130">
        <f>I48-S48</f>
        <v/>
      </c>
      <c r="U48" s="105">
        <f>IFERROR(T48/I48,0)</f>
        <v/>
      </c>
    </row>
    <row r="49" hidden="1" ht="14.25" customHeight="1" s="83">
      <c r="A49" s="125">
        <f>EDATE(StartDate,11)</f>
        <v/>
      </c>
      <c r="B49" s="103" t="inlineStr">
        <is>
          <t>Dorm 3</t>
        </is>
      </c>
      <c r="C49" s="170">
        <f>IFERROR(_xlfn.XLOOKUP(B49,DormRegistry[Dorm Name],DormRegistry[Ownership Type]),"")</f>
        <v/>
      </c>
      <c r="D49" s="170">
        <f>IFERROR(_xlfn.XLOOKUP(B49,DormRegistry[Dorm Name],DormRegistry[Bed Capacity]),0)</f>
        <v/>
      </c>
      <c r="E49" s="130">
        <f>$B$6*(1+$B$8)^(YEAR(A49)-YEAR(StartDate))</f>
        <v/>
      </c>
      <c r="F49" s="105">
        <f>$B$7</f>
        <v/>
      </c>
      <c r="G49" s="105">
        <f>$B$8</f>
        <v/>
      </c>
      <c r="H49" s="130">
        <f>D49*E49</f>
        <v/>
      </c>
      <c r="I49" s="130" t="n"/>
      <c r="J49" s="130">
        <f>D49*F49*E49</f>
        <v/>
      </c>
      <c r="K49" s="104" t="n">
        <v>75</v>
      </c>
      <c r="L49" s="104" t="n">
        <v>50</v>
      </c>
      <c r="M49" s="104" t="n">
        <v>150</v>
      </c>
      <c r="N49" s="104" t="n">
        <v>125</v>
      </c>
      <c r="O49" s="104" t="n">
        <v>60</v>
      </c>
      <c r="P49" s="104" t="n">
        <v>80</v>
      </c>
      <c r="Q49" s="104" t="n">
        <v>40</v>
      </c>
      <c r="R49" s="130">
        <f>IF(C49="Owned",0,2500)</f>
        <v/>
      </c>
      <c r="S49" s="130">
        <f>SUM(K49:R49)</f>
        <v/>
      </c>
      <c r="T49" s="130">
        <f>I49-S49</f>
        <v/>
      </c>
      <c r="U49" s="105">
        <f>IFERROR(T49/I49,0)</f>
        <v/>
      </c>
    </row>
    <row r="50" hidden="1" ht="14.25" customHeight="1" s="83">
      <c r="A50" s="125" t="n"/>
      <c r="B50" s="103" t="n"/>
      <c r="C50" s="170">
        <f>IFERROR(_xlfn.XLOOKUP(B50,DormRegistry[Dorm Name],DormRegistry[Ownership Type]),"")</f>
        <v/>
      </c>
      <c r="D50" s="170">
        <f>IFERROR(_xlfn.XLOOKUP(B50,DormRegistry[Dorm Name],DormRegistry[Bed Capacity]),0)</f>
        <v/>
      </c>
      <c r="E50" s="130">
        <f>IF(A50="","",$B$6*(1+$B$8)^(YEAR(A50)-YEAR(StartDate)))</f>
        <v/>
      </c>
      <c r="F50" s="105">
        <f>$B$7</f>
        <v/>
      </c>
      <c r="G50" s="105">
        <f>$B$8</f>
        <v/>
      </c>
      <c r="H50" s="130">
        <f>IFERROR(D50*E50,0)</f>
        <v/>
      </c>
      <c r="I50" s="130" t="n"/>
      <c r="J50" s="130">
        <f>IFERROR(D50*F50*E50,0)</f>
        <v/>
      </c>
      <c r="K50" s="104" t="n"/>
      <c r="L50" s="104" t="n"/>
      <c r="M50" s="104" t="n"/>
      <c r="N50" s="104" t="n"/>
      <c r="O50" s="104" t="n"/>
      <c r="P50" s="104" t="n"/>
      <c r="Q50" s="104" t="n"/>
      <c r="R50" s="130">
        <f>IF(C50="Owned",0,IF(B50&lt;&gt;"",2500,0))</f>
        <v/>
      </c>
      <c r="S50" s="130">
        <f>SUM(K50:R50)</f>
        <v/>
      </c>
      <c r="T50" s="130">
        <f>I50-S50</f>
        <v/>
      </c>
      <c r="U50" s="105">
        <f>IFERROR(T50/I50,0)</f>
        <v/>
      </c>
    </row>
    <row r="51" hidden="1" ht="14.25" customHeight="1" s="83">
      <c r="A51" s="125" t="n"/>
      <c r="B51" s="103" t="n"/>
      <c r="C51" s="170">
        <f>IFERROR(_xlfn.XLOOKUP(B51,DormRegistry[Dorm Name],DormRegistry[Ownership Type]),"")</f>
        <v/>
      </c>
      <c r="D51" s="170">
        <f>IFERROR(_xlfn.XLOOKUP(B51,DormRegistry[Dorm Name],DormRegistry[Bed Capacity]),0)</f>
        <v/>
      </c>
      <c r="E51" s="130">
        <f>IF(A51="","",$B$6*(1+$B$8)^(YEAR(A51)-YEAR(StartDate)))</f>
        <v/>
      </c>
      <c r="F51" s="105">
        <f>$B$7</f>
        <v/>
      </c>
      <c r="G51" s="105">
        <f>$B$8</f>
        <v/>
      </c>
      <c r="H51" s="130">
        <f>IFERROR(D51*E51,0)</f>
        <v/>
      </c>
      <c r="I51" s="130" t="n"/>
      <c r="J51" s="130">
        <f>IFERROR(D51*F51*E51,0)</f>
        <v/>
      </c>
      <c r="K51" s="104" t="n"/>
      <c r="L51" s="104" t="n"/>
      <c r="M51" s="104" t="n"/>
      <c r="N51" s="104" t="n"/>
      <c r="O51" s="104" t="n"/>
      <c r="P51" s="104" t="n"/>
      <c r="Q51" s="104" t="n"/>
      <c r="R51" s="130">
        <f>IF(C51="Owned",0,IF(B51&lt;&gt;"",2500,0))</f>
        <v/>
      </c>
      <c r="S51" s="130">
        <f>SUM(K51:R51)</f>
        <v/>
      </c>
      <c r="T51" s="130">
        <f>I51-S51</f>
        <v/>
      </c>
      <c r="U51" s="105">
        <f>IFERROR(T51/I51,0)</f>
        <v/>
      </c>
    </row>
    <row r="52" hidden="1" ht="14.25" customHeight="1" s="83">
      <c r="A52" s="125" t="n"/>
      <c r="B52" s="103" t="n"/>
      <c r="C52" s="170">
        <f>IFERROR(_xlfn.XLOOKUP(B52,DormRegistry[Dorm Name],DormRegistry[Ownership Type]),"")</f>
        <v/>
      </c>
      <c r="D52" s="170">
        <f>IFERROR(_xlfn.XLOOKUP(B52,DormRegistry[Dorm Name],DormRegistry[Bed Capacity]),0)</f>
        <v/>
      </c>
      <c r="E52" s="130">
        <f>IF(A52="","",$B$6*(1+$B$8)^(YEAR(A52)-YEAR(StartDate)))</f>
        <v/>
      </c>
      <c r="F52" s="105">
        <f>$B$7</f>
        <v/>
      </c>
      <c r="G52" s="105">
        <f>$B$8</f>
        <v/>
      </c>
      <c r="H52" s="130">
        <f>IFERROR(D52*E52,0)</f>
        <v/>
      </c>
      <c r="I52" s="130" t="n"/>
      <c r="J52" s="130">
        <f>IFERROR(D52*F52*E52,0)</f>
        <v/>
      </c>
      <c r="K52" s="104" t="n"/>
      <c r="L52" s="104" t="n"/>
      <c r="M52" s="104" t="n"/>
      <c r="N52" s="104" t="n"/>
      <c r="O52" s="104" t="n"/>
      <c r="P52" s="104" t="n"/>
      <c r="Q52" s="104" t="n"/>
      <c r="R52" s="130">
        <f>IF(C52="Owned",0,IF(B52&lt;&gt;"",2500,0))</f>
        <v/>
      </c>
      <c r="S52" s="130">
        <f>SUM(K52:R52)</f>
        <v/>
      </c>
      <c r="T52" s="130">
        <f>I52-S52</f>
        <v/>
      </c>
      <c r="U52" s="105">
        <f>IFERROR(T52/I52,0)</f>
        <v/>
      </c>
    </row>
    <row r="53" hidden="1" ht="14.25" customHeight="1" s="83">
      <c r="A53" s="125" t="n"/>
      <c r="B53" s="103" t="n"/>
      <c r="C53" s="170">
        <f>IFERROR(_xlfn.XLOOKUP(B53,DormRegistry[Dorm Name],DormRegistry[Ownership Type]),"")</f>
        <v/>
      </c>
      <c r="D53" s="170">
        <f>IFERROR(_xlfn.XLOOKUP(B53,DormRegistry[Dorm Name],DormRegistry[Bed Capacity]),0)</f>
        <v/>
      </c>
      <c r="E53" s="130">
        <f>IF(A53="","",$B$6*(1+$B$8)^(YEAR(A53)-YEAR(StartDate)))</f>
        <v/>
      </c>
      <c r="F53" s="105">
        <f>$B$7</f>
        <v/>
      </c>
      <c r="G53" s="105">
        <f>$B$8</f>
        <v/>
      </c>
      <c r="H53" s="130">
        <f>IFERROR(D53*E53,0)</f>
        <v/>
      </c>
      <c r="I53" s="130" t="n"/>
      <c r="J53" s="130">
        <f>IFERROR(D53*F53*E53,0)</f>
        <v/>
      </c>
      <c r="K53" s="104" t="n"/>
      <c r="L53" s="104" t="n"/>
      <c r="M53" s="104" t="n"/>
      <c r="N53" s="104" t="n"/>
      <c r="O53" s="104" t="n"/>
      <c r="P53" s="104" t="n"/>
      <c r="Q53" s="104" t="n"/>
      <c r="R53" s="130">
        <f>IF(C53="Owned",0,IF(B53&lt;&gt;"",2500,0))</f>
        <v/>
      </c>
      <c r="S53" s="130">
        <f>SUM(K53:R53)</f>
        <v/>
      </c>
      <c r="T53" s="130">
        <f>I53-S53</f>
        <v/>
      </c>
      <c r="U53" s="105">
        <f>IFERROR(T53/I53,0)</f>
        <v/>
      </c>
    </row>
    <row r="54" hidden="1" ht="14.25" customHeight="1" s="83">
      <c r="A54" s="125" t="n"/>
      <c r="B54" s="103" t="n"/>
      <c r="C54" s="170">
        <f>IFERROR(_xlfn.XLOOKUP(B54,DormRegistry[Dorm Name],DormRegistry[Ownership Type]),"")</f>
        <v/>
      </c>
      <c r="D54" s="170">
        <f>IFERROR(_xlfn.XLOOKUP(B54,DormRegistry[Dorm Name],DormRegistry[Bed Capacity]),0)</f>
        <v/>
      </c>
      <c r="E54" s="130">
        <f>IF(A54="","",$B$6*(1+$B$8)^(YEAR(A54)-YEAR(StartDate)))</f>
        <v/>
      </c>
      <c r="F54" s="105">
        <f>$B$7</f>
        <v/>
      </c>
      <c r="G54" s="105">
        <f>$B$8</f>
        <v/>
      </c>
      <c r="H54" s="130">
        <f>IFERROR(D54*E54,0)</f>
        <v/>
      </c>
      <c r="I54" s="130" t="n"/>
      <c r="J54" s="130">
        <f>IFERROR(D54*F54*E54,0)</f>
        <v/>
      </c>
      <c r="K54" s="104" t="n"/>
      <c r="L54" s="104" t="n"/>
      <c r="M54" s="104" t="n"/>
      <c r="N54" s="104" t="n"/>
      <c r="O54" s="104" t="n"/>
      <c r="P54" s="104" t="n"/>
      <c r="Q54" s="104" t="n"/>
      <c r="R54" s="130">
        <f>IF(C54="Owned",0,IF(B54&lt;&gt;"",2500,0))</f>
        <v/>
      </c>
      <c r="S54" s="130">
        <f>SUM(K54:R54)</f>
        <v/>
      </c>
      <c r="T54" s="130">
        <f>I54-S54</f>
        <v/>
      </c>
      <c r="U54" s="105">
        <f>IFERROR(T54/I54,0)</f>
        <v/>
      </c>
    </row>
    <row r="55" hidden="1" ht="14.25" customHeight="1" s="83">
      <c r="A55" s="125" t="n"/>
      <c r="B55" s="103" t="n"/>
      <c r="C55" s="170">
        <f>IFERROR(_xlfn.XLOOKUP(B55,DormRegistry[Dorm Name],DormRegistry[Ownership Type]),"")</f>
        <v/>
      </c>
      <c r="D55" s="170">
        <f>IFERROR(_xlfn.XLOOKUP(B55,DormRegistry[Dorm Name],DormRegistry[Bed Capacity]),0)</f>
        <v/>
      </c>
      <c r="E55" s="130">
        <f>IF(A55="","",$B$6*(1+$B$8)^(YEAR(A55)-YEAR(StartDate)))</f>
        <v/>
      </c>
      <c r="F55" s="105">
        <f>$B$7</f>
        <v/>
      </c>
      <c r="G55" s="105">
        <f>$B$8</f>
        <v/>
      </c>
      <c r="H55" s="130">
        <f>IFERROR(D55*E55,0)</f>
        <v/>
      </c>
      <c r="I55" s="130" t="n"/>
      <c r="J55" s="130">
        <f>IFERROR(D55*F55*E55,0)</f>
        <v/>
      </c>
      <c r="K55" s="104" t="n"/>
      <c r="L55" s="104" t="n"/>
      <c r="M55" s="104" t="n"/>
      <c r="N55" s="104" t="n"/>
      <c r="O55" s="104" t="n"/>
      <c r="P55" s="104" t="n"/>
      <c r="Q55" s="104" t="n"/>
      <c r="R55" s="130">
        <f>IF(C55="Owned",0,IF(B55&lt;&gt;"",2500,0))</f>
        <v/>
      </c>
      <c r="S55" s="130">
        <f>SUM(K55:R55)</f>
        <v/>
      </c>
      <c r="T55" s="130">
        <f>I55-S55</f>
        <v/>
      </c>
      <c r="U55" s="105">
        <f>IFERROR(T55/I55,0)</f>
        <v/>
      </c>
    </row>
    <row r="56" hidden="1" ht="14.25" customHeight="1" s="83">
      <c r="A56" s="125" t="n"/>
      <c r="B56" s="103" t="n"/>
      <c r="C56" s="170">
        <f>IFERROR(_xlfn.XLOOKUP(B56,DormRegistry[Dorm Name],DormRegistry[Ownership Type]),"")</f>
        <v/>
      </c>
      <c r="D56" s="170">
        <f>IFERROR(_xlfn.XLOOKUP(B56,DormRegistry[Dorm Name],DormRegistry[Bed Capacity]),0)</f>
        <v/>
      </c>
      <c r="E56" s="130">
        <f>IF(A56="","",$B$6*(1+$B$8)^(YEAR(A56)-YEAR(StartDate)))</f>
        <v/>
      </c>
      <c r="F56" s="105">
        <f>$B$7</f>
        <v/>
      </c>
      <c r="G56" s="105">
        <f>$B$8</f>
        <v/>
      </c>
      <c r="H56" s="130">
        <f>IFERROR(D56*E56,0)</f>
        <v/>
      </c>
      <c r="I56" s="130" t="n"/>
      <c r="J56" s="130">
        <f>IFERROR(D56*F56*E56,0)</f>
        <v/>
      </c>
      <c r="K56" s="104" t="n"/>
      <c r="L56" s="104" t="n"/>
      <c r="M56" s="104" t="n"/>
      <c r="N56" s="104" t="n"/>
      <c r="O56" s="104" t="n"/>
      <c r="P56" s="104" t="n"/>
      <c r="Q56" s="104" t="n"/>
      <c r="R56" s="130">
        <f>IF(C56="Owned",0,IF(B56&lt;&gt;"",2500,0))</f>
        <v/>
      </c>
      <c r="S56" s="130">
        <f>SUM(K56:R56)</f>
        <v/>
      </c>
      <c r="T56" s="130">
        <f>I56-S56</f>
        <v/>
      </c>
      <c r="U56" s="105">
        <f>IFERROR(T56/I56,0)</f>
        <v/>
      </c>
    </row>
    <row r="57" hidden="1" ht="14.25" customHeight="1" s="83">
      <c r="A57" s="125" t="n"/>
      <c r="B57" s="103" t="n"/>
      <c r="C57" s="170">
        <f>IFERROR(_xlfn.XLOOKUP(B57,DormRegistry[Dorm Name],DormRegistry[Ownership Type]),"")</f>
        <v/>
      </c>
      <c r="D57" s="170">
        <f>IFERROR(_xlfn.XLOOKUP(B57,DormRegistry[Dorm Name],DormRegistry[Bed Capacity]),0)</f>
        <v/>
      </c>
      <c r="E57" s="130">
        <f>IF(A57="","",$B$6*(1+$B$8)^(YEAR(A57)-YEAR(StartDate)))</f>
        <v/>
      </c>
      <c r="F57" s="105">
        <f>$B$7</f>
        <v/>
      </c>
      <c r="G57" s="105">
        <f>$B$8</f>
        <v/>
      </c>
      <c r="H57" s="130">
        <f>IFERROR(D57*E57,0)</f>
        <v/>
      </c>
      <c r="I57" s="130" t="n"/>
      <c r="J57" s="130">
        <f>IFERROR(D57*F57*E57,0)</f>
        <v/>
      </c>
      <c r="K57" s="104" t="n"/>
      <c r="L57" s="104" t="n"/>
      <c r="M57" s="104" t="n"/>
      <c r="N57" s="104" t="n"/>
      <c r="O57" s="104" t="n"/>
      <c r="P57" s="104" t="n"/>
      <c r="Q57" s="104" t="n"/>
      <c r="R57" s="130">
        <f>IF(C57="Owned",0,IF(B57&lt;&gt;"",2500,0))</f>
        <v/>
      </c>
      <c r="S57" s="130">
        <f>SUM(K57:R57)</f>
        <v/>
      </c>
      <c r="T57" s="130">
        <f>I57-S57</f>
        <v/>
      </c>
      <c r="U57" s="105">
        <f>IFERROR(T57/I57,0)</f>
        <v/>
      </c>
    </row>
    <row r="58" hidden="1" ht="14.25" customHeight="1" s="83">
      <c r="A58" s="125" t="n"/>
      <c r="B58" s="103" t="n"/>
      <c r="C58" s="170">
        <f>IFERROR(_xlfn.XLOOKUP(B58,DormRegistry[Dorm Name],DormRegistry[Ownership Type]),"")</f>
        <v/>
      </c>
      <c r="D58" s="170">
        <f>IFERROR(_xlfn.XLOOKUP(B58,DormRegistry[Dorm Name],DormRegistry[Bed Capacity]),0)</f>
        <v/>
      </c>
      <c r="E58" s="130">
        <f>IF(A58="","",$B$6*(1+$B$8)^(YEAR(A58)-YEAR(StartDate)))</f>
        <v/>
      </c>
      <c r="F58" s="105">
        <f>$B$7</f>
        <v/>
      </c>
      <c r="G58" s="105">
        <f>$B$8</f>
        <v/>
      </c>
      <c r="H58" s="130">
        <f>IFERROR(D58*E58,0)</f>
        <v/>
      </c>
      <c r="I58" s="130" t="n"/>
      <c r="J58" s="130">
        <f>IFERROR(D58*F58*E58,0)</f>
        <v/>
      </c>
      <c r="K58" s="104" t="n"/>
      <c r="L58" s="104" t="n"/>
      <c r="M58" s="104" t="n"/>
      <c r="N58" s="104" t="n"/>
      <c r="O58" s="104" t="n"/>
      <c r="P58" s="104" t="n"/>
      <c r="Q58" s="104" t="n"/>
      <c r="R58" s="130">
        <f>IF(C58="Owned",0,IF(B58&lt;&gt;"",2500,0))</f>
        <v/>
      </c>
      <c r="S58" s="130">
        <f>SUM(K58:R58)</f>
        <v/>
      </c>
      <c r="T58" s="130">
        <f>I58-S58</f>
        <v/>
      </c>
      <c r="U58" s="105">
        <f>IFERROR(T58/I58,0)</f>
        <v/>
      </c>
    </row>
    <row r="59" hidden="1" ht="14.25" customHeight="1" s="83">
      <c r="A59" s="125" t="n"/>
      <c r="B59" s="103" t="n"/>
      <c r="C59" s="170">
        <f>IFERROR(_xlfn.XLOOKUP(B59,DormRegistry[Dorm Name],DormRegistry[Ownership Type]),"")</f>
        <v/>
      </c>
      <c r="D59" s="170">
        <f>IFERROR(_xlfn.XLOOKUP(B59,DormRegistry[Dorm Name],DormRegistry[Bed Capacity]),0)</f>
        <v/>
      </c>
      <c r="E59" s="130">
        <f>IF(A59="","",$B$6*(1+$B$8)^(YEAR(A59)-YEAR(StartDate)))</f>
        <v/>
      </c>
      <c r="F59" s="105">
        <f>$B$7</f>
        <v/>
      </c>
      <c r="G59" s="105">
        <f>$B$8</f>
        <v/>
      </c>
      <c r="H59" s="130">
        <f>IFERROR(D59*E59,0)</f>
        <v/>
      </c>
      <c r="I59" s="130" t="n"/>
      <c r="J59" s="130">
        <f>IFERROR(D59*F59*E59,0)</f>
        <v/>
      </c>
      <c r="K59" s="104" t="n"/>
      <c r="L59" s="104" t="n"/>
      <c r="M59" s="104" t="n"/>
      <c r="N59" s="104" t="n"/>
      <c r="O59" s="104" t="n"/>
      <c r="P59" s="104" t="n"/>
      <c r="Q59" s="104" t="n"/>
      <c r="R59" s="130">
        <f>IF(C59="Owned",0,IF(B59&lt;&gt;"",2500,0))</f>
        <v/>
      </c>
      <c r="S59" s="130">
        <f>SUM(K59:R59)</f>
        <v/>
      </c>
      <c r="T59" s="130">
        <f>I59-S59</f>
        <v/>
      </c>
      <c r="U59" s="105">
        <f>IFERROR(T59/I59,0)</f>
        <v/>
      </c>
    </row>
    <row r="60" hidden="1" ht="14.25" customHeight="1" s="83">
      <c r="A60" s="125" t="n"/>
      <c r="B60" s="103" t="n"/>
      <c r="C60" s="170">
        <f>IFERROR(_xlfn.XLOOKUP(B60,DormRegistry[Dorm Name],DormRegistry[Ownership Type]),"")</f>
        <v/>
      </c>
      <c r="D60" s="170">
        <f>IFERROR(_xlfn.XLOOKUP(B60,DormRegistry[Dorm Name],DormRegistry[Bed Capacity]),0)</f>
        <v/>
      </c>
      <c r="E60" s="130">
        <f>IF(A60="","",$B$6*(1+$B$8)^(YEAR(A60)-YEAR(StartDate)))</f>
        <v/>
      </c>
      <c r="F60" s="105">
        <f>$B$7</f>
        <v/>
      </c>
      <c r="G60" s="105">
        <f>$B$8</f>
        <v/>
      </c>
      <c r="H60" s="130">
        <f>IFERROR(D60*E60,0)</f>
        <v/>
      </c>
      <c r="I60" s="130" t="n"/>
      <c r="J60" s="130">
        <f>IFERROR(D60*F60*E60,0)</f>
        <v/>
      </c>
      <c r="K60" s="104" t="n"/>
      <c r="L60" s="104" t="n"/>
      <c r="M60" s="104" t="n"/>
      <c r="N60" s="104" t="n"/>
      <c r="O60" s="104" t="n"/>
      <c r="P60" s="104" t="n"/>
      <c r="Q60" s="104" t="n"/>
      <c r="R60" s="130">
        <f>IF(C60="Owned",0,IF(B60&lt;&gt;"",2500,0))</f>
        <v/>
      </c>
      <c r="S60" s="130">
        <f>SUM(K60:R60)</f>
        <v/>
      </c>
      <c r="T60" s="130">
        <f>I60-S60</f>
        <v/>
      </c>
      <c r="U60" s="105">
        <f>IFERROR(T60/I60,0)</f>
        <v/>
      </c>
    </row>
    <row r="61" hidden="1" ht="14.25" customHeight="1" s="83">
      <c r="A61" s="125" t="n"/>
      <c r="B61" s="103" t="n"/>
      <c r="C61" s="170">
        <f>IFERROR(_xlfn.XLOOKUP(B61,DormRegistry[Dorm Name],DormRegistry[Ownership Type]),"")</f>
        <v/>
      </c>
      <c r="D61" s="170">
        <f>IFERROR(_xlfn.XLOOKUP(B61,DormRegistry[Dorm Name],DormRegistry[Bed Capacity]),0)</f>
        <v/>
      </c>
      <c r="E61" s="130">
        <f>IF(A61="","",$B$6*(1+$B$8)^(YEAR(A61)-YEAR(StartDate)))</f>
        <v/>
      </c>
      <c r="F61" s="105">
        <f>$B$7</f>
        <v/>
      </c>
      <c r="G61" s="105">
        <f>$B$8</f>
        <v/>
      </c>
      <c r="H61" s="130">
        <f>IFERROR(D61*E61,0)</f>
        <v/>
      </c>
      <c r="I61" s="130" t="n"/>
      <c r="J61" s="130">
        <f>IFERROR(D61*F61*E61,0)</f>
        <v/>
      </c>
      <c r="K61" s="104" t="n"/>
      <c r="L61" s="104" t="n"/>
      <c r="M61" s="104" t="n"/>
      <c r="N61" s="104" t="n"/>
      <c r="O61" s="104" t="n"/>
      <c r="P61" s="104" t="n"/>
      <c r="Q61" s="104" t="n"/>
      <c r="R61" s="130">
        <f>IF(C61="Owned",0,IF(B61&lt;&gt;"",2500,0))</f>
        <v/>
      </c>
      <c r="S61" s="130">
        <f>SUM(K61:R61)</f>
        <v/>
      </c>
      <c r="T61" s="130">
        <f>I61-S61</f>
        <v/>
      </c>
      <c r="U61" s="105">
        <f>IFERROR(T61/I61,0)</f>
        <v/>
      </c>
    </row>
    <row r="62" hidden="1" ht="14.25" customHeight="1" s="83">
      <c r="A62" s="125" t="n"/>
      <c r="B62" s="103" t="n"/>
      <c r="C62" s="170">
        <f>IFERROR(_xlfn.XLOOKUP(B62,DormRegistry[Dorm Name],DormRegistry[Ownership Type]),"")</f>
        <v/>
      </c>
      <c r="D62" s="170">
        <f>IFERROR(_xlfn.XLOOKUP(B62,DormRegistry[Dorm Name],DormRegistry[Bed Capacity]),0)</f>
        <v/>
      </c>
      <c r="E62" s="130">
        <f>IF(A62="","",$B$6*(1+$B$8)^(YEAR(A62)-YEAR(StartDate)))</f>
        <v/>
      </c>
      <c r="F62" s="105">
        <f>$B$7</f>
        <v/>
      </c>
      <c r="G62" s="105">
        <f>$B$8</f>
        <v/>
      </c>
      <c r="H62" s="130">
        <f>IFERROR(D62*E62,0)</f>
        <v/>
      </c>
      <c r="I62" s="130" t="n"/>
      <c r="J62" s="130">
        <f>IFERROR(D62*F62*E62,0)</f>
        <v/>
      </c>
      <c r="K62" s="104" t="n"/>
      <c r="L62" s="104" t="n"/>
      <c r="M62" s="104" t="n"/>
      <c r="N62" s="104" t="n"/>
      <c r="O62" s="104" t="n"/>
      <c r="P62" s="104" t="n"/>
      <c r="Q62" s="104" t="n"/>
      <c r="R62" s="130">
        <f>IF(C62="Owned",0,IF(B62&lt;&gt;"",2500,0))</f>
        <v/>
      </c>
      <c r="S62" s="130">
        <f>SUM(K62:R62)</f>
        <v/>
      </c>
      <c r="T62" s="130">
        <f>I62-S62</f>
        <v/>
      </c>
      <c r="U62" s="105">
        <f>IFERROR(T62/I62,0)</f>
        <v/>
      </c>
    </row>
    <row r="63" hidden="1" ht="14.25" customHeight="1" s="83">
      <c r="A63" s="125" t="n"/>
      <c r="B63" s="103" t="n"/>
      <c r="C63" s="170">
        <f>IFERROR(_xlfn.XLOOKUP(B63,DormRegistry[Dorm Name],DormRegistry[Ownership Type]),"")</f>
        <v/>
      </c>
      <c r="D63" s="170">
        <f>IFERROR(_xlfn.XLOOKUP(B63,DormRegistry[Dorm Name],DormRegistry[Bed Capacity]),0)</f>
        <v/>
      </c>
      <c r="E63" s="130">
        <f>IF(A63="","",$B$6*(1+$B$8)^(YEAR(A63)-YEAR(StartDate)))</f>
        <v/>
      </c>
      <c r="F63" s="105">
        <f>$B$7</f>
        <v/>
      </c>
      <c r="G63" s="105">
        <f>$B$8</f>
        <v/>
      </c>
      <c r="H63" s="130">
        <f>IFERROR(D63*E63,0)</f>
        <v/>
      </c>
      <c r="I63" s="130" t="n"/>
      <c r="J63" s="130">
        <f>IFERROR(D63*F63*E63,0)</f>
        <v/>
      </c>
      <c r="K63" s="104" t="n"/>
      <c r="L63" s="104" t="n"/>
      <c r="M63" s="104" t="n"/>
      <c r="N63" s="104" t="n"/>
      <c r="O63" s="104" t="n"/>
      <c r="P63" s="104" t="n"/>
      <c r="Q63" s="104" t="n"/>
      <c r="R63" s="130">
        <f>IF(C63="Owned",0,IF(B63&lt;&gt;"",2500,0))</f>
        <v/>
      </c>
      <c r="S63" s="130">
        <f>SUM(K63:R63)</f>
        <v/>
      </c>
      <c r="T63" s="130">
        <f>I63-S63</f>
        <v/>
      </c>
      <c r="U63" s="105">
        <f>IFERROR(T63/I63,0)</f>
        <v/>
      </c>
    </row>
    <row r="64" hidden="1" ht="14.25" customHeight="1" s="83">
      <c r="A64" s="125" t="n"/>
      <c r="B64" s="103" t="n"/>
      <c r="C64" s="170">
        <f>IFERROR(_xlfn.XLOOKUP(B64,DormRegistry[Dorm Name],DormRegistry[Ownership Type]),"")</f>
        <v/>
      </c>
      <c r="D64" s="170">
        <f>IFERROR(_xlfn.XLOOKUP(B64,DormRegistry[Dorm Name],DormRegistry[Bed Capacity]),0)</f>
        <v/>
      </c>
      <c r="E64" s="130">
        <f>IF(A64="","",$B$6*(1+$B$8)^(YEAR(A64)-YEAR(StartDate)))</f>
        <v/>
      </c>
      <c r="F64" s="105">
        <f>$B$7</f>
        <v/>
      </c>
      <c r="G64" s="105">
        <f>$B$8</f>
        <v/>
      </c>
      <c r="H64" s="130">
        <f>IFERROR(D64*E64,0)</f>
        <v/>
      </c>
      <c r="I64" s="130" t="n"/>
      <c r="J64" s="130">
        <f>IFERROR(D64*F64*E64,0)</f>
        <v/>
      </c>
      <c r="K64" s="104" t="n"/>
      <c r="L64" s="104" t="n"/>
      <c r="M64" s="104" t="n"/>
      <c r="N64" s="104" t="n"/>
      <c r="O64" s="104" t="n"/>
      <c r="P64" s="104" t="n"/>
      <c r="Q64" s="104" t="n"/>
      <c r="R64" s="130">
        <f>IF(C64="Owned",0,IF(B64&lt;&gt;"",2500,0))</f>
        <v/>
      </c>
      <c r="S64" s="130">
        <f>SUM(K64:R64)</f>
        <v/>
      </c>
      <c r="T64" s="130">
        <f>I64-S64</f>
        <v/>
      </c>
      <c r="U64" s="105">
        <f>IFERROR(T64/I64,0)</f>
        <v/>
      </c>
    </row>
    <row r="65" hidden="1" ht="14.25" customHeight="1" s="83">
      <c r="A65" s="125" t="n"/>
      <c r="B65" s="103" t="n"/>
      <c r="C65" s="170">
        <f>IFERROR(_xlfn.XLOOKUP(B65,DormRegistry[Dorm Name],DormRegistry[Ownership Type]),"")</f>
        <v/>
      </c>
      <c r="D65" s="170">
        <f>IFERROR(_xlfn.XLOOKUP(B65,DormRegistry[Dorm Name],DormRegistry[Bed Capacity]),0)</f>
        <v/>
      </c>
      <c r="E65" s="130">
        <f>IF(A65="","",$B$6*(1+$B$8)^(YEAR(A65)-YEAR(StartDate)))</f>
        <v/>
      </c>
      <c r="F65" s="105">
        <f>$B$7</f>
        <v/>
      </c>
      <c r="G65" s="105">
        <f>$B$8</f>
        <v/>
      </c>
      <c r="H65" s="130">
        <f>IFERROR(D65*E65,0)</f>
        <v/>
      </c>
      <c r="I65" s="130" t="n"/>
      <c r="J65" s="130">
        <f>IFERROR(D65*F65*E65,0)</f>
        <v/>
      </c>
      <c r="K65" s="104" t="n"/>
      <c r="L65" s="104" t="n"/>
      <c r="M65" s="104" t="n"/>
      <c r="N65" s="104" t="n"/>
      <c r="O65" s="104" t="n"/>
      <c r="P65" s="104" t="n"/>
      <c r="Q65" s="104" t="n"/>
      <c r="R65" s="130">
        <f>IF(C65="Owned",0,IF(B65&lt;&gt;"",2500,0))</f>
        <v/>
      </c>
      <c r="S65" s="130">
        <f>SUM(K65:R65)</f>
        <v/>
      </c>
      <c r="T65" s="130">
        <f>I65-S65</f>
        <v/>
      </c>
      <c r="U65" s="105">
        <f>IFERROR(T65/I65,0)</f>
        <v/>
      </c>
    </row>
    <row r="66" hidden="1" ht="14.25" customHeight="1" s="83">
      <c r="A66" s="125" t="n"/>
      <c r="B66" s="103" t="n"/>
      <c r="C66" s="170">
        <f>IFERROR(_xlfn.XLOOKUP(B66,DormRegistry[Dorm Name],DormRegistry[Ownership Type]),"")</f>
        <v/>
      </c>
      <c r="D66" s="170">
        <f>IFERROR(_xlfn.XLOOKUP(B66,DormRegistry[Dorm Name],DormRegistry[Bed Capacity]),0)</f>
        <v/>
      </c>
      <c r="E66" s="130">
        <f>IF(A66="","",$B$6*(1+$B$8)^(YEAR(A66)-YEAR(StartDate)))</f>
        <v/>
      </c>
      <c r="F66" s="105">
        <f>$B$7</f>
        <v/>
      </c>
      <c r="G66" s="105">
        <f>$B$8</f>
        <v/>
      </c>
      <c r="H66" s="130">
        <f>IFERROR(D66*E66,0)</f>
        <v/>
      </c>
      <c r="I66" s="130" t="n"/>
      <c r="J66" s="130">
        <f>IFERROR(D66*F66*E66,0)</f>
        <v/>
      </c>
      <c r="K66" s="104" t="n"/>
      <c r="L66" s="104" t="n"/>
      <c r="M66" s="104" t="n"/>
      <c r="N66" s="104" t="n"/>
      <c r="O66" s="104" t="n"/>
      <c r="P66" s="104" t="n"/>
      <c r="Q66" s="104" t="n"/>
      <c r="R66" s="130">
        <f>IF(C66="Owned",0,IF(B66&lt;&gt;"",2500,0))</f>
        <v/>
      </c>
      <c r="S66" s="130">
        <f>SUM(K66:R66)</f>
        <v/>
      </c>
      <c r="T66" s="130">
        <f>I66-S66</f>
        <v/>
      </c>
      <c r="U66" s="105">
        <f>IFERROR(T66/I66,0)</f>
        <v/>
      </c>
    </row>
    <row r="67" hidden="1" ht="14.25" customHeight="1" s="83">
      <c r="A67" s="125" t="n"/>
      <c r="B67" s="103" t="n"/>
      <c r="C67" s="170">
        <f>IFERROR(_xlfn.XLOOKUP(B67,DormRegistry[Dorm Name],DormRegistry[Ownership Type]),"")</f>
        <v/>
      </c>
      <c r="D67" s="170">
        <f>IFERROR(_xlfn.XLOOKUP(B67,DormRegistry[Dorm Name],DormRegistry[Bed Capacity]),0)</f>
        <v/>
      </c>
      <c r="E67" s="130">
        <f>IF(A67="","",$B$6*(1+$B$8)^(YEAR(A67)-YEAR(StartDate)))</f>
        <v/>
      </c>
      <c r="F67" s="105">
        <f>$B$7</f>
        <v/>
      </c>
      <c r="G67" s="105">
        <f>$B$8</f>
        <v/>
      </c>
      <c r="H67" s="130">
        <f>IFERROR(D67*E67,0)</f>
        <v/>
      </c>
      <c r="I67" s="130" t="n"/>
      <c r="J67" s="130">
        <f>IFERROR(D67*F67*E67,0)</f>
        <v/>
      </c>
      <c r="K67" s="104" t="n"/>
      <c r="L67" s="104" t="n"/>
      <c r="M67" s="104" t="n"/>
      <c r="N67" s="104" t="n"/>
      <c r="O67" s="104" t="n"/>
      <c r="P67" s="104" t="n"/>
      <c r="Q67" s="104" t="n"/>
      <c r="R67" s="130">
        <f>IF(C67="Owned",0,IF(B67&lt;&gt;"",2500,0))</f>
        <v/>
      </c>
      <c r="S67" s="130">
        <f>SUM(K67:R67)</f>
        <v/>
      </c>
      <c r="T67" s="130">
        <f>I67-S67</f>
        <v/>
      </c>
      <c r="U67" s="105">
        <f>IFERROR(T67/I67,0)</f>
        <v/>
      </c>
    </row>
    <row r="68" hidden="1" ht="14.25" customHeight="1" s="83">
      <c r="A68" s="125" t="n"/>
      <c r="B68" s="103" t="n"/>
      <c r="C68" s="170">
        <f>IFERROR(_xlfn.XLOOKUP(B68,DormRegistry[Dorm Name],DormRegistry[Ownership Type]),"")</f>
        <v/>
      </c>
      <c r="D68" s="170">
        <f>IFERROR(_xlfn.XLOOKUP(B68,DormRegistry[Dorm Name],DormRegistry[Bed Capacity]),0)</f>
        <v/>
      </c>
      <c r="E68" s="130">
        <f>IF(A68="","",$B$6*(1+$B$8)^(YEAR(A68)-YEAR(StartDate)))</f>
        <v/>
      </c>
      <c r="F68" s="105">
        <f>$B$7</f>
        <v/>
      </c>
      <c r="G68" s="105">
        <f>$B$8</f>
        <v/>
      </c>
      <c r="H68" s="130">
        <f>IFERROR(D68*E68,0)</f>
        <v/>
      </c>
      <c r="I68" s="130" t="n"/>
      <c r="J68" s="130">
        <f>IFERROR(D68*F68*E68,0)</f>
        <v/>
      </c>
      <c r="K68" s="104" t="n"/>
      <c r="L68" s="104" t="n"/>
      <c r="M68" s="104" t="n"/>
      <c r="N68" s="104" t="n"/>
      <c r="O68" s="104" t="n"/>
      <c r="P68" s="104" t="n"/>
      <c r="Q68" s="104" t="n"/>
      <c r="R68" s="130">
        <f>IF(C68="Owned",0,IF(B68&lt;&gt;"",2500,0))</f>
        <v/>
      </c>
      <c r="S68" s="130">
        <f>SUM(K68:R68)</f>
        <v/>
      </c>
      <c r="T68" s="130">
        <f>I68-S68</f>
        <v/>
      </c>
      <c r="U68" s="105">
        <f>IFERROR(T68/I68,0)</f>
        <v/>
      </c>
    </row>
    <row r="69" hidden="1" ht="14.25" customHeight="1" s="83">
      <c r="A69" s="125" t="n"/>
      <c r="B69" s="103" t="n"/>
      <c r="C69" s="170">
        <f>IFERROR(_xlfn.XLOOKUP(B69,DormRegistry[Dorm Name],DormRegistry[Ownership Type]),"")</f>
        <v/>
      </c>
      <c r="D69" s="170">
        <f>IFERROR(_xlfn.XLOOKUP(B69,DormRegistry[Dorm Name],DormRegistry[Bed Capacity]),0)</f>
        <v/>
      </c>
      <c r="E69" s="130">
        <f>IF(A69="","",$B$6*(1+$B$8)^(YEAR(A69)-YEAR(StartDate)))</f>
        <v/>
      </c>
      <c r="F69" s="105">
        <f>$B$7</f>
        <v/>
      </c>
      <c r="G69" s="105">
        <f>$B$8</f>
        <v/>
      </c>
      <c r="H69" s="130">
        <f>IFERROR(D69*E69,0)</f>
        <v/>
      </c>
      <c r="I69" s="130" t="n"/>
      <c r="J69" s="130">
        <f>IFERROR(D69*F69*E69,0)</f>
        <v/>
      </c>
      <c r="K69" s="104" t="n"/>
      <c r="L69" s="104" t="n"/>
      <c r="M69" s="104" t="n"/>
      <c r="N69" s="104" t="n"/>
      <c r="O69" s="104" t="n"/>
      <c r="P69" s="104" t="n"/>
      <c r="Q69" s="104" t="n"/>
      <c r="R69" s="130">
        <f>IF(C69="Owned",0,IF(B69&lt;&gt;"",2500,0))</f>
        <v/>
      </c>
      <c r="S69" s="130">
        <f>SUM(K69:R69)</f>
        <v/>
      </c>
      <c r="T69" s="130">
        <f>I69-S69</f>
        <v/>
      </c>
      <c r="U69" s="105">
        <f>IFERROR(T69/I69,0)</f>
        <v/>
      </c>
    </row>
    <row r="70" hidden="1" ht="14.25" customHeight="1" s="83">
      <c r="A70" s="125" t="n"/>
      <c r="B70" s="103" t="n"/>
      <c r="C70" s="170">
        <f>IFERROR(_xlfn.XLOOKUP(B70,DormRegistry[Dorm Name],DormRegistry[Ownership Type]),"")</f>
        <v/>
      </c>
      <c r="D70" s="170">
        <f>IFERROR(_xlfn.XLOOKUP(B70,DormRegistry[Dorm Name],DormRegistry[Bed Capacity]),0)</f>
        <v/>
      </c>
      <c r="E70" s="130">
        <f>IF(A70="","",$B$6*(1+$B$8)^(YEAR(A70)-YEAR(StartDate)))</f>
        <v/>
      </c>
      <c r="F70" s="105">
        <f>$B$7</f>
        <v/>
      </c>
      <c r="G70" s="105">
        <f>$B$8</f>
        <v/>
      </c>
      <c r="H70" s="130">
        <f>IFERROR(D70*E70,0)</f>
        <v/>
      </c>
      <c r="I70" s="130" t="n"/>
      <c r="J70" s="130">
        <f>IFERROR(D70*F70*E70,0)</f>
        <v/>
      </c>
      <c r="K70" s="104" t="n"/>
      <c r="L70" s="104" t="n"/>
      <c r="M70" s="104" t="n"/>
      <c r="N70" s="104" t="n"/>
      <c r="O70" s="104" t="n"/>
      <c r="P70" s="104" t="n"/>
      <c r="Q70" s="104" t="n"/>
      <c r="R70" s="130">
        <f>IF(C70="Owned",0,IF(B70&lt;&gt;"",2500,0))</f>
        <v/>
      </c>
      <c r="S70" s="130">
        <f>SUM(K70:R70)</f>
        <v/>
      </c>
      <c r="T70" s="130">
        <f>I70-S70</f>
        <v/>
      </c>
      <c r="U70" s="105">
        <f>IFERROR(T70/I70,0)</f>
        <v/>
      </c>
    </row>
    <row r="71" hidden="1" ht="14.25" customHeight="1" s="83">
      <c r="A71" s="125" t="n"/>
      <c r="B71" s="103" t="n"/>
      <c r="C71" s="170">
        <f>IFERROR(_xlfn.XLOOKUP(B71,DormRegistry[Dorm Name],DormRegistry[Ownership Type]),"")</f>
        <v/>
      </c>
      <c r="D71" s="170">
        <f>IFERROR(_xlfn.XLOOKUP(B71,DormRegistry[Dorm Name],DormRegistry[Bed Capacity]),0)</f>
        <v/>
      </c>
      <c r="E71" s="130">
        <f>IF(A71="","",$B$6*(1+$B$8)^(YEAR(A71)-YEAR(StartDate)))</f>
        <v/>
      </c>
      <c r="F71" s="105">
        <f>$B$7</f>
        <v/>
      </c>
      <c r="G71" s="105">
        <f>$B$8</f>
        <v/>
      </c>
      <c r="H71" s="130">
        <f>IFERROR(D71*E71,0)</f>
        <v/>
      </c>
      <c r="I71" s="130" t="n"/>
      <c r="J71" s="130">
        <f>IFERROR(D71*F71*E71,0)</f>
        <v/>
      </c>
      <c r="K71" s="104" t="n"/>
      <c r="L71" s="104" t="n"/>
      <c r="M71" s="104" t="n"/>
      <c r="N71" s="104" t="n"/>
      <c r="O71" s="104" t="n"/>
      <c r="P71" s="104" t="n"/>
      <c r="Q71" s="104" t="n"/>
      <c r="R71" s="130">
        <f>IF(C71="Owned",0,IF(B71&lt;&gt;"",2500,0))</f>
        <v/>
      </c>
      <c r="S71" s="130">
        <f>SUM(K71:R71)</f>
        <v/>
      </c>
      <c r="T71" s="130">
        <f>I71-S71</f>
        <v/>
      </c>
      <c r="U71" s="105">
        <f>IFERROR(T71/I71,0)</f>
        <v/>
      </c>
    </row>
    <row r="72" hidden="1" ht="14.25" customHeight="1" s="83">
      <c r="A72" s="125" t="n"/>
      <c r="B72" s="103" t="n"/>
      <c r="C72" s="170">
        <f>IFERROR(_xlfn.XLOOKUP(B72,DormRegistry[Dorm Name],DormRegistry[Ownership Type]),"")</f>
        <v/>
      </c>
      <c r="D72" s="170">
        <f>IFERROR(_xlfn.XLOOKUP(B72,DormRegistry[Dorm Name],DormRegistry[Bed Capacity]),0)</f>
        <v/>
      </c>
      <c r="E72" s="130">
        <f>IF(A72="","",$B$6*(1+$B$8)^(YEAR(A72)-YEAR(StartDate)))</f>
        <v/>
      </c>
      <c r="F72" s="105">
        <f>$B$7</f>
        <v/>
      </c>
      <c r="G72" s="105">
        <f>$B$8</f>
        <v/>
      </c>
      <c r="H72" s="130">
        <f>IFERROR(D72*E72,0)</f>
        <v/>
      </c>
      <c r="I72" s="130" t="n"/>
      <c r="J72" s="130">
        <f>IFERROR(D72*F72*E72,0)</f>
        <v/>
      </c>
      <c r="K72" s="104" t="n"/>
      <c r="L72" s="104" t="n"/>
      <c r="M72" s="104" t="n"/>
      <c r="N72" s="104" t="n"/>
      <c r="O72" s="104" t="n"/>
      <c r="P72" s="104" t="n"/>
      <c r="Q72" s="104" t="n"/>
      <c r="R72" s="130">
        <f>IF(C72="Owned",0,IF(B72&lt;&gt;"",2500,0))</f>
        <v/>
      </c>
      <c r="S72" s="130">
        <f>SUM(K72:R72)</f>
        <v/>
      </c>
      <c r="T72" s="130">
        <f>I72-S72</f>
        <v/>
      </c>
      <c r="U72" s="105">
        <f>IFERROR(T72/I72,0)</f>
        <v/>
      </c>
    </row>
    <row r="73" hidden="1" ht="14.25" customHeight="1" s="83">
      <c r="A73" s="125" t="n"/>
      <c r="B73" s="103" t="n"/>
      <c r="C73" s="170">
        <f>IFERROR(_xlfn.XLOOKUP(B73,DormRegistry[Dorm Name],DormRegistry[Ownership Type]),"")</f>
        <v/>
      </c>
      <c r="D73" s="170">
        <f>IFERROR(_xlfn.XLOOKUP(B73,DormRegistry[Dorm Name],DormRegistry[Bed Capacity]),0)</f>
        <v/>
      </c>
      <c r="E73" s="130">
        <f>IF(A73="","",$B$6*(1+$B$8)^(YEAR(A73)-YEAR(StartDate)))</f>
        <v/>
      </c>
      <c r="F73" s="105">
        <f>$B$7</f>
        <v/>
      </c>
      <c r="G73" s="105">
        <f>$B$8</f>
        <v/>
      </c>
      <c r="H73" s="130">
        <f>IFERROR(D73*E73,0)</f>
        <v/>
      </c>
      <c r="I73" s="130" t="n"/>
      <c r="J73" s="130">
        <f>IFERROR(D73*F73*E73,0)</f>
        <v/>
      </c>
      <c r="K73" s="104" t="n"/>
      <c r="L73" s="104" t="n"/>
      <c r="M73" s="104" t="n"/>
      <c r="N73" s="104" t="n"/>
      <c r="O73" s="104" t="n"/>
      <c r="P73" s="104" t="n"/>
      <c r="Q73" s="104" t="n"/>
      <c r="R73" s="130">
        <f>IF(C73="Owned",0,IF(B73&lt;&gt;"",2500,0))</f>
        <v/>
      </c>
      <c r="S73" s="130">
        <f>SUM(K73:R73)</f>
        <v/>
      </c>
      <c r="T73" s="130">
        <f>I73-S73</f>
        <v/>
      </c>
      <c r="U73" s="105">
        <f>IFERROR(T73/I73,0)</f>
        <v/>
      </c>
    </row>
    <row r="74" hidden="1" ht="14.25" customHeight="1" s="83">
      <c r="A74" s="125" t="n"/>
      <c r="B74" s="103" t="n"/>
      <c r="C74" s="170">
        <f>IFERROR(_xlfn.XLOOKUP(B74,DormRegistry[Dorm Name],DormRegistry[Ownership Type]),"")</f>
        <v/>
      </c>
      <c r="D74" s="170">
        <f>IFERROR(_xlfn.XLOOKUP(B74,DormRegistry[Dorm Name],DormRegistry[Bed Capacity]),0)</f>
        <v/>
      </c>
      <c r="E74" s="130">
        <f>IF(A74="","",$B$6*(1+$B$8)^(YEAR(A74)-YEAR(StartDate)))</f>
        <v/>
      </c>
      <c r="F74" s="105">
        <f>$B$7</f>
        <v/>
      </c>
      <c r="G74" s="105">
        <f>$B$8</f>
        <v/>
      </c>
      <c r="H74" s="130">
        <f>IFERROR(D74*E74,0)</f>
        <v/>
      </c>
      <c r="I74" s="130" t="n"/>
      <c r="J74" s="130">
        <f>IFERROR(D74*F74*E74,0)</f>
        <v/>
      </c>
      <c r="K74" s="104" t="n"/>
      <c r="L74" s="104" t="n"/>
      <c r="M74" s="104" t="n"/>
      <c r="N74" s="104" t="n"/>
      <c r="O74" s="104" t="n"/>
      <c r="P74" s="104" t="n"/>
      <c r="Q74" s="104" t="n"/>
      <c r="R74" s="130">
        <f>IF(C74="Owned",0,IF(B74&lt;&gt;"",2500,0))</f>
        <v/>
      </c>
      <c r="S74" s="130">
        <f>SUM(K74:R74)</f>
        <v/>
      </c>
      <c r="T74" s="130">
        <f>I74-S74</f>
        <v/>
      </c>
      <c r="U74" s="105">
        <f>IFERROR(T74/I74,0)</f>
        <v/>
      </c>
    </row>
    <row r="75" hidden="1" ht="14.25" customHeight="1" s="83">
      <c r="A75" s="125" t="n"/>
      <c r="B75" s="103" t="n"/>
      <c r="C75" s="170">
        <f>IFERROR(_xlfn.XLOOKUP(B75,DormRegistry[Dorm Name],DormRegistry[Ownership Type]),"")</f>
        <v/>
      </c>
      <c r="D75" s="170">
        <f>IFERROR(_xlfn.XLOOKUP(B75,DormRegistry[Dorm Name],DormRegistry[Bed Capacity]),0)</f>
        <v/>
      </c>
      <c r="E75" s="130">
        <f>IF(A75="","",$B$6*(1+$B$8)^(YEAR(A75)-YEAR(StartDate)))</f>
        <v/>
      </c>
      <c r="F75" s="105">
        <f>$B$7</f>
        <v/>
      </c>
      <c r="G75" s="105">
        <f>$B$8</f>
        <v/>
      </c>
      <c r="H75" s="130">
        <f>IFERROR(D75*E75,0)</f>
        <v/>
      </c>
      <c r="I75" s="130" t="n"/>
      <c r="J75" s="130">
        <f>IFERROR(D75*F75*E75,0)</f>
        <v/>
      </c>
      <c r="K75" s="104" t="n"/>
      <c r="L75" s="104" t="n"/>
      <c r="M75" s="104" t="n"/>
      <c r="N75" s="104" t="n"/>
      <c r="O75" s="104" t="n"/>
      <c r="P75" s="104" t="n"/>
      <c r="Q75" s="104" t="n"/>
      <c r="R75" s="130">
        <f>IF(C75="Owned",0,IF(B75&lt;&gt;"",2500,0))</f>
        <v/>
      </c>
      <c r="S75" s="130">
        <f>SUM(K75:R75)</f>
        <v/>
      </c>
      <c r="T75" s="130">
        <f>I75-S75</f>
        <v/>
      </c>
      <c r="U75" s="105">
        <f>IFERROR(T75/I75,0)</f>
        <v/>
      </c>
    </row>
    <row r="76" hidden="1" ht="14.25" customHeight="1" s="83">
      <c r="A76" s="125" t="n"/>
      <c r="B76" s="103" t="n"/>
      <c r="C76" s="170">
        <f>IFERROR(_xlfn.XLOOKUP(B76,DormRegistry[Dorm Name],DormRegistry[Ownership Type]),"")</f>
        <v/>
      </c>
      <c r="D76" s="170">
        <f>IFERROR(_xlfn.XLOOKUP(B76,DormRegistry[Dorm Name],DormRegistry[Bed Capacity]),0)</f>
        <v/>
      </c>
      <c r="E76" s="130">
        <f>IF(A76="","",$B$6*(1+$B$8)^(YEAR(A76)-YEAR(StartDate)))</f>
        <v/>
      </c>
      <c r="F76" s="105">
        <f>$B$7</f>
        <v/>
      </c>
      <c r="G76" s="105">
        <f>$B$8</f>
        <v/>
      </c>
      <c r="H76" s="130">
        <f>IFERROR(D76*E76,0)</f>
        <v/>
      </c>
      <c r="I76" s="130" t="n"/>
      <c r="J76" s="130">
        <f>IFERROR(D76*F76*E76,0)</f>
        <v/>
      </c>
      <c r="K76" s="104" t="n"/>
      <c r="L76" s="104" t="n"/>
      <c r="M76" s="104" t="n"/>
      <c r="N76" s="104" t="n"/>
      <c r="O76" s="104" t="n"/>
      <c r="P76" s="104" t="n"/>
      <c r="Q76" s="104" t="n"/>
      <c r="R76" s="130">
        <f>IF(C76="Owned",0,IF(B76&lt;&gt;"",2500,0))</f>
        <v/>
      </c>
      <c r="S76" s="130">
        <f>SUM(K76:R76)</f>
        <v/>
      </c>
      <c r="T76" s="130">
        <f>I76-S76</f>
        <v/>
      </c>
      <c r="U76" s="105">
        <f>IFERROR(T76/I76,0)</f>
        <v/>
      </c>
    </row>
    <row r="77" hidden="1" ht="14.25" customHeight="1" s="83">
      <c r="A77" s="125" t="n"/>
      <c r="B77" s="103" t="n"/>
      <c r="C77" s="170">
        <f>IFERROR(_xlfn.XLOOKUP(B77,DormRegistry[Dorm Name],DormRegistry[Ownership Type]),"")</f>
        <v/>
      </c>
      <c r="D77" s="170">
        <f>IFERROR(_xlfn.XLOOKUP(B77,DormRegistry[Dorm Name],DormRegistry[Bed Capacity]),0)</f>
        <v/>
      </c>
      <c r="E77" s="130">
        <f>IF(A77="","",$B$6*(1+$B$8)^(YEAR(A77)-YEAR(StartDate)))</f>
        <v/>
      </c>
      <c r="F77" s="105">
        <f>$B$7</f>
        <v/>
      </c>
      <c r="G77" s="105">
        <f>$B$8</f>
        <v/>
      </c>
      <c r="H77" s="130">
        <f>IFERROR(D77*E77,0)</f>
        <v/>
      </c>
      <c r="I77" s="130" t="n"/>
      <c r="J77" s="130">
        <f>IFERROR(D77*F77*E77,0)</f>
        <v/>
      </c>
      <c r="K77" s="104" t="n"/>
      <c r="L77" s="104" t="n"/>
      <c r="M77" s="104" t="n"/>
      <c r="N77" s="104" t="n"/>
      <c r="O77" s="104" t="n"/>
      <c r="P77" s="104" t="n"/>
      <c r="Q77" s="104" t="n"/>
      <c r="R77" s="130">
        <f>IF(C77="Owned",0,IF(B77&lt;&gt;"",2500,0))</f>
        <v/>
      </c>
      <c r="S77" s="130">
        <f>SUM(K77:R77)</f>
        <v/>
      </c>
      <c r="T77" s="130">
        <f>I77-S77</f>
        <v/>
      </c>
      <c r="U77" s="105">
        <f>IFERROR(T77/I77,0)</f>
        <v/>
      </c>
    </row>
    <row r="78" hidden="1" ht="14.25" customHeight="1" s="83">
      <c r="A78" s="125" t="n"/>
      <c r="B78" s="103" t="n"/>
      <c r="C78" s="170">
        <f>IFERROR(_xlfn.XLOOKUP(B78,DormRegistry[Dorm Name],DormRegistry[Ownership Type]),"")</f>
        <v/>
      </c>
      <c r="D78" s="170">
        <f>IFERROR(_xlfn.XLOOKUP(B78,DormRegistry[Dorm Name],DormRegistry[Bed Capacity]),0)</f>
        <v/>
      </c>
      <c r="E78" s="130">
        <f>IF(A78="","",$B$6*(1+$B$8)^(YEAR(A78)-YEAR(StartDate)))</f>
        <v/>
      </c>
      <c r="F78" s="105">
        <f>$B$7</f>
        <v/>
      </c>
      <c r="G78" s="105">
        <f>$B$8</f>
        <v/>
      </c>
      <c r="H78" s="130">
        <f>IFERROR(D78*E78,0)</f>
        <v/>
      </c>
      <c r="I78" s="130" t="n"/>
      <c r="J78" s="130">
        <f>IFERROR(D78*F78*E78,0)</f>
        <v/>
      </c>
      <c r="K78" s="104" t="n"/>
      <c r="L78" s="104" t="n"/>
      <c r="M78" s="104" t="n"/>
      <c r="N78" s="104" t="n"/>
      <c r="O78" s="104" t="n"/>
      <c r="P78" s="104" t="n"/>
      <c r="Q78" s="104" t="n"/>
      <c r="R78" s="130">
        <f>IF(C78="Owned",0,IF(B78&lt;&gt;"",2500,0))</f>
        <v/>
      </c>
      <c r="S78" s="130">
        <f>SUM(K78:R78)</f>
        <v/>
      </c>
      <c r="T78" s="130">
        <f>I78-S78</f>
        <v/>
      </c>
      <c r="U78" s="105">
        <f>IFERROR(T78/I78,0)</f>
        <v/>
      </c>
    </row>
    <row r="79" hidden="1" ht="14.25" customHeight="1" s="83">
      <c r="A79" s="125" t="n"/>
      <c r="B79" s="103" t="n"/>
      <c r="C79" s="170">
        <f>IFERROR(_xlfn.XLOOKUP(B79,DormRegistry[Dorm Name],DormRegistry[Ownership Type]),"")</f>
        <v/>
      </c>
      <c r="D79" s="170">
        <f>IFERROR(_xlfn.XLOOKUP(B79,DormRegistry[Dorm Name],DormRegistry[Bed Capacity]),0)</f>
        <v/>
      </c>
      <c r="E79" s="130">
        <f>IF(A79="","",$B$6*(1+$B$8)^(YEAR(A79)-YEAR(StartDate)))</f>
        <v/>
      </c>
      <c r="F79" s="105">
        <f>$B$7</f>
        <v/>
      </c>
      <c r="G79" s="105">
        <f>$B$8</f>
        <v/>
      </c>
      <c r="H79" s="130">
        <f>IFERROR(D79*E79,0)</f>
        <v/>
      </c>
      <c r="I79" s="130" t="n"/>
      <c r="J79" s="130">
        <f>IFERROR(D79*F79*E79,0)</f>
        <v/>
      </c>
      <c r="K79" s="104" t="n"/>
      <c r="L79" s="104" t="n"/>
      <c r="M79" s="104" t="n"/>
      <c r="N79" s="104" t="n"/>
      <c r="O79" s="104" t="n"/>
      <c r="P79" s="104" t="n"/>
      <c r="Q79" s="104" t="n"/>
      <c r="R79" s="130">
        <f>IF(C79="Owned",0,IF(B79&lt;&gt;"",2500,0))</f>
        <v/>
      </c>
      <c r="S79" s="130">
        <f>SUM(K79:R79)</f>
        <v/>
      </c>
      <c r="T79" s="130">
        <f>I79-S79</f>
        <v/>
      </c>
      <c r="U79" s="105">
        <f>IFERROR(T79/I79,0)</f>
        <v/>
      </c>
    </row>
    <row r="80" hidden="1" ht="14.25" customHeight="1" s="83">
      <c r="A80" s="125" t="n"/>
      <c r="B80" s="103" t="n"/>
      <c r="C80" s="170">
        <f>IFERROR(_xlfn.XLOOKUP(B80,DormRegistry[Dorm Name],DormRegistry[Ownership Type]),"")</f>
        <v/>
      </c>
      <c r="D80" s="170">
        <f>IFERROR(_xlfn.XLOOKUP(B80,DormRegistry[Dorm Name],DormRegistry[Bed Capacity]),0)</f>
        <v/>
      </c>
      <c r="E80" s="130">
        <f>IF(A80="","",$B$6*(1+$B$8)^(YEAR(A80)-YEAR(StartDate)))</f>
        <v/>
      </c>
      <c r="F80" s="105">
        <f>$B$7</f>
        <v/>
      </c>
      <c r="G80" s="105">
        <f>$B$8</f>
        <v/>
      </c>
      <c r="H80" s="130">
        <f>IFERROR(D80*E80,0)</f>
        <v/>
      </c>
      <c r="I80" s="130" t="n"/>
      <c r="J80" s="130">
        <f>IFERROR(D80*F80*E80,0)</f>
        <v/>
      </c>
      <c r="K80" s="104" t="n"/>
      <c r="L80" s="104" t="n"/>
      <c r="M80" s="104" t="n"/>
      <c r="N80" s="104" t="n"/>
      <c r="O80" s="104" t="n"/>
      <c r="P80" s="104" t="n"/>
      <c r="Q80" s="104" t="n"/>
      <c r="R80" s="130">
        <f>IF(C80="Owned",0,IF(B80&lt;&gt;"",2500,0))</f>
        <v/>
      </c>
      <c r="S80" s="130">
        <f>SUM(K80:R80)</f>
        <v/>
      </c>
      <c r="T80" s="130">
        <f>I80-S80</f>
        <v/>
      </c>
      <c r="U80" s="105">
        <f>IFERROR(T80/I80,0)</f>
        <v/>
      </c>
    </row>
    <row r="81" hidden="1" ht="14.25" customHeight="1" s="83">
      <c r="A81" s="125" t="n"/>
      <c r="B81" s="103" t="n"/>
      <c r="C81" s="170">
        <f>IFERROR(_xlfn.XLOOKUP(B81,DormRegistry[Dorm Name],DormRegistry[Ownership Type]),"")</f>
        <v/>
      </c>
      <c r="D81" s="170">
        <f>IFERROR(_xlfn.XLOOKUP(B81,DormRegistry[Dorm Name],DormRegistry[Bed Capacity]),0)</f>
        <v/>
      </c>
      <c r="E81" s="130">
        <f>IF(A81="","",$B$6*(1+$B$8)^(YEAR(A81)-YEAR(StartDate)))</f>
        <v/>
      </c>
      <c r="F81" s="105">
        <f>$B$7</f>
        <v/>
      </c>
      <c r="G81" s="105">
        <f>$B$8</f>
        <v/>
      </c>
      <c r="H81" s="130">
        <f>IFERROR(D81*E81,0)</f>
        <v/>
      </c>
      <c r="I81" s="130" t="n"/>
      <c r="J81" s="130">
        <f>IFERROR(D81*F81*E81,0)</f>
        <v/>
      </c>
      <c r="K81" s="104" t="n"/>
      <c r="L81" s="104" t="n"/>
      <c r="M81" s="104" t="n"/>
      <c r="N81" s="104" t="n"/>
      <c r="O81" s="104" t="n"/>
      <c r="P81" s="104" t="n"/>
      <c r="Q81" s="104" t="n"/>
      <c r="R81" s="130">
        <f>IF(C81="Owned",0,IF(B81&lt;&gt;"",2500,0))</f>
        <v/>
      </c>
      <c r="S81" s="130">
        <f>SUM(K81:R81)</f>
        <v/>
      </c>
      <c r="T81" s="130">
        <f>I81-S81</f>
        <v/>
      </c>
      <c r="U81" s="105">
        <f>IFERROR(T81/I81,0)</f>
        <v/>
      </c>
    </row>
    <row r="82" hidden="1" ht="14.25" customHeight="1" s="83">
      <c r="A82" s="125" t="n"/>
      <c r="B82" s="103" t="n"/>
      <c r="C82" s="170">
        <f>IFERROR(_xlfn.XLOOKUP(B82,DormRegistry[Dorm Name],DormRegistry[Ownership Type]),"")</f>
        <v/>
      </c>
      <c r="D82" s="170">
        <f>IFERROR(_xlfn.XLOOKUP(B82,DormRegistry[Dorm Name],DormRegistry[Bed Capacity]),0)</f>
        <v/>
      </c>
      <c r="E82" s="130">
        <f>IF(A82="","",$B$6*(1+$B$8)^(YEAR(A82)-YEAR(StartDate)))</f>
        <v/>
      </c>
      <c r="F82" s="105">
        <f>$B$7</f>
        <v/>
      </c>
      <c r="G82" s="105">
        <f>$B$8</f>
        <v/>
      </c>
      <c r="H82" s="130">
        <f>IFERROR(D82*E82,0)</f>
        <v/>
      </c>
      <c r="I82" s="130" t="n"/>
      <c r="J82" s="130">
        <f>IFERROR(D82*F82*E82,0)</f>
        <v/>
      </c>
      <c r="K82" s="104" t="n"/>
      <c r="L82" s="104" t="n"/>
      <c r="M82" s="104" t="n"/>
      <c r="N82" s="104" t="n"/>
      <c r="O82" s="104" t="n"/>
      <c r="P82" s="104" t="n"/>
      <c r="Q82" s="104" t="n"/>
      <c r="R82" s="130">
        <f>IF(C82="Owned",0,IF(B82&lt;&gt;"",2500,0))</f>
        <v/>
      </c>
      <c r="S82" s="130">
        <f>SUM(K82:R82)</f>
        <v/>
      </c>
      <c r="T82" s="130">
        <f>I82-S82</f>
        <v/>
      </c>
      <c r="U82" s="105">
        <f>IFERROR(T82/I82,0)</f>
        <v/>
      </c>
    </row>
    <row r="83" hidden="1" ht="14.25" customHeight="1" s="83">
      <c r="A83" s="125" t="n"/>
      <c r="B83" s="103" t="n"/>
      <c r="C83" s="170">
        <f>IFERROR(_xlfn.XLOOKUP(B83,DormRegistry[Dorm Name],DormRegistry[Ownership Type]),"")</f>
        <v/>
      </c>
      <c r="D83" s="170">
        <f>IFERROR(_xlfn.XLOOKUP(B83,DormRegistry[Dorm Name],DormRegistry[Bed Capacity]),0)</f>
        <v/>
      </c>
      <c r="E83" s="130">
        <f>IF(A83="","",$B$6*(1+$B$8)^(YEAR(A83)-YEAR(StartDate)))</f>
        <v/>
      </c>
      <c r="F83" s="105">
        <f>$B$7</f>
        <v/>
      </c>
      <c r="G83" s="105">
        <f>$B$8</f>
        <v/>
      </c>
      <c r="H83" s="130">
        <f>IFERROR(D83*E83,0)</f>
        <v/>
      </c>
      <c r="I83" s="130" t="n"/>
      <c r="J83" s="130">
        <f>IFERROR(D83*F83*E83,0)</f>
        <v/>
      </c>
      <c r="K83" s="104" t="n"/>
      <c r="L83" s="104" t="n"/>
      <c r="M83" s="104" t="n"/>
      <c r="N83" s="104" t="n"/>
      <c r="O83" s="104" t="n"/>
      <c r="P83" s="104" t="n"/>
      <c r="Q83" s="104" t="n"/>
      <c r="R83" s="130">
        <f>IF(C83="Owned",0,IF(B83&lt;&gt;"",2500,0))</f>
        <v/>
      </c>
      <c r="S83" s="130">
        <f>SUM(K83:R83)</f>
        <v/>
      </c>
      <c r="T83" s="130">
        <f>I83-S83</f>
        <v/>
      </c>
      <c r="U83" s="105">
        <f>IFERROR(T83/I83,0)</f>
        <v/>
      </c>
    </row>
    <row r="84" hidden="1" ht="14.25" customHeight="1" s="83">
      <c r="A84" s="125" t="n"/>
      <c r="B84" s="103" t="n"/>
      <c r="C84" s="170">
        <f>IFERROR(_xlfn.XLOOKUP(B84,DormRegistry[Dorm Name],DormRegistry[Ownership Type]),"")</f>
        <v/>
      </c>
      <c r="D84" s="170">
        <f>IFERROR(_xlfn.XLOOKUP(B84,DormRegistry[Dorm Name],DormRegistry[Bed Capacity]),0)</f>
        <v/>
      </c>
      <c r="E84" s="130">
        <f>IF(A84="","",$B$6*(1+$B$8)^(YEAR(A84)-YEAR(StartDate)))</f>
        <v/>
      </c>
      <c r="F84" s="105">
        <f>$B$7</f>
        <v/>
      </c>
      <c r="G84" s="105">
        <f>$B$8</f>
        <v/>
      </c>
      <c r="H84" s="130">
        <f>IFERROR(D84*E84,0)</f>
        <v/>
      </c>
      <c r="I84" s="130" t="n"/>
      <c r="J84" s="130">
        <f>IFERROR(D84*F84*E84,0)</f>
        <v/>
      </c>
      <c r="K84" s="104" t="n"/>
      <c r="L84" s="104" t="n"/>
      <c r="M84" s="104" t="n"/>
      <c r="N84" s="104" t="n"/>
      <c r="O84" s="104" t="n"/>
      <c r="P84" s="104" t="n"/>
      <c r="Q84" s="104" t="n"/>
      <c r="R84" s="130">
        <f>IF(C84="Owned",0,IF(B84&lt;&gt;"",2500,0))</f>
        <v/>
      </c>
      <c r="S84" s="130">
        <f>SUM(K84:R84)</f>
        <v/>
      </c>
      <c r="T84" s="130">
        <f>I84-S84</f>
        <v/>
      </c>
      <c r="U84" s="105">
        <f>IFERROR(T84/I84,0)</f>
        <v/>
      </c>
    </row>
    <row r="85" hidden="1" ht="14.25" customHeight="1" s="83">
      <c r="A85" s="125" t="n"/>
      <c r="B85" s="103" t="n"/>
      <c r="C85" s="170">
        <f>IFERROR(_xlfn.XLOOKUP(B85,DormRegistry[Dorm Name],DormRegistry[Ownership Type]),"")</f>
        <v/>
      </c>
      <c r="D85" s="170">
        <f>IFERROR(_xlfn.XLOOKUP(B85,DormRegistry[Dorm Name],DormRegistry[Bed Capacity]),0)</f>
        <v/>
      </c>
      <c r="E85" s="130">
        <f>IF(A85="","",$B$6*(1+$B$8)^(YEAR(A85)-YEAR(StartDate)))</f>
        <v/>
      </c>
      <c r="F85" s="105">
        <f>$B$7</f>
        <v/>
      </c>
      <c r="G85" s="105">
        <f>$B$8</f>
        <v/>
      </c>
      <c r="H85" s="130">
        <f>IFERROR(D85*E85,0)</f>
        <v/>
      </c>
      <c r="I85" s="130" t="n"/>
      <c r="J85" s="130">
        <f>IFERROR(D85*F85*E85,0)</f>
        <v/>
      </c>
      <c r="K85" s="104" t="n"/>
      <c r="L85" s="104" t="n"/>
      <c r="M85" s="104" t="n"/>
      <c r="N85" s="104" t="n"/>
      <c r="O85" s="104" t="n"/>
      <c r="P85" s="104" t="n"/>
      <c r="Q85" s="104" t="n"/>
      <c r="R85" s="130">
        <f>IF(C85="Owned",0,IF(B85&lt;&gt;"",2500,0))</f>
        <v/>
      </c>
      <c r="S85" s="130">
        <f>SUM(K85:R85)</f>
        <v/>
      </c>
      <c r="T85" s="130">
        <f>I85-S85</f>
        <v/>
      </c>
      <c r="U85" s="105">
        <f>IFERROR(T85/I85,0)</f>
        <v/>
      </c>
    </row>
    <row r="86" hidden="1" ht="14.25" customHeight="1" s="83">
      <c r="A86" s="125" t="n"/>
      <c r="B86" s="103" t="n"/>
      <c r="C86" s="170">
        <f>IFERROR(_xlfn.XLOOKUP(B86,DormRegistry[Dorm Name],DormRegistry[Ownership Type]),"")</f>
        <v/>
      </c>
      <c r="D86" s="170">
        <f>IFERROR(_xlfn.XLOOKUP(B86,DormRegistry[Dorm Name],DormRegistry[Bed Capacity]),0)</f>
        <v/>
      </c>
      <c r="E86" s="130">
        <f>IF(A86="","",$B$6*(1+$B$8)^(YEAR(A86)-YEAR(StartDate)))</f>
        <v/>
      </c>
      <c r="F86" s="105">
        <f>$B$7</f>
        <v/>
      </c>
      <c r="G86" s="105">
        <f>$B$8</f>
        <v/>
      </c>
      <c r="H86" s="130">
        <f>IFERROR(D86*E86,0)</f>
        <v/>
      </c>
      <c r="I86" s="130" t="n"/>
      <c r="J86" s="130">
        <f>IFERROR(D86*F86*E86,0)</f>
        <v/>
      </c>
      <c r="K86" s="104" t="n"/>
      <c r="L86" s="104" t="n"/>
      <c r="M86" s="104" t="n"/>
      <c r="N86" s="104" t="n"/>
      <c r="O86" s="104" t="n"/>
      <c r="P86" s="104" t="n"/>
      <c r="Q86" s="104" t="n"/>
      <c r="R86" s="130">
        <f>IF(C86="Owned",0,IF(B86&lt;&gt;"",2500,0))</f>
        <v/>
      </c>
      <c r="S86" s="130">
        <f>SUM(K86:R86)</f>
        <v/>
      </c>
      <c r="T86" s="130">
        <f>I86-S86</f>
        <v/>
      </c>
      <c r="U86" s="105">
        <f>IFERROR(T86/I86,0)</f>
        <v/>
      </c>
    </row>
    <row r="87" hidden="1" ht="14.25" customHeight="1" s="83">
      <c r="A87" s="125" t="n"/>
      <c r="B87" s="103" t="n"/>
      <c r="C87" s="170">
        <f>IFERROR(_xlfn.XLOOKUP(B87,DormRegistry[Dorm Name],DormRegistry[Ownership Type]),"")</f>
        <v/>
      </c>
      <c r="D87" s="170">
        <f>IFERROR(_xlfn.XLOOKUP(B87,DormRegistry[Dorm Name],DormRegistry[Bed Capacity]),0)</f>
        <v/>
      </c>
      <c r="E87" s="130">
        <f>IF(A87="","",$B$6*(1+$B$8)^(YEAR(A87)-YEAR(StartDate)))</f>
        <v/>
      </c>
      <c r="F87" s="105">
        <f>$B$7</f>
        <v/>
      </c>
      <c r="G87" s="105">
        <f>$B$8</f>
        <v/>
      </c>
      <c r="H87" s="130">
        <f>IFERROR(D87*E87,0)</f>
        <v/>
      </c>
      <c r="I87" s="130" t="n"/>
      <c r="J87" s="130">
        <f>IFERROR(D87*F87*E87,0)</f>
        <v/>
      </c>
      <c r="K87" s="104" t="n"/>
      <c r="L87" s="104" t="n"/>
      <c r="M87" s="104" t="n"/>
      <c r="N87" s="104" t="n"/>
      <c r="O87" s="104" t="n"/>
      <c r="P87" s="104" t="n"/>
      <c r="Q87" s="104" t="n"/>
      <c r="R87" s="130">
        <f>IF(C87="Owned",0,IF(B87&lt;&gt;"",2500,0))</f>
        <v/>
      </c>
      <c r="S87" s="130">
        <f>SUM(K87:R87)</f>
        <v/>
      </c>
      <c r="T87" s="130">
        <f>I87-S87</f>
        <v/>
      </c>
      <c r="U87" s="105">
        <f>IFERROR(T87/I87,0)</f>
        <v/>
      </c>
    </row>
    <row r="88" hidden="1" ht="14.25" customHeight="1" s="83">
      <c r="A88" s="125" t="n"/>
      <c r="B88" s="103" t="n"/>
      <c r="C88" s="170">
        <f>IFERROR(_xlfn.XLOOKUP(B88,DormRegistry[Dorm Name],DormRegistry[Ownership Type]),"")</f>
        <v/>
      </c>
      <c r="D88" s="170">
        <f>IFERROR(_xlfn.XLOOKUP(B88,DormRegistry[Dorm Name],DormRegistry[Bed Capacity]),0)</f>
        <v/>
      </c>
      <c r="E88" s="130">
        <f>IF(A88="","",$B$6*(1+$B$8)^(YEAR(A88)-YEAR(StartDate)))</f>
        <v/>
      </c>
      <c r="F88" s="105">
        <f>$B$7</f>
        <v/>
      </c>
      <c r="G88" s="105">
        <f>$B$8</f>
        <v/>
      </c>
      <c r="H88" s="130">
        <f>IFERROR(D88*E88,0)</f>
        <v/>
      </c>
      <c r="I88" s="130" t="n"/>
      <c r="J88" s="130">
        <f>IFERROR(D88*F88*E88,0)</f>
        <v/>
      </c>
      <c r="K88" s="104" t="n"/>
      <c r="L88" s="104" t="n"/>
      <c r="M88" s="104" t="n"/>
      <c r="N88" s="104" t="n"/>
      <c r="O88" s="104" t="n"/>
      <c r="P88" s="104" t="n"/>
      <c r="Q88" s="104" t="n"/>
      <c r="R88" s="130">
        <f>IF(C88="Owned",0,IF(B88&lt;&gt;"",2500,0))</f>
        <v/>
      </c>
      <c r="S88" s="130">
        <f>SUM(K88:R88)</f>
        <v/>
      </c>
      <c r="T88" s="130">
        <f>I88-S88</f>
        <v/>
      </c>
      <c r="U88" s="105">
        <f>IFERROR(T88/I88,0)</f>
        <v/>
      </c>
    </row>
    <row r="89" hidden="1" ht="14.25" customHeight="1" s="83">
      <c r="A89" s="125" t="n"/>
      <c r="B89" s="103" t="n"/>
      <c r="C89" s="170">
        <f>IFERROR(_xlfn.XLOOKUP(B89,DormRegistry[Dorm Name],DormRegistry[Ownership Type]),"")</f>
        <v/>
      </c>
      <c r="D89" s="170">
        <f>IFERROR(_xlfn.XLOOKUP(B89,DormRegistry[Dorm Name],DormRegistry[Bed Capacity]),0)</f>
        <v/>
      </c>
      <c r="E89" s="130">
        <f>IF(A89="","",$B$6*(1+$B$8)^(YEAR(A89)-YEAR(StartDate)))</f>
        <v/>
      </c>
      <c r="F89" s="105">
        <f>$B$7</f>
        <v/>
      </c>
      <c r="G89" s="105">
        <f>$B$8</f>
        <v/>
      </c>
      <c r="H89" s="130">
        <f>IFERROR(D89*E89,0)</f>
        <v/>
      </c>
      <c r="I89" s="130" t="n"/>
      <c r="J89" s="130">
        <f>IFERROR(D89*F89*E89,0)</f>
        <v/>
      </c>
      <c r="K89" s="104" t="n"/>
      <c r="L89" s="104" t="n"/>
      <c r="M89" s="104" t="n"/>
      <c r="N89" s="104" t="n"/>
      <c r="O89" s="104" t="n"/>
      <c r="P89" s="104" t="n"/>
      <c r="Q89" s="104" t="n"/>
      <c r="R89" s="130">
        <f>IF(C89="Owned",0,IF(B89&lt;&gt;"",2500,0))</f>
        <v/>
      </c>
      <c r="S89" s="130">
        <f>SUM(K89:R89)</f>
        <v/>
      </c>
      <c r="T89" s="130">
        <f>I89-S89</f>
        <v/>
      </c>
      <c r="U89" s="105">
        <f>IFERROR(T89/I89,0)</f>
        <v/>
      </c>
    </row>
    <row r="90" hidden="1" ht="14.25" customHeight="1" s="83">
      <c r="A90" s="125" t="n"/>
      <c r="B90" s="103" t="n"/>
      <c r="C90" s="170">
        <f>IFERROR(_xlfn.XLOOKUP(B90,DormRegistry[Dorm Name],DormRegistry[Ownership Type]),"")</f>
        <v/>
      </c>
      <c r="D90" s="170">
        <f>IFERROR(_xlfn.XLOOKUP(B90,DormRegistry[Dorm Name],DormRegistry[Bed Capacity]),0)</f>
        <v/>
      </c>
      <c r="E90" s="130">
        <f>IF(A90="","",$B$6*(1+$B$8)^(YEAR(A90)-YEAR(StartDate)))</f>
        <v/>
      </c>
      <c r="F90" s="105">
        <f>$B$7</f>
        <v/>
      </c>
      <c r="G90" s="105">
        <f>$B$8</f>
        <v/>
      </c>
      <c r="H90" s="130">
        <f>IFERROR(D90*E90,0)</f>
        <v/>
      </c>
      <c r="I90" s="130" t="n"/>
      <c r="J90" s="130">
        <f>IFERROR(D90*F90*E90,0)</f>
        <v/>
      </c>
      <c r="K90" s="104" t="n"/>
      <c r="L90" s="104" t="n"/>
      <c r="M90" s="104" t="n"/>
      <c r="N90" s="104" t="n"/>
      <c r="O90" s="104" t="n"/>
      <c r="P90" s="104" t="n"/>
      <c r="Q90" s="104" t="n"/>
      <c r="R90" s="130">
        <f>IF(C90="Owned",0,IF(B90&lt;&gt;"",2500,0))</f>
        <v/>
      </c>
      <c r="S90" s="130">
        <f>SUM(K90:R90)</f>
        <v/>
      </c>
      <c r="T90" s="130">
        <f>I90-S90</f>
        <v/>
      </c>
      <c r="U90" s="105">
        <f>IFERROR(T90/I90,0)</f>
        <v/>
      </c>
    </row>
    <row r="91" hidden="1" ht="14.25" customHeight="1" s="83">
      <c r="A91" s="125" t="n"/>
      <c r="B91" s="103" t="n"/>
      <c r="C91" s="170">
        <f>IFERROR(_xlfn.XLOOKUP(B91,DormRegistry[Dorm Name],DormRegistry[Ownership Type]),"")</f>
        <v/>
      </c>
      <c r="D91" s="170">
        <f>IFERROR(_xlfn.XLOOKUP(B91,DormRegistry[Dorm Name],DormRegistry[Bed Capacity]),0)</f>
        <v/>
      </c>
      <c r="E91" s="130">
        <f>IF(A91="","",$B$6*(1+$B$8)^(YEAR(A91)-YEAR(StartDate)))</f>
        <v/>
      </c>
      <c r="F91" s="105">
        <f>$B$7</f>
        <v/>
      </c>
      <c r="G91" s="105">
        <f>$B$8</f>
        <v/>
      </c>
      <c r="H91" s="130">
        <f>IFERROR(D91*E91,0)</f>
        <v/>
      </c>
      <c r="I91" s="130" t="n"/>
      <c r="J91" s="130">
        <f>IFERROR(D91*F91*E91,0)</f>
        <v/>
      </c>
      <c r="K91" s="104" t="n"/>
      <c r="L91" s="104" t="n"/>
      <c r="M91" s="104" t="n"/>
      <c r="N91" s="104" t="n"/>
      <c r="O91" s="104" t="n"/>
      <c r="P91" s="104" t="n"/>
      <c r="Q91" s="104" t="n"/>
      <c r="R91" s="130">
        <f>IF(C91="Owned",0,IF(B91&lt;&gt;"",2500,0))</f>
        <v/>
      </c>
      <c r="S91" s="130">
        <f>SUM(K91:R91)</f>
        <v/>
      </c>
      <c r="T91" s="130">
        <f>I91-S91</f>
        <v/>
      </c>
      <c r="U91" s="105">
        <f>IFERROR(T91/I91,0)</f>
        <v/>
      </c>
    </row>
    <row r="92" hidden="1" ht="14.25" customHeight="1" s="83">
      <c r="A92" s="125" t="n"/>
      <c r="B92" s="103" t="n"/>
      <c r="C92" s="170">
        <f>IFERROR(_xlfn.XLOOKUP(B92,DormRegistry[Dorm Name],DormRegistry[Ownership Type]),"")</f>
        <v/>
      </c>
      <c r="D92" s="170">
        <f>IFERROR(_xlfn.XLOOKUP(B92,DormRegistry[Dorm Name],DormRegistry[Bed Capacity]),0)</f>
        <v/>
      </c>
      <c r="E92" s="130">
        <f>IF(A92="","",$B$6*(1+$B$8)^(YEAR(A92)-YEAR(StartDate)))</f>
        <v/>
      </c>
      <c r="F92" s="105">
        <f>$B$7</f>
        <v/>
      </c>
      <c r="G92" s="105">
        <f>$B$8</f>
        <v/>
      </c>
      <c r="H92" s="130">
        <f>IFERROR(D92*E92,0)</f>
        <v/>
      </c>
      <c r="I92" s="130" t="n"/>
      <c r="J92" s="130">
        <f>IFERROR(D92*F92*E92,0)</f>
        <v/>
      </c>
      <c r="K92" s="104" t="n"/>
      <c r="L92" s="104" t="n"/>
      <c r="M92" s="104" t="n"/>
      <c r="N92" s="104" t="n"/>
      <c r="O92" s="104" t="n"/>
      <c r="P92" s="104" t="n"/>
      <c r="Q92" s="104" t="n"/>
      <c r="R92" s="130">
        <f>IF(C92="Owned",0,IF(B92&lt;&gt;"",2500,0))</f>
        <v/>
      </c>
      <c r="S92" s="130">
        <f>SUM(K92:R92)</f>
        <v/>
      </c>
      <c r="T92" s="130">
        <f>I92-S92</f>
        <v/>
      </c>
      <c r="U92" s="105">
        <f>IFERROR(T92/I92,0)</f>
        <v/>
      </c>
    </row>
    <row r="93" hidden="1" ht="14.25" customHeight="1" s="83">
      <c r="A93" s="125" t="n"/>
      <c r="B93" s="103" t="n"/>
      <c r="C93" s="170">
        <f>IFERROR(_xlfn.XLOOKUP(B93,DormRegistry[Dorm Name],DormRegistry[Ownership Type]),"")</f>
        <v/>
      </c>
      <c r="D93" s="170">
        <f>IFERROR(_xlfn.XLOOKUP(B93,DormRegistry[Dorm Name],DormRegistry[Bed Capacity]),0)</f>
        <v/>
      </c>
      <c r="E93" s="130">
        <f>IF(A93="","",$B$6*(1+$B$8)^(YEAR(A93)-YEAR(StartDate)))</f>
        <v/>
      </c>
      <c r="F93" s="105">
        <f>$B$7</f>
        <v/>
      </c>
      <c r="G93" s="105">
        <f>$B$8</f>
        <v/>
      </c>
      <c r="H93" s="130">
        <f>IFERROR(D93*E93,0)</f>
        <v/>
      </c>
      <c r="I93" s="130" t="n"/>
      <c r="J93" s="130">
        <f>IFERROR(D93*F93*E93,0)</f>
        <v/>
      </c>
      <c r="K93" s="104" t="n"/>
      <c r="L93" s="104" t="n"/>
      <c r="M93" s="104" t="n"/>
      <c r="N93" s="104" t="n"/>
      <c r="O93" s="104" t="n"/>
      <c r="P93" s="104" t="n"/>
      <c r="Q93" s="104" t="n"/>
      <c r="R93" s="130">
        <f>IF(C93="Owned",0,IF(B93&lt;&gt;"",2500,0))</f>
        <v/>
      </c>
      <c r="S93" s="130">
        <f>SUM(K93:R93)</f>
        <v/>
      </c>
      <c r="T93" s="130">
        <f>I93-S93</f>
        <v/>
      </c>
      <c r="U93" s="105">
        <f>IFERROR(T93/I93,0)</f>
        <v/>
      </c>
    </row>
    <row r="94" hidden="1" ht="14.25" customHeight="1" s="83">
      <c r="A94" s="125" t="n"/>
      <c r="B94" s="103" t="n"/>
      <c r="C94" s="170">
        <f>IFERROR(_xlfn.XLOOKUP(B94,DormRegistry[Dorm Name],DormRegistry[Ownership Type]),"")</f>
        <v/>
      </c>
      <c r="D94" s="170">
        <f>IFERROR(_xlfn.XLOOKUP(B94,DormRegistry[Dorm Name],DormRegistry[Bed Capacity]),0)</f>
        <v/>
      </c>
      <c r="E94" s="130">
        <f>IF(A94="","",$B$6*(1+$B$8)^(YEAR(A94)-YEAR(StartDate)))</f>
        <v/>
      </c>
      <c r="F94" s="105">
        <f>$B$7</f>
        <v/>
      </c>
      <c r="G94" s="105">
        <f>$B$8</f>
        <v/>
      </c>
      <c r="H94" s="130">
        <f>IFERROR(D94*E94,0)</f>
        <v/>
      </c>
      <c r="I94" s="130" t="n"/>
      <c r="J94" s="130">
        <f>IFERROR(D94*F94*E94,0)</f>
        <v/>
      </c>
      <c r="K94" s="104" t="n"/>
      <c r="L94" s="104" t="n"/>
      <c r="M94" s="104" t="n"/>
      <c r="N94" s="104" t="n"/>
      <c r="O94" s="104" t="n"/>
      <c r="P94" s="104" t="n"/>
      <c r="Q94" s="104" t="n"/>
      <c r="R94" s="130">
        <f>IF(C94="Owned",0,IF(B94&lt;&gt;"",2500,0))</f>
        <v/>
      </c>
      <c r="S94" s="130">
        <f>SUM(K94:R94)</f>
        <v/>
      </c>
      <c r="T94" s="130">
        <f>I94-S94</f>
        <v/>
      </c>
      <c r="U94" s="105">
        <f>IFERROR(T94/I94,0)</f>
        <v/>
      </c>
    </row>
    <row r="95" hidden="1" ht="14.25" customHeight="1" s="83">
      <c r="A95" s="125" t="n"/>
      <c r="B95" s="103" t="n"/>
      <c r="C95" s="170">
        <f>IFERROR(_xlfn.XLOOKUP(B95,DormRegistry[Dorm Name],DormRegistry[Ownership Type]),"")</f>
        <v/>
      </c>
      <c r="D95" s="170">
        <f>IFERROR(_xlfn.XLOOKUP(B95,DormRegistry[Dorm Name],DormRegistry[Bed Capacity]),0)</f>
        <v/>
      </c>
      <c r="E95" s="130">
        <f>IF(A95="","",$B$6*(1+$B$8)^(YEAR(A95)-YEAR(StartDate)))</f>
        <v/>
      </c>
      <c r="F95" s="105">
        <f>$B$7</f>
        <v/>
      </c>
      <c r="G95" s="105">
        <f>$B$8</f>
        <v/>
      </c>
      <c r="H95" s="130">
        <f>IFERROR(D95*E95,0)</f>
        <v/>
      </c>
      <c r="I95" s="130" t="n"/>
      <c r="J95" s="130">
        <f>IFERROR(D95*F95*E95,0)</f>
        <v/>
      </c>
      <c r="K95" s="104" t="n"/>
      <c r="L95" s="104" t="n"/>
      <c r="M95" s="104" t="n"/>
      <c r="N95" s="104" t="n"/>
      <c r="O95" s="104" t="n"/>
      <c r="P95" s="104" t="n"/>
      <c r="Q95" s="104" t="n"/>
      <c r="R95" s="130">
        <f>IF(C95="Owned",0,IF(B95&lt;&gt;"",2500,0))</f>
        <v/>
      </c>
      <c r="S95" s="130">
        <f>SUM(K95:R95)</f>
        <v/>
      </c>
      <c r="T95" s="130">
        <f>I95-S95</f>
        <v/>
      </c>
      <c r="U95" s="105">
        <f>IFERROR(T95/I95,0)</f>
        <v/>
      </c>
    </row>
    <row r="96" hidden="1" ht="14.25" customHeight="1" s="83">
      <c r="A96" s="125" t="n"/>
      <c r="B96" s="103" t="n"/>
      <c r="C96" s="170">
        <f>IFERROR(_xlfn.XLOOKUP(B96,DormRegistry[Dorm Name],DormRegistry[Ownership Type]),"")</f>
        <v/>
      </c>
      <c r="D96" s="170">
        <f>IFERROR(_xlfn.XLOOKUP(B96,DormRegistry[Dorm Name],DormRegistry[Bed Capacity]),0)</f>
        <v/>
      </c>
      <c r="E96" s="130">
        <f>IF(A96="","",$B$6*(1+$B$8)^(YEAR(A96)-YEAR(StartDate)))</f>
        <v/>
      </c>
      <c r="F96" s="105">
        <f>$B$7</f>
        <v/>
      </c>
      <c r="G96" s="105">
        <f>$B$8</f>
        <v/>
      </c>
      <c r="H96" s="130">
        <f>IFERROR(D96*E96,0)</f>
        <v/>
      </c>
      <c r="I96" s="130" t="n"/>
      <c r="J96" s="130">
        <f>IFERROR(D96*F96*E96,0)</f>
        <v/>
      </c>
      <c r="K96" s="104" t="n"/>
      <c r="L96" s="104" t="n"/>
      <c r="M96" s="104" t="n"/>
      <c r="N96" s="104" t="n"/>
      <c r="O96" s="104" t="n"/>
      <c r="P96" s="104" t="n"/>
      <c r="Q96" s="104" t="n"/>
      <c r="R96" s="130">
        <f>IF(C96="Owned",0,IF(B96&lt;&gt;"",2500,0))</f>
        <v/>
      </c>
      <c r="S96" s="130">
        <f>SUM(K96:R96)</f>
        <v/>
      </c>
      <c r="T96" s="130">
        <f>I96-S96</f>
        <v/>
      </c>
      <c r="U96" s="105">
        <f>IFERROR(T96/I96,0)</f>
        <v/>
      </c>
    </row>
    <row r="97" hidden="1" ht="14.25" customHeight="1" s="83">
      <c r="A97" s="125" t="n"/>
      <c r="B97" s="103" t="n"/>
      <c r="C97" s="170">
        <f>IFERROR(_xlfn.XLOOKUP(B97,DormRegistry[Dorm Name],DormRegistry[Ownership Type]),"")</f>
        <v/>
      </c>
      <c r="D97" s="170">
        <f>IFERROR(_xlfn.XLOOKUP(B97,DormRegistry[Dorm Name],DormRegistry[Bed Capacity]),0)</f>
        <v/>
      </c>
      <c r="E97" s="130">
        <f>IF(A97="","",$B$6*(1+$B$8)^(YEAR(A97)-YEAR(StartDate)))</f>
        <v/>
      </c>
      <c r="F97" s="105">
        <f>$B$7</f>
        <v/>
      </c>
      <c r="G97" s="105">
        <f>$B$8</f>
        <v/>
      </c>
      <c r="H97" s="130">
        <f>IFERROR(D97*E97,0)</f>
        <v/>
      </c>
      <c r="I97" s="130" t="n"/>
      <c r="J97" s="130">
        <f>IFERROR(D97*F97*E97,0)</f>
        <v/>
      </c>
      <c r="K97" s="104" t="n"/>
      <c r="L97" s="104" t="n"/>
      <c r="M97" s="104" t="n"/>
      <c r="N97" s="104" t="n"/>
      <c r="O97" s="104" t="n"/>
      <c r="P97" s="104" t="n"/>
      <c r="Q97" s="104" t="n"/>
      <c r="R97" s="130">
        <f>IF(C97="Owned",0,IF(B97&lt;&gt;"",2500,0))</f>
        <v/>
      </c>
      <c r="S97" s="130">
        <f>SUM(K97:R97)</f>
        <v/>
      </c>
      <c r="T97" s="130">
        <f>I97-S97</f>
        <v/>
      </c>
      <c r="U97" s="105">
        <f>IFERROR(T97/I97,0)</f>
        <v/>
      </c>
    </row>
    <row r="98" hidden="1" ht="14.25" customHeight="1" s="83">
      <c r="A98" s="125" t="n"/>
      <c r="B98" s="103" t="n"/>
      <c r="C98" s="170">
        <f>IFERROR(_xlfn.XLOOKUP(B98,DormRegistry[Dorm Name],DormRegistry[Ownership Type]),"")</f>
        <v/>
      </c>
      <c r="D98" s="170">
        <f>IFERROR(_xlfn.XLOOKUP(B98,DormRegistry[Dorm Name],DormRegistry[Bed Capacity]),0)</f>
        <v/>
      </c>
      <c r="E98" s="130">
        <f>IF(A98="","",$B$6*(1+$B$8)^(YEAR(A98)-YEAR(StartDate)))</f>
        <v/>
      </c>
      <c r="F98" s="105">
        <f>$B$7</f>
        <v/>
      </c>
      <c r="G98" s="105">
        <f>$B$8</f>
        <v/>
      </c>
      <c r="H98" s="130">
        <f>IFERROR(D98*E98,0)</f>
        <v/>
      </c>
      <c r="I98" s="130" t="n"/>
      <c r="J98" s="130">
        <f>IFERROR(D98*F98*E98,0)</f>
        <v/>
      </c>
      <c r="K98" s="104" t="n"/>
      <c r="L98" s="104" t="n"/>
      <c r="M98" s="104" t="n"/>
      <c r="N98" s="104" t="n"/>
      <c r="O98" s="104" t="n"/>
      <c r="P98" s="104" t="n"/>
      <c r="Q98" s="104" t="n"/>
      <c r="R98" s="130">
        <f>IF(C98="Owned",0,IF(B98&lt;&gt;"",2500,0))</f>
        <v/>
      </c>
      <c r="S98" s="130">
        <f>SUM(K98:R98)</f>
        <v/>
      </c>
      <c r="T98" s="130">
        <f>I98-S98</f>
        <v/>
      </c>
      <c r="U98" s="105">
        <f>IFERROR(T98/I98,0)</f>
        <v/>
      </c>
    </row>
    <row r="99" hidden="1" ht="14.25" customHeight="1" s="83">
      <c r="A99" s="125" t="n"/>
      <c r="B99" s="103" t="n"/>
      <c r="C99" s="170">
        <f>IFERROR(_xlfn.XLOOKUP(B99,DormRegistry[Dorm Name],DormRegistry[Ownership Type]),"")</f>
        <v/>
      </c>
      <c r="D99" s="170">
        <f>IFERROR(_xlfn.XLOOKUP(B99,DormRegistry[Dorm Name],DormRegistry[Bed Capacity]),0)</f>
        <v/>
      </c>
      <c r="E99" s="130">
        <f>IF(A99="","",$B$6*(1+$B$8)^(YEAR(A99)-YEAR(StartDate)))</f>
        <v/>
      </c>
      <c r="F99" s="105">
        <f>$B$7</f>
        <v/>
      </c>
      <c r="G99" s="105">
        <f>$B$8</f>
        <v/>
      </c>
      <c r="H99" s="130">
        <f>IFERROR(D99*E99,0)</f>
        <v/>
      </c>
      <c r="I99" s="130" t="n"/>
      <c r="J99" s="130">
        <f>IFERROR(D99*F99*E99,0)</f>
        <v/>
      </c>
      <c r="K99" s="104" t="n"/>
      <c r="L99" s="104" t="n"/>
      <c r="M99" s="104" t="n"/>
      <c r="N99" s="104" t="n"/>
      <c r="O99" s="104" t="n"/>
      <c r="P99" s="104" t="n"/>
      <c r="Q99" s="104" t="n"/>
      <c r="R99" s="130">
        <f>IF(C99="Owned",0,IF(B99&lt;&gt;"",2500,0))</f>
        <v/>
      </c>
      <c r="S99" s="130">
        <f>SUM(K99:R99)</f>
        <v/>
      </c>
      <c r="T99" s="130">
        <f>I99-S99</f>
        <v/>
      </c>
      <c r="U99" s="105">
        <f>IFERROR(T99/I99,0)</f>
        <v/>
      </c>
    </row>
    <row r="100" hidden="1" ht="14.25" customHeight="1" s="83">
      <c r="A100" s="125" t="n"/>
      <c r="B100" s="103" t="n"/>
      <c r="C100" s="170">
        <f>IFERROR(_xlfn.XLOOKUP(B100,DormRegistry[Dorm Name],DormRegistry[Ownership Type]),"")</f>
        <v/>
      </c>
      <c r="D100" s="170">
        <f>IFERROR(_xlfn.XLOOKUP(B100,DormRegistry[Dorm Name],DormRegistry[Bed Capacity]),0)</f>
        <v/>
      </c>
      <c r="E100" s="130">
        <f>IF(A100="","",$B$6*(1+$B$8)^(YEAR(A100)-YEAR(StartDate)))</f>
        <v/>
      </c>
      <c r="F100" s="105">
        <f>$B$7</f>
        <v/>
      </c>
      <c r="G100" s="105">
        <f>$B$8</f>
        <v/>
      </c>
      <c r="H100" s="130">
        <f>IFERROR(D100*E100,0)</f>
        <v/>
      </c>
      <c r="I100" s="130" t="n"/>
      <c r="J100" s="130">
        <f>IFERROR(D100*F100*E100,0)</f>
        <v/>
      </c>
      <c r="K100" s="104" t="n"/>
      <c r="L100" s="104" t="n"/>
      <c r="M100" s="104" t="n"/>
      <c r="N100" s="104" t="n"/>
      <c r="O100" s="104" t="n"/>
      <c r="P100" s="104" t="n"/>
      <c r="Q100" s="104" t="n"/>
      <c r="R100" s="130">
        <f>IF(C100="Owned",0,IF(B100&lt;&gt;"",2500,0))</f>
        <v/>
      </c>
      <c r="S100" s="130">
        <f>SUM(K100:R100)</f>
        <v/>
      </c>
      <c r="T100" s="130">
        <f>I100-S100</f>
        <v/>
      </c>
      <c r="U100" s="105">
        <f>IFERROR(T100/I100,0)</f>
        <v/>
      </c>
    </row>
    <row r="101" hidden="1" ht="14.25" customHeight="1" s="83">
      <c r="A101" s="125" t="n"/>
      <c r="B101" s="103" t="n"/>
      <c r="C101" s="170">
        <f>IFERROR(_xlfn.XLOOKUP(B101,DormRegistry[Dorm Name],DormRegistry[Ownership Type]),"")</f>
        <v/>
      </c>
      <c r="D101" s="170">
        <f>IFERROR(_xlfn.XLOOKUP(B101,DormRegistry[Dorm Name],DormRegistry[Bed Capacity]),0)</f>
        <v/>
      </c>
      <c r="E101" s="130">
        <f>IF(A101="","",$B$6*(1+$B$8)^(YEAR(A101)-YEAR(StartDate)))</f>
        <v/>
      </c>
      <c r="F101" s="105">
        <f>$B$7</f>
        <v/>
      </c>
      <c r="G101" s="105">
        <f>$B$8</f>
        <v/>
      </c>
      <c r="H101" s="130">
        <f>IFERROR(D101*E101,0)</f>
        <v/>
      </c>
      <c r="I101" s="130" t="n"/>
      <c r="J101" s="130">
        <f>IFERROR(D101*F101*E101,0)</f>
        <v/>
      </c>
      <c r="K101" s="104" t="n"/>
      <c r="L101" s="104" t="n"/>
      <c r="M101" s="104" t="n"/>
      <c r="N101" s="104" t="n"/>
      <c r="O101" s="104" t="n"/>
      <c r="P101" s="104" t="n"/>
      <c r="Q101" s="104" t="n"/>
      <c r="R101" s="130">
        <f>IF(C101="Owned",0,IF(B101&lt;&gt;"",2500,0))</f>
        <v/>
      </c>
      <c r="S101" s="130">
        <f>SUM(K101:R101)</f>
        <v/>
      </c>
      <c r="T101" s="130">
        <f>I101-S101</f>
        <v/>
      </c>
      <c r="U101" s="105">
        <f>IFERROR(T101/I101,0)</f>
        <v/>
      </c>
    </row>
    <row r="102" hidden="1" ht="14.25" customHeight="1" s="83">
      <c r="A102" s="125" t="n"/>
      <c r="B102" s="103" t="n"/>
      <c r="C102" s="170">
        <f>IFERROR(_xlfn.XLOOKUP(B102,DormRegistry[Dorm Name],DormRegistry[Ownership Type]),"")</f>
        <v/>
      </c>
      <c r="D102" s="170">
        <f>IFERROR(_xlfn.XLOOKUP(B102,DormRegistry[Dorm Name],DormRegistry[Bed Capacity]),0)</f>
        <v/>
      </c>
      <c r="E102" s="130">
        <f>IF(A102="","",$B$6*(1+$B$8)^(YEAR(A102)-YEAR(StartDate)))</f>
        <v/>
      </c>
      <c r="F102" s="105">
        <f>$B$7</f>
        <v/>
      </c>
      <c r="G102" s="105">
        <f>$B$8</f>
        <v/>
      </c>
      <c r="H102" s="130">
        <f>IFERROR(D102*E102,0)</f>
        <v/>
      </c>
      <c r="I102" s="130" t="n"/>
      <c r="J102" s="130">
        <f>IFERROR(D102*F102*E102,0)</f>
        <v/>
      </c>
      <c r="K102" s="104" t="n"/>
      <c r="L102" s="104" t="n"/>
      <c r="M102" s="104" t="n"/>
      <c r="N102" s="104" t="n"/>
      <c r="O102" s="104" t="n"/>
      <c r="P102" s="104" t="n"/>
      <c r="Q102" s="104" t="n"/>
      <c r="R102" s="130">
        <f>IF(C102="Owned",0,IF(B102&lt;&gt;"",2500,0))</f>
        <v/>
      </c>
      <c r="S102" s="130">
        <f>SUM(K102:R102)</f>
        <v/>
      </c>
      <c r="T102" s="130">
        <f>I102-S102</f>
        <v/>
      </c>
      <c r="U102" s="105">
        <f>IFERROR(T102/I102,0)</f>
        <v/>
      </c>
    </row>
    <row r="103" hidden="1" ht="14.25" customHeight="1" s="83">
      <c r="A103" s="125" t="n"/>
      <c r="B103" s="103" t="n"/>
      <c r="C103" s="170">
        <f>IFERROR(_xlfn.XLOOKUP(B103,DormRegistry[Dorm Name],DormRegistry[Ownership Type]),"")</f>
        <v/>
      </c>
      <c r="D103" s="170">
        <f>IFERROR(_xlfn.XLOOKUP(B103,DormRegistry[Dorm Name],DormRegistry[Bed Capacity]),0)</f>
        <v/>
      </c>
      <c r="E103" s="130">
        <f>IF(A103="","",$B$6*(1+$B$8)^(YEAR(A103)-YEAR(StartDate)))</f>
        <v/>
      </c>
      <c r="F103" s="105">
        <f>$B$7</f>
        <v/>
      </c>
      <c r="G103" s="105">
        <f>$B$8</f>
        <v/>
      </c>
      <c r="H103" s="130">
        <f>IFERROR(D103*E103,0)</f>
        <v/>
      </c>
      <c r="I103" s="130" t="n"/>
      <c r="J103" s="130">
        <f>IFERROR(D103*F103*E103,0)</f>
        <v/>
      </c>
      <c r="K103" s="104" t="n"/>
      <c r="L103" s="104" t="n"/>
      <c r="M103" s="104" t="n"/>
      <c r="N103" s="104" t="n"/>
      <c r="O103" s="104" t="n"/>
      <c r="P103" s="104" t="n"/>
      <c r="Q103" s="104" t="n"/>
      <c r="R103" s="130">
        <f>IF(C103="Owned",0,IF(B103&lt;&gt;"",2500,0))</f>
        <v/>
      </c>
      <c r="S103" s="130">
        <f>SUM(K103:R103)</f>
        <v/>
      </c>
      <c r="T103" s="130">
        <f>I103-S103</f>
        <v/>
      </c>
      <c r="U103" s="105">
        <f>IFERROR(T103/I103,0)</f>
        <v/>
      </c>
    </row>
    <row r="104" hidden="1" ht="14.25" customHeight="1" s="83">
      <c r="A104" s="125" t="n"/>
      <c r="B104" s="103" t="n"/>
      <c r="C104" s="170">
        <f>IFERROR(_xlfn.XLOOKUP(B104,DormRegistry[Dorm Name],DormRegistry[Ownership Type]),"")</f>
        <v/>
      </c>
      <c r="D104" s="170">
        <f>IFERROR(_xlfn.XLOOKUP(B104,DormRegistry[Dorm Name],DormRegistry[Bed Capacity]),0)</f>
        <v/>
      </c>
      <c r="E104" s="130">
        <f>IF(A104="","",$B$6*(1+$B$8)^(YEAR(A104)-YEAR(StartDate)))</f>
        <v/>
      </c>
      <c r="F104" s="105">
        <f>$B$7</f>
        <v/>
      </c>
      <c r="G104" s="105">
        <f>$B$8</f>
        <v/>
      </c>
      <c r="H104" s="130">
        <f>IFERROR(D104*E104,0)</f>
        <v/>
      </c>
      <c r="I104" s="130" t="n"/>
      <c r="J104" s="130">
        <f>IFERROR(D104*F104*E104,0)</f>
        <v/>
      </c>
      <c r="K104" s="104" t="n"/>
      <c r="L104" s="104" t="n"/>
      <c r="M104" s="104" t="n"/>
      <c r="N104" s="104" t="n"/>
      <c r="O104" s="104" t="n"/>
      <c r="P104" s="104" t="n"/>
      <c r="Q104" s="104" t="n"/>
      <c r="R104" s="130">
        <f>IF(C104="Owned",0,IF(B104&lt;&gt;"",2500,0))</f>
        <v/>
      </c>
      <c r="S104" s="130">
        <f>SUM(K104:R104)</f>
        <v/>
      </c>
      <c r="T104" s="130">
        <f>I104-S104</f>
        <v/>
      </c>
      <c r="U104" s="105">
        <f>IFERROR(T104/I104,0)</f>
        <v/>
      </c>
    </row>
    <row r="105" hidden="1" ht="14.25" customHeight="1" s="83">
      <c r="A105" s="125" t="n"/>
      <c r="B105" s="103" t="n"/>
      <c r="C105" s="170">
        <f>IFERROR(_xlfn.XLOOKUP(B105,DormRegistry[Dorm Name],DormRegistry[Ownership Type]),"")</f>
        <v/>
      </c>
      <c r="D105" s="170">
        <f>IFERROR(_xlfn.XLOOKUP(B105,DormRegistry[Dorm Name],DormRegistry[Bed Capacity]),0)</f>
        <v/>
      </c>
      <c r="E105" s="130">
        <f>IF(A105="","",$B$6*(1+$B$8)^(YEAR(A105)-YEAR(StartDate)))</f>
        <v/>
      </c>
      <c r="F105" s="105">
        <f>$B$7</f>
        <v/>
      </c>
      <c r="G105" s="105">
        <f>$B$8</f>
        <v/>
      </c>
      <c r="H105" s="130">
        <f>IFERROR(D105*E105,0)</f>
        <v/>
      </c>
      <c r="I105" s="130" t="n"/>
      <c r="J105" s="130">
        <f>IFERROR(D105*F105*E105,0)</f>
        <v/>
      </c>
      <c r="K105" s="104" t="n"/>
      <c r="L105" s="104" t="n"/>
      <c r="M105" s="104" t="n"/>
      <c r="N105" s="104" t="n"/>
      <c r="O105" s="104" t="n"/>
      <c r="P105" s="104" t="n"/>
      <c r="Q105" s="104" t="n"/>
      <c r="R105" s="130">
        <f>IF(C105="Owned",0,IF(B105&lt;&gt;"",2500,0))</f>
        <v/>
      </c>
      <c r="S105" s="130">
        <f>SUM(K105:R105)</f>
        <v/>
      </c>
      <c r="T105" s="130">
        <f>I105-S105</f>
        <v/>
      </c>
      <c r="U105" s="105">
        <f>IFERROR(T105/I105,0)</f>
        <v/>
      </c>
    </row>
    <row r="106" hidden="1" ht="14.25" customHeight="1" s="83">
      <c r="A106" s="125" t="n"/>
      <c r="B106" s="103" t="n"/>
      <c r="C106" s="170">
        <f>IFERROR(_xlfn.XLOOKUP(B106,DormRegistry[Dorm Name],DormRegistry[Ownership Type]),"")</f>
        <v/>
      </c>
      <c r="D106" s="170">
        <f>IFERROR(_xlfn.XLOOKUP(B106,DormRegistry[Dorm Name],DormRegistry[Bed Capacity]),0)</f>
        <v/>
      </c>
      <c r="E106" s="130">
        <f>IF(A106="","",$B$6*(1+$B$8)^(YEAR(A106)-YEAR(StartDate)))</f>
        <v/>
      </c>
      <c r="F106" s="105">
        <f>$B$7</f>
        <v/>
      </c>
      <c r="G106" s="105">
        <f>$B$8</f>
        <v/>
      </c>
      <c r="H106" s="130">
        <f>IFERROR(D106*E106,0)</f>
        <v/>
      </c>
      <c r="I106" s="130" t="n"/>
      <c r="J106" s="130">
        <f>IFERROR(D106*F106*E106,0)</f>
        <v/>
      </c>
      <c r="K106" s="104" t="n"/>
      <c r="L106" s="104" t="n"/>
      <c r="M106" s="104" t="n"/>
      <c r="N106" s="104" t="n"/>
      <c r="O106" s="104" t="n"/>
      <c r="P106" s="104" t="n"/>
      <c r="Q106" s="104" t="n"/>
      <c r="R106" s="130">
        <f>IF(C106="Owned",0,IF(B106&lt;&gt;"",2500,0))</f>
        <v/>
      </c>
      <c r="S106" s="130">
        <f>SUM(K106:R106)</f>
        <v/>
      </c>
      <c r="T106" s="130">
        <f>I106-S106</f>
        <v/>
      </c>
      <c r="U106" s="105">
        <f>IFERROR(T106/I106,0)</f>
        <v/>
      </c>
    </row>
    <row r="107" hidden="1" ht="14.25" customHeight="1" s="83">
      <c r="A107" s="125" t="n"/>
      <c r="B107" s="103" t="n"/>
      <c r="C107" s="170">
        <f>IFERROR(_xlfn.XLOOKUP(B107,DormRegistry[Dorm Name],DormRegistry[Ownership Type]),"")</f>
        <v/>
      </c>
      <c r="D107" s="170">
        <f>IFERROR(_xlfn.XLOOKUP(B107,DormRegistry[Dorm Name],DormRegistry[Bed Capacity]),0)</f>
        <v/>
      </c>
      <c r="E107" s="130">
        <f>IF(A107="","",$B$6*(1+$B$8)^(YEAR(A107)-YEAR(StartDate)))</f>
        <v/>
      </c>
      <c r="F107" s="105">
        <f>$B$7</f>
        <v/>
      </c>
      <c r="G107" s="105">
        <f>$B$8</f>
        <v/>
      </c>
      <c r="H107" s="130">
        <f>IFERROR(D107*E107,0)</f>
        <v/>
      </c>
      <c r="I107" s="130" t="n"/>
      <c r="J107" s="130">
        <f>IFERROR(D107*F107*E107,0)</f>
        <v/>
      </c>
      <c r="K107" s="104" t="n"/>
      <c r="L107" s="104" t="n"/>
      <c r="M107" s="104" t="n"/>
      <c r="N107" s="104" t="n"/>
      <c r="O107" s="104" t="n"/>
      <c r="P107" s="104" t="n"/>
      <c r="Q107" s="104" t="n"/>
      <c r="R107" s="130">
        <f>IF(C107="Owned",0,IF(B107&lt;&gt;"",2500,0))</f>
        <v/>
      </c>
      <c r="S107" s="130">
        <f>SUM(K107:R107)</f>
        <v/>
      </c>
      <c r="T107" s="130">
        <f>I107-S107</f>
        <v/>
      </c>
      <c r="U107" s="105">
        <f>IFERROR(T107/I107,0)</f>
        <v/>
      </c>
    </row>
    <row r="108" hidden="1" ht="14.25" customHeight="1" s="83">
      <c r="A108" s="125" t="n"/>
      <c r="B108" s="103" t="n"/>
      <c r="C108" s="170">
        <f>IFERROR(_xlfn.XLOOKUP(B108,DormRegistry[Dorm Name],DormRegistry[Ownership Type]),"")</f>
        <v/>
      </c>
      <c r="D108" s="170">
        <f>IFERROR(_xlfn.XLOOKUP(B108,DormRegistry[Dorm Name],DormRegistry[Bed Capacity]),0)</f>
        <v/>
      </c>
      <c r="E108" s="130">
        <f>IF(A108="","",$B$6*(1+$B$8)^(YEAR(A108)-YEAR(StartDate)))</f>
        <v/>
      </c>
      <c r="F108" s="105">
        <f>$B$7</f>
        <v/>
      </c>
      <c r="G108" s="105">
        <f>$B$8</f>
        <v/>
      </c>
      <c r="H108" s="130">
        <f>IFERROR(D108*E108,0)</f>
        <v/>
      </c>
      <c r="I108" s="130" t="n"/>
      <c r="J108" s="130">
        <f>IFERROR(D108*F108*E108,0)</f>
        <v/>
      </c>
      <c r="K108" s="104" t="n"/>
      <c r="L108" s="104" t="n"/>
      <c r="M108" s="104" t="n"/>
      <c r="N108" s="104" t="n"/>
      <c r="O108" s="104" t="n"/>
      <c r="P108" s="104" t="n"/>
      <c r="Q108" s="104" t="n"/>
      <c r="R108" s="130">
        <f>IF(C108="Owned",0,IF(B108&lt;&gt;"",2500,0))</f>
        <v/>
      </c>
      <c r="S108" s="130">
        <f>SUM(K108:R108)</f>
        <v/>
      </c>
      <c r="T108" s="130">
        <f>I108-S108</f>
        <v/>
      </c>
      <c r="U108" s="105">
        <f>IFERROR(T108/I108,0)</f>
        <v/>
      </c>
    </row>
    <row r="109" hidden="1" ht="14.25" customHeight="1" s="83">
      <c r="A109" s="125" t="n"/>
      <c r="B109" s="103" t="n"/>
      <c r="C109" s="170">
        <f>IFERROR(_xlfn.XLOOKUP(B109,DormRegistry[Dorm Name],DormRegistry[Ownership Type]),"")</f>
        <v/>
      </c>
      <c r="D109" s="170">
        <f>IFERROR(_xlfn.XLOOKUP(B109,DormRegistry[Dorm Name],DormRegistry[Bed Capacity]),0)</f>
        <v/>
      </c>
      <c r="E109" s="130">
        <f>IF(A109="","",$B$6*(1+$B$8)^(YEAR(A109)-YEAR(StartDate)))</f>
        <v/>
      </c>
      <c r="F109" s="105">
        <f>$B$7</f>
        <v/>
      </c>
      <c r="G109" s="105">
        <f>$B$8</f>
        <v/>
      </c>
      <c r="H109" s="130">
        <f>IFERROR(D109*E109,0)</f>
        <v/>
      </c>
      <c r="I109" s="130" t="n"/>
      <c r="J109" s="130">
        <f>IFERROR(D109*F109*E109,0)</f>
        <v/>
      </c>
      <c r="K109" s="104" t="n"/>
      <c r="L109" s="104" t="n"/>
      <c r="M109" s="104" t="n"/>
      <c r="N109" s="104" t="n"/>
      <c r="O109" s="104" t="n"/>
      <c r="P109" s="104" t="n"/>
      <c r="Q109" s="104" t="n"/>
      <c r="R109" s="130">
        <f>IF(C109="Owned",0,IF(B109&lt;&gt;"",2500,0))</f>
        <v/>
      </c>
      <c r="S109" s="130">
        <f>SUM(K109:R109)</f>
        <v/>
      </c>
      <c r="T109" s="130">
        <f>I109-S109</f>
        <v/>
      </c>
      <c r="U109" s="105">
        <f>IFERROR(T109/I109,0)</f>
        <v/>
      </c>
    </row>
    <row r="110" hidden="1" ht="14.25" customHeight="1" s="83">
      <c r="A110" s="125" t="n"/>
      <c r="B110" s="103" t="n"/>
      <c r="C110" s="170">
        <f>IFERROR(_xlfn.XLOOKUP(B110,DormRegistry[Dorm Name],DormRegistry[Ownership Type]),"")</f>
        <v/>
      </c>
      <c r="D110" s="170">
        <f>IFERROR(_xlfn.XLOOKUP(B110,DormRegistry[Dorm Name],DormRegistry[Bed Capacity]),0)</f>
        <v/>
      </c>
      <c r="E110" s="130">
        <f>IF(A110="","",$B$6*(1+$B$8)^(YEAR(A110)-YEAR(StartDate)))</f>
        <v/>
      </c>
      <c r="F110" s="105">
        <f>$B$7</f>
        <v/>
      </c>
      <c r="G110" s="105">
        <f>$B$8</f>
        <v/>
      </c>
      <c r="H110" s="130">
        <f>IFERROR(D110*E110,0)</f>
        <v/>
      </c>
      <c r="I110" s="130" t="n"/>
      <c r="J110" s="130">
        <f>IFERROR(D110*F110*E110,0)</f>
        <v/>
      </c>
      <c r="K110" s="104" t="n"/>
      <c r="L110" s="104" t="n"/>
      <c r="M110" s="104" t="n"/>
      <c r="N110" s="104" t="n"/>
      <c r="O110" s="104" t="n"/>
      <c r="P110" s="104" t="n"/>
      <c r="Q110" s="104" t="n"/>
      <c r="R110" s="130">
        <f>IF(C110="Owned",0,IF(B110&lt;&gt;"",2500,0))</f>
        <v/>
      </c>
      <c r="S110" s="130">
        <f>SUM(K110:R110)</f>
        <v/>
      </c>
      <c r="T110" s="130">
        <f>I110-S110</f>
        <v/>
      </c>
      <c r="U110" s="105">
        <f>IFERROR(T110/I110,0)</f>
        <v/>
      </c>
    </row>
    <row r="111" hidden="1" ht="14.25" customHeight="1" s="83">
      <c r="A111" s="125" t="n"/>
      <c r="B111" s="103" t="n"/>
      <c r="C111" s="170">
        <f>IFERROR(_xlfn.XLOOKUP(B111,DormRegistry[Dorm Name],DormRegistry[Ownership Type]),"")</f>
        <v/>
      </c>
      <c r="D111" s="170">
        <f>IFERROR(_xlfn.XLOOKUP(B111,DormRegistry[Dorm Name],DormRegistry[Bed Capacity]),0)</f>
        <v/>
      </c>
      <c r="E111" s="130">
        <f>IF(A111="","",$B$6*(1+$B$8)^(YEAR(A111)-YEAR(StartDate)))</f>
        <v/>
      </c>
      <c r="F111" s="105">
        <f>$B$7</f>
        <v/>
      </c>
      <c r="G111" s="105">
        <f>$B$8</f>
        <v/>
      </c>
      <c r="H111" s="130">
        <f>IFERROR(D111*E111,0)</f>
        <v/>
      </c>
      <c r="I111" s="130" t="n"/>
      <c r="J111" s="130">
        <f>IFERROR(D111*F111*E111,0)</f>
        <v/>
      </c>
      <c r="K111" s="104" t="n"/>
      <c r="L111" s="104" t="n"/>
      <c r="M111" s="104" t="n"/>
      <c r="N111" s="104" t="n"/>
      <c r="O111" s="104" t="n"/>
      <c r="P111" s="104" t="n"/>
      <c r="Q111" s="104" t="n"/>
      <c r="R111" s="130">
        <f>IF(C111="Owned",0,IF(B111&lt;&gt;"",2500,0))</f>
        <v/>
      </c>
      <c r="S111" s="130">
        <f>SUM(K111:R111)</f>
        <v/>
      </c>
      <c r="T111" s="130">
        <f>I111-S111</f>
        <v/>
      </c>
      <c r="U111" s="105">
        <f>IFERROR(T111/I111,0)</f>
        <v/>
      </c>
    </row>
    <row r="112" hidden="1" ht="14.25" customHeight="1" s="83">
      <c r="A112" s="125" t="n"/>
      <c r="B112" s="103" t="n"/>
      <c r="C112" s="170">
        <f>IFERROR(_xlfn.XLOOKUP(B112,DormRegistry[Dorm Name],DormRegistry[Ownership Type]),"")</f>
        <v/>
      </c>
      <c r="D112" s="170">
        <f>IFERROR(_xlfn.XLOOKUP(B112,DormRegistry[Dorm Name],DormRegistry[Bed Capacity]),0)</f>
        <v/>
      </c>
      <c r="E112" s="130">
        <f>IF(A112="","",$B$6*(1+$B$8)^(YEAR(A112)-YEAR(StartDate)))</f>
        <v/>
      </c>
      <c r="F112" s="105">
        <f>$B$7</f>
        <v/>
      </c>
      <c r="G112" s="105">
        <f>$B$8</f>
        <v/>
      </c>
      <c r="H112" s="130">
        <f>IFERROR(D112*E112,0)</f>
        <v/>
      </c>
      <c r="I112" s="130" t="n"/>
      <c r="J112" s="130">
        <f>IFERROR(D112*F112*E112,0)</f>
        <v/>
      </c>
      <c r="K112" s="104" t="n"/>
      <c r="L112" s="104" t="n"/>
      <c r="M112" s="104" t="n"/>
      <c r="N112" s="104" t="n"/>
      <c r="O112" s="104" t="n"/>
      <c r="P112" s="104" t="n"/>
      <c r="Q112" s="104" t="n"/>
      <c r="R112" s="130">
        <f>IF(C112="Owned",0,IF(B112&lt;&gt;"",2500,0))</f>
        <v/>
      </c>
      <c r="S112" s="130">
        <f>SUM(K112:R112)</f>
        <v/>
      </c>
      <c r="T112" s="130">
        <f>I112-S112</f>
        <v/>
      </c>
      <c r="U112" s="105">
        <f>IFERROR(T112/I112,0)</f>
        <v/>
      </c>
    </row>
    <row r="113" hidden="1" ht="14.25" customHeight="1" s="83">
      <c r="A113" s="125" t="n"/>
      <c r="B113" s="103" t="n"/>
      <c r="C113" s="170">
        <f>IFERROR(_xlfn.XLOOKUP(B113,DormRegistry[Dorm Name],DormRegistry[Ownership Type]),"")</f>
        <v/>
      </c>
      <c r="D113" s="170">
        <f>IFERROR(_xlfn.XLOOKUP(B113,DormRegistry[Dorm Name],DormRegistry[Bed Capacity]),0)</f>
        <v/>
      </c>
      <c r="E113" s="130">
        <f>IF(A113="","",$B$6*(1+$B$8)^(YEAR(A113)-YEAR(StartDate)))</f>
        <v/>
      </c>
      <c r="F113" s="105">
        <f>$B$7</f>
        <v/>
      </c>
      <c r="G113" s="105">
        <f>$B$8</f>
        <v/>
      </c>
      <c r="H113" s="130">
        <f>IFERROR(D113*E113,0)</f>
        <v/>
      </c>
      <c r="I113" s="130" t="n"/>
      <c r="J113" s="130">
        <f>IFERROR(D113*F113*E113,0)</f>
        <v/>
      </c>
      <c r="K113" s="104" t="n"/>
      <c r="L113" s="104" t="n"/>
      <c r="M113" s="104" t="n"/>
      <c r="N113" s="104" t="n"/>
      <c r="O113" s="104" t="n"/>
      <c r="P113" s="104" t="n"/>
      <c r="Q113" s="104" t="n"/>
      <c r="R113" s="130">
        <f>IF(C113="Owned",0,IF(B113&lt;&gt;"",2500,0))</f>
        <v/>
      </c>
      <c r="S113" s="130">
        <f>SUM(K113:R113)</f>
        <v/>
      </c>
      <c r="T113" s="130">
        <f>I113-S113</f>
        <v/>
      </c>
      <c r="U113" s="105">
        <f>IFERROR(T113/I113,0)</f>
        <v/>
      </c>
    </row>
    <row r="114" hidden="1" ht="14.25" customHeight="1" s="83">
      <c r="A114" s="125" t="n"/>
      <c r="B114" s="103" t="n"/>
      <c r="C114" s="170">
        <f>IFERROR(_xlfn.XLOOKUP(B114,DormRegistry[Dorm Name],DormRegistry[Ownership Type]),"")</f>
        <v/>
      </c>
      <c r="D114" s="170">
        <f>IFERROR(_xlfn.XLOOKUP(B114,DormRegistry[Dorm Name],DormRegistry[Bed Capacity]),0)</f>
        <v/>
      </c>
      <c r="E114" s="130">
        <f>IF(A114="","",$B$6*(1+$B$8)^(YEAR(A114)-YEAR(StartDate)))</f>
        <v/>
      </c>
      <c r="F114" s="105">
        <f>$B$7</f>
        <v/>
      </c>
      <c r="G114" s="105">
        <f>$B$8</f>
        <v/>
      </c>
      <c r="H114" s="130">
        <f>IFERROR(D114*E114,0)</f>
        <v/>
      </c>
      <c r="I114" s="130" t="n"/>
      <c r="J114" s="130">
        <f>IFERROR(D114*F114*E114,0)</f>
        <v/>
      </c>
      <c r="K114" s="104" t="n"/>
      <c r="L114" s="104" t="n"/>
      <c r="M114" s="104" t="n"/>
      <c r="N114" s="104" t="n"/>
      <c r="O114" s="104" t="n"/>
      <c r="P114" s="104" t="n"/>
      <c r="Q114" s="104" t="n"/>
      <c r="R114" s="130">
        <f>IF(C114="Owned",0,IF(B114&lt;&gt;"",2500,0))</f>
        <v/>
      </c>
      <c r="S114" s="130">
        <f>SUM(K114:R114)</f>
        <v/>
      </c>
      <c r="T114" s="130">
        <f>I114-S114</f>
        <v/>
      </c>
      <c r="U114" s="105">
        <f>IFERROR(T114/I114,0)</f>
        <v/>
      </c>
    </row>
    <row r="115" hidden="1" ht="14.25" customHeight="1" s="83">
      <c r="A115" s="125" t="n"/>
      <c r="B115" s="103" t="n"/>
      <c r="C115" s="170">
        <f>IFERROR(_xlfn.XLOOKUP(B115,DormRegistry[Dorm Name],DormRegistry[Ownership Type]),"")</f>
        <v/>
      </c>
      <c r="D115" s="170">
        <f>IFERROR(_xlfn.XLOOKUP(B115,DormRegistry[Dorm Name],DormRegistry[Bed Capacity]),0)</f>
        <v/>
      </c>
      <c r="E115" s="130">
        <f>IF(A115="","",$B$6*(1+$B$8)^(YEAR(A115)-YEAR(StartDate)))</f>
        <v/>
      </c>
      <c r="F115" s="105">
        <f>$B$7</f>
        <v/>
      </c>
      <c r="G115" s="105">
        <f>$B$8</f>
        <v/>
      </c>
      <c r="H115" s="130">
        <f>IFERROR(D115*E115,0)</f>
        <v/>
      </c>
      <c r="I115" s="130" t="n"/>
      <c r="J115" s="130">
        <f>IFERROR(D115*F115*E115,0)</f>
        <v/>
      </c>
      <c r="K115" s="104" t="n"/>
      <c r="L115" s="104" t="n"/>
      <c r="M115" s="104" t="n"/>
      <c r="N115" s="104" t="n"/>
      <c r="O115" s="104" t="n"/>
      <c r="P115" s="104" t="n"/>
      <c r="Q115" s="104" t="n"/>
      <c r="R115" s="130">
        <f>IF(C115="Owned",0,IF(B115&lt;&gt;"",2500,0))</f>
        <v/>
      </c>
      <c r="S115" s="130">
        <f>SUM(K115:R115)</f>
        <v/>
      </c>
      <c r="T115" s="130">
        <f>I115-S115</f>
        <v/>
      </c>
      <c r="U115" s="105">
        <f>IFERROR(T115/I115,0)</f>
        <v/>
      </c>
    </row>
    <row r="116" hidden="1" ht="14.25" customHeight="1" s="83">
      <c r="A116" s="125" t="n"/>
      <c r="B116" s="103" t="n"/>
      <c r="C116" s="170">
        <f>IFERROR(_xlfn.XLOOKUP(B116,DormRegistry[Dorm Name],DormRegistry[Ownership Type]),"")</f>
        <v/>
      </c>
      <c r="D116" s="170">
        <f>IFERROR(_xlfn.XLOOKUP(B116,DormRegistry[Dorm Name],DormRegistry[Bed Capacity]),0)</f>
        <v/>
      </c>
      <c r="E116" s="130">
        <f>IF(A116="","",$B$6*(1+$B$8)^(YEAR(A116)-YEAR(StartDate)))</f>
        <v/>
      </c>
      <c r="F116" s="105">
        <f>$B$7</f>
        <v/>
      </c>
      <c r="G116" s="105">
        <f>$B$8</f>
        <v/>
      </c>
      <c r="H116" s="130">
        <f>IFERROR(D116*E116,0)</f>
        <v/>
      </c>
      <c r="I116" s="130" t="n"/>
      <c r="J116" s="130">
        <f>IFERROR(D116*F116*E116,0)</f>
        <v/>
      </c>
      <c r="K116" s="104" t="n"/>
      <c r="L116" s="104" t="n"/>
      <c r="M116" s="104" t="n"/>
      <c r="N116" s="104" t="n"/>
      <c r="O116" s="104" t="n"/>
      <c r="P116" s="104" t="n"/>
      <c r="Q116" s="104" t="n"/>
      <c r="R116" s="130">
        <f>IF(C116="Owned",0,IF(B116&lt;&gt;"",2500,0))</f>
        <v/>
      </c>
      <c r="S116" s="130">
        <f>SUM(K116:R116)</f>
        <v/>
      </c>
      <c r="T116" s="130">
        <f>I116-S116</f>
        <v/>
      </c>
      <c r="U116" s="105">
        <f>IFERROR(T116/I116,0)</f>
        <v/>
      </c>
    </row>
    <row r="117" hidden="1" ht="14.25" customHeight="1" s="83">
      <c r="A117" s="125" t="n"/>
      <c r="B117" s="103" t="n"/>
      <c r="C117" s="170">
        <f>IFERROR(_xlfn.XLOOKUP(B117,DormRegistry[Dorm Name],DormRegistry[Ownership Type]),"")</f>
        <v/>
      </c>
      <c r="D117" s="170">
        <f>IFERROR(_xlfn.XLOOKUP(B117,DormRegistry[Dorm Name],DormRegistry[Bed Capacity]),0)</f>
        <v/>
      </c>
      <c r="E117" s="130">
        <f>IF(A117="","",$B$6*(1+$B$8)^(YEAR(A117)-YEAR(StartDate)))</f>
        <v/>
      </c>
      <c r="F117" s="105">
        <f>$B$7</f>
        <v/>
      </c>
      <c r="G117" s="105">
        <f>$B$8</f>
        <v/>
      </c>
      <c r="H117" s="130">
        <f>IFERROR(D117*E117,0)</f>
        <v/>
      </c>
      <c r="I117" s="130" t="n"/>
      <c r="J117" s="130">
        <f>IFERROR(D117*F117*E117,0)</f>
        <v/>
      </c>
      <c r="K117" s="104" t="n"/>
      <c r="L117" s="104" t="n"/>
      <c r="M117" s="104" t="n"/>
      <c r="N117" s="104" t="n"/>
      <c r="O117" s="104" t="n"/>
      <c r="P117" s="104" t="n"/>
      <c r="Q117" s="104" t="n"/>
      <c r="R117" s="130">
        <f>IF(C117="Owned",0,IF(B117&lt;&gt;"",2500,0))</f>
        <v/>
      </c>
      <c r="S117" s="130">
        <f>SUM(K117:R117)</f>
        <v/>
      </c>
      <c r="T117" s="130">
        <f>I117-S117</f>
        <v/>
      </c>
      <c r="U117" s="105">
        <f>IFERROR(T117/I117,0)</f>
        <v/>
      </c>
    </row>
    <row r="118" hidden="1" ht="14.25" customHeight="1" s="83">
      <c r="A118" s="125" t="n"/>
      <c r="B118" s="103" t="n"/>
      <c r="C118" s="170">
        <f>IFERROR(_xlfn.XLOOKUP(B118,DormRegistry[Dorm Name],DormRegistry[Ownership Type]),"")</f>
        <v/>
      </c>
      <c r="D118" s="170">
        <f>IFERROR(_xlfn.XLOOKUP(B118,DormRegistry[Dorm Name],DormRegistry[Bed Capacity]),0)</f>
        <v/>
      </c>
      <c r="E118" s="130">
        <f>IF(A118="","",$B$6*(1+$B$8)^(YEAR(A118)-YEAR(StartDate)))</f>
        <v/>
      </c>
      <c r="F118" s="105">
        <f>$B$7</f>
        <v/>
      </c>
      <c r="G118" s="105">
        <f>$B$8</f>
        <v/>
      </c>
      <c r="H118" s="130">
        <f>IFERROR(D118*E118,0)</f>
        <v/>
      </c>
      <c r="I118" s="130" t="n"/>
      <c r="J118" s="130">
        <f>IFERROR(D118*F118*E118,0)</f>
        <v/>
      </c>
      <c r="K118" s="104" t="n"/>
      <c r="L118" s="104" t="n"/>
      <c r="M118" s="104" t="n"/>
      <c r="N118" s="104" t="n"/>
      <c r="O118" s="104" t="n"/>
      <c r="P118" s="104" t="n"/>
      <c r="Q118" s="104" t="n"/>
      <c r="R118" s="130">
        <f>IF(C118="Owned",0,IF(B118&lt;&gt;"",2500,0))</f>
        <v/>
      </c>
      <c r="S118" s="130">
        <f>SUM(K118:R118)</f>
        <v/>
      </c>
      <c r="T118" s="130">
        <f>I118-S118</f>
        <v/>
      </c>
      <c r="U118" s="105">
        <f>IFERROR(T118/I118,0)</f>
        <v/>
      </c>
    </row>
    <row r="119" hidden="1" ht="14.25" customHeight="1" s="83">
      <c r="A119" s="125" t="n"/>
      <c r="B119" s="103" t="n"/>
      <c r="C119" s="170">
        <f>IFERROR(_xlfn.XLOOKUP(B119,DormRegistry[Dorm Name],DormRegistry[Ownership Type]),"")</f>
        <v/>
      </c>
      <c r="D119" s="170">
        <f>IFERROR(_xlfn.XLOOKUP(B119,DormRegistry[Dorm Name],DormRegistry[Bed Capacity]),0)</f>
        <v/>
      </c>
      <c r="E119" s="130">
        <f>IF(A119="","",$B$6*(1+$B$8)^(YEAR(A119)-YEAR(StartDate)))</f>
        <v/>
      </c>
      <c r="F119" s="105">
        <f>$B$7</f>
        <v/>
      </c>
      <c r="G119" s="105">
        <f>$B$8</f>
        <v/>
      </c>
      <c r="H119" s="130">
        <f>IFERROR(D119*E119,0)</f>
        <v/>
      </c>
      <c r="I119" s="130" t="n"/>
      <c r="J119" s="130">
        <f>IFERROR(D119*F119*E119,0)</f>
        <v/>
      </c>
      <c r="K119" s="104" t="n"/>
      <c r="L119" s="104" t="n"/>
      <c r="M119" s="104" t="n"/>
      <c r="N119" s="104" t="n"/>
      <c r="O119" s="104" t="n"/>
      <c r="P119" s="104" t="n"/>
      <c r="Q119" s="104" t="n"/>
      <c r="R119" s="130">
        <f>IF(C119="Owned",0,IF(B119&lt;&gt;"",2500,0))</f>
        <v/>
      </c>
      <c r="S119" s="130">
        <f>SUM(K119:R119)</f>
        <v/>
      </c>
      <c r="T119" s="130">
        <f>I119-S119</f>
        <v/>
      </c>
      <c r="U119" s="105">
        <f>IFERROR(T119/I119,0)</f>
        <v/>
      </c>
    </row>
    <row r="120" hidden="1" ht="14.25" customHeight="1" s="83">
      <c r="A120" s="125" t="n"/>
      <c r="B120" s="103" t="n"/>
      <c r="C120" s="170">
        <f>IFERROR(_xlfn.XLOOKUP(B120,DormRegistry[Dorm Name],DormRegistry[Ownership Type]),"")</f>
        <v/>
      </c>
      <c r="D120" s="170">
        <f>IFERROR(_xlfn.XLOOKUP(B120,DormRegistry[Dorm Name],DormRegistry[Bed Capacity]),0)</f>
        <v/>
      </c>
      <c r="E120" s="130">
        <f>IF(A120="","",$B$6*(1+$B$8)^(YEAR(A120)-YEAR(StartDate)))</f>
        <v/>
      </c>
      <c r="F120" s="105">
        <f>$B$7</f>
        <v/>
      </c>
      <c r="G120" s="105">
        <f>$B$8</f>
        <v/>
      </c>
      <c r="H120" s="130">
        <f>IFERROR(D120*E120,0)</f>
        <v/>
      </c>
      <c r="I120" s="130" t="n"/>
      <c r="J120" s="130">
        <f>IFERROR(D120*F120*E120,0)</f>
        <v/>
      </c>
      <c r="K120" s="104" t="n"/>
      <c r="L120" s="104" t="n"/>
      <c r="M120" s="104" t="n"/>
      <c r="N120" s="104" t="n"/>
      <c r="O120" s="104" t="n"/>
      <c r="P120" s="104" t="n"/>
      <c r="Q120" s="104" t="n"/>
      <c r="R120" s="130">
        <f>IF(C120="Owned",0,IF(B120&lt;&gt;"",2500,0))</f>
        <v/>
      </c>
      <c r="S120" s="130">
        <f>SUM(K120:R120)</f>
        <v/>
      </c>
      <c r="T120" s="130">
        <f>I120-S120</f>
        <v/>
      </c>
      <c r="U120" s="105">
        <f>IFERROR(T120/I120,0)</f>
        <v/>
      </c>
    </row>
    <row r="121" hidden="1" ht="14.25" customHeight="1" s="83">
      <c r="A121" s="125" t="n"/>
      <c r="B121" s="103" t="n"/>
      <c r="C121" s="170">
        <f>IFERROR(_xlfn.XLOOKUP(B121,DormRegistry[Dorm Name],DormRegistry[Ownership Type]),"")</f>
        <v/>
      </c>
      <c r="D121" s="170">
        <f>IFERROR(_xlfn.XLOOKUP(B121,DormRegistry[Dorm Name],DormRegistry[Bed Capacity]),0)</f>
        <v/>
      </c>
      <c r="E121" s="130">
        <f>IF(A121="","",$B$6*(1+$B$8)^(YEAR(A121)-YEAR(StartDate)))</f>
        <v/>
      </c>
      <c r="F121" s="105">
        <f>$B$7</f>
        <v/>
      </c>
      <c r="G121" s="105">
        <f>$B$8</f>
        <v/>
      </c>
      <c r="H121" s="130">
        <f>IFERROR(D121*E121,0)</f>
        <v/>
      </c>
      <c r="I121" s="130" t="n"/>
      <c r="J121" s="130">
        <f>IFERROR(D121*F121*E121,0)</f>
        <v/>
      </c>
      <c r="K121" s="104" t="n"/>
      <c r="L121" s="104" t="n"/>
      <c r="M121" s="104" t="n"/>
      <c r="N121" s="104" t="n"/>
      <c r="O121" s="104" t="n"/>
      <c r="P121" s="104" t="n"/>
      <c r="Q121" s="104" t="n"/>
      <c r="R121" s="130">
        <f>IF(C121="Owned",0,IF(B121&lt;&gt;"",2500,0))</f>
        <v/>
      </c>
      <c r="S121" s="130">
        <f>SUM(K121:R121)</f>
        <v/>
      </c>
      <c r="T121" s="130">
        <f>I121-S121</f>
        <v/>
      </c>
      <c r="U121" s="105">
        <f>IFERROR(T121/I121,0)</f>
        <v/>
      </c>
    </row>
    <row r="122" hidden="1" ht="14.25" customHeight="1" s="83">
      <c r="A122" s="125" t="n"/>
      <c r="B122" s="103" t="n"/>
      <c r="C122" s="170">
        <f>IFERROR(_xlfn.XLOOKUP(B122,DormRegistry[Dorm Name],DormRegistry[Ownership Type]),"")</f>
        <v/>
      </c>
      <c r="D122" s="170">
        <f>IFERROR(_xlfn.XLOOKUP(B122,DormRegistry[Dorm Name],DormRegistry[Bed Capacity]),0)</f>
        <v/>
      </c>
      <c r="E122" s="130">
        <f>IF(A122="","",$B$6*(1+$B$8)^(YEAR(A122)-YEAR(StartDate)))</f>
        <v/>
      </c>
      <c r="F122" s="105">
        <f>$B$7</f>
        <v/>
      </c>
      <c r="G122" s="105">
        <f>$B$8</f>
        <v/>
      </c>
      <c r="H122" s="130">
        <f>IFERROR(D122*E122,0)</f>
        <v/>
      </c>
      <c r="I122" s="130" t="n"/>
      <c r="J122" s="130">
        <f>IFERROR(D122*F122*E122,0)</f>
        <v/>
      </c>
      <c r="K122" s="104" t="n"/>
      <c r="L122" s="104" t="n"/>
      <c r="M122" s="104" t="n"/>
      <c r="N122" s="104" t="n"/>
      <c r="O122" s="104" t="n"/>
      <c r="P122" s="104" t="n"/>
      <c r="Q122" s="104" t="n"/>
      <c r="R122" s="130">
        <f>IF(C122="Owned",0,IF(B122&lt;&gt;"",2500,0))</f>
        <v/>
      </c>
      <c r="S122" s="130">
        <f>SUM(K122:R122)</f>
        <v/>
      </c>
      <c r="T122" s="130">
        <f>I122-S122</f>
        <v/>
      </c>
      <c r="U122" s="105">
        <f>IFERROR(T122/I122,0)</f>
        <v/>
      </c>
    </row>
    <row r="123" hidden="1" ht="14.25" customHeight="1" s="83">
      <c r="A123" s="125" t="n"/>
      <c r="B123" s="103" t="n"/>
      <c r="C123" s="170">
        <f>IFERROR(_xlfn.XLOOKUP(B123,DormRegistry[Dorm Name],DormRegistry[Ownership Type]),"")</f>
        <v/>
      </c>
      <c r="D123" s="170">
        <f>IFERROR(_xlfn.XLOOKUP(B123,DormRegistry[Dorm Name],DormRegistry[Bed Capacity]),0)</f>
        <v/>
      </c>
      <c r="E123" s="130">
        <f>IF(A123="","",$B$6*(1+$B$8)^(YEAR(A123)-YEAR(StartDate)))</f>
        <v/>
      </c>
      <c r="F123" s="105">
        <f>$B$7</f>
        <v/>
      </c>
      <c r="G123" s="105">
        <f>$B$8</f>
        <v/>
      </c>
      <c r="H123" s="130">
        <f>IFERROR(D123*E123,0)</f>
        <v/>
      </c>
      <c r="I123" s="130" t="n"/>
      <c r="J123" s="130">
        <f>IFERROR(D123*F123*E123,0)</f>
        <v/>
      </c>
      <c r="K123" s="104" t="n"/>
      <c r="L123" s="104" t="n"/>
      <c r="M123" s="104" t="n"/>
      <c r="N123" s="104" t="n"/>
      <c r="O123" s="104" t="n"/>
      <c r="P123" s="104" t="n"/>
      <c r="Q123" s="104" t="n"/>
      <c r="R123" s="130">
        <f>IF(C123="Owned",0,IF(B123&lt;&gt;"",2500,0))</f>
        <v/>
      </c>
      <c r="S123" s="130">
        <f>SUM(K123:R123)</f>
        <v/>
      </c>
      <c r="T123" s="130">
        <f>I123-S123</f>
        <v/>
      </c>
      <c r="U123" s="105">
        <f>IFERROR(T123/I123,0)</f>
        <v/>
      </c>
    </row>
    <row r="124" hidden="1" ht="14.25" customHeight="1" s="83">
      <c r="A124" s="125" t="n"/>
      <c r="B124" s="103" t="n"/>
      <c r="C124" s="170">
        <f>IFERROR(_xlfn.XLOOKUP(B124,DormRegistry[Dorm Name],DormRegistry[Ownership Type]),"")</f>
        <v/>
      </c>
      <c r="D124" s="170">
        <f>IFERROR(_xlfn.XLOOKUP(B124,DormRegistry[Dorm Name],DormRegistry[Bed Capacity]),0)</f>
        <v/>
      </c>
      <c r="E124" s="130">
        <f>IF(A124="","",$B$6*(1+$B$8)^(YEAR(A124)-YEAR(StartDate)))</f>
        <v/>
      </c>
      <c r="F124" s="105">
        <f>$B$7</f>
        <v/>
      </c>
      <c r="G124" s="105">
        <f>$B$8</f>
        <v/>
      </c>
      <c r="H124" s="130">
        <f>IFERROR(D124*E124,0)</f>
        <v/>
      </c>
      <c r="I124" s="130" t="n"/>
      <c r="J124" s="130">
        <f>IFERROR(D124*F124*E124,0)</f>
        <v/>
      </c>
      <c r="K124" s="104" t="n"/>
      <c r="L124" s="104" t="n"/>
      <c r="M124" s="104" t="n"/>
      <c r="N124" s="104" t="n"/>
      <c r="O124" s="104" t="n"/>
      <c r="P124" s="104" t="n"/>
      <c r="Q124" s="104" t="n"/>
      <c r="R124" s="130">
        <f>IF(C124="Owned",0,IF(B124&lt;&gt;"",2500,0))</f>
        <v/>
      </c>
      <c r="S124" s="130">
        <f>SUM(K124:R124)</f>
        <v/>
      </c>
      <c r="T124" s="130">
        <f>I124-S124</f>
        <v/>
      </c>
      <c r="U124" s="105">
        <f>IFERROR(T124/I124,0)</f>
        <v/>
      </c>
    </row>
    <row r="125" hidden="1" ht="14.25" customHeight="1" s="83">
      <c r="A125" s="125" t="n"/>
      <c r="B125" s="103" t="n"/>
      <c r="C125" s="170">
        <f>IFERROR(_xlfn.XLOOKUP(B125,DormRegistry[Dorm Name],DormRegistry[Ownership Type]),"")</f>
        <v/>
      </c>
      <c r="D125" s="170">
        <f>IFERROR(_xlfn.XLOOKUP(B125,DormRegistry[Dorm Name],DormRegistry[Bed Capacity]),0)</f>
        <v/>
      </c>
      <c r="E125" s="130">
        <f>IF(A125="","",$B$6*(1+$B$8)^(YEAR(A125)-YEAR(StartDate)))</f>
        <v/>
      </c>
      <c r="F125" s="105">
        <f>$B$7</f>
        <v/>
      </c>
      <c r="G125" s="105">
        <f>$B$8</f>
        <v/>
      </c>
      <c r="H125" s="130">
        <f>IFERROR(D125*E125,0)</f>
        <v/>
      </c>
      <c r="I125" s="130" t="n"/>
      <c r="J125" s="130">
        <f>IFERROR(D125*F125*E125,0)</f>
        <v/>
      </c>
      <c r="K125" s="104" t="n"/>
      <c r="L125" s="104" t="n"/>
      <c r="M125" s="104" t="n"/>
      <c r="N125" s="104" t="n"/>
      <c r="O125" s="104" t="n"/>
      <c r="P125" s="104" t="n"/>
      <c r="Q125" s="104" t="n"/>
      <c r="R125" s="130">
        <f>IF(C125="Owned",0,IF(B125&lt;&gt;"",2500,0))</f>
        <v/>
      </c>
      <c r="S125" s="130">
        <f>SUM(K125:R125)</f>
        <v/>
      </c>
      <c r="T125" s="130">
        <f>I125-S125</f>
        <v/>
      </c>
      <c r="U125" s="105">
        <f>IFERROR(T125/I125,0)</f>
        <v/>
      </c>
    </row>
    <row r="126" hidden="1" ht="14.25" customHeight="1" s="83">
      <c r="A126" s="125" t="n"/>
      <c r="B126" s="103" t="n"/>
      <c r="C126" s="170">
        <f>IFERROR(_xlfn.XLOOKUP(B126,DormRegistry[Dorm Name],DormRegistry[Ownership Type]),"")</f>
        <v/>
      </c>
      <c r="D126" s="170">
        <f>IFERROR(_xlfn.XLOOKUP(B126,DormRegistry[Dorm Name],DormRegistry[Bed Capacity]),0)</f>
        <v/>
      </c>
      <c r="E126" s="130">
        <f>IF(A126="","",$B$6*(1+$B$8)^(YEAR(A126)-YEAR(StartDate)))</f>
        <v/>
      </c>
      <c r="F126" s="105">
        <f>$B$7</f>
        <v/>
      </c>
      <c r="G126" s="105">
        <f>$B$8</f>
        <v/>
      </c>
      <c r="H126" s="130">
        <f>IFERROR(D126*E126,0)</f>
        <v/>
      </c>
      <c r="I126" s="130" t="n"/>
      <c r="J126" s="130">
        <f>IFERROR(D126*F126*E126,0)</f>
        <v/>
      </c>
      <c r="K126" s="104" t="n"/>
      <c r="L126" s="104" t="n"/>
      <c r="M126" s="104" t="n"/>
      <c r="N126" s="104" t="n"/>
      <c r="O126" s="104" t="n"/>
      <c r="P126" s="104" t="n"/>
      <c r="Q126" s="104" t="n"/>
      <c r="R126" s="130">
        <f>IF(C126="Owned",0,IF(B126&lt;&gt;"",2500,0))</f>
        <v/>
      </c>
      <c r="S126" s="130">
        <f>SUM(K126:R126)</f>
        <v/>
      </c>
      <c r="T126" s="130">
        <f>I126-S126</f>
        <v/>
      </c>
      <c r="U126" s="105">
        <f>IFERROR(T126/I126,0)</f>
        <v/>
      </c>
    </row>
    <row r="127" hidden="1" ht="14.25" customHeight="1" s="83">
      <c r="A127" s="125" t="n"/>
      <c r="B127" s="103" t="n"/>
      <c r="C127" s="170">
        <f>IFERROR(_xlfn.XLOOKUP(B127,DormRegistry[Dorm Name],DormRegistry[Ownership Type]),"")</f>
        <v/>
      </c>
      <c r="D127" s="170">
        <f>IFERROR(_xlfn.XLOOKUP(B127,DormRegistry[Dorm Name],DormRegistry[Bed Capacity]),0)</f>
        <v/>
      </c>
      <c r="E127" s="130">
        <f>IF(A127="","",$B$6*(1+$B$8)^(YEAR(A127)-YEAR(StartDate)))</f>
        <v/>
      </c>
      <c r="F127" s="105">
        <f>$B$7</f>
        <v/>
      </c>
      <c r="G127" s="105">
        <f>$B$8</f>
        <v/>
      </c>
      <c r="H127" s="130">
        <f>IFERROR(D127*E127,0)</f>
        <v/>
      </c>
      <c r="I127" s="130" t="n"/>
      <c r="J127" s="130">
        <f>IFERROR(D127*F127*E127,0)</f>
        <v/>
      </c>
      <c r="K127" s="104" t="n"/>
      <c r="L127" s="104" t="n"/>
      <c r="M127" s="104" t="n"/>
      <c r="N127" s="104" t="n"/>
      <c r="O127" s="104" t="n"/>
      <c r="P127" s="104" t="n"/>
      <c r="Q127" s="104" t="n"/>
      <c r="R127" s="130">
        <f>IF(C127="Owned",0,IF(B127&lt;&gt;"",2500,0))</f>
        <v/>
      </c>
      <c r="S127" s="130">
        <f>SUM(K127:R127)</f>
        <v/>
      </c>
      <c r="T127" s="130">
        <f>I127-S127</f>
        <v/>
      </c>
      <c r="U127" s="105">
        <f>IFERROR(T127/I127,0)</f>
        <v/>
      </c>
    </row>
    <row r="128" hidden="1" ht="14.25" customHeight="1" s="83">
      <c r="A128" s="125" t="n"/>
      <c r="B128" s="103" t="n"/>
      <c r="C128" s="170">
        <f>IFERROR(_xlfn.XLOOKUP(B128,DormRegistry[Dorm Name],DormRegistry[Ownership Type]),"")</f>
        <v/>
      </c>
      <c r="D128" s="170">
        <f>IFERROR(_xlfn.XLOOKUP(B128,DormRegistry[Dorm Name],DormRegistry[Bed Capacity]),0)</f>
        <v/>
      </c>
      <c r="E128" s="130">
        <f>IF(A128="","",$B$6*(1+$B$8)^(YEAR(A128)-YEAR(StartDate)))</f>
        <v/>
      </c>
      <c r="F128" s="105">
        <f>$B$7</f>
        <v/>
      </c>
      <c r="G128" s="105">
        <f>$B$8</f>
        <v/>
      </c>
      <c r="H128" s="130">
        <f>IFERROR(D128*E128,0)</f>
        <v/>
      </c>
      <c r="I128" s="130" t="n"/>
      <c r="J128" s="130">
        <f>IFERROR(D128*F128*E128,0)</f>
        <v/>
      </c>
      <c r="K128" s="104" t="n"/>
      <c r="L128" s="104" t="n"/>
      <c r="M128" s="104" t="n"/>
      <c r="N128" s="104" t="n"/>
      <c r="O128" s="104" t="n"/>
      <c r="P128" s="104" t="n"/>
      <c r="Q128" s="104" t="n"/>
      <c r="R128" s="130">
        <f>IF(C128="Owned",0,IF(B128&lt;&gt;"",2500,0))</f>
        <v/>
      </c>
      <c r="S128" s="130">
        <f>SUM(K128:R128)</f>
        <v/>
      </c>
      <c r="T128" s="130">
        <f>I128-S128</f>
        <v/>
      </c>
      <c r="U128" s="105">
        <f>IFERROR(T128/I128,0)</f>
        <v/>
      </c>
    </row>
    <row r="129" hidden="1" ht="14.25" customHeight="1" s="83">
      <c r="A129" s="125" t="n"/>
      <c r="B129" s="103" t="n"/>
      <c r="C129" s="170">
        <f>IFERROR(_xlfn.XLOOKUP(B129,DormRegistry[Dorm Name],DormRegistry[Ownership Type]),"")</f>
        <v/>
      </c>
      <c r="D129" s="170">
        <f>IFERROR(_xlfn.XLOOKUP(B129,DormRegistry[Dorm Name],DormRegistry[Bed Capacity]),0)</f>
        <v/>
      </c>
      <c r="E129" s="130">
        <f>IF(A129="","",$B$6*(1+$B$8)^(YEAR(A129)-YEAR(StartDate)))</f>
        <v/>
      </c>
      <c r="F129" s="105">
        <f>$B$7</f>
        <v/>
      </c>
      <c r="G129" s="105">
        <f>$B$8</f>
        <v/>
      </c>
      <c r="H129" s="130">
        <f>IFERROR(D129*E129,0)</f>
        <v/>
      </c>
      <c r="I129" s="130" t="n"/>
      <c r="J129" s="130">
        <f>IFERROR(D129*F129*E129,0)</f>
        <v/>
      </c>
      <c r="K129" s="104" t="n"/>
      <c r="L129" s="104" t="n"/>
      <c r="M129" s="104" t="n"/>
      <c r="N129" s="104" t="n"/>
      <c r="O129" s="104" t="n"/>
      <c r="P129" s="104" t="n"/>
      <c r="Q129" s="104" t="n"/>
      <c r="R129" s="130">
        <f>IF(C129="Owned",0,IF(B129&lt;&gt;"",2500,0))</f>
        <v/>
      </c>
      <c r="S129" s="130">
        <f>SUM(K129:R129)</f>
        <v/>
      </c>
      <c r="T129" s="130">
        <f>I129-S129</f>
        <v/>
      </c>
      <c r="U129" s="105">
        <f>IFERROR(T129/I129,0)</f>
        <v/>
      </c>
    </row>
    <row r="130" hidden="1" ht="14.25" customHeight="1" s="83">
      <c r="A130" s="125" t="n"/>
      <c r="B130" s="103" t="n"/>
      <c r="C130" s="170">
        <f>IFERROR(_xlfn.XLOOKUP(B130,DormRegistry[Dorm Name],DormRegistry[Ownership Type]),"")</f>
        <v/>
      </c>
      <c r="D130" s="170">
        <f>IFERROR(_xlfn.XLOOKUP(B130,DormRegistry[Dorm Name],DormRegistry[Bed Capacity]),0)</f>
        <v/>
      </c>
      <c r="E130" s="130">
        <f>IF(A130="","",$B$6*(1+$B$8)^(YEAR(A130)-YEAR(StartDate)))</f>
        <v/>
      </c>
      <c r="F130" s="105">
        <f>$B$7</f>
        <v/>
      </c>
      <c r="G130" s="105">
        <f>$B$8</f>
        <v/>
      </c>
      <c r="H130" s="130">
        <f>IFERROR(D130*E130,0)</f>
        <v/>
      </c>
      <c r="I130" s="130" t="n"/>
      <c r="J130" s="130">
        <f>IFERROR(D130*F130*E130,0)</f>
        <v/>
      </c>
      <c r="K130" s="104" t="n"/>
      <c r="L130" s="104" t="n"/>
      <c r="M130" s="104" t="n"/>
      <c r="N130" s="104" t="n"/>
      <c r="O130" s="104" t="n"/>
      <c r="P130" s="104" t="n"/>
      <c r="Q130" s="104" t="n"/>
      <c r="R130" s="130">
        <f>IF(C130="Owned",0,IF(B130&lt;&gt;"",2500,0))</f>
        <v/>
      </c>
      <c r="S130" s="130">
        <f>SUM(K130:R130)</f>
        <v/>
      </c>
      <c r="T130" s="130">
        <f>I130-S130</f>
        <v/>
      </c>
      <c r="U130" s="105">
        <f>IFERROR(T130/I130,0)</f>
        <v/>
      </c>
    </row>
    <row r="131" hidden="1" ht="14.25" customHeight="1" s="83">
      <c r="A131" s="125" t="n"/>
      <c r="B131" s="103" t="n"/>
      <c r="C131" s="170">
        <f>IFERROR(_xlfn.XLOOKUP(B131,DormRegistry[Dorm Name],DormRegistry[Ownership Type]),"")</f>
        <v/>
      </c>
      <c r="D131" s="170">
        <f>IFERROR(_xlfn.XLOOKUP(B131,DormRegistry[Dorm Name],DormRegistry[Bed Capacity]),0)</f>
        <v/>
      </c>
      <c r="E131" s="130">
        <f>IF(A131="","",$B$6*(1+$B$8)^(YEAR(A131)-YEAR(StartDate)))</f>
        <v/>
      </c>
      <c r="F131" s="105">
        <f>$B$7</f>
        <v/>
      </c>
      <c r="G131" s="105">
        <f>$B$8</f>
        <v/>
      </c>
      <c r="H131" s="130">
        <f>IFERROR(D131*E131,0)</f>
        <v/>
      </c>
      <c r="I131" s="130" t="n"/>
      <c r="J131" s="130">
        <f>IFERROR(D131*F131*E131,0)</f>
        <v/>
      </c>
      <c r="K131" s="104" t="n"/>
      <c r="L131" s="104" t="n"/>
      <c r="M131" s="104" t="n"/>
      <c r="N131" s="104" t="n"/>
      <c r="O131" s="104" t="n"/>
      <c r="P131" s="104" t="n"/>
      <c r="Q131" s="104" t="n"/>
      <c r="R131" s="130">
        <f>IF(C131="Owned",0,IF(B131&lt;&gt;"",2500,0))</f>
        <v/>
      </c>
      <c r="S131" s="130">
        <f>SUM(K131:R131)</f>
        <v/>
      </c>
      <c r="T131" s="130">
        <f>I131-S131</f>
        <v/>
      </c>
      <c r="U131" s="105">
        <f>IFERROR(T131/I131,0)</f>
        <v/>
      </c>
    </row>
    <row r="132" hidden="1" ht="14.25" customHeight="1" s="83">
      <c r="A132" s="125" t="n"/>
      <c r="B132" s="103" t="n"/>
      <c r="C132" s="170">
        <f>IFERROR(_xlfn.XLOOKUP(B132,DormRegistry[Dorm Name],DormRegistry[Ownership Type]),"")</f>
        <v/>
      </c>
      <c r="D132" s="170">
        <f>IFERROR(_xlfn.XLOOKUP(B132,DormRegistry[Dorm Name],DormRegistry[Bed Capacity]),0)</f>
        <v/>
      </c>
      <c r="E132" s="130">
        <f>IF(A132="","",$B$6*(1+$B$8)^(YEAR(A132)-YEAR(StartDate)))</f>
        <v/>
      </c>
      <c r="F132" s="105">
        <f>$B$7</f>
        <v/>
      </c>
      <c r="G132" s="105">
        <f>$B$8</f>
        <v/>
      </c>
      <c r="H132" s="130">
        <f>IFERROR(D132*E132,0)</f>
        <v/>
      </c>
      <c r="I132" s="130" t="n"/>
      <c r="J132" s="130">
        <f>IFERROR(D132*F132*E132,0)</f>
        <v/>
      </c>
      <c r="K132" s="104" t="n"/>
      <c r="L132" s="104" t="n"/>
      <c r="M132" s="104" t="n"/>
      <c r="N132" s="104" t="n"/>
      <c r="O132" s="104" t="n"/>
      <c r="P132" s="104" t="n"/>
      <c r="Q132" s="104" t="n"/>
      <c r="R132" s="130">
        <f>IF(C132="Owned",0,IF(B132&lt;&gt;"",2500,0))</f>
        <v/>
      </c>
      <c r="S132" s="130">
        <f>SUM(K132:R132)</f>
        <v/>
      </c>
      <c r="T132" s="130">
        <f>I132-S132</f>
        <v/>
      </c>
      <c r="U132" s="105">
        <f>IFERROR(T132/I132,0)</f>
        <v/>
      </c>
    </row>
    <row r="133" hidden="1" ht="14.25" customHeight="1" s="83">
      <c r="A133" s="125" t="n"/>
      <c r="B133" s="103" t="n"/>
      <c r="C133" s="170">
        <f>IFERROR(_xlfn.XLOOKUP(B133,DormRegistry[Dorm Name],DormRegistry[Ownership Type]),"")</f>
        <v/>
      </c>
      <c r="D133" s="170">
        <f>IFERROR(_xlfn.XLOOKUP(B133,DormRegistry[Dorm Name],DormRegistry[Bed Capacity]),0)</f>
        <v/>
      </c>
      <c r="E133" s="130">
        <f>IF(A133="","",$B$6*(1+$B$8)^(YEAR(A133)-YEAR(StartDate)))</f>
        <v/>
      </c>
      <c r="F133" s="105">
        <f>$B$7</f>
        <v/>
      </c>
      <c r="G133" s="105">
        <f>$B$8</f>
        <v/>
      </c>
      <c r="H133" s="130">
        <f>IFERROR(D133*E133,0)</f>
        <v/>
      </c>
      <c r="I133" s="130" t="n"/>
      <c r="J133" s="130">
        <f>IFERROR(D133*F133*E133,0)</f>
        <v/>
      </c>
      <c r="K133" s="104" t="n"/>
      <c r="L133" s="104" t="n"/>
      <c r="M133" s="104" t="n"/>
      <c r="N133" s="104" t="n"/>
      <c r="O133" s="104" t="n"/>
      <c r="P133" s="104" t="n"/>
      <c r="Q133" s="104" t="n"/>
      <c r="R133" s="130">
        <f>IF(C133="Owned",0,IF(B133&lt;&gt;"",2500,0))</f>
        <v/>
      </c>
      <c r="S133" s="130">
        <f>SUM(K133:R133)</f>
        <v/>
      </c>
      <c r="T133" s="130">
        <f>I133-S133</f>
        <v/>
      </c>
      <c r="U133" s="105">
        <f>IFERROR(T133/I133,0)</f>
        <v/>
      </c>
    </row>
    <row r="134" hidden="1" ht="14.25" customHeight="1" s="83">
      <c r="A134" s="125" t="n"/>
      <c r="B134" s="103" t="n"/>
      <c r="C134" s="170">
        <f>IFERROR(_xlfn.XLOOKUP(B134,DormRegistry[Dorm Name],DormRegistry[Ownership Type]),"")</f>
        <v/>
      </c>
      <c r="D134" s="170">
        <f>IFERROR(_xlfn.XLOOKUP(B134,DormRegistry[Dorm Name],DormRegistry[Bed Capacity]),0)</f>
        <v/>
      </c>
      <c r="E134" s="130">
        <f>IF(A134="","",$B$6*(1+$B$8)^(YEAR(A134)-YEAR(StartDate)))</f>
        <v/>
      </c>
      <c r="F134" s="105">
        <f>$B$7</f>
        <v/>
      </c>
      <c r="G134" s="105">
        <f>$B$8</f>
        <v/>
      </c>
      <c r="H134" s="130">
        <f>IFERROR(D134*E134,0)</f>
        <v/>
      </c>
      <c r="I134" s="130" t="n"/>
      <c r="J134" s="130">
        <f>IFERROR(D134*F134*E134,0)</f>
        <v/>
      </c>
      <c r="K134" s="104" t="n"/>
      <c r="L134" s="104" t="n"/>
      <c r="M134" s="104" t="n"/>
      <c r="N134" s="104" t="n"/>
      <c r="O134" s="104" t="n"/>
      <c r="P134" s="104" t="n"/>
      <c r="Q134" s="104" t="n"/>
      <c r="R134" s="130">
        <f>IF(C134="Owned",0,IF(B134&lt;&gt;"",2500,0))</f>
        <v/>
      </c>
      <c r="S134" s="130">
        <f>SUM(K134:R134)</f>
        <v/>
      </c>
      <c r="T134" s="130">
        <f>I134-S134</f>
        <v/>
      </c>
      <c r="U134" s="105">
        <f>IFERROR(T134/I134,0)</f>
        <v/>
      </c>
    </row>
    <row r="135" hidden="1" ht="14.25" customHeight="1" s="83">
      <c r="A135" s="125" t="n"/>
      <c r="B135" s="103" t="n"/>
      <c r="C135" s="170">
        <f>IFERROR(_xlfn.XLOOKUP(B135,DormRegistry[Dorm Name],DormRegistry[Ownership Type]),"")</f>
        <v/>
      </c>
      <c r="D135" s="170">
        <f>IFERROR(_xlfn.XLOOKUP(B135,DormRegistry[Dorm Name],DormRegistry[Bed Capacity]),0)</f>
        <v/>
      </c>
      <c r="E135" s="130">
        <f>IF(A135="","",$B$6*(1+$B$8)^(YEAR(A135)-YEAR(StartDate)))</f>
        <v/>
      </c>
      <c r="F135" s="105">
        <f>$B$7</f>
        <v/>
      </c>
      <c r="G135" s="105">
        <f>$B$8</f>
        <v/>
      </c>
      <c r="H135" s="130">
        <f>IFERROR(D135*E135,0)</f>
        <v/>
      </c>
      <c r="I135" s="130" t="n"/>
      <c r="J135" s="130">
        <f>IFERROR(D135*F135*E135,0)</f>
        <v/>
      </c>
      <c r="K135" s="104" t="n"/>
      <c r="L135" s="104" t="n"/>
      <c r="M135" s="104" t="n"/>
      <c r="N135" s="104" t="n"/>
      <c r="O135" s="104" t="n"/>
      <c r="P135" s="104" t="n"/>
      <c r="Q135" s="104" t="n"/>
      <c r="R135" s="130">
        <f>IF(C135="Owned",0,IF(B135&lt;&gt;"",2500,0))</f>
        <v/>
      </c>
      <c r="S135" s="130">
        <f>SUM(K135:R135)</f>
        <v/>
      </c>
      <c r="T135" s="130">
        <f>I135-S135</f>
        <v/>
      </c>
      <c r="U135" s="105">
        <f>IFERROR(T135/I135,0)</f>
        <v/>
      </c>
    </row>
    <row r="136" hidden="1" ht="14.25" customHeight="1" s="83">
      <c r="A136" s="125" t="n"/>
      <c r="B136" s="103" t="n"/>
      <c r="C136" s="170">
        <f>IFERROR(_xlfn.XLOOKUP(B136,DormRegistry[Dorm Name],DormRegistry[Ownership Type]),"")</f>
        <v/>
      </c>
      <c r="D136" s="170">
        <f>IFERROR(_xlfn.XLOOKUP(B136,DormRegistry[Dorm Name],DormRegistry[Bed Capacity]),0)</f>
        <v/>
      </c>
      <c r="E136" s="130">
        <f>IF(A136="","",$B$6*(1+$B$8)^(YEAR(A136)-YEAR(StartDate)))</f>
        <v/>
      </c>
      <c r="F136" s="105">
        <f>$B$7</f>
        <v/>
      </c>
      <c r="G136" s="105">
        <f>$B$8</f>
        <v/>
      </c>
      <c r="H136" s="130">
        <f>IFERROR(D136*E136,0)</f>
        <v/>
      </c>
      <c r="I136" s="130" t="n"/>
      <c r="J136" s="130">
        <f>IFERROR(D136*F136*E136,0)</f>
        <v/>
      </c>
      <c r="K136" s="104" t="n"/>
      <c r="L136" s="104" t="n"/>
      <c r="M136" s="104" t="n"/>
      <c r="N136" s="104" t="n"/>
      <c r="O136" s="104" t="n"/>
      <c r="P136" s="104" t="n"/>
      <c r="Q136" s="104" t="n"/>
      <c r="R136" s="130">
        <f>IF(C136="Owned",0,IF(B136&lt;&gt;"",2500,0))</f>
        <v/>
      </c>
      <c r="S136" s="130">
        <f>SUM(K136:R136)</f>
        <v/>
      </c>
      <c r="T136" s="130">
        <f>I136-S136</f>
        <v/>
      </c>
      <c r="U136" s="105">
        <f>IFERROR(T136/I136,0)</f>
        <v/>
      </c>
    </row>
    <row r="137" hidden="1" ht="14.25" customHeight="1" s="83">
      <c r="A137" s="125" t="n"/>
      <c r="B137" s="103" t="n"/>
      <c r="C137" s="170">
        <f>IFERROR(_xlfn.XLOOKUP(B137,DormRegistry[Dorm Name],DormRegistry[Ownership Type]),"")</f>
        <v/>
      </c>
      <c r="D137" s="170">
        <f>IFERROR(_xlfn.XLOOKUP(B137,DormRegistry[Dorm Name],DormRegistry[Bed Capacity]),0)</f>
        <v/>
      </c>
      <c r="E137" s="130">
        <f>IF(A137="","",$B$6*(1+$B$8)^(YEAR(A137)-YEAR(StartDate)))</f>
        <v/>
      </c>
      <c r="F137" s="105">
        <f>$B$7</f>
        <v/>
      </c>
      <c r="G137" s="105">
        <f>$B$8</f>
        <v/>
      </c>
      <c r="H137" s="130">
        <f>IFERROR(D137*E137,0)</f>
        <v/>
      </c>
      <c r="I137" s="130" t="n"/>
      <c r="J137" s="130">
        <f>IFERROR(D137*F137*E137,0)</f>
        <v/>
      </c>
      <c r="K137" s="104" t="n"/>
      <c r="L137" s="104" t="n"/>
      <c r="M137" s="104" t="n"/>
      <c r="N137" s="104" t="n"/>
      <c r="O137" s="104" t="n"/>
      <c r="P137" s="104" t="n"/>
      <c r="Q137" s="104" t="n"/>
      <c r="R137" s="130">
        <f>IF(C137="Owned",0,IF(B137&lt;&gt;"",2500,0))</f>
        <v/>
      </c>
      <c r="S137" s="130">
        <f>SUM(K137:R137)</f>
        <v/>
      </c>
      <c r="T137" s="130">
        <f>I137-S137</f>
        <v/>
      </c>
      <c r="U137" s="105">
        <f>IFERROR(T137/I137,0)</f>
        <v/>
      </c>
    </row>
    <row r="138" hidden="1" ht="14.25" customHeight="1" s="83">
      <c r="A138" s="125" t="n"/>
      <c r="B138" s="103" t="n"/>
      <c r="C138" s="170">
        <f>IFERROR(_xlfn.XLOOKUP(B138,DormRegistry[Dorm Name],DormRegistry[Ownership Type]),"")</f>
        <v/>
      </c>
      <c r="D138" s="170">
        <f>IFERROR(_xlfn.XLOOKUP(B138,DormRegistry[Dorm Name],DormRegistry[Bed Capacity]),0)</f>
        <v/>
      </c>
      <c r="E138" s="130">
        <f>IF(A138="","",$B$6*(1+$B$8)^(YEAR(A138)-YEAR(StartDate)))</f>
        <v/>
      </c>
      <c r="F138" s="105">
        <f>$B$7</f>
        <v/>
      </c>
      <c r="G138" s="105">
        <f>$B$8</f>
        <v/>
      </c>
      <c r="H138" s="130">
        <f>IFERROR(D138*E138,0)</f>
        <v/>
      </c>
      <c r="I138" s="130" t="n"/>
      <c r="J138" s="130">
        <f>IFERROR(D138*F138*E138,0)</f>
        <v/>
      </c>
      <c r="K138" s="104" t="n"/>
      <c r="L138" s="104" t="n"/>
      <c r="M138" s="104" t="n"/>
      <c r="N138" s="104" t="n"/>
      <c r="O138" s="104" t="n"/>
      <c r="P138" s="104" t="n"/>
      <c r="Q138" s="104" t="n"/>
      <c r="R138" s="130">
        <f>IF(C138="Owned",0,IF(B138&lt;&gt;"",2500,0))</f>
        <v/>
      </c>
      <c r="S138" s="130">
        <f>SUM(K138:R138)</f>
        <v/>
      </c>
      <c r="T138" s="130">
        <f>I138-S138</f>
        <v/>
      </c>
      <c r="U138" s="105">
        <f>IFERROR(T138/I138,0)</f>
        <v/>
      </c>
    </row>
    <row r="139" hidden="1" ht="14.25" customHeight="1" s="83">
      <c r="A139" s="125" t="n"/>
      <c r="B139" s="103" t="n"/>
      <c r="C139" s="170">
        <f>IFERROR(_xlfn.XLOOKUP(B139,DormRegistry[Dorm Name],DormRegistry[Ownership Type]),"")</f>
        <v/>
      </c>
      <c r="D139" s="170">
        <f>IFERROR(_xlfn.XLOOKUP(B139,DormRegistry[Dorm Name],DormRegistry[Bed Capacity]),0)</f>
        <v/>
      </c>
      <c r="E139" s="130">
        <f>IF(A139="","",$B$6*(1+$B$8)^(YEAR(A139)-YEAR(StartDate)))</f>
        <v/>
      </c>
      <c r="F139" s="105">
        <f>$B$7</f>
        <v/>
      </c>
      <c r="G139" s="105">
        <f>$B$8</f>
        <v/>
      </c>
      <c r="H139" s="130">
        <f>IFERROR(D139*E139,0)</f>
        <v/>
      </c>
      <c r="I139" s="130" t="n"/>
      <c r="J139" s="130">
        <f>IFERROR(D139*F139*E139,0)</f>
        <v/>
      </c>
      <c r="K139" s="104" t="n"/>
      <c r="L139" s="104" t="n"/>
      <c r="M139" s="104" t="n"/>
      <c r="N139" s="104" t="n"/>
      <c r="O139" s="104" t="n"/>
      <c r="P139" s="104" t="n"/>
      <c r="Q139" s="104" t="n"/>
      <c r="R139" s="130">
        <f>IF(C139="Owned",0,IF(B139&lt;&gt;"",2500,0))</f>
        <v/>
      </c>
      <c r="S139" s="130">
        <f>SUM(K139:R139)</f>
        <v/>
      </c>
      <c r="T139" s="130">
        <f>I139-S139</f>
        <v/>
      </c>
      <c r="U139" s="105">
        <f>IFERROR(T139/I139,0)</f>
        <v/>
      </c>
    </row>
    <row r="140" hidden="1" ht="14.25" customHeight="1" s="83">
      <c r="A140" s="125" t="n"/>
      <c r="B140" s="103" t="n"/>
      <c r="C140" s="170">
        <f>IFERROR(_xlfn.XLOOKUP(B140,DormRegistry[Dorm Name],DormRegistry[Ownership Type]),"")</f>
        <v/>
      </c>
      <c r="D140" s="170">
        <f>IFERROR(_xlfn.XLOOKUP(B140,DormRegistry[Dorm Name],DormRegistry[Bed Capacity]),0)</f>
        <v/>
      </c>
      <c r="E140" s="130">
        <f>IF(A140="","",$B$6*(1+$B$8)^(YEAR(A140)-YEAR(StartDate)))</f>
        <v/>
      </c>
      <c r="F140" s="105">
        <f>$B$7</f>
        <v/>
      </c>
      <c r="G140" s="105">
        <f>$B$8</f>
        <v/>
      </c>
      <c r="H140" s="130">
        <f>IFERROR(D140*E140,0)</f>
        <v/>
      </c>
      <c r="I140" s="130" t="n"/>
      <c r="J140" s="130">
        <f>IFERROR(D140*F140*E140,0)</f>
        <v/>
      </c>
      <c r="K140" s="104" t="n"/>
      <c r="L140" s="104" t="n"/>
      <c r="M140" s="104" t="n"/>
      <c r="N140" s="104" t="n"/>
      <c r="O140" s="104" t="n"/>
      <c r="P140" s="104" t="n"/>
      <c r="Q140" s="104" t="n"/>
      <c r="R140" s="130">
        <f>IF(C140="Owned",0,IF(B140&lt;&gt;"",2500,0))</f>
        <v/>
      </c>
      <c r="S140" s="130">
        <f>SUM(K140:R140)</f>
        <v/>
      </c>
      <c r="T140" s="130">
        <f>I140-S140</f>
        <v/>
      </c>
      <c r="U140" s="105">
        <f>IFERROR(T140/I140,0)</f>
        <v/>
      </c>
    </row>
    <row r="141" hidden="1" ht="14.25" customHeight="1" s="83">
      <c r="A141" s="125" t="n"/>
      <c r="B141" s="103" t="n"/>
      <c r="C141" s="170">
        <f>IFERROR(_xlfn.XLOOKUP(B141,DormRegistry[Dorm Name],DormRegistry[Ownership Type]),"")</f>
        <v/>
      </c>
      <c r="D141" s="170">
        <f>IFERROR(_xlfn.XLOOKUP(B141,DormRegistry[Dorm Name],DormRegistry[Bed Capacity]),0)</f>
        <v/>
      </c>
      <c r="E141" s="130">
        <f>IF(A141="","",$B$6*(1+$B$8)^(YEAR(A141)-YEAR(StartDate)))</f>
        <v/>
      </c>
      <c r="F141" s="105">
        <f>$B$7</f>
        <v/>
      </c>
      <c r="G141" s="105">
        <f>$B$8</f>
        <v/>
      </c>
      <c r="H141" s="130">
        <f>IFERROR(D141*E141,0)</f>
        <v/>
      </c>
      <c r="I141" s="130" t="n"/>
      <c r="J141" s="130">
        <f>IFERROR(D141*F141*E141,0)</f>
        <v/>
      </c>
      <c r="K141" s="104" t="n"/>
      <c r="L141" s="104" t="n"/>
      <c r="M141" s="104" t="n"/>
      <c r="N141" s="104" t="n"/>
      <c r="O141" s="104" t="n"/>
      <c r="P141" s="104" t="n"/>
      <c r="Q141" s="104" t="n"/>
      <c r="R141" s="130">
        <f>IF(C141="Owned",0,IF(B141&lt;&gt;"",2500,0))</f>
        <v/>
      </c>
      <c r="S141" s="130">
        <f>SUM(K141:R141)</f>
        <v/>
      </c>
      <c r="T141" s="130">
        <f>I141-S141</f>
        <v/>
      </c>
      <c r="U141" s="105">
        <f>IFERROR(T141/I141,0)</f>
        <v/>
      </c>
    </row>
    <row r="142" hidden="1" ht="14.25" customHeight="1" s="83">
      <c r="A142" s="125" t="n"/>
      <c r="B142" s="103" t="n"/>
      <c r="C142" s="170">
        <f>IFERROR(_xlfn.XLOOKUP(B142,DormRegistry[Dorm Name],DormRegistry[Ownership Type]),"")</f>
        <v/>
      </c>
      <c r="D142" s="170">
        <f>IFERROR(_xlfn.XLOOKUP(B142,DormRegistry[Dorm Name],DormRegistry[Bed Capacity]),0)</f>
        <v/>
      </c>
      <c r="E142" s="130">
        <f>IF(A142="","",$B$6*(1+$B$8)^(YEAR(A142)-YEAR(StartDate)))</f>
        <v/>
      </c>
      <c r="F142" s="105">
        <f>$B$7</f>
        <v/>
      </c>
      <c r="G142" s="105">
        <f>$B$8</f>
        <v/>
      </c>
      <c r="H142" s="130">
        <f>IFERROR(D142*E142,0)</f>
        <v/>
      </c>
      <c r="I142" s="130" t="n"/>
      <c r="J142" s="130">
        <f>IFERROR(D142*F142*E142,0)</f>
        <v/>
      </c>
      <c r="K142" s="104" t="n"/>
      <c r="L142" s="104" t="n"/>
      <c r="M142" s="104" t="n"/>
      <c r="N142" s="104" t="n"/>
      <c r="O142" s="104" t="n"/>
      <c r="P142" s="104" t="n"/>
      <c r="Q142" s="104" t="n"/>
      <c r="R142" s="130">
        <f>IF(C142="Owned",0,IF(B142&lt;&gt;"",2500,0))</f>
        <v/>
      </c>
      <c r="S142" s="130">
        <f>SUM(K142:R142)</f>
        <v/>
      </c>
      <c r="T142" s="130">
        <f>I142-S142</f>
        <v/>
      </c>
      <c r="U142" s="105">
        <f>IFERROR(T142/I142,0)</f>
        <v/>
      </c>
    </row>
    <row r="143" hidden="1" ht="14.25" customHeight="1" s="83">
      <c r="A143" s="125" t="n"/>
      <c r="B143" s="103" t="n"/>
      <c r="C143" s="170">
        <f>IFERROR(_xlfn.XLOOKUP(B143,DormRegistry[Dorm Name],DormRegistry[Ownership Type]),"")</f>
        <v/>
      </c>
      <c r="D143" s="170">
        <f>IFERROR(_xlfn.XLOOKUP(B143,DormRegistry[Dorm Name],DormRegistry[Bed Capacity]),0)</f>
        <v/>
      </c>
      <c r="E143" s="130">
        <f>IF(A143="","",$B$6*(1+$B$8)^(YEAR(A143)-YEAR(StartDate)))</f>
        <v/>
      </c>
      <c r="F143" s="105">
        <f>$B$7</f>
        <v/>
      </c>
      <c r="G143" s="105">
        <f>$B$8</f>
        <v/>
      </c>
      <c r="H143" s="130">
        <f>IFERROR(D143*E143,0)</f>
        <v/>
      </c>
      <c r="I143" s="130" t="n"/>
      <c r="J143" s="130">
        <f>IFERROR(D143*F143*E143,0)</f>
        <v/>
      </c>
      <c r="K143" s="104" t="n"/>
      <c r="L143" s="104" t="n"/>
      <c r="M143" s="104" t="n"/>
      <c r="N143" s="104" t="n"/>
      <c r="O143" s="104" t="n"/>
      <c r="P143" s="104" t="n"/>
      <c r="Q143" s="104" t="n"/>
      <c r="R143" s="130">
        <f>IF(C143="Owned",0,IF(B143&lt;&gt;"",2500,0))</f>
        <v/>
      </c>
      <c r="S143" s="130">
        <f>SUM(K143:R143)</f>
        <v/>
      </c>
      <c r="T143" s="130">
        <f>I143-S143</f>
        <v/>
      </c>
      <c r="U143" s="105">
        <f>IFERROR(T143/I143,0)</f>
        <v/>
      </c>
    </row>
    <row r="144" hidden="1" ht="14.25" customHeight="1" s="83">
      <c r="A144" s="125" t="n"/>
      <c r="B144" s="103" t="n"/>
      <c r="C144" s="170">
        <f>IFERROR(_xlfn.XLOOKUP(B144,DormRegistry[Dorm Name],DormRegistry[Ownership Type]),"")</f>
        <v/>
      </c>
      <c r="D144" s="170">
        <f>IFERROR(_xlfn.XLOOKUP(B144,DormRegistry[Dorm Name],DormRegistry[Bed Capacity]),0)</f>
        <v/>
      </c>
      <c r="E144" s="130">
        <f>IF(A144="","",$B$6*(1+$B$8)^(YEAR(A144)-YEAR(StartDate)))</f>
        <v/>
      </c>
      <c r="F144" s="105">
        <f>$B$7</f>
        <v/>
      </c>
      <c r="G144" s="105">
        <f>$B$8</f>
        <v/>
      </c>
      <c r="H144" s="130">
        <f>IFERROR(D144*E144,0)</f>
        <v/>
      </c>
      <c r="I144" s="130" t="n"/>
      <c r="J144" s="130">
        <f>IFERROR(D144*F144*E144,0)</f>
        <v/>
      </c>
      <c r="K144" s="104" t="n"/>
      <c r="L144" s="104" t="n"/>
      <c r="M144" s="104" t="n"/>
      <c r="N144" s="104" t="n"/>
      <c r="O144" s="104" t="n"/>
      <c r="P144" s="104" t="n"/>
      <c r="Q144" s="104" t="n"/>
      <c r="R144" s="130">
        <f>IF(C144="Owned",0,IF(B144&lt;&gt;"",2500,0))</f>
        <v/>
      </c>
      <c r="S144" s="130">
        <f>SUM(K144:R144)</f>
        <v/>
      </c>
      <c r="T144" s="130">
        <f>I144-S144</f>
        <v/>
      </c>
      <c r="U144" s="105">
        <f>IFERROR(T144/I144,0)</f>
        <v/>
      </c>
    </row>
    <row r="145" hidden="1" ht="14.25" customHeight="1" s="83">
      <c r="A145" s="125" t="n"/>
      <c r="B145" s="103" t="n"/>
      <c r="C145" s="170">
        <f>IFERROR(_xlfn.XLOOKUP(B145,DormRegistry[Dorm Name],DormRegistry[Ownership Type]),"")</f>
        <v/>
      </c>
      <c r="D145" s="170">
        <f>IFERROR(_xlfn.XLOOKUP(B145,DormRegistry[Dorm Name],DormRegistry[Bed Capacity]),0)</f>
        <v/>
      </c>
      <c r="E145" s="130">
        <f>IF(A145="","",$B$6*(1+$B$8)^(YEAR(A145)-YEAR(StartDate)))</f>
        <v/>
      </c>
      <c r="F145" s="105">
        <f>$B$7</f>
        <v/>
      </c>
      <c r="G145" s="105">
        <f>$B$8</f>
        <v/>
      </c>
      <c r="H145" s="130">
        <f>IFERROR(D145*E145,0)</f>
        <v/>
      </c>
      <c r="I145" s="130" t="n"/>
      <c r="J145" s="130">
        <f>IFERROR(D145*F145*E145,0)</f>
        <v/>
      </c>
      <c r="K145" s="104" t="n"/>
      <c r="L145" s="104" t="n"/>
      <c r="M145" s="104" t="n"/>
      <c r="N145" s="104" t="n"/>
      <c r="O145" s="104" t="n"/>
      <c r="P145" s="104" t="n"/>
      <c r="Q145" s="104" t="n"/>
      <c r="R145" s="130">
        <f>IF(C145="Owned",0,IF(B145&lt;&gt;"",2500,0))</f>
        <v/>
      </c>
      <c r="S145" s="130">
        <f>SUM(K145:R145)</f>
        <v/>
      </c>
      <c r="T145" s="130">
        <f>I145-S145</f>
        <v/>
      </c>
      <c r="U145" s="105">
        <f>IFERROR(T145/I145,0)</f>
        <v/>
      </c>
    </row>
    <row r="146" hidden="1" ht="14.25" customHeight="1" s="83">
      <c r="A146" s="125" t="n"/>
      <c r="B146" s="103" t="n"/>
      <c r="C146" s="170">
        <f>IFERROR(_xlfn.XLOOKUP(B146,DormRegistry[Dorm Name],DormRegistry[Ownership Type]),"")</f>
        <v/>
      </c>
      <c r="D146" s="170">
        <f>IFERROR(_xlfn.XLOOKUP(B146,DormRegistry[Dorm Name],DormRegistry[Bed Capacity]),0)</f>
        <v/>
      </c>
      <c r="E146" s="130">
        <f>IF(A146="","",$B$6*(1+$B$8)^(YEAR(A146)-YEAR(StartDate)))</f>
        <v/>
      </c>
      <c r="F146" s="105">
        <f>$B$7</f>
        <v/>
      </c>
      <c r="G146" s="105">
        <f>$B$8</f>
        <v/>
      </c>
      <c r="H146" s="130">
        <f>IFERROR(D146*E146,0)</f>
        <v/>
      </c>
      <c r="I146" s="130" t="n"/>
      <c r="J146" s="130">
        <f>IFERROR(D146*F146*E146,0)</f>
        <v/>
      </c>
      <c r="K146" s="104" t="n"/>
      <c r="L146" s="104" t="n"/>
      <c r="M146" s="104" t="n"/>
      <c r="N146" s="104" t="n"/>
      <c r="O146" s="104" t="n"/>
      <c r="P146" s="104" t="n"/>
      <c r="Q146" s="104" t="n"/>
      <c r="R146" s="130">
        <f>IF(C146="Owned",0,IF(B146&lt;&gt;"",2500,0))</f>
        <v/>
      </c>
      <c r="S146" s="130">
        <f>SUM(K146:R146)</f>
        <v/>
      </c>
      <c r="T146" s="130">
        <f>I146-S146</f>
        <v/>
      </c>
      <c r="U146" s="105">
        <f>IFERROR(T146/I146,0)</f>
        <v/>
      </c>
    </row>
    <row r="147" hidden="1" ht="14.25" customHeight="1" s="83">
      <c r="A147" s="125" t="n"/>
      <c r="B147" s="103" t="n"/>
      <c r="C147" s="170">
        <f>IFERROR(_xlfn.XLOOKUP(B147,DormRegistry[Dorm Name],DormRegistry[Ownership Type]),"")</f>
        <v/>
      </c>
      <c r="D147" s="170">
        <f>IFERROR(_xlfn.XLOOKUP(B147,DormRegistry[Dorm Name],DormRegistry[Bed Capacity]),0)</f>
        <v/>
      </c>
      <c r="E147" s="130">
        <f>IF(A147="","",$B$6*(1+$B$8)^(YEAR(A147)-YEAR(StartDate)))</f>
        <v/>
      </c>
      <c r="F147" s="105">
        <f>$B$7</f>
        <v/>
      </c>
      <c r="G147" s="105">
        <f>$B$8</f>
        <v/>
      </c>
      <c r="H147" s="130">
        <f>IFERROR(D147*E147,0)</f>
        <v/>
      </c>
      <c r="I147" s="130" t="n"/>
      <c r="J147" s="130">
        <f>IFERROR(D147*F147*E147,0)</f>
        <v/>
      </c>
      <c r="K147" s="104" t="n"/>
      <c r="L147" s="104" t="n"/>
      <c r="M147" s="104" t="n"/>
      <c r="N147" s="104" t="n"/>
      <c r="O147" s="104" t="n"/>
      <c r="P147" s="104" t="n"/>
      <c r="Q147" s="104" t="n"/>
      <c r="R147" s="130">
        <f>IF(C147="Owned",0,IF(B147&lt;&gt;"",2500,0))</f>
        <v/>
      </c>
      <c r="S147" s="130">
        <f>SUM(K147:R147)</f>
        <v/>
      </c>
      <c r="T147" s="130">
        <f>I147-S147</f>
        <v/>
      </c>
      <c r="U147" s="105">
        <f>IFERROR(T147/I147,0)</f>
        <v/>
      </c>
    </row>
    <row r="148" hidden="1" ht="14.25" customHeight="1" s="83">
      <c r="A148" s="125" t="n"/>
      <c r="B148" s="103" t="n"/>
      <c r="C148" s="170">
        <f>IFERROR(_xlfn.XLOOKUP(B148,DormRegistry[Dorm Name],DormRegistry[Ownership Type]),"")</f>
        <v/>
      </c>
      <c r="D148" s="170">
        <f>IFERROR(_xlfn.XLOOKUP(B148,DormRegistry[Dorm Name],DormRegistry[Bed Capacity]),0)</f>
        <v/>
      </c>
      <c r="E148" s="130">
        <f>IF(A148="","",$B$6*(1+$B$8)^(YEAR(A148)-YEAR(StartDate)))</f>
        <v/>
      </c>
      <c r="F148" s="105">
        <f>$B$7</f>
        <v/>
      </c>
      <c r="G148" s="105">
        <f>$B$8</f>
        <v/>
      </c>
      <c r="H148" s="130">
        <f>IFERROR(D148*E148,0)</f>
        <v/>
      </c>
      <c r="I148" s="130" t="n"/>
      <c r="J148" s="130">
        <f>IFERROR(D148*F148*E148,0)</f>
        <v/>
      </c>
      <c r="K148" s="104" t="n"/>
      <c r="L148" s="104" t="n"/>
      <c r="M148" s="104" t="n"/>
      <c r="N148" s="104" t="n"/>
      <c r="O148" s="104" t="n"/>
      <c r="P148" s="104" t="n"/>
      <c r="Q148" s="104" t="n"/>
      <c r="R148" s="130">
        <f>IF(C148="Owned",0,IF(B148&lt;&gt;"",2500,0))</f>
        <v/>
      </c>
      <c r="S148" s="130">
        <f>SUM(K148:R148)</f>
        <v/>
      </c>
      <c r="T148" s="130">
        <f>I148-S148</f>
        <v/>
      </c>
      <c r="U148" s="105">
        <f>IFERROR(T148/I148,0)</f>
        <v/>
      </c>
    </row>
    <row r="149" hidden="1" ht="14.25" customHeight="1" s="83">
      <c r="A149" s="125" t="n"/>
      <c r="B149" s="103" t="n"/>
      <c r="C149" s="170">
        <f>IFERROR(_xlfn.XLOOKUP(B149,DormRegistry[Dorm Name],DormRegistry[Ownership Type]),"")</f>
        <v/>
      </c>
      <c r="D149" s="170">
        <f>IFERROR(_xlfn.XLOOKUP(B149,DormRegistry[Dorm Name],DormRegistry[Bed Capacity]),0)</f>
        <v/>
      </c>
      <c r="E149" s="130">
        <f>IF(A149="","",$B$6*(1+$B$8)^(YEAR(A149)-YEAR(StartDate)))</f>
        <v/>
      </c>
      <c r="F149" s="105">
        <f>$B$7</f>
        <v/>
      </c>
      <c r="G149" s="105">
        <f>$B$8</f>
        <v/>
      </c>
      <c r="H149" s="130">
        <f>IFERROR(D149*E149,0)</f>
        <v/>
      </c>
      <c r="I149" s="130" t="n"/>
      <c r="J149" s="130">
        <f>IFERROR(D149*F149*E149,0)</f>
        <v/>
      </c>
      <c r="K149" s="104" t="n"/>
      <c r="L149" s="104" t="n"/>
      <c r="M149" s="104" t="n"/>
      <c r="N149" s="104" t="n"/>
      <c r="O149" s="104" t="n"/>
      <c r="P149" s="104" t="n"/>
      <c r="Q149" s="104" t="n"/>
      <c r="R149" s="130">
        <f>IF(C149="Owned",0,IF(B149&lt;&gt;"",2500,0))</f>
        <v/>
      </c>
      <c r="S149" s="130">
        <f>SUM(K149:R149)</f>
        <v/>
      </c>
      <c r="T149" s="130">
        <f>I149-S149</f>
        <v/>
      </c>
      <c r="U149" s="105">
        <f>IFERROR(T149/I149,0)</f>
        <v/>
      </c>
    </row>
    <row r="150" hidden="1" ht="14.25" customHeight="1" s="83">
      <c r="A150" s="125" t="n"/>
      <c r="B150" s="103" t="n"/>
      <c r="C150" s="170">
        <f>IFERROR(_xlfn.XLOOKUP(B150,DormRegistry[Dorm Name],DormRegistry[Ownership Type]),"")</f>
        <v/>
      </c>
      <c r="D150" s="170">
        <f>IFERROR(_xlfn.XLOOKUP(B150,DormRegistry[Dorm Name],DormRegistry[Bed Capacity]),0)</f>
        <v/>
      </c>
      <c r="E150" s="130">
        <f>IF(A150="","",$B$6*(1+$B$8)^(YEAR(A150)-YEAR(StartDate)))</f>
        <v/>
      </c>
      <c r="F150" s="105">
        <f>$B$7</f>
        <v/>
      </c>
      <c r="G150" s="105">
        <f>$B$8</f>
        <v/>
      </c>
      <c r="H150" s="130">
        <f>IFERROR(D150*E150,0)</f>
        <v/>
      </c>
      <c r="I150" s="130" t="n"/>
      <c r="J150" s="130">
        <f>IFERROR(D150*F150*E150,0)</f>
        <v/>
      </c>
      <c r="K150" s="104" t="n"/>
      <c r="L150" s="104" t="n"/>
      <c r="M150" s="104" t="n"/>
      <c r="N150" s="104" t="n"/>
      <c r="O150" s="104" t="n"/>
      <c r="P150" s="104" t="n"/>
      <c r="Q150" s="104" t="n"/>
      <c r="R150" s="130">
        <f>IF(C150="Owned",0,IF(B150&lt;&gt;"",2500,0))</f>
        <v/>
      </c>
      <c r="S150" s="130">
        <f>SUM(K150:R150)</f>
        <v/>
      </c>
      <c r="T150" s="130">
        <f>I150-S150</f>
        <v/>
      </c>
      <c r="U150" s="105">
        <f>IFERROR(T150/I150,0)</f>
        <v/>
      </c>
    </row>
    <row r="151" hidden="1" ht="14.25" customHeight="1" s="83">
      <c r="A151" s="125" t="n"/>
      <c r="B151" s="103" t="n"/>
      <c r="C151" s="170">
        <f>IFERROR(_xlfn.XLOOKUP(B151,DormRegistry[Dorm Name],DormRegistry[Ownership Type]),"")</f>
        <v/>
      </c>
      <c r="D151" s="170">
        <f>IFERROR(_xlfn.XLOOKUP(B151,DormRegistry[Dorm Name],DormRegistry[Bed Capacity]),0)</f>
        <v/>
      </c>
      <c r="E151" s="130">
        <f>IF(A151="","",$B$6*(1+$B$8)^(YEAR(A151)-YEAR(StartDate)))</f>
        <v/>
      </c>
      <c r="F151" s="105">
        <f>$B$7</f>
        <v/>
      </c>
      <c r="G151" s="105">
        <f>$B$8</f>
        <v/>
      </c>
      <c r="H151" s="130">
        <f>IFERROR(D151*E151,0)</f>
        <v/>
      </c>
      <c r="I151" s="130" t="n"/>
      <c r="J151" s="130">
        <f>IFERROR(D151*F151*E151,0)</f>
        <v/>
      </c>
      <c r="K151" s="104" t="n"/>
      <c r="L151" s="104" t="n"/>
      <c r="M151" s="104" t="n"/>
      <c r="N151" s="104" t="n"/>
      <c r="O151" s="104" t="n"/>
      <c r="P151" s="104" t="n"/>
      <c r="Q151" s="104" t="n"/>
      <c r="R151" s="130">
        <f>IF(C151="Owned",0,IF(B151&lt;&gt;"",2500,0))</f>
        <v/>
      </c>
      <c r="S151" s="130">
        <f>SUM(K151:R151)</f>
        <v/>
      </c>
      <c r="T151" s="130">
        <f>I151-S151</f>
        <v/>
      </c>
      <c r="U151" s="105">
        <f>IFERROR(T151/I151,0)</f>
        <v/>
      </c>
    </row>
    <row r="152" hidden="1" ht="14.25" customHeight="1" s="83">
      <c r="A152" s="125" t="n"/>
      <c r="B152" s="103" t="n"/>
      <c r="C152" s="170">
        <f>IFERROR(_xlfn.XLOOKUP(B152,DormRegistry[Dorm Name],DormRegistry[Ownership Type]),"")</f>
        <v/>
      </c>
      <c r="D152" s="170">
        <f>IFERROR(_xlfn.XLOOKUP(B152,DormRegistry[Dorm Name],DormRegistry[Bed Capacity]),0)</f>
        <v/>
      </c>
      <c r="E152" s="130">
        <f>IF(A152="","",$B$6*(1+$B$8)^(YEAR(A152)-YEAR(StartDate)))</f>
        <v/>
      </c>
      <c r="F152" s="105">
        <f>$B$7</f>
        <v/>
      </c>
      <c r="G152" s="105">
        <f>$B$8</f>
        <v/>
      </c>
      <c r="H152" s="130">
        <f>IFERROR(D152*E152,0)</f>
        <v/>
      </c>
      <c r="I152" s="130" t="n"/>
      <c r="J152" s="130">
        <f>IFERROR(D152*F152*E152,0)</f>
        <v/>
      </c>
      <c r="K152" s="104" t="n"/>
      <c r="L152" s="104" t="n"/>
      <c r="M152" s="104" t="n"/>
      <c r="N152" s="104" t="n"/>
      <c r="O152" s="104" t="n"/>
      <c r="P152" s="104" t="n"/>
      <c r="Q152" s="104" t="n"/>
      <c r="R152" s="130">
        <f>IF(C152="Owned",0,IF(B152&lt;&gt;"",2500,0))</f>
        <v/>
      </c>
      <c r="S152" s="130">
        <f>SUM(K152:R152)</f>
        <v/>
      </c>
      <c r="T152" s="130">
        <f>I152-S152</f>
        <v/>
      </c>
      <c r="U152" s="105">
        <f>IFERROR(T152/I152,0)</f>
        <v/>
      </c>
    </row>
    <row r="153" hidden="1" ht="14.25" customHeight="1" s="83">
      <c r="A153" s="125" t="n"/>
      <c r="B153" s="103" t="n"/>
      <c r="C153" s="170">
        <f>IFERROR(_xlfn.XLOOKUP(B153,DormRegistry[Dorm Name],DormRegistry[Ownership Type]),"")</f>
        <v/>
      </c>
      <c r="D153" s="170">
        <f>IFERROR(_xlfn.XLOOKUP(B153,DormRegistry[Dorm Name],DormRegistry[Bed Capacity]),0)</f>
        <v/>
      </c>
      <c r="E153" s="130">
        <f>IF(A153="","",$B$6*(1+$B$8)^(YEAR(A153)-YEAR(StartDate)))</f>
        <v/>
      </c>
      <c r="F153" s="105">
        <f>$B$7</f>
        <v/>
      </c>
      <c r="G153" s="105">
        <f>$B$8</f>
        <v/>
      </c>
      <c r="H153" s="130">
        <f>IFERROR(D153*E153,0)</f>
        <v/>
      </c>
      <c r="I153" s="130" t="n"/>
      <c r="J153" s="130">
        <f>IFERROR(D153*F153*E153,0)</f>
        <v/>
      </c>
      <c r="K153" s="104" t="n"/>
      <c r="L153" s="104" t="n"/>
      <c r="M153" s="104" t="n"/>
      <c r="N153" s="104" t="n"/>
      <c r="O153" s="104" t="n"/>
      <c r="P153" s="104" t="n"/>
      <c r="Q153" s="104" t="n"/>
      <c r="R153" s="130">
        <f>IF(C153="Owned",0,IF(B153&lt;&gt;"",2500,0))</f>
        <v/>
      </c>
      <c r="S153" s="130">
        <f>SUM(K153:R153)</f>
        <v/>
      </c>
      <c r="T153" s="130">
        <f>I153-S153</f>
        <v/>
      </c>
      <c r="U153" s="105">
        <f>IFERROR(T153/I153,0)</f>
        <v/>
      </c>
    </row>
    <row r="154" hidden="1" ht="14.25" customHeight="1" s="83">
      <c r="A154" s="125" t="n"/>
      <c r="B154" s="103" t="n"/>
      <c r="C154" s="170">
        <f>IFERROR(_xlfn.XLOOKUP(B154,DormRegistry[Dorm Name],DormRegistry[Ownership Type]),"")</f>
        <v/>
      </c>
      <c r="D154" s="170">
        <f>IFERROR(_xlfn.XLOOKUP(B154,DormRegistry[Dorm Name],DormRegistry[Bed Capacity]),0)</f>
        <v/>
      </c>
      <c r="E154" s="130">
        <f>IF(A154="","",$B$6*(1+$B$8)^(YEAR(A154)-YEAR(StartDate)))</f>
        <v/>
      </c>
      <c r="F154" s="105">
        <f>$B$7</f>
        <v/>
      </c>
      <c r="G154" s="105">
        <f>$B$8</f>
        <v/>
      </c>
      <c r="H154" s="130">
        <f>IFERROR(D154*E154,0)</f>
        <v/>
      </c>
      <c r="I154" s="130" t="n"/>
      <c r="J154" s="130">
        <f>IFERROR(D154*F154*E154,0)</f>
        <v/>
      </c>
      <c r="K154" s="104" t="n"/>
      <c r="L154" s="104" t="n"/>
      <c r="M154" s="104" t="n"/>
      <c r="N154" s="104" t="n"/>
      <c r="O154" s="104" t="n"/>
      <c r="P154" s="104" t="n"/>
      <c r="Q154" s="104" t="n"/>
      <c r="R154" s="130">
        <f>IF(C154="Owned",0,IF(B154&lt;&gt;"",2500,0))</f>
        <v/>
      </c>
      <c r="S154" s="130">
        <f>SUM(K154:R154)</f>
        <v/>
      </c>
      <c r="T154" s="130">
        <f>I154-S154</f>
        <v/>
      </c>
      <c r="U154" s="105">
        <f>IFERROR(T154/I154,0)</f>
        <v/>
      </c>
    </row>
    <row r="155" hidden="1" ht="14.25" customHeight="1" s="83">
      <c r="A155" s="125" t="n"/>
      <c r="B155" s="103" t="n"/>
      <c r="C155" s="170">
        <f>IFERROR(_xlfn.XLOOKUP(B155,DormRegistry[Dorm Name],DormRegistry[Ownership Type]),"")</f>
        <v/>
      </c>
      <c r="D155" s="170">
        <f>IFERROR(_xlfn.XLOOKUP(B155,DormRegistry[Dorm Name],DormRegistry[Bed Capacity]),0)</f>
        <v/>
      </c>
      <c r="E155" s="130">
        <f>IF(A155="","",$B$6*(1+$B$8)^(YEAR(A155)-YEAR(StartDate)))</f>
        <v/>
      </c>
      <c r="F155" s="105">
        <f>$B$7</f>
        <v/>
      </c>
      <c r="G155" s="105">
        <f>$B$8</f>
        <v/>
      </c>
      <c r="H155" s="130">
        <f>IFERROR(D155*E155,0)</f>
        <v/>
      </c>
      <c r="I155" s="130" t="n"/>
      <c r="J155" s="130">
        <f>IFERROR(D155*F155*E155,0)</f>
        <v/>
      </c>
      <c r="K155" s="104" t="n"/>
      <c r="L155" s="104" t="n"/>
      <c r="M155" s="104" t="n"/>
      <c r="N155" s="104" t="n"/>
      <c r="O155" s="104" t="n"/>
      <c r="P155" s="104" t="n"/>
      <c r="Q155" s="104" t="n"/>
      <c r="R155" s="130">
        <f>IF(C155="Owned",0,IF(B155&lt;&gt;"",2500,0))</f>
        <v/>
      </c>
      <c r="S155" s="130">
        <f>SUM(K155:R155)</f>
        <v/>
      </c>
      <c r="T155" s="130">
        <f>I155-S155</f>
        <v/>
      </c>
      <c r="U155" s="105">
        <f>IFERROR(T155/I155,0)</f>
        <v/>
      </c>
    </row>
    <row r="156" hidden="1" ht="14.25" customHeight="1" s="83">
      <c r="A156" s="125" t="n"/>
      <c r="B156" s="103" t="n"/>
      <c r="C156" s="170">
        <f>IFERROR(_xlfn.XLOOKUP(B156,DormRegistry[Dorm Name],DormRegistry[Ownership Type]),"")</f>
        <v/>
      </c>
      <c r="D156" s="170">
        <f>IFERROR(_xlfn.XLOOKUP(B156,DormRegistry[Dorm Name],DormRegistry[Bed Capacity]),0)</f>
        <v/>
      </c>
      <c r="E156" s="130">
        <f>IF(A156="","",$B$6*(1+$B$8)^(YEAR(A156)-YEAR(StartDate)))</f>
        <v/>
      </c>
      <c r="F156" s="105">
        <f>$B$7</f>
        <v/>
      </c>
      <c r="G156" s="105">
        <f>$B$8</f>
        <v/>
      </c>
      <c r="H156" s="130">
        <f>IFERROR(D156*E156,0)</f>
        <v/>
      </c>
      <c r="I156" s="130" t="n"/>
      <c r="J156" s="130">
        <f>IFERROR(D156*F156*E156,0)</f>
        <v/>
      </c>
      <c r="K156" s="104" t="n"/>
      <c r="L156" s="104" t="n"/>
      <c r="M156" s="104" t="n"/>
      <c r="N156" s="104" t="n"/>
      <c r="O156" s="104" t="n"/>
      <c r="P156" s="104" t="n"/>
      <c r="Q156" s="104" t="n"/>
      <c r="R156" s="130">
        <f>IF(C156="Owned",0,IF(B156&lt;&gt;"",2500,0))</f>
        <v/>
      </c>
      <c r="S156" s="130">
        <f>SUM(K156:R156)</f>
        <v/>
      </c>
      <c r="T156" s="130">
        <f>I156-S156</f>
        <v/>
      </c>
      <c r="U156" s="105">
        <f>IFERROR(T156/I156,0)</f>
        <v/>
      </c>
    </row>
    <row r="157" hidden="1" ht="14.25" customHeight="1" s="83">
      <c r="A157" s="125" t="n"/>
      <c r="B157" s="103" t="n"/>
      <c r="C157" s="170">
        <f>IFERROR(_xlfn.XLOOKUP(B157,DormRegistry[Dorm Name],DormRegistry[Ownership Type]),"")</f>
        <v/>
      </c>
      <c r="D157" s="170">
        <f>IFERROR(_xlfn.XLOOKUP(B157,DormRegistry[Dorm Name],DormRegistry[Bed Capacity]),0)</f>
        <v/>
      </c>
      <c r="E157" s="130">
        <f>IF(A157="","",$B$6*(1+$B$8)^(YEAR(A157)-YEAR(StartDate)))</f>
        <v/>
      </c>
      <c r="F157" s="105">
        <f>$B$7</f>
        <v/>
      </c>
      <c r="G157" s="105">
        <f>$B$8</f>
        <v/>
      </c>
      <c r="H157" s="130">
        <f>IFERROR(D157*E157,0)</f>
        <v/>
      </c>
      <c r="I157" s="130" t="n"/>
      <c r="J157" s="130">
        <f>IFERROR(D157*F157*E157,0)</f>
        <v/>
      </c>
      <c r="K157" s="104" t="n"/>
      <c r="L157" s="104" t="n"/>
      <c r="M157" s="104" t="n"/>
      <c r="N157" s="104" t="n"/>
      <c r="O157" s="104" t="n"/>
      <c r="P157" s="104" t="n"/>
      <c r="Q157" s="104" t="n"/>
      <c r="R157" s="130">
        <f>IF(C157="Owned",0,IF(B157&lt;&gt;"",2500,0))</f>
        <v/>
      </c>
      <c r="S157" s="130">
        <f>SUM(K157:R157)</f>
        <v/>
      </c>
      <c r="T157" s="130">
        <f>I157-S157</f>
        <v/>
      </c>
      <c r="U157" s="105">
        <f>IFERROR(T157/I157,0)</f>
        <v/>
      </c>
    </row>
    <row r="158" hidden="1" ht="14.25" customHeight="1" s="83">
      <c r="A158" s="125" t="n"/>
      <c r="B158" s="103" t="n"/>
      <c r="C158" s="170">
        <f>IFERROR(_xlfn.XLOOKUP(B158,DormRegistry[Dorm Name],DormRegistry[Ownership Type]),"")</f>
        <v/>
      </c>
      <c r="D158" s="170">
        <f>IFERROR(_xlfn.XLOOKUP(B158,DormRegistry[Dorm Name],DormRegistry[Bed Capacity]),0)</f>
        <v/>
      </c>
      <c r="E158" s="130">
        <f>IF(A158="","",$B$6*(1+$B$8)^(YEAR(A158)-YEAR(StartDate)))</f>
        <v/>
      </c>
      <c r="F158" s="105">
        <f>$B$7</f>
        <v/>
      </c>
      <c r="G158" s="105">
        <f>$B$8</f>
        <v/>
      </c>
      <c r="H158" s="130">
        <f>IFERROR(D158*E158,0)</f>
        <v/>
      </c>
      <c r="I158" s="130" t="n"/>
      <c r="J158" s="130">
        <f>IFERROR(D158*F158*E158,0)</f>
        <v/>
      </c>
      <c r="K158" s="104" t="n"/>
      <c r="L158" s="104" t="n"/>
      <c r="M158" s="104" t="n"/>
      <c r="N158" s="104" t="n"/>
      <c r="O158" s="104" t="n"/>
      <c r="P158" s="104" t="n"/>
      <c r="Q158" s="104" t="n"/>
      <c r="R158" s="130">
        <f>IF(C158="Owned",0,IF(B158&lt;&gt;"",2500,0))</f>
        <v/>
      </c>
      <c r="S158" s="130">
        <f>SUM(K158:R158)</f>
        <v/>
      </c>
      <c r="T158" s="130">
        <f>I158-S158</f>
        <v/>
      </c>
      <c r="U158" s="105">
        <f>IFERROR(T158/I158,0)</f>
        <v/>
      </c>
    </row>
    <row r="159" hidden="1" ht="14.25" customHeight="1" s="83">
      <c r="A159" s="125" t="n"/>
      <c r="B159" s="103" t="n"/>
      <c r="C159" s="170">
        <f>IFERROR(_xlfn.XLOOKUP(B159,DormRegistry[Dorm Name],DormRegistry[Ownership Type]),"")</f>
        <v/>
      </c>
      <c r="D159" s="170">
        <f>IFERROR(_xlfn.XLOOKUP(B159,DormRegistry[Dorm Name],DormRegistry[Bed Capacity]),0)</f>
        <v/>
      </c>
      <c r="E159" s="130">
        <f>IF(A159="","",$B$6*(1+$B$8)^(YEAR(A159)-YEAR(StartDate)))</f>
        <v/>
      </c>
      <c r="F159" s="105">
        <f>$B$7</f>
        <v/>
      </c>
      <c r="G159" s="105">
        <f>$B$8</f>
        <v/>
      </c>
      <c r="H159" s="130">
        <f>IFERROR(D159*E159,0)</f>
        <v/>
      </c>
      <c r="I159" s="130" t="n"/>
      <c r="J159" s="130">
        <f>IFERROR(D159*F159*E159,0)</f>
        <v/>
      </c>
      <c r="K159" s="104" t="n"/>
      <c r="L159" s="104" t="n"/>
      <c r="M159" s="104" t="n"/>
      <c r="N159" s="104" t="n"/>
      <c r="O159" s="104" t="n"/>
      <c r="P159" s="104" t="n"/>
      <c r="Q159" s="104" t="n"/>
      <c r="R159" s="130">
        <f>IF(C159="Owned",0,IF(B159&lt;&gt;"",2500,0))</f>
        <v/>
      </c>
      <c r="S159" s="130">
        <f>SUM(K159:R159)</f>
        <v/>
      </c>
      <c r="T159" s="130">
        <f>I159-S159</f>
        <v/>
      </c>
      <c r="U159" s="105">
        <f>IFERROR(T159/I159,0)</f>
        <v/>
      </c>
    </row>
    <row r="160" hidden="1" ht="14.25" customHeight="1" s="83">
      <c r="A160" s="125" t="n"/>
      <c r="B160" s="103" t="n"/>
      <c r="C160" s="170">
        <f>IFERROR(_xlfn.XLOOKUP(B160,DormRegistry[Dorm Name],DormRegistry[Ownership Type]),"")</f>
        <v/>
      </c>
      <c r="D160" s="170">
        <f>IFERROR(_xlfn.XLOOKUP(B160,DormRegistry[Dorm Name],DormRegistry[Bed Capacity]),0)</f>
        <v/>
      </c>
      <c r="E160" s="130">
        <f>IF(A160="","",$B$6*(1+$B$8)^(YEAR(A160)-YEAR(StartDate)))</f>
        <v/>
      </c>
      <c r="F160" s="105">
        <f>$B$7</f>
        <v/>
      </c>
      <c r="G160" s="105">
        <f>$B$8</f>
        <v/>
      </c>
      <c r="H160" s="130">
        <f>IFERROR(D160*E160,0)</f>
        <v/>
      </c>
      <c r="I160" s="130" t="n"/>
      <c r="J160" s="130">
        <f>IFERROR(D160*F160*E160,0)</f>
        <v/>
      </c>
      <c r="K160" s="104" t="n"/>
      <c r="L160" s="104" t="n"/>
      <c r="M160" s="104" t="n"/>
      <c r="N160" s="104" t="n"/>
      <c r="O160" s="104" t="n"/>
      <c r="P160" s="104" t="n"/>
      <c r="Q160" s="104" t="n"/>
      <c r="R160" s="130">
        <f>IF(C160="Owned",0,IF(B160&lt;&gt;"",2500,0))</f>
        <v/>
      </c>
      <c r="S160" s="130">
        <f>SUM(K160:R160)</f>
        <v/>
      </c>
      <c r="T160" s="130">
        <f>I160-S160</f>
        <v/>
      </c>
      <c r="U160" s="105">
        <f>IFERROR(T160/I160,0)</f>
        <v/>
      </c>
    </row>
    <row r="161" hidden="1" ht="14.25" customHeight="1" s="83">
      <c r="A161" s="125" t="n"/>
      <c r="B161" s="103" t="n"/>
      <c r="C161" s="170">
        <f>IFERROR(_xlfn.XLOOKUP(B161,DormRegistry[Dorm Name],DormRegistry[Ownership Type]),"")</f>
        <v/>
      </c>
      <c r="D161" s="170">
        <f>IFERROR(_xlfn.XLOOKUP(B161,DormRegistry[Dorm Name],DormRegistry[Bed Capacity]),0)</f>
        <v/>
      </c>
      <c r="E161" s="130">
        <f>IF(A161="","",$B$6*(1+$B$8)^(YEAR(A161)-YEAR(StartDate)))</f>
        <v/>
      </c>
      <c r="F161" s="105">
        <f>$B$7</f>
        <v/>
      </c>
      <c r="G161" s="105">
        <f>$B$8</f>
        <v/>
      </c>
      <c r="H161" s="130">
        <f>IFERROR(D161*E161,0)</f>
        <v/>
      </c>
      <c r="I161" s="130" t="n"/>
      <c r="J161" s="130">
        <f>IFERROR(D161*F161*E161,0)</f>
        <v/>
      </c>
      <c r="K161" s="104" t="n"/>
      <c r="L161" s="104" t="n"/>
      <c r="M161" s="104" t="n"/>
      <c r="N161" s="104" t="n"/>
      <c r="O161" s="104" t="n"/>
      <c r="P161" s="104" t="n"/>
      <c r="Q161" s="104" t="n"/>
      <c r="R161" s="130">
        <f>IF(C161="Owned",0,IF(B161&lt;&gt;"",2500,0))</f>
        <v/>
      </c>
      <c r="S161" s="130">
        <f>SUM(K161:R161)</f>
        <v/>
      </c>
      <c r="T161" s="130">
        <f>I161-S161</f>
        <v/>
      </c>
      <c r="U161" s="105">
        <f>IFERROR(T161/I161,0)</f>
        <v/>
      </c>
    </row>
    <row r="162" hidden="1" ht="14.25" customHeight="1" s="83">
      <c r="A162" s="125" t="n"/>
      <c r="B162" s="103" t="n"/>
      <c r="C162" s="170">
        <f>IFERROR(_xlfn.XLOOKUP(B162,DormRegistry[Dorm Name],DormRegistry[Ownership Type]),"")</f>
        <v/>
      </c>
      <c r="D162" s="170">
        <f>IFERROR(_xlfn.XLOOKUP(B162,DormRegistry[Dorm Name],DormRegistry[Bed Capacity]),0)</f>
        <v/>
      </c>
      <c r="E162" s="130">
        <f>IF(A162="","",$B$6*(1+$B$8)^(YEAR(A162)-YEAR(StartDate)))</f>
        <v/>
      </c>
      <c r="F162" s="105">
        <f>$B$7</f>
        <v/>
      </c>
      <c r="G162" s="105">
        <f>$B$8</f>
        <v/>
      </c>
      <c r="H162" s="130">
        <f>IFERROR(D162*E162,0)</f>
        <v/>
      </c>
      <c r="I162" s="130" t="n"/>
      <c r="J162" s="130">
        <f>IFERROR(D162*F162*E162,0)</f>
        <v/>
      </c>
      <c r="K162" s="104" t="n"/>
      <c r="L162" s="104" t="n"/>
      <c r="M162" s="104" t="n"/>
      <c r="N162" s="104" t="n"/>
      <c r="O162" s="104" t="n"/>
      <c r="P162" s="104" t="n"/>
      <c r="Q162" s="104" t="n"/>
      <c r="R162" s="130">
        <f>IF(C162="Owned",0,IF(B162&lt;&gt;"",2500,0))</f>
        <v/>
      </c>
      <c r="S162" s="130">
        <f>SUM(K162:R162)</f>
        <v/>
      </c>
      <c r="T162" s="130">
        <f>I162-S162</f>
        <v/>
      </c>
      <c r="U162" s="105">
        <f>IFERROR(T162/I162,0)</f>
        <v/>
      </c>
    </row>
    <row r="163" hidden="1" ht="14.25" customHeight="1" s="83">
      <c r="A163" s="125" t="n"/>
      <c r="B163" s="103" t="n"/>
      <c r="C163" s="170">
        <f>IFERROR(_xlfn.XLOOKUP(B163,DormRegistry[Dorm Name],DormRegistry[Ownership Type]),"")</f>
        <v/>
      </c>
      <c r="D163" s="170">
        <f>IFERROR(_xlfn.XLOOKUP(B163,DormRegistry[Dorm Name],DormRegistry[Bed Capacity]),0)</f>
        <v/>
      </c>
      <c r="E163" s="130">
        <f>IF(A163="","",$B$6*(1+$B$8)^(YEAR(A163)-YEAR(StartDate)))</f>
        <v/>
      </c>
      <c r="F163" s="105">
        <f>$B$7</f>
        <v/>
      </c>
      <c r="G163" s="105">
        <f>$B$8</f>
        <v/>
      </c>
      <c r="H163" s="130">
        <f>IFERROR(D163*E163,0)</f>
        <v/>
      </c>
      <c r="I163" s="130" t="n"/>
      <c r="J163" s="130">
        <f>IFERROR(D163*F163*E163,0)</f>
        <v/>
      </c>
      <c r="K163" s="104" t="n"/>
      <c r="L163" s="104" t="n"/>
      <c r="M163" s="104" t="n"/>
      <c r="N163" s="104" t="n"/>
      <c r="O163" s="104" t="n"/>
      <c r="P163" s="104" t="n"/>
      <c r="Q163" s="104" t="n"/>
      <c r="R163" s="130">
        <f>IF(C163="Owned",0,IF(B163&lt;&gt;"",2500,0))</f>
        <v/>
      </c>
      <c r="S163" s="130">
        <f>SUM(K163:R163)</f>
        <v/>
      </c>
      <c r="T163" s="130">
        <f>I163-S163</f>
        <v/>
      </c>
      <c r="U163" s="105">
        <f>IFERROR(T163/I163,0)</f>
        <v/>
      </c>
    </row>
    <row r="164" hidden="1" ht="14.25" customHeight="1" s="83">
      <c r="A164" s="125" t="n"/>
      <c r="B164" s="103" t="n"/>
      <c r="C164" s="170">
        <f>IFERROR(_xlfn.XLOOKUP(B164,DormRegistry[Dorm Name],DormRegistry[Ownership Type]),"")</f>
        <v/>
      </c>
      <c r="D164" s="170">
        <f>IFERROR(_xlfn.XLOOKUP(B164,DormRegistry[Dorm Name],DormRegistry[Bed Capacity]),0)</f>
        <v/>
      </c>
      <c r="E164" s="130">
        <f>IF(A164="","",$B$6*(1+$B$8)^(YEAR(A164)-YEAR(StartDate)))</f>
        <v/>
      </c>
      <c r="F164" s="105">
        <f>$B$7</f>
        <v/>
      </c>
      <c r="G164" s="105">
        <f>$B$8</f>
        <v/>
      </c>
      <c r="H164" s="130">
        <f>IFERROR(D164*E164,0)</f>
        <v/>
      </c>
      <c r="I164" s="130" t="n"/>
      <c r="J164" s="130">
        <f>IFERROR(D164*F164*E164,0)</f>
        <v/>
      </c>
      <c r="K164" s="104" t="n"/>
      <c r="L164" s="104" t="n"/>
      <c r="M164" s="104" t="n"/>
      <c r="N164" s="104" t="n"/>
      <c r="O164" s="104" t="n"/>
      <c r="P164" s="104" t="n"/>
      <c r="Q164" s="104" t="n"/>
      <c r="R164" s="130">
        <f>IF(C164="Owned",0,IF(B164&lt;&gt;"",2500,0))</f>
        <v/>
      </c>
      <c r="S164" s="130">
        <f>SUM(K164:R164)</f>
        <v/>
      </c>
      <c r="T164" s="130">
        <f>I164-S164</f>
        <v/>
      </c>
      <c r="U164" s="105">
        <f>IFERROR(T164/I164,0)</f>
        <v/>
      </c>
    </row>
    <row r="165" hidden="1" ht="14.25" customHeight="1" s="83">
      <c r="A165" s="125" t="n"/>
      <c r="B165" s="103" t="n"/>
      <c r="C165" s="170">
        <f>IFERROR(_xlfn.XLOOKUP(B165,DormRegistry[Dorm Name],DormRegistry[Ownership Type]),"")</f>
        <v/>
      </c>
      <c r="D165" s="170">
        <f>IFERROR(_xlfn.XLOOKUP(B165,DormRegistry[Dorm Name],DormRegistry[Bed Capacity]),0)</f>
        <v/>
      </c>
      <c r="E165" s="130">
        <f>IF(A165="","",$B$6*(1+$B$8)^(YEAR(A165)-YEAR(StartDate)))</f>
        <v/>
      </c>
      <c r="F165" s="105">
        <f>$B$7</f>
        <v/>
      </c>
      <c r="G165" s="105">
        <f>$B$8</f>
        <v/>
      </c>
      <c r="H165" s="130">
        <f>IFERROR(D165*E165,0)</f>
        <v/>
      </c>
      <c r="I165" s="130" t="n"/>
      <c r="J165" s="130">
        <f>IFERROR(D165*F165*E165,0)</f>
        <v/>
      </c>
      <c r="K165" s="104" t="n"/>
      <c r="L165" s="104" t="n"/>
      <c r="M165" s="104" t="n"/>
      <c r="N165" s="104" t="n"/>
      <c r="O165" s="104" t="n"/>
      <c r="P165" s="104" t="n"/>
      <c r="Q165" s="104" t="n"/>
      <c r="R165" s="130">
        <f>IF(C165="Owned",0,IF(B165&lt;&gt;"",2500,0))</f>
        <v/>
      </c>
      <c r="S165" s="130">
        <f>SUM(K165:R165)</f>
        <v/>
      </c>
      <c r="T165" s="130">
        <f>I165-S165</f>
        <v/>
      </c>
      <c r="U165" s="105">
        <f>IFERROR(T165/I165,0)</f>
        <v/>
      </c>
    </row>
    <row r="166" hidden="1" ht="14.25" customHeight="1" s="83">
      <c r="A166" s="125" t="n"/>
      <c r="B166" s="103" t="n"/>
      <c r="C166" s="170">
        <f>IFERROR(_xlfn.XLOOKUP(B166,DormRegistry[Dorm Name],DormRegistry[Ownership Type]),"")</f>
        <v/>
      </c>
      <c r="D166" s="170">
        <f>IFERROR(_xlfn.XLOOKUP(B166,DormRegistry[Dorm Name],DormRegistry[Bed Capacity]),0)</f>
        <v/>
      </c>
      <c r="E166" s="130">
        <f>IF(A166="","",$B$6*(1+$B$8)^(YEAR(A166)-YEAR(StartDate)))</f>
        <v/>
      </c>
      <c r="F166" s="105">
        <f>$B$7</f>
        <v/>
      </c>
      <c r="G166" s="105">
        <f>$B$8</f>
        <v/>
      </c>
      <c r="H166" s="130">
        <f>IFERROR(D166*E166,0)</f>
        <v/>
      </c>
      <c r="I166" s="130" t="n"/>
      <c r="J166" s="130">
        <f>IFERROR(D166*F166*E166,0)</f>
        <v/>
      </c>
      <c r="K166" s="104" t="n"/>
      <c r="L166" s="104" t="n"/>
      <c r="M166" s="104" t="n"/>
      <c r="N166" s="104" t="n"/>
      <c r="O166" s="104" t="n"/>
      <c r="P166" s="104" t="n"/>
      <c r="Q166" s="104" t="n"/>
      <c r="R166" s="130">
        <f>IF(C166="Owned",0,IF(B166&lt;&gt;"",2500,0))</f>
        <v/>
      </c>
      <c r="S166" s="130">
        <f>SUM(K166:R166)</f>
        <v/>
      </c>
      <c r="T166" s="130">
        <f>I166-S166</f>
        <v/>
      </c>
      <c r="U166" s="105">
        <f>IFERROR(T166/I166,0)</f>
        <v/>
      </c>
    </row>
    <row r="167" hidden="1" ht="14.25" customHeight="1" s="83">
      <c r="A167" s="125" t="n"/>
      <c r="B167" s="103" t="n"/>
      <c r="C167" s="170">
        <f>IFERROR(_xlfn.XLOOKUP(B167,DormRegistry[Dorm Name],DormRegistry[Ownership Type]),"")</f>
        <v/>
      </c>
      <c r="D167" s="170">
        <f>IFERROR(_xlfn.XLOOKUP(B167,DormRegistry[Dorm Name],DormRegistry[Bed Capacity]),0)</f>
        <v/>
      </c>
      <c r="E167" s="130">
        <f>IF(A167="","",$B$6*(1+$B$8)^(YEAR(A167)-YEAR(StartDate)))</f>
        <v/>
      </c>
      <c r="F167" s="105">
        <f>$B$7</f>
        <v/>
      </c>
      <c r="G167" s="105">
        <f>$B$8</f>
        <v/>
      </c>
      <c r="H167" s="130">
        <f>IFERROR(D167*E167,0)</f>
        <v/>
      </c>
      <c r="I167" s="130" t="n"/>
      <c r="J167" s="130">
        <f>IFERROR(D167*F167*E167,0)</f>
        <v/>
      </c>
      <c r="K167" s="104" t="n"/>
      <c r="L167" s="104" t="n"/>
      <c r="M167" s="104" t="n"/>
      <c r="N167" s="104" t="n"/>
      <c r="O167" s="104" t="n"/>
      <c r="P167" s="104" t="n"/>
      <c r="Q167" s="104" t="n"/>
      <c r="R167" s="130">
        <f>IF(C167="Owned",0,IF(B167&lt;&gt;"",2500,0))</f>
        <v/>
      </c>
      <c r="S167" s="130">
        <f>SUM(K167:R167)</f>
        <v/>
      </c>
      <c r="T167" s="130">
        <f>I167-S167</f>
        <v/>
      </c>
      <c r="U167" s="105">
        <f>IFERROR(T167/I167,0)</f>
        <v/>
      </c>
    </row>
    <row r="168" hidden="1" ht="14.25" customHeight="1" s="83">
      <c r="A168" s="125" t="n"/>
      <c r="B168" s="103" t="n"/>
      <c r="C168" s="170">
        <f>IFERROR(_xlfn.XLOOKUP(B168,DormRegistry[Dorm Name],DormRegistry[Ownership Type]),"")</f>
        <v/>
      </c>
      <c r="D168" s="170">
        <f>IFERROR(_xlfn.XLOOKUP(B168,DormRegistry[Dorm Name],DormRegistry[Bed Capacity]),0)</f>
        <v/>
      </c>
      <c r="E168" s="130">
        <f>IF(A168="","",$B$6*(1+$B$8)^(YEAR(A168)-YEAR(StartDate)))</f>
        <v/>
      </c>
      <c r="F168" s="105">
        <f>$B$7</f>
        <v/>
      </c>
      <c r="G168" s="105">
        <f>$B$8</f>
        <v/>
      </c>
      <c r="H168" s="130">
        <f>IFERROR(D168*E168,0)</f>
        <v/>
      </c>
      <c r="I168" s="130" t="n"/>
      <c r="J168" s="130">
        <f>IFERROR(D168*F168*E168,0)</f>
        <v/>
      </c>
      <c r="K168" s="104" t="n"/>
      <c r="L168" s="104" t="n"/>
      <c r="M168" s="104" t="n"/>
      <c r="N168" s="104" t="n"/>
      <c r="O168" s="104" t="n"/>
      <c r="P168" s="104" t="n"/>
      <c r="Q168" s="104" t="n"/>
      <c r="R168" s="130">
        <f>IF(C168="Owned",0,IF(B168&lt;&gt;"",2500,0))</f>
        <v/>
      </c>
      <c r="S168" s="130">
        <f>SUM(K168:R168)</f>
        <v/>
      </c>
      <c r="T168" s="130">
        <f>I168-S168</f>
        <v/>
      </c>
      <c r="U168" s="105">
        <f>IFERROR(T168/I168,0)</f>
        <v/>
      </c>
    </row>
    <row r="169" hidden="1" ht="14.25" customHeight="1" s="83">
      <c r="A169" s="125" t="n"/>
      <c r="B169" s="103" t="n"/>
      <c r="C169" s="170">
        <f>IFERROR(_xlfn.XLOOKUP(B169,DormRegistry[Dorm Name],DormRegistry[Ownership Type]),"")</f>
        <v/>
      </c>
      <c r="D169" s="170">
        <f>IFERROR(_xlfn.XLOOKUP(B169,DormRegistry[Dorm Name],DormRegistry[Bed Capacity]),0)</f>
        <v/>
      </c>
      <c r="E169" s="130">
        <f>IF(A169="","",$B$6*(1+$B$8)^(YEAR(A169)-YEAR(StartDate)))</f>
        <v/>
      </c>
      <c r="F169" s="105">
        <f>$B$7</f>
        <v/>
      </c>
      <c r="G169" s="105">
        <f>$B$8</f>
        <v/>
      </c>
      <c r="H169" s="130">
        <f>IFERROR(D169*E169,0)</f>
        <v/>
      </c>
      <c r="I169" s="130" t="n"/>
      <c r="J169" s="130">
        <f>IFERROR(D169*F169*E169,0)</f>
        <v/>
      </c>
      <c r="K169" s="104" t="n"/>
      <c r="L169" s="104" t="n"/>
      <c r="M169" s="104" t="n"/>
      <c r="N169" s="104" t="n"/>
      <c r="O169" s="104" t="n"/>
      <c r="P169" s="104" t="n"/>
      <c r="Q169" s="104" t="n"/>
      <c r="R169" s="130">
        <f>IF(C169="Owned",0,IF(B169&lt;&gt;"",2500,0))</f>
        <v/>
      </c>
      <c r="S169" s="130">
        <f>SUM(K169:R169)</f>
        <v/>
      </c>
      <c r="T169" s="130">
        <f>I169-S169</f>
        <v/>
      </c>
      <c r="U169" s="105">
        <f>IFERROR(T169/I169,0)</f>
        <v/>
      </c>
    </row>
    <row r="170" hidden="1" ht="14.25" customHeight="1" s="83">
      <c r="A170" s="125" t="n"/>
      <c r="B170" s="103" t="n"/>
      <c r="C170" s="170">
        <f>IFERROR(_xlfn.XLOOKUP(B170,DormRegistry[Dorm Name],DormRegistry[Ownership Type]),"")</f>
        <v/>
      </c>
      <c r="D170" s="170">
        <f>IFERROR(_xlfn.XLOOKUP(B170,DormRegistry[Dorm Name],DormRegistry[Bed Capacity]),0)</f>
        <v/>
      </c>
      <c r="E170" s="130">
        <f>IF(A170="","",$B$6*(1+$B$8)^(YEAR(A170)-YEAR(StartDate)))</f>
        <v/>
      </c>
      <c r="F170" s="105">
        <f>$B$7</f>
        <v/>
      </c>
      <c r="G170" s="105">
        <f>$B$8</f>
        <v/>
      </c>
      <c r="H170" s="130">
        <f>IFERROR(D170*E170,0)</f>
        <v/>
      </c>
      <c r="I170" s="130" t="n"/>
      <c r="J170" s="130">
        <f>IFERROR(D170*F170*E170,0)</f>
        <v/>
      </c>
      <c r="K170" s="104" t="n"/>
      <c r="L170" s="104" t="n"/>
      <c r="M170" s="104" t="n"/>
      <c r="N170" s="104" t="n"/>
      <c r="O170" s="104" t="n"/>
      <c r="P170" s="104" t="n"/>
      <c r="Q170" s="104" t="n"/>
      <c r="R170" s="130">
        <f>IF(C170="Owned",0,IF(B170&lt;&gt;"",2500,0))</f>
        <v/>
      </c>
      <c r="S170" s="130">
        <f>SUM(K170:R170)</f>
        <v/>
      </c>
      <c r="T170" s="130">
        <f>I170-S170</f>
        <v/>
      </c>
      <c r="U170" s="105">
        <f>IFERROR(T170/I170,0)</f>
        <v/>
      </c>
    </row>
    <row r="171" hidden="1" ht="14.25" customHeight="1" s="83">
      <c r="A171" s="125" t="n"/>
      <c r="B171" s="103" t="n"/>
      <c r="C171" s="170">
        <f>IFERROR(_xlfn.XLOOKUP(B171,DormRegistry[Dorm Name],DormRegistry[Ownership Type]),"")</f>
        <v/>
      </c>
      <c r="D171" s="170">
        <f>IFERROR(_xlfn.XLOOKUP(B171,DormRegistry[Dorm Name],DormRegistry[Bed Capacity]),0)</f>
        <v/>
      </c>
      <c r="E171" s="130">
        <f>IF(A171="","",$B$6*(1+$B$8)^(YEAR(A171)-YEAR(StartDate)))</f>
        <v/>
      </c>
      <c r="F171" s="105">
        <f>$B$7</f>
        <v/>
      </c>
      <c r="G171" s="105">
        <f>$B$8</f>
        <v/>
      </c>
      <c r="H171" s="130">
        <f>IFERROR(D171*E171,0)</f>
        <v/>
      </c>
      <c r="I171" s="130" t="n"/>
      <c r="J171" s="130">
        <f>IFERROR(D171*F171*E171,0)</f>
        <v/>
      </c>
      <c r="K171" s="104" t="n"/>
      <c r="L171" s="104" t="n"/>
      <c r="M171" s="104" t="n"/>
      <c r="N171" s="104" t="n"/>
      <c r="O171" s="104" t="n"/>
      <c r="P171" s="104" t="n"/>
      <c r="Q171" s="104" t="n"/>
      <c r="R171" s="130">
        <f>IF(C171="Owned",0,IF(B171&lt;&gt;"",2500,0))</f>
        <v/>
      </c>
      <c r="S171" s="130">
        <f>SUM(K171:R171)</f>
        <v/>
      </c>
      <c r="T171" s="130">
        <f>I171-S171</f>
        <v/>
      </c>
      <c r="U171" s="105">
        <f>IFERROR(T171/I171,0)</f>
        <v/>
      </c>
    </row>
    <row r="172" hidden="1" ht="14.25" customHeight="1" s="83">
      <c r="A172" s="125" t="n"/>
      <c r="B172" s="103" t="n"/>
      <c r="C172" s="170">
        <f>IFERROR(_xlfn.XLOOKUP(B172,DormRegistry[Dorm Name],DormRegistry[Ownership Type]),"")</f>
        <v/>
      </c>
      <c r="D172" s="170">
        <f>IFERROR(_xlfn.XLOOKUP(B172,DormRegistry[Dorm Name],DormRegistry[Bed Capacity]),0)</f>
        <v/>
      </c>
      <c r="E172" s="130">
        <f>IF(A172="","",$B$6*(1+$B$8)^(YEAR(A172)-YEAR(StartDate)))</f>
        <v/>
      </c>
      <c r="F172" s="105">
        <f>$B$7</f>
        <v/>
      </c>
      <c r="G172" s="105">
        <f>$B$8</f>
        <v/>
      </c>
      <c r="H172" s="130">
        <f>IFERROR(D172*E172,0)</f>
        <v/>
      </c>
      <c r="I172" s="130" t="n"/>
      <c r="J172" s="130">
        <f>IFERROR(D172*F172*E172,0)</f>
        <v/>
      </c>
      <c r="K172" s="104" t="n"/>
      <c r="L172" s="104" t="n"/>
      <c r="M172" s="104" t="n"/>
      <c r="N172" s="104" t="n"/>
      <c r="O172" s="104" t="n"/>
      <c r="P172" s="104" t="n"/>
      <c r="Q172" s="104" t="n"/>
      <c r="R172" s="130">
        <f>IF(C172="Owned",0,IF(B172&lt;&gt;"",2500,0))</f>
        <v/>
      </c>
      <c r="S172" s="130">
        <f>SUM(K172:R172)</f>
        <v/>
      </c>
      <c r="T172" s="130">
        <f>I172-S172</f>
        <v/>
      </c>
      <c r="U172" s="105">
        <f>IFERROR(T172/I172,0)</f>
        <v/>
      </c>
    </row>
    <row r="173" hidden="1" ht="14.25" customHeight="1" s="83">
      <c r="A173" s="125" t="n"/>
      <c r="B173" s="103" t="n"/>
      <c r="C173" s="170">
        <f>IFERROR(_xlfn.XLOOKUP(B173,DormRegistry[Dorm Name],DormRegistry[Ownership Type]),"")</f>
        <v/>
      </c>
      <c r="D173" s="170">
        <f>IFERROR(_xlfn.XLOOKUP(B173,DormRegistry[Dorm Name],DormRegistry[Bed Capacity]),0)</f>
        <v/>
      </c>
      <c r="E173" s="130">
        <f>IF(A173="","",$B$6*(1+$B$8)^(YEAR(A173)-YEAR(StartDate)))</f>
        <v/>
      </c>
      <c r="F173" s="105">
        <f>$B$7</f>
        <v/>
      </c>
      <c r="G173" s="105">
        <f>$B$8</f>
        <v/>
      </c>
      <c r="H173" s="130">
        <f>IFERROR(D173*E173,0)</f>
        <v/>
      </c>
      <c r="I173" s="130" t="n"/>
      <c r="J173" s="130">
        <f>IFERROR(D173*F173*E173,0)</f>
        <v/>
      </c>
      <c r="K173" s="104" t="n"/>
      <c r="L173" s="104" t="n"/>
      <c r="M173" s="104" t="n"/>
      <c r="N173" s="104" t="n"/>
      <c r="O173" s="104" t="n"/>
      <c r="P173" s="104" t="n"/>
      <c r="Q173" s="104" t="n"/>
      <c r="R173" s="130">
        <f>IF(C173="Owned",0,IF(B173&lt;&gt;"",2500,0))</f>
        <v/>
      </c>
      <c r="S173" s="130">
        <f>SUM(K173:R173)</f>
        <v/>
      </c>
      <c r="T173" s="130">
        <f>I173-S173</f>
        <v/>
      </c>
      <c r="U173" s="105">
        <f>IFERROR(T173/I173,0)</f>
        <v/>
      </c>
    </row>
    <row r="174" hidden="1" ht="14.25" customHeight="1" s="83">
      <c r="A174" s="125" t="n"/>
      <c r="B174" s="103" t="n"/>
      <c r="C174" s="170">
        <f>IFERROR(_xlfn.XLOOKUP(B174,DormRegistry[Dorm Name],DormRegistry[Ownership Type]),"")</f>
        <v/>
      </c>
      <c r="D174" s="170">
        <f>IFERROR(_xlfn.XLOOKUP(B174,DormRegistry[Dorm Name],DormRegistry[Bed Capacity]),0)</f>
        <v/>
      </c>
      <c r="E174" s="130">
        <f>IF(A174="","",$B$6*(1+$B$8)^(YEAR(A174)-YEAR(StartDate)))</f>
        <v/>
      </c>
      <c r="F174" s="105">
        <f>$B$7</f>
        <v/>
      </c>
      <c r="G174" s="105">
        <f>$B$8</f>
        <v/>
      </c>
      <c r="H174" s="130">
        <f>IFERROR(D174*E174,0)</f>
        <v/>
      </c>
      <c r="I174" s="130" t="n"/>
      <c r="J174" s="130">
        <f>IFERROR(D174*F174*E174,0)</f>
        <v/>
      </c>
      <c r="K174" s="104" t="n"/>
      <c r="L174" s="104" t="n"/>
      <c r="M174" s="104" t="n"/>
      <c r="N174" s="104" t="n"/>
      <c r="O174" s="104" t="n"/>
      <c r="P174" s="104" t="n"/>
      <c r="Q174" s="104" t="n"/>
      <c r="R174" s="130">
        <f>IF(C174="Owned",0,IF(B174&lt;&gt;"",2500,0))</f>
        <v/>
      </c>
      <c r="S174" s="130">
        <f>SUM(K174:R174)</f>
        <v/>
      </c>
      <c r="T174" s="130">
        <f>I174-S174</f>
        <v/>
      </c>
      <c r="U174" s="105">
        <f>IFERROR(T174/I174,0)</f>
        <v/>
      </c>
    </row>
    <row r="175" hidden="1" ht="14.25" customHeight="1" s="83">
      <c r="A175" s="125" t="n"/>
      <c r="B175" s="103" t="n"/>
      <c r="C175" s="170">
        <f>IFERROR(_xlfn.XLOOKUP(B175,DormRegistry[Dorm Name],DormRegistry[Ownership Type]),"")</f>
        <v/>
      </c>
      <c r="D175" s="170">
        <f>IFERROR(_xlfn.XLOOKUP(B175,DormRegistry[Dorm Name],DormRegistry[Bed Capacity]),0)</f>
        <v/>
      </c>
      <c r="E175" s="130">
        <f>IF(A175="","",$B$6*(1+$B$8)^(YEAR(A175)-YEAR(StartDate)))</f>
        <v/>
      </c>
      <c r="F175" s="105">
        <f>$B$7</f>
        <v/>
      </c>
      <c r="G175" s="105">
        <f>$B$8</f>
        <v/>
      </c>
      <c r="H175" s="130">
        <f>IFERROR(D175*E175,0)</f>
        <v/>
      </c>
      <c r="I175" s="130" t="n"/>
      <c r="J175" s="130">
        <f>IFERROR(D175*F175*E175,0)</f>
        <v/>
      </c>
      <c r="K175" s="104" t="n"/>
      <c r="L175" s="104" t="n"/>
      <c r="M175" s="104" t="n"/>
      <c r="N175" s="104" t="n"/>
      <c r="O175" s="104" t="n"/>
      <c r="P175" s="104" t="n"/>
      <c r="Q175" s="104" t="n"/>
      <c r="R175" s="130">
        <f>IF(C175="Owned",0,IF(B175&lt;&gt;"",2500,0))</f>
        <v/>
      </c>
      <c r="S175" s="130">
        <f>SUM(K175:R175)</f>
        <v/>
      </c>
      <c r="T175" s="130">
        <f>I175-S175</f>
        <v/>
      </c>
      <c r="U175" s="105">
        <f>IFERROR(T175/I175,0)</f>
        <v/>
      </c>
    </row>
    <row r="176" hidden="1" ht="14.25" customHeight="1" s="83">
      <c r="A176" s="125" t="n"/>
      <c r="B176" s="103" t="n"/>
      <c r="C176" s="170">
        <f>IFERROR(_xlfn.XLOOKUP(B176,DormRegistry[Dorm Name],DormRegistry[Ownership Type]),"")</f>
        <v/>
      </c>
      <c r="D176" s="170">
        <f>IFERROR(_xlfn.XLOOKUP(B176,DormRegistry[Dorm Name],DormRegistry[Bed Capacity]),0)</f>
        <v/>
      </c>
      <c r="E176" s="130">
        <f>IF(A176="","",$B$6*(1+$B$8)^(YEAR(A176)-YEAR(StartDate)))</f>
        <v/>
      </c>
      <c r="F176" s="105">
        <f>$B$7</f>
        <v/>
      </c>
      <c r="G176" s="105">
        <f>$B$8</f>
        <v/>
      </c>
      <c r="H176" s="130">
        <f>IFERROR(D176*E176,0)</f>
        <v/>
      </c>
      <c r="I176" s="130" t="n"/>
      <c r="J176" s="130">
        <f>IFERROR(D176*F176*E176,0)</f>
        <v/>
      </c>
      <c r="K176" s="104" t="n"/>
      <c r="L176" s="104" t="n"/>
      <c r="M176" s="104" t="n"/>
      <c r="N176" s="104" t="n"/>
      <c r="O176" s="104" t="n"/>
      <c r="P176" s="104" t="n"/>
      <c r="Q176" s="104" t="n"/>
      <c r="R176" s="130">
        <f>IF(C176="Owned",0,IF(B176&lt;&gt;"",2500,0))</f>
        <v/>
      </c>
      <c r="S176" s="130">
        <f>SUM(K176:R176)</f>
        <v/>
      </c>
      <c r="T176" s="130">
        <f>I176-S176</f>
        <v/>
      </c>
      <c r="U176" s="105">
        <f>IFERROR(T176/I176,0)</f>
        <v/>
      </c>
    </row>
    <row r="177" hidden="1" ht="14.25" customHeight="1" s="83">
      <c r="A177" s="125" t="n"/>
      <c r="B177" s="103" t="n"/>
      <c r="C177" s="170">
        <f>IFERROR(_xlfn.XLOOKUP(B177,DormRegistry[Dorm Name],DormRegistry[Ownership Type]),"")</f>
        <v/>
      </c>
      <c r="D177" s="170">
        <f>IFERROR(_xlfn.XLOOKUP(B177,DormRegistry[Dorm Name],DormRegistry[Bed Capacity]),0)</f>
        <v/>
      </c>
      <c r="E177" s="130">
        <f>IF(A177="","",$B$6*(1+$B$8)^(YEAR(A177)-YEAR(StartDate)))</f>
        <v/>
      </c>
      <c r="F177" s="105">
        <f>$B$7</f>
        <v/>
      </c>
      <c r="G177" s="105">
        <f>$B$8</f>
        <v/>
      </c>
      <c r="H177" s="130">
        <f>IFERROR(D177*E177,0)</f>
        <v/>
      </c>
      <c r="I177" s="130" t="n"/>
      <c r="J177" s="130">
        <f>IFERROR(D177*F177*E177,0)</f>
        <v/>
      </c>
      <c r="K177" s="104" t="n"/>
      <c r="L177" s="104" t="n"/>
      <c r="M177" s="104" t="n"/>
      <c r="N177" s="104" t="n"/>
      <c r="O177" s="104" t="n"/>
      <c r="P177" s="104" t="n"/>
      <c r="Q177" s="104" t="n"/>
      <c r="R177" s="130">
        <f>IF(C177="Owned",0,IF(B177&lt;&gt;"",2500,0))</f>
        <v/>
      </c>
      <c r="S177" s="130">
        <f>SUM(K177:R177)</f>
        <v/>
      </c>
      <c r="T177" s="130">
        <f>I177-S177</f>
        <v/>
      </c>
      <c r="U177" s="105">
        <f>IFERROR(T177/I177,0)</f>
        <v/>
      </c>
    </row>
    <row r="178" hidden="1" ht="14.25" customHeight="1" s="83">
      <c r="A178" s="125" t="n"/>
      <c r="B178" s="103" t="n"/>
      <c r="C178" s="170">
        <f>IFERROR(_xlfn.XLOOKUP(B178,DormRegistry[Dorm Name],DormRegistry[Ownership Type]),"")</f>
        <v/>
      </c>
      <c r="D178" s="170">
        <f>IFERROR(_xlfn.XLOOKUP(B178,DormRegistry[Dorm Name],DormRegistry[Bed Capacity]),0)</f>
        <v/>
      </c>
      <c r="E178" s="130">
        <f>IF(A178="","",$B$6*(1+$B$8)^(YEAR(A178)-YEAR(StartDate)))</f>
        <v/>
      </c>
      <c r="F178" s="105">
        <f>$B$7</f>
        <v/>
      </c>
      <c r="G178" s="105">
        <f>$B$8</f>
        <v/>
      </c>
      <c r="H178" s="130">
        <f>IFERROR(D178*E178,0)</f>
        <v/>
      </c>
      <c r="I178" s="130" t="n"/>
      <c r="J178" s="130">
        <f>IFERROR(D178*F178*E178,0)</f>
        <v/>
      </c>
      <c r="K178" s="104" t="n"/>
      <c r="L178" s="104" t="n"/>
      <c r="M178" s="104" t="n"/>
      <c r="N178" s="104" t="n"/>
      <c r="O178" s="104" t="n"/>
      <c r="P178" s="104" t="n"/>
      <c r="Q178" s="104" t="n"/>
      <c r="R178" s="130">
        <f>IF(C178="Owned",0,IF(B178&lt;&gt;"",2500,0))</f>
        <v/>
      </c>
      <c r="S178" s="130">
        <f>SUM(K178:R178)</f>
        <v/>
      </c>
      <c r="T178" s="130">
        <f>I178-S178</f>
        <v/>
      </c>
      <c r="U178" s="105">
        <f>IFERROR(T178/I178,0)</f>
        <v/>
      </c>
    </row>
    <row r="179" hidden="1" ht="14.25" customHeight="1" s="83">
      <c r="A179" s="125" t="n"/>
      <c r="B179" s="103" t="n"/>
      <c r="C179" s="170">
        <f>IFERROR(_xlfn.XLOOKUP(B179,DormRegistry[Dorm Name],DormRegistry[Ownership Type]),"")</f>
        <v/>
      </c>
      <c r="D179" s="170">
        <f>IFERROR(_xlfn.XLOOKUP(B179,DormRegistry[Dorm Name],DormRegistry[Bed Capacity]),0)</f>
        <v/>
      </c>
      <c r="E179" s="130">
        <f>IF(A179="","",$B$6*(1+$B$8)^(YEAR(A179)-YEAR(StartDate)))</f>
        <v/>
      </c>
      <c r="F179" s="105">
        <f>$B$7</f>
        <v/>
      </c>
      <c r="G179" s="105">
        <f>$B$8</f>
        <v/>
      </c>
      <c r="H179" s="130">
        <f>IFERROR(D179*E179,0)</f>
        <v/>
      </c>
      <c r="I179" s="130" t="n"/>
      <c r="J179" s="130">
        <f>IFERROR(D179*F179*E179,0)</f>
        <v/>
      </c>
      <c r="K179" s="104" t="n"/>
      <c r="L179" s="104" t="n"/>
      <c r="M179" s="104" t="n"/>
      <c r="N179" s="104" t="n"/>
      <c r="O179" s="104" t="n"/>
      <c r="P179" s="104" t="n"/>
      <c r="Q179" s="104" t="n"/>
      <c r="R179" s="130">
        <f>IF(C179="Owned",0,IF(B179&lt;&gt;"",2500,0))</f>
        <v/>
      </c>
      <c r="S179" s="130">
        <f>SUM(K179:R179)</f>
        <v/>
      </c>
      <c r="T179" s="130">
        <f>I179-S179</f>
        <v/>
      </c>
      <c r="U179" s="105">
        <f>IFERROR(T179/I179,0)</f>
        <v/>
      </c>
    </row>
    <row r="180" hidden="1" ht="14.25" customHeight="1" s="83">
      <c r="A180" s="125" t="n"/>
      <c r="B180" s="103" t="n"/>
      <c r="C180" s="170">
        <f>IFERROR(_xlfn.XLOOKUP(B180,DormRegistry[Dorm Name],DormRegistry[Ownership Type]),"")</f>
        <v/>
      </c>
      <c r="D180" s="170">
        <f>IFERROR(_xlfn.XLOOKUP(B180,DormRegistry[Dorm Name],DormRegistry[Bed Capacity]),0)</f>
        <v/>
      </c>
      <c r="E180" s="130">
        <f>IF(A180="","",$B$6*(1+$B$8)^(YEAR(A180)-YEAR(StartDate)))</f>
        <v/>
      </c>
      <c r="F180" s="105">
        <f>$B$7</f>
        <v/>
      </c>
      <c r="G180" s="105">
        <f>$B$8</f>
        <v/>
      </c>
      <c r="H180" s="130">
        <f>IFERROR(D180*E180,0)</f>
        <v/>
      </c>
      <c r="I180" s="130" t="n"/>
      <c r="J180" s="130">
        <f>IFERROR(D180*F180*E180,0)</f>
        <v/>
      </c>
      <c r="K180" s="104" t="n"/>
      <c r="L180" s="104" t="n"/>
      <c r="M180" s="104" t="n"/>
      <c r="N180" s="104" t="n"/>
      <c r="O180" s="104" t="n"/>
      <c r="P180" s="104" t="n"/>
      <c r="Q180" s="104" t="n"/>
      <c r="R180" s="130">
        <f>IF(C180="Owned",0,IF(B180&lt;&gt;"",2500,0))</f>
        <v/>
      </c>
      <c r="S180" s="130">
        <f>SUM(K180:R180)</f>
        <v/>
      </c>
      <c r="T180" s="130">
        <f>I180-S180</f>
        <v/>
      </c>
      <c r="U180" s="105">
        <f>IFERROR(T180/I180,0)</f>
        <v/>
      </c>
    </row>
    <row r="181" hidden="1" ht="14.25" customHeight="1" s="83">
      <c r="A181" s="125" t="n"/>
      <c r="B181" s="103" t="n"/>
      <c r="C181" s="170">
        <f>IFERROR(_xlfn.XLOOKUP(B181,DormRegistry[Dorm Name],DormRegistry[Ownership Type]),"")</f>
        <v/>
      </c>
      <c r="D181" s="170">
        <f>IFERROR(_xlfn.XLOOKUP(B181,DormRegistry[Dorm Name],DormRegistry[Bed Capacity]),0)</f>
        <v/>
      </c>
      <c r="E181" s="130">
        <f>IF(A181="","",$B$6*(1+$B$8)^(YEAR(A181)-YEAR(StartDate)))</f>
        <v/>
      </c>
      <c r="F181" s="105">
        <f>$B$7</f>
        <v/>
      </c>
      <c r="G181" s="105">
        <f>$B$8</f>
        <v/>
      </c>
      <c r="H181" s="130">
        <f>IFERROR(D181*E181,0)</f>
        <v/>
      </c>
      <c r="I181" s="130" t="n"/>
      <c r="J181" s="130">
        <f>IFERROR(D181*F181*E181,0)</f>
        <v/>
      </c>
      <c r="K181" s="104" t="n"/>
      <c r="L181" s="104" t="n"/>
      <c r="M181" s="104" t="n"/>
      <c r="N181" s="104" t="n"/>
      <c r="O181" s="104" t="n"/>
      <c r="P181" s="104" t="n"/>
      <c r="Q181" s="104" t="n"/>
      <c r="R181" s="130">
        <f>IF(C181="Owned",0,IF(B181&lt;&gt;"",2500,0))</f>
        <v/>
      </c>
      <c r="S181" s="130">
        <f>SUM(K181:R181)</f>
        <v/>
      </c>
      <c r="T181" s="130">
        <f>I181-S181</f>
        <v/>
      </c>
      <c r="U181" s="105">
        <f>IFERROR(T181/I181,0)</f>
        <v/>
      </c>
    </row>
    <row r="182" hidden="1" ht="14.25" customHeight="1" s="83">
      <c r="A182" s="125" t="n"/>
      <c r="B182" s="103" t="n"/>
      <c r="C182" s="170">
        <f>IFERROR(_xlfn.XLOOKUP(B182,DormRegistry[Dorm Name],DormRegistry[Ownership Type]),"")</f>
        <v/>
      </c>
      <c r="D182" s="170">
        <f>IFERROR(_xlfn.XLOOKUP(B182,DormRegistry[Dorm Name],DormRegistry[Bed Capacity]),0)</f>
        <v/>
      </c>
      <c r="E182" s="130">
        <f>IF(A182="","",$B$6*(1+$B$8)^(YEAR(A182)-YEAR(StartDate)))</f>
        <v/>
      </c>
      <c r="F182" s="105">
        <f>$B$7</f>
        <v/>
      </c>
      <c r="G182" s="105">
        <f>$B$8</f>
        <v/>
      </c>
      <c r="H182" s="130">
        <f>IFERROR(D182*E182,0)</f>
        <v/>
      </c>
      <c r="I182" s="130" t="n"/>
      <c r="J182" s="130">
        <f>IFERROR(D182*F182*E182,0)</f>
        <v/>
      </c>
      <c r="K182" s="104" t="n"/>
      <c r="L182" s="104" t="n"/>
      <c r="M182" s="104" t="n"/>
      <c r="N182" s="104" t="n"/>
      <c r="O182" s="104" t="n"/>
      <c r="P182" s="104" t="n"/>
      <c r="Q182" s="104" t="n"/>
      <c r="R182" s="130">
        <f>IF(C182="Owned",0,IF(B182&lt;&gt;"",2500,0))</f>
        <v/>
      </c>
      <c r="S182" s="130">
        <f>SUM(K182:R182)</f>
        <v/>
      </c>
      <c r="T182" s="130">
        <f>I182-S182</f>
        <v/>
      </c>
      <c r="U182" s="105">
        <f>IFERROR(T182/I182,0)</f>
        <v/>
      </c>
    </row>
    <row r="183" hidden="1" ht="14.25" customHeight="1" s="83">
      <c r="A183" s="125" t="n"/>
      <c r="B183" s="103" t="n"/>
      <c r="C183" s="170">
        <f>IFERROR(_xlfn.XLOOKUP(B183,DormRegistry[Dorm Name],DormRegistry[Ownership Type]),"")</f>
        <v/>
      </c>
      <c r="D183" s="170">
        <f>IFERROR(_xlfn.XLOOKUP(B183,DormRegistry[Dorm Name],DormRegistry[Bed Capacity]),0)</f>
        <v/>
      </c>
      <c r="E183" s="130">
        <f>IF(A183="","",$B$6*(1+$B$8)^(YEAR(A183)-YEAR(StartDate)))</f>
        <v/>
      </c>
      <c r="F183" s="105">
        <f>$B$7</f>
        <v/>
      </c>
      <c r="G183" s="105">
        <f>$B$8</f>
        <v/>
      </c>
      <c r="H183" s="130">
        <f>IFERROR(D183*E183,0)</f>
        <v/>
      </c>
      <c r="I183" s="130" t="n"/>
      <c r="J183" s="130">
        <f>IFERROR(D183*F183*E183,0)</f>
        <v/>
      </c>
      <c r="K183" s="104" t="n"/>
      <c r="L183" s="104" t="n"/>
      <c r="M183" s="104" t="n"/>
      <c r="N183" s="104" t="n"/>
      <c r="O183" s="104" t="n"/>
      <c r="P183" s="104" t="n"/>
      <c r="Q183" s="104" t="n"/>
      <c r="R183" s="130">
        <f>IF(C183="Owned",0,IF(B183&lt;&gt;"",2500,0))</f>
        <v/>
      </c>
      <c r="S183" s="130">
        <f>SUM(K183:R183)</f>
        <v/>
      </c>
      <c r="T183" s="130">
        <f>I183-S183</f>
        <v/>
      </c>
      <c r="U183" s="105">
        <f>IFERROR(T183/I183,0)</f>
        <v/>
      </c>
    </row>
    <row r="184" hidden="1" ht="14.25" customHeight="1" s="83">
      <c r="A184" s="125" t="n"/>
      <c r="B184" s="103" t="n"/>
      <c r="C184" s="170">
        <f>IFERROR(_xlfn.XLOOKUP(B184,DormRegistry[Dorm Name],DormRegistry[Ownership Type]),"")</f>
        <v/>
      </c>
      <c r="D184" s="170">
        <f>IFERROR(_xlfn.XLOOKUP(B184,DormRegistry[Dorm Name],DormRegistry[Bed Capacity]),0)</f>
        <v/>
      </c>
      <c r="E184" s="130">
        <f>IF(A184="","",$B$6*(1+$B$8)^(YEAR(A184)-YEAR(StartDate)))</f>
        <v/>
      </c>
      <c r="F184" s="105">
        <f>$B$7</f>
        <v/>
      </c>
      <c r="G184" s="105">
        <f>$B$8</f>
        <v/>
      </c>
      <c r="H184" s="130">
        <f>IFERROR(D184*E184,0)</f>
        <v/>
      </c>
      <c r="I184" s="130" t="n"/>
      <c r="J184" s="130">
        <f>IFERROR(D184*F184*E184,0)</f>
        <v/>
      </c>
      <c r="K184" s="104" t="n"/>
      <c r="L184" s="104" t="n"/>
      <c r="M184" s="104" t="n"/>
      <c r="N184" s="104" t="n"/>
      <c r="O184" s="104" t="n"/>
      <c r="P184" s="104" t="n"/>
      <c r="Q184" s="104" t="n"/>
      <c r="R184" s="130">
        <f>IF(C184="Owned",0,IF(B184&lt;&gt;"",2500,0))</f>
        <v/>
      </c>
      <c r="S184" s="130">
        <f>SUM(K184:R184)</f>
        <v/>
      </c>
      <c r="T184" s="130">
        <f>I184-S184</f>
        <v/>
      </c>
      <c r="U184" s="105">
        <f>IFERROR(T184/I184,0)</f>
        <v/>
      </c>
    </row>
    <row r="185" hidden="1" ht="14.25" customHeight="1" s="83">
      <c r="A185" s="125" t="n"/>
      <c r="B185" s="103" t="n"/>
      <c r="C185" s="170">
        <f>IFERROR(_xlfn.XLOOKUP(B185,DormRegistry[Dorm Name],DormRegistry[Ownership Type]),"")</f>
        <v/>
      </c>
      <c r="D185" s="170">
        <f>IFERROR(_xlfn.XLOOKUP(B185,DormRegistry[Dorm Name],DormRegistry[Bed Capacity]),0)</f>
        <v/>
      </c>
      <c r="E185" s="130">
        <f>IF(A185="","",$B$6*(1+$B$8)^(YEAR(A185)-YEAR(StartDate)))</f>
        <v/>
      </c>
      <c r="F185" s="105">
        <f>$B$7</f>
        <v/>
      </c>
      <c r="G185" s="105">
        <f>$B$8</f>
        <v/>
      </c>
      <c r="H185" s="130">
        <f>IFERROR(D185*E185,0)</f>
        <v/>
      </c>
      <c r="I185" s="130" t="n"/>
      <c r="J185" s="130">
        <f>IFERROR(D185*F185*E185,0)</f>
        <v/>
      </c>
      <c r="K185" s="104" t="n"/>
      <c r="L185" s="104" t="n"/>
      <c r="M185" s="104" t="n"/>
      <c r="N185" s="104" t="n"/>
      <c r="O185" s="104" t="n"/>
      <c r="P185" s="104" t="n"/>
      <c r="Q185" s="104" t="n"/>
      <c r="R185" s="130">
        <f>IF(C185="Owned",0,IF(B185&lt;&gt;"",2500,0))</f>
        <v/>
      </c>
      <c r="S185" s="130">
        <f>SUM(K185:R185)</f>
        <v/>
      </c>
      <c r="T185" s="130">
        <f>I185-S185</f>
        <v/>
      </c>
      <c r="U185" s="105">
        <f>IFERROR(T185/I185,0)</f>
        <v/>
      </c>
    </row>
    <row r="186" hidden="1" ht="14.25" customHeight="1" s="83">
      <c r="A186" s="125" t="n"/>
      <c r="B186" s="103" t="n"/>
      <c r="C186" s="170">
        <f>IFERROR(_xlfn.XLOOKUP(B186,DormRegistry[Dorm Name],DormRegistry[Ownership Type]),"")</f>
        <v/>
      </c>
      <c r="D186" s="170">
        <f>IFERROR(_xlfn.XLOOKUP(B186,DormRegistry[Dorm Name],DormRegistry[Bed Capacity]),0)</f>
        <v/>
      </c>
      <c r="E186" s="130">
        <f>IF(A186="","",$B$6*(1+$B$8)^(YEAR(A186)-YEAR(StartDate)))</f>
        <v/>
      </c>
      <c r="F186" s="105">
        <f>$B$7</f>
        <v/>
      </c>
      <c r="G186" s="105">
        <f>$B$8</f>
        <v/>
      </c>
      <c r="H186" s="130">
        <f>IFERROR(D186*E186,0)</f>
        <v/>
      </c>
      <c r="I186" s="130" t="n"/>
      <c r="J186" s="130">
        <f>IFERROR(D186*F186*E186,0)</f>
        <v/>
      </c>
      <c r="K186" s="104" t="n"/>
      <c r="L186" s="104" t="n"/>
      <c r="M186" s="104" t="n"/>
      <c r="N186" s="104" t="n"/>
      <c r="O186" s="104" t="n"/>
      <c r="P186" s="104" t="n"/>
      <c r="Q186" s="104" t="n"/>
      <c r="R186" s="130">
        <f>IF(C186="Owned",0,IF(B186&lt;&gt;"",2500,0))</f>
        <v/>
      </c>
      <c r="S186" s="130">
        <f>SUM(K186:R186)</f>
        <v/>
      </c>
      <c r="T186" s="130">
        <f>I186-S186</f>
        <v/>
      </c>
      <c r="U186" s="105">
        <f>IFERROR(T186/I186,0)</f>
        <v/>
      </c>
    </row>
    <row r="187" hidden="1" ht="14.25" customHeight="1" s="83">
      <c r="A187" s="125" t="n"/>
      <c r="B187" s="103" t="n"/>
      <c r="C187" s="170">
        <f>IFERROR(_xlfn.XLOOKUP(B187,DormRegistry[Dorm Name],DormRegistry[Ownership Type]),"")</f>
        <v/>
      </c>
      <c r="D187" s="170">
        <f>IFERROR(_xlfn.XLOOKUP(B187,DormRegistry[Dorm Name],DormRegistry[Bed Capacity]),0)</f>
        <v/>
      </c>
      <c r="E187" s="130">
        <f>IF(A187="","",$B$6*(1+$B$8)^(YEAR(A187)-YEAR(StartDate)))</f>
        <v/>
      </c>
      <c r="F187" s="105">
        <f>$B$7</f>
        <v/>
      </c>
      <c r="G187" s="105">
        <f>$B$8</f>
        <v/>
      </c>
      <c r="H187" s="130">
        <f>IFERROR(D187*E187,0)</f>
        <v/>
      </c>
      <c r="I187" s="130" t="n"/>
      <c r="J187" s="130">
        <f>IFERROR(D187*F187*E187,0)</f>
        <v/>
      </c>
      <c r="K187" s="104" t="n"/>
      <c r="L187" s="104" t="n"/>
      <c r="M187" s="104" t="n"/>
      <c r="N187" s="104" t="n"/>
      <c r="O187" s="104" t="n"/>
      <c r="P187" s="104" t="n"/>
      <c r="Q187" s="104" t="n"/>
      <c r="R187" s="130">
        <f>IF(C187="Owned",0,IF(B187&lt;&gt;"",2500,0))</f>
        <v/>
      </c>
      <c r="S187" s="130">
        <f>SUM(K187:R187)</f>
        <v/>
      </c>
      <c r="T187" s="130">
        <f>I187-S187</f>
        <v/>
      </c>
      <c r="U187" s="105">
        <f>IFERROR(T187/I187,0)</f>
        <v/>
      </c>
    </row>
    <row r="188" hidden="1" ht="14.25" customHeight="1" s="83">
      <c r="A188" s="125" t="n"/>
      <c r="B188" s="103" t="n"/>
      <c r="C188" s="170">
        <f>IFERROR(_xlfn.XLOOKUP(B188,DormRegistry[Dorm Name],DormRegistry[Ownership Type]),"")</f>
        <v/>
      </c>
      <c r="D188" s="170">
        <f>IFERROR(_xlfn.XLOOKUP(B188,DormRegistry[Dorm Name],DormRegistry[Bed Capacity]),0)</f>
        <v/>
      </c>
      <c r="E188" s="130">
        <f>IF(A188="","",$B$6*(1+$B$8)^(YEAR(A188)-YEAR(StartDate)))</f>
        <v/>
      </c>
      <c r="F188" s="105">
        <f>$B$7</f>
        <v/>
      </c>
      <c r="G188" s="105">
        <f>$B$8</f>
        <v/>
      </c>
      <c r="H188" s="130">
        <f>IFERROR(D188*E188,0)</f>
        <v/>
      </c>
      <c r="I188" s="130" t="n"/>
      <c r="J188" s="130">
        <f>IFERROR(D188*F188*E188,0)</f>
        <v/>
      </c>
      <c r="K188" s="104" t="n"/>
      <c r="L188" s="104" t="n"/>
      <c r="M188" s="104" t="n"/>
      <c r="N188" s="104" t="n"/>
      <c r="O188" s="104" t="n"/>
      <c r="P188" s="104" t="n"/>
      <c r="Q188" s="104" t="n"/>
      <c r="R188" s="130">
        <f>IF(C188="Owned",0,IF(B188&lt;&gt;"",2500,0))</f>
        <v/>
      </c>
      <c r="S188" s="130">
        <f>SUM(K188:R188)</f>
        <v/>
      </c>
      <c r="T188" s="130">
        <f>I188-S188</f>
        <v/>
      </c>
      <c r="U188" s="105">
        <f>IFERROR(T188/I188,0)</f>
        <v/>
      </c>
    </row>
    <row r="189" hidden="1" ht="14.25" customHeight="1" s="83">
      <c r="A189" s="125" t="n"/>
      <c r="B189" s="103" t="n"/>
      <c r="C189" s="170">
        <f>IFERROR(_xlfn.XLOOKUP(B189,DormRegistry[Dorm Name],DormRegistry[Ownership Type]),"")</f>
        <v/>
      </c>
      <c r="D189" s="170">
        <f>IFERROR(_xlfn.XLOOKUP(B189,DormRegistry[Dorm Name],DormRegistry[Bed Capacity]),0)</f>
        <v/>
      </c>
      <c r="E189" s="130">
        <f>IF(A189="","",$B$6*(1+$B$8)^(YEAR(A189)-YEAR(StartDate)))</f>
        <v/>
      </c>
      <c r="F189" s="105">
        <f>$B$7</f>
        <v/>
      </c>
      <c r="G189" s="105">
        <f>$B$8</f>
        <v/>
      </c>
      <c r="H189" s="130">
        <f>IFERROR(D189*E189,0)</f>
        <v/>
      </c>
      <c r="I189" s="130" t="n"/>
      <c r="J189" s="130">
        <f>IFERROR(D189*F189*E189,0)</f>
        <v/>
      </c>
      <c r="K189" s="104" t="n"/>
      <c r="L189" s="104" t="n"/>
      <c r="M189" s="104" t="n"/>
      <c r="N189" s="104" t="n"/>
      <c r="O189" s="104" t="n"/>
      <c r="P189" s="104" t="n"/>
      <c r="Q189" s="104" t="n"/>
      <c r="R189" s="130">
        <f>IF(C189="Owned",0,IF(B189&lt;&gt;"",2500,0))</f>
        <v/>
      </c>
      <c r="S189" s="130">
        <f>SUM(K189:R189)</f>
        <v/>
      </c>
      <c r="T189" s="130">
        <f>I189-S189</f>
        <v/>
      </c>
      <c r="U189" s="105">
        <f>IFERROR(T189/I189,0)</f>
        <v/>
      </c>
    </row>
    <row r="190" hidden="1" ht="14.25" customHeight="1" s="83">
      <c r="A190" s="125" t="n"/>
      <c r="B190" s="103" t="n"/>
      <c r="C190" s="170">
        <f>IFERROR(_xlfn.XLOOKUP(B190,DormRegistry[Dorm Name],DormRegistry[Ownership Type]),"")</f>
        <v/>
      </c>
      <c r="D190" s="170">
        <f>IFERROR(_xlfn.XLOOKUP(B190,DormRegistry[Dorm Name],DormRegistry[Bed Capacity]),0)</f>
        <v/>
      </c>
      <c r="E190" s="130">
        <f>IF(A190="","",$B$6*(1+$B$8)^(YEAR(A190)-YEAR(StartDate)))</f>
        <v/>
      </c>
      <c r="F190" s="105">
        <f>$B$7</f>
        <v/>
      </c>
      <c r="G190" s="105">
        <f>$B$8</f>
        <v/>
      </c>
      <c r="H190" s="130">
        <f>IFERROR(D190*E190,0)</f>
        <v/>
      </c>
      <c r="I190" s="130" t="n"/>
      <c r="J190" s="130">
        <f>IFERROR(D190*F190*E190,0)</f>
        <v/>
      </c>
      <c r="K190" s="104" t="n"/>
      <c r="L190" s="104" t="n"/>
      <c r="M190" s="104" t="n"/>
      <c r="N190" s="104" t="n"/>
      <c r="O190" s="104" t="n"/>
      <c r="P190" s="104" t="n"/>
      <c r="Q190" s="104" t="n"/>
      <c r="R190" s="130">
        <f>IF(C190="Owned",0,IF(B190&lt;&gt;"",2500,0))</f>
        <v/>
      </c>
      <c r="S190" s="130">
        <f>SUM(K190:R190)</f>
        <v/>
      </c>
      <c r="T190" s="130">
        <f>I190-S190</f>
        <v/>
      </c>
      <c r="U190" s="105">
        <f>IFERROR(T190/I190,0)</f>
        <v/>
      </c>
    </row>
    <row r="191" hidden="1" ht="14.25" customHeight="1" s="83">
      <c r="A191" s="125" t="n"/>
      <c r="B191" s="103" t="n"/>
      <c r="C191" s="170">
        <f>IFERROR(_xlfn.XLOOKUP(B191,DormRegistry[Dorm Name],DormRegistry[Ownership Type]),"")</f>
        <v/>
      </c>
      <c r="D191" s="170">
        <f>IFERROR(_xlfn.XLOOKUP(B191,DormRegistry[Dorm Name],DormRegistry[Bed Capacity]),0)</f>
        <v/>
      </c>
      <c r="E191" s="130">
        <f>IF(A191="","",$B$6*(1+$B$8)^(YEAR(A191)-YEAR(StartDate)))</f>
        <v/>
      </c>
      <c r="F191" s="105">
        <f>$B$7</f>
        <v/>
      </c>
      <c r="G191" s="105">
        <f>$B$8</f>
        <v/>
      </c>
      <c r="H191" s="130">
        <f>IFERROR(D191*E191,0)</f>
        <v/>
      </c>
      <c r="I191" s="130" t="n"/>
      <c r="J191" s="130">
        <f>IFERROR(D191*F191*E191,0)</f>
        <v/>
      </c>
      <c r="K191" s="104" t="n"/>
      <c r="L191" s="104" t="n"/>
      <c r="M191" s="104" t="n"/>
      <c r="N191" s="104" t="n"/>
      <c r="O191" s="104" t="n"/>
      <c r="P191" s="104" t="n"/>
      <c r="Q191" s="104" t="n"/>
      <c r="R191" s="130">
        <f>IF(C191="Owned",0,IF(B191&lt;&gt;"",2500,0))</f>
        <v/>
      </c>
      <c r="S191" s="130">
        <f>SUM(K191:R191)</f>
        <v/>
      </c>
      <c r="T191" s="130">
        <f>I191-S191</f>
        <v/>
      </c>
      <c r="U191" s="105">
        <f>IFERROR(T191/I191,0)</f>
        <v/>
      </c>
    </row>
    <row r="192" hidden="1" ht="14.25" customHeight="1" s="83">
      <c r="A192" s="125" t="n"/>
      <c r="B192" s="103" t="n"/>
      <c r="C192" s="170">
        <f>IFERROR(_xlfn.XLOOKUP(B192,DormRegistry[Dorm Name],DormRegistry[Ownership Type]),"")</f>
        <v/>
      </c>
      <c r="D192" s="170">
        <f>IFERROR(_xlfn.XLOOKUP(B192,DormRegistry[Dorm Name],DormRegistry[Bed Capacity]),0)</f>
        <v/>
      </c>
      <c r="E192" s="130">
        <f>IF(A192="","",$B$6*(1+$B$8)^(YEAR(A192)-YEAR(StartDate)))</f>
        <v/>
      </c>
      <c r="F192" s="105">
        <f>$B$7</f>
        <v/>
      </c>
      <c r="G192" s="105">
        <f>$B$8</f>
        <v/>
      </c>
      <c r="H192" s="130">
        <f>IFERROR(D192*E192,0)</f>
        <v/>
      </c>
      <c r="I192" s="130" t="n"/>
      <c r="J192" s="130">
        <f>IFERROR(D192*F192*E192,0)</f>
        <v/>
      </c>
      <c r="K192" s="104" t="n"/>
      <c r="L192" s="104" t="n"/>
      <c r="M192" s="104" t="n"/>
      <c r="N192" s="104" t="n"/>
      <c r="O192" s="104" t="n"/>
      <c r="P192" s="104" t="n"/>
      <c r="Q192" s="104" t="n"/>
      <c r="R192" s="130">
        <f>IF(C192="Owned",0,IF(B192&lt;&gt;"",2500,0))</f>
        <v/>
      </c>
      <c r="S192" s="130">
        <f>SUM(K192:R192)</f>
        <v/>
      </c>
      <c r="T192" s="130">
        <f>I192-S192</f>
        <v/>
      </c>
      <c r="U192" s="105">
        <f>IFERROR(T192/I192,0)</f>
        <v/>
      </c>
    </row>
    <row r="193" hidden="1" ht="14.25" customHeight="1" s="83">
      <c r="A193" s="125" t="n"/>
      <c r="B193" s="103" t="n"/>
      <c r="C193" s="170">
        <f>IFERROR(_xlfn.XLOOKUP(B193,DormRegistry[Dorm Name],DormRegistry[Ownership Type]),"")</f>
        <v/>
      </c>
      <c r="D193" s="170">
        <f>IFERROR(_xlfn.XLOOKUP(B193,DormRegistry[Dorm Name],DormRegistry[Bed Capacity]),0)</f>
        <v/>
      </c>
      <c r="E193" s="130">
        <f>IF(A193="","",$B$6*(1+$B$8)^(YEAR(A193)-YEAR(StartDate)))</f>
        <v/>
      </c>
      <c r="F193" s="105">
        <f>$B$7</f>
        <v/>
      </c>
      <c r="G193" s="105">
        <f>$B$8</f>
        <v/>
      </c>
      <c r="H193" s="130">
        <f>IFERROR(D193*E193,0)</f>
        <v/>
      </c>
      <c r="I193" s="130" t="n"/>
      <c r="J193" s="130">
        <f>IFERROR(D193*F193*E193,0)</f>
        <v/>
      </c>
      <c r="K193" s="104" t="n"/>
      <c r="L193" s="104" t="n"/>
      <c r="M193" s="104" t="n"/>
      <c r="N193" s="104" t="n"/>
      <c r="O193" s="104" t="n"/>
      <c r="P193" s="104" t="n"/>
      <c r="Q193" s="104" t="n"/>
      <c r="R193" s="130">
        <f>IF(C193="Owned",0,IF(B193&lt;&gt;"",2500,0))</f>
        <v/>
      </c>
      <c r="S193" s="130">
        <f>SUM(K193:R193)</f>
        <v/>
      </c>
      <c r="T193" s="130">
        <f>I193-S193</f>
        <v/>
      </c>
      <c r="U193" s="105">
        <f>IFERROR(T193/I193,0)</f>
        <v/>
      </c>
    </row>
    <row r="194" hidden="1" ht="14.25" customHeight="1" s="83">
      <c r="A194" s="125" t="n"/>
      <c r="B194" s="103" t="n"/>
      <c r="C194" s="170">
        <f>IFERROR(_xlfn.XLOOKUP(B194,DormRegistry[Dorm Name],DormRegistry[Ownership Type]),"")</f>
        <v/>
      </c>
      <c r="D194" s="170">
        <f>IFERROR(_xlfn.XLOOKUP(B194,DormRegistry[Dorm Name],DormRegistry[Bed Capacity]),0)</f>
        <v/>
      </c>
      <c r="E194" s="130">
        <f>IF(A194="","",$B$6*(1+$B$8)^(YEAR(A194)-YEAR(StartDate)))</f>
        <v/>
      </c>
      <c r="F194" s="105">
        <f>$B$7</f>
        <v/>
      </c>
      <c r="G194" s="105">
        <f>$B$8</f>
        <v/>
      </c>
      <c r="H194" s="130">
        <f>IFERROR(D194*E194,0)</f>
        <v/>
      </c>
      <c r="I194" s="130" t="n"/>
      <c r="J194" s="130">
        <f>IFERROR(D194*F194*E194,0)</f>
        <v/>
      </c>
      <c r="K194" s="104" t="n"/>
      <c r="L194" s="104" t="n"/>
      <c r="M194" s="104" t="n"/>
      <c r="N194" s="104" t="n"/>
      <c r="O194" s="104" t="n"/>
      <c r="P194" s="104" t="n"/>
      <c r="Q194" s="104" t="n"/>
      <c r="R194" s="130">
        <f>IF(C194="Owned",0,IF(B194&lt;&gt;"",2500,0))</f>
        <v/>
      </c>
      <c r="S194" s="130">
        <f>SUM(K194:R194)</f>
        <v/>
      </c>
      <c r="T194" s="130">
        <f>I194-S194</f>
        <v/>
      </c>
      <c r="U194" s="105">
        <f>IFERROR(T194/I194,0)</f>
        <v/>
      </c>
    </row>
    <row r="195" hidden="1" ht="14.25" customHeight="1" s="83">
      <c r="A195" s="125" t="n"/>
      <c r="B195" s="103" t="n"/>
      <c r="C195" s="170">
        <f>IFERROR(_xlfn.XLOOKUP(B195,DormRegistry[Dorm Name],DormRegistry[Ownership Type]),"")</f>
        <v/>
      </c>
      <c r="D195" s="170">
        <f>IFERROR(_xlfn.XLOOKUP(B195,DormRegistry[Dorm Name],DormRegistry[Bed Capacity]),0)</f>
        <v/>
      </c>
      <c r="E195" s="130">
        <f>IF(A195="","",$B$6*(1+$B$8)^(YEAR(A195)-YEAR(StartDate)))</f>
        <v/>
      </c>
      <c r="F195" s="105">
        <f>$B$7</f>
        <v/>
      </c>
      <c r="G195" s="105">
        <f>$B$8</f>
        <v/>
      </c>
      <c r="H195" s="130">
        <f>IFERROR(D195*E195,0)</f>
        <v/>
      </c>
      <c r="I195" s="130" t="n"/>
      <c r="J195" s="130">
        <f>IFERROR(D195*F195*E195,0)</f>
        <v/>
      </c>
      <c r="K195" s="104" t="n"/>
      <c r="L195" s="104" t="n"/>
      <c r="M195" s="104" t="n"/>
      <c r="N195" s="104" t="n"/>
      <c r="O195" s="104" t="n"/>
      <c r="P195" s="104" t="n"/>
      <c r="Q195" s="104" t="n"/>
      <c r="R195" s="130">
        <f>IF(C195="Owned",0,IF(B195&lt;&gt;"",2500,0))</f>
        <v/>
      </c>
      <c r="S195" s="130">
        <f>SUM(K195:R195)</f>
        <v/>
      </c>
      <c r="T195" s="130">
        <f>I195-S195</f>
        <v/>
      </c>
      <c r="U195" s="105">
        <f>IFERROR(T195/I195,0)</f>
        <v/>
      </c>
    </row>
    <row r="196" hidden="1" ht="14.25" customHeight="1" s="83">
      <c r="A196" s="125" t="n"/>
      <c r="B196" s="103" t="n"/>
      <c r="C196" s="170">
        <f>IFERROR(_xlfn.XLOOKUP(B196,DormRegistry[Dorm Name],DormRegistry[Ownership Type]),"")</f>
        <v/>
      </c>
      <c r="D196" s="170">
        <f>IFERROR(_xlfn.XLOOKUP(B196,DormRegistry[Dorm Name],DormRegistry[Bed Capacity]),0)</f>
        <v/>
      </c>
      <c r="E196" s="130">
        <f>IF(A196="","",$B$6*(1+$B$8)^(YEAR(A196)-YEAR(StartDate)))</f>
        <v/>
      </c>
      <c r="F196" s="105">
        <f>$B$7</f>
        <v/>
      </c>
      <c r="G196" s="105">
        <f>$B$8</f>
        <v/>
      </c>
      <c r="H196" s="130">
        <f>IFERROR(D196*E196,0)</f>
        <v/>
      </c>
      <c r="I196" s="130" t="n"/>
      <c r="J196" s="130">
        <f>IFERROR(D196*F196*E196,0)</f>
        <v/>
      </c>
      <c r="K196" s="104" t="n"/>
      <c r="L196" s="104" t="n"/>
      <c r="M196" s="104" t="n"/>
      <c r="N196" s="104" t="n"/>
      <c r="O196" s="104" t="n"/>
      <c r="P196" s="104" t="n"/>
      <c r="Q196" s="104" t="n"/>
      <c r="R196" s="130">
        <f>IF(C196="Owned",0,IF(B196&lt;&gt;"",2500,0))</f>
        <v/>
      </c>
      <c r="S196" s="130">
        <f>SUM(K196:R196)</f>
        <v/>
      </c>
      <c r="T196" s="130">
        <f>I196-S196</f>
        <v/>
      </c>
      <c r="U196" s="105">
        <f>IFERROR(T196/I196,0)</f>
        <v/>
      </c>
    </row>
    <row r="197" hidden="1" ht="14.25" customHeight="1" s="83">
      <c r="A197" s="125" t="n"/>
      <c r="B197" s="103" t="n"/>
      <c r="C197" s="170">
        <f>IFERROR(_xlfn.XLOOKUP(B197,DormRegistry[Dorm Name],DormRegistry[Ownership Type]),"")</f>
        <v/>
      </c>
      <c r="D197" s="170">
        <f>IFERROR(_xlfn.XLOOKUP(B197,DormRegistry[Dorm Name],DormRegistry[Bed Capacity]),0)</f>
        <v/>
      </c>
      <c r="E197" s="130">
        <f>IF(A197="","",$B$6*(1+$B$8)^(YEAR(A197)-YEAR(StartDate)))</f>
        <v/>
      </c>
      <c r="F197" s="105">
        <f>$B$7</f>
        <v/>
      </c>
      <c r="G197" s="105">
        <f>$B$8</f>
        <v/>
      </c>
      <c r="H197" s="130">
        <f>IFERROR(D197*E197,0)</f>
        <v/>
      </c>
      <c r="I197" s="130" t="n"/>
      <c r="J197" s="130">
        <f>IFERROR(D197*F197*E197,0)</f>
        <v/>
      </c>
      <c r="K197" s="104" t="n"/>
      <c r="L197" s="104" t="n"/>
      <c r="M197" s="104" t="n"/>
      <c r="N197" s="104" t="n"/>
      <c r="O197" s="104" t="n"/>
      <c r="P197" s="104" t="n"/>
      <c r="Q197" s="104" t="n"/>
      <c r="R197" s="130">
        <f>IF(C197="Owned",0,IF(B197&lt;&gt;"",2500,0))</f>
        <v/>
      </c>
      <c r="S197" s="130">
        <f>SUM(K197:R197)</f>
        <v/>
      </c>
      <c r="T197" s="130">
        <f>I197-S197</f>
        <v/>
      </c>
      <c r="U197" s="105">
        <f>IFERROR(T197/I197,0)</f>
        <v/>
      </c>
    </row>
    <row r="198" hidden="1" ht="14.25" customHeight="1" s="83">
      <c r="A198" s="125" t="n"/>
      <c r="B198" s="103" t="n"/>
      <c r="C198" s="170">
        <f>IFERROR(_xlfn.XLOOKUP(B198,DormRegistry[Dorm Name],DormRegistry[Ownership Type]),"")</f>
        <v/>
      </c>
      <c r="D198" s="170">
        <f>IFERROR(_xlfn.XLOOKUP(B198,DormRegistry[Dorm Name],DormRegistry[Bed Capacity]),0)</f>
        <v/>
      </c>
      <c r="E198" s="130">
        <f>IF(A198="","",$B$6*(1+$B$8)^(YEAR(A198)-YEAR(StartDate)))</f>
        <v/>
      </c>
      <c r="F198" s="105">
        <f>$B$7</f>
        <v/>
      </c>
      <c r="G198" s="105">
        <f>$B$8</f>
        <v/>
      </c>
      <c r="H198" s="130">
        <f>IFERROR(D198*E198,0)</f>
        <v/>
      </c>
      <c r="I198" s="130" t="n"/>
      <c r="J198" s="130">
        <f>IFERROR(D198*F198*E198,0)</f>
        <v/>
      </c>
      <c r="K198" s="104" t="n"/>
      <c r="L198" s="104" t="n"/>
      <c r="M198" s="104" t="n"/>
      <c r="N198" s="104" t="n"/>
      <c r="O198" s="104" t="n"/>
      <c r="P198" s="104" t="n"/>
      <c r="Q198" s="104" t="n"/>
      <c r="R198" s="130">
        <f>IF(C198="Owned",0,IF(B198&lt;&gt;"",2500,0))</f>
        <v/>
      </c>
      <c r="S198" s="130">
        <f>SUM(K198:R198)</f>
        <v/>
      </c>
      <c r="T198" s="130">
        <f>I198-S198</f>
        <v/>
      </c>
      <c r="U198" s="105">
        <f>IFERROR(T198/I198,0)</f>
        <v/>
      </c>
    </row>
    <row r="199" hidden="1" ht="14.25" customHeight="1" s="83">
      <c r="A199" s="125" t="n"/>
      <c r="B199" s="103" t="n"/>
      <c r="C199" s="170">
        <f>IFERROR(_xlfn.XLOOKUP(B199,DormRegistry[Dorm Name],DormRegistry[Ownership Type]),"")</f>
        <v/>
      </c>
      <c r="D199" s="170">
        <f>IFERROR(_xlfn.XLOOKUP(B199,DormRegistry[Dorm Name],DormRegistry[Bed Capacity]),0)</f>
        <v/>
      </c>
      <c r="E199" s="130">
        <f>IF(A199="","",$B$6*(1+$B$8)^(YEAR(A199)-YEAR(StartDate)))</f>
        <v/>
      </c>
      <c r="F199" s="105">
        <f>$B$7</f>
        <v/>
      </c>
      <c r="G199" s="105">
        <f>$B$8</f>
        <v/>
      </c>
      <c r="H199" s="130">
        <f>IFERROR(D199*E199,0)</f>
        <v/>
      </c>
      <c r="I199" s="130" t="n"/>
      <c r="J199" s="130">
        <f>IFERROR(D199*F199*E199,0)</f>
        <v/>
      </c>
      <c r="K199" s="104" t="n"/>
      <c r="L199" s="104" t="n"/>
      <c r="M199" s="104" t="n"/>
      <c r="N199" s="104" t="n"/>
      <c r="O199" s="104" t="n"/>
      <c r="P199" s="104" t="n"/>
      <c r="Q199" s="104" t="n"/>
      <c r="R199" s="130">
        <f>IF(C199="Owned",0,IF(B199&lt;&gt;"",2500,0))</f>
        <v/>
      </c>
      <c r="S199" s="130">
        <f>SUM(K199:R199)</f>
        <v/>
      </c>
      <c r="T199" s="130">
        <f>I199-S199</f>
        <v/>
      </c>
      <c r="U199" s="105">
        <f>IFERROR(T199/I199,0)</f>
        <v/>
      </c>
    </row>
    <row r="200" hidden="1" ht="14.25" customHeight="1" s="83">
      <c r="A200" s="125" t="n"/>
      <c r="B200" s="103" t="n"/>
      <c r="C200" s="170">
        <f>IFERROR(_xlfn.XLOOKUP(B200,DormRegistry[Dorm Name],DormRegistry[Ownership Type]),"")</f>
        <v/>
      </c>
      <c r="D200" s="170">
        <f>IFERROR(_xlfn.XLOOKUP(B200,DormRegistry[Dorm Name],DormRegistry[Bed Capacity]),0)</f>
        <v/>
      </c>
      <c r="E200" s="130">
        <f>IF(A200="","",$B$6*(1+$B$8)^(YEAR(A200)-YEAR(StartDate)))</f>
        <v/>
      </c>
      <c r="F200" s="105">
        <f>$B$7</f>
        <v/>
      </c>
      <c r="G200" s="105">
        <f>$B$8</f>
        <v/>
      </c>
      <c r="H200" s="130">
        <f>IFERROR(D200*E200,0)</f>
        <v/>
      </c>
      <c r="I200" s="130" t="n"/>
      <c r="J200" s="130">
        <f>IFERROR(D200*F200*E200,0)</f>
        <v/>
      </c>
      <c r="K200" s="104" t="n"/>
      <c r="L200" s="104" t="n"/>
      <c r="M200" s="104" t="n"/>
      <c r="N200" s="104" t="n"/>
      <c r="O200" s="104" t="n"/>
      <c r="P200" s="104" t="n"/>
      <c r="Q200" s="104" t="n"/>
      <c r="R200" s="130">
        <f>IF(C200="Owned",0,IF(B200&lt;&gt;"",2500,0))</f>
        <v/>
      </c>
      <c r="S200" s="130">
        <f>SUM(K200:R200)</f>
        <v/>
      </c>
      <c r="T200" s="130">
        <f>I200-S200</f>
        <v/>
      </c>
      <c r="U200" s="105">
        <f>IFERROR(T200/I200,0)</f>
        <v/>
      </c>
    </row>
    <row r="201" hidden="1" ht="14.25" customHeight="1" s="83">
      <c r="A201" s="125" t="n"/>
      <c r="B201" s="103" t="n"/>
      <c r="C201" s="170">
        <f>IFERROR(_xlfn.XLOOKUP(B201,DormRegistry[Dorm Name],DormRegistry[Ownership Type]),"")</f>
        <v/>
      </c>
      <c r="D201" s="170">
        <f>IFERROR(_xlfn.XLOOKUP(B201,DormRegistry[Dorm Name],DormRegistry[Bed Capacity]),0)</f>
        <v/>
      </c>
      <c r="E201" s="130">
        <f>IF(A201="","",$B$6*(1+$B$8)^(YEAR(A201)-YEAR(StartDate)))</f>
        <v/>
      </c>
      <c r="F201" s="105">
        <f>$B$7</f>
        <v/>
      </c>
      <c r="G201" s="105">
        <f>$B$8</f>
        <v/>
      </c>
      <c r="H201" s="130">
        <f>IFERROR(D201*E201,0)</f>
        <v/>
      </c>
      <c r="I201" s="130" t="n"/>
      <c r="J201" s="130">
        <f>IFERROR(D201*F201*E201,0)</f>
        <v/>
      </c>
      <c r="K201" s="104" t="n"/>
      <c r="L201" s="104" t="n"/>
      <c r="M201" s="104" t="n"/>
      <c r="N201" s="104" t="n"/>
      <c r="O201" s="104" t="n"/>
      <c r="P201" s="104" t="n"/>
      <c r="Q201" s="104" t="n"/>
      <c r="R201" s="130">
        <f>IF(C201="Owned",0,IF(B201&lt;&gt;"",2500,0))</f>
        <v/>
      </c>
      <c r="S201" s="130">
        <f>SUM(K201:R201)</f>
        <v/>
      </c>
      <c r="T201" s="130">
        <f>I201-S201</f>
        <v/>
      </c>
      <c r="U201" s="105">
        <f>IFERROR(T201/I201,0)</f>
        <v/>
      </c>
    </row>
    <row r="202" hidden="1" ht="14.25" customHeight="1" s="83">
      <c r="A202" s="125" t="n"/>
      <c r="B202" s="103" t="n"/>
      <c r="C202" s="170">
        <f>IFERROR(_xlfn.XLOOKUP(B202,DormRegistry[Dorm Name],DormRegistry[Ownership Type]),"")</f>
        <v/>
      </c>
      <c r="D202" s="170">
        <f>IFERROR(_xlfn.XLOOKUP(B202,DormRegistry[Dorm Name],DormRegistry[Bed Capacity]),0)</f>
        <v/>
      </c>
      <c r="E202" s="130">
        <f>IF(A202="","",$B$6*(1+$B$8)^(YEAR(A202)-YEAR(StartDate)))</f>
        <v/>
      </c>
      <c r="F202" s="105">
        <f>$B$7</f>
        <v/>
      </c>
      <c r="G202" s="105">
        <f>$B$8</f>
        <v/>
      </c>
      <c r="H202" s="130">
        <f>IFERROR(D202*E202,0)</f>
        <v/>
      </c>
      <c r="I202" s="130" t="n"/>
      <c r="J202" s="130">
        <f>IFERROR(D202*F202*E202,0)</f>
        <v/>
      </c>
      <c r="K202" s="104" t="n"/>
      <c r="L202" s="104" t="n"/>
      <c r="M202" s="104" t="n"/>
      <c r="N202" s="104" t="n"/>
      <c r="O202" s="104" t="n"/>
      <c r="P202" s="104" t="n"/>
      <c r="Q202" s="104" t="n"/>
      <c r="R202" s="130">
        <f>IF(C202="Owned",0,IF(B202&lt;&gt;"",2500,0))</f>
        <v/>
      </c>
      <c r="S202" s="130">
        <f>SUM(K202:R202)</f>
        <v/>
      </c>
      <c r="T202" s="130">
        <f>I202-S202</f>
        <v/>
      </c>
      <c r="U202" s="105">
        <f>IFERROR(T202/I202,0)</f>
        <v/>
      </c>
    </row>
    <row r="203" hidden="1" ht="14.25" customHeight="1" s="83">
      <c r="A203" s="125" t="n"/>
      <c r="B203" s="103" t="n"/>
      <c r="C203" s="170">
        <f>IFERROR(_xlfn.XLOOKUP(B203,DormRegistry[Dorm Name],DormRegistry[Ownership Type]),"")</f>
        <v/>
      </c>
      <c r="D203" s="170">
        <f>IFERROR(_xlfn.XLOOKUP(B203,DormRegistry[Dorm Name],DormRegistry[Bed Capacity]),0)</f>
        <v/>
      </c>
      <c r="E203" s="130">
        <f>IF(A203="","",$B$6*(1+$B$8)^(YEAR(A203)-YEAR(StartDate)))</f>
        <v/>
      </c>
      <c r="F203" s="105">
        <f>$B$7</f>
        <v/>
      </c>
      <c r="G203" s="105">
        <f>$B$8</f>
        <v/>
      </c>
      <c r="H203" s="130">
        <f>IFERROR(D203*E203,0)</f>
        <v/>
      </c>
      <c r="I203" s="130" t="n"/>
      <c r="J203" s="130">
        <f>IFERROR(D203*F203*E203,0)</f>
        <v/>
      </c>
      <c r="K203" s="104" t="n"/>
      <c r="L203" s="104" t="n"/>
      <c r="M203" s="104" t="n"/>
      <c r="N203" s="104" t="n"/>
      <c r="O203" s="104" t="n"/>
      <c r="P203" s="104" t="n"/>
      <c r="Q203" s="104" t="n"/>
      <c r="R203" s="130">
        <f>IF(C203="Owned",0,IF(B203&lt;&gt;"",2500,0))</f>
        <v/>
      </c>
      <c r="S203" s="130">
        <f>SUM(K203:R203)</f>
        <v/>
      </c>
      <c r="T203" s="130">
        <f>I203-S203</f>
        <v/>
      </c>
      <c r="U203" s="105">
        <f>IFERROR(T203/I203,0)</f>
        <v/>
      </c>
    </row>
    <row r="204" hidden="1" ht="14.25" customHeight="1" s="83">
      <c r="A204" s="125" t="n"/>
      <c r="B204" s="103" t="n"/>
      <c r="C204" s="170">
        <f>IFERROR(_xlfn.XLOOKUP(B204,DormRegistry[Dorm Name],DormRegistry[Ownership Type]),"")</f>
        <v/>
      </c>
      <c r="D204" s="170">
        <f>IFERROR(_xlfn.XLOOKUP(B204,DormRegistry[Dorm Name],DormRegistry[Bed Capacity]),0)</f>
        <v/>
      </c>
      <c r="E204" s="130">
        <f>IF(A204="","",$B$6*(1+$B$8)^(YEAR(A204)-YEAR(StartDate)))</f>
        <v/>
      </c>
      <c r="F204" s="105">
        <f>$B$7</f>
        <v/>
      </c>
      <c r="G204" s="105">
        <f>$B$8</f>
        <v/>
      </c>
      <c r="H204" s="130">
        <f>IFERROR(D204*E204,0)</f>
        <v/>
      </c>
      <c r="I204" s="130" t="n"/>
      <c r="J204" s="130">
        <f>IFERROR(D204*F204*E204,0)</f>
        <v/>
      </c>
      <c r="K204" s="104" t="n"/>
      <c r="L204" s="104" t="n"/>
      <c r="M204" s="104" t="n"/>
      <c r="N204" s="104" t="n"/>
      <c r="O204" s="104" t="n"/>
      <c r="P204" s="104" t="n"/>
      <c r="Q204" s="104" t="n"/>
      <c r="R204" s="130">
        <f>IF(C204="Owned",0,IF(B204&lt;&gt;"",2500,0))</f>
        <v/>
      </c>
      <c r="S204" s="130">
        <f>SUM(K204:R204)</f>
        <v/>
      </c>
      <c r="T204" s="130">
        <f>I204-S204</f>
        <v/>
      </c>
      <c r="U204" s="105">
        <f>IFERROR(T204/I204,0)</f>
        <v/>
      </c>
    </row>
    <row r="205" hidden="1" ht="14.25" customHeight="1" s="83">
      <c r="A205" s="125" t="n"/>
      <c r="B205" s="103" t="n"/>
      <c r="C205" s="170">
        <f>IFERROR(_xlfn.XLOOKUP(B205,DormRegistry[Dorm Name],DormRegistry[Ownership Type]),"")</f>
        <v/>
      </c>
      <c r="D205" s="170">
        <f>IFERROR(_xlfn.XLOOKUP(B205,DormRegistry[Dorm Name],DormRegistry[Bed Capacity]),0)</f>
        <v/>
      </c>
      <c r="E205" s="130">
        <f>IF(A205="","",$B$6*(1+$B$8)^(YEAR(A205)-YEAR(StartDate)))</f>
        <v/>
      </c>
      <c r="F205" s="105">
        <f>$B$7</f>
        <v/>
      </c>
      <c r="G205" s="105">
        <f>$B$8</f>
        <v/>
      </c>
      <c r="H205" s="130">
        <f>IFERROR(D205*E205,0)</f>
        <v/>
      </c>
      <c r="I205" s="130" t="n"/>
      <c r="J205" s="130">
        <f>IFERROR(D205*F205*E205,0)</f>
        <v/>
      </c>
      <c r="K205" s="104" t="n"/>
      <c r="L205" s="104" t="n"/>
      <c r="M205" s="104" t="n"/>
      <c r="N205" s="104" t="n"/>
      <c r="O205" s="104" t="n"/>
      <c r="P205" s="104" t="n"/>
      <c r="Q205" s="104" t="n"/>
      <c r="R205" s="130">
        <f>IF(C205="Owned",0,IF(B205&lt;&gt;"",2500,0))</f>
        <v/>
      </c>
      <c r="S205" s="130">
        <f>SUM(K205:R205)</f>
        <v/>
      </c>
      <c r="T205" s="130">
        <f>I205-S205</f>
        <v/>
      </c>
      <c r="U205" s="105">
        <f>IFERROR(T205/I205,0)</f>
        <v/>
      </c>
    </row>
    <row r="206" hidden="1" ht="14.25" customHeight="1" s="83">
      <c r="A206" s="125" t="n"/>
      <c r="B206" s="103" t="n"/>
      <c r="C206" s="170">
        <f>IFERROR(_xlfn.XLOOKUP(B206,DormRegistry[Dorm Name],DormRegistry[Ownership Type]),"")</f>
        <v/>
      </c>
      <c r="D206" s="170">
        <f>IFERROR(_xlfn.XLOOKUP(B206,DormRegistry[Dorm Name],DormRegistry[Bed Capacity]),0)</f>
        <v/>
      </c>
      <c r="E206" s="130">
        <f>IF(A206="","",$B$6*(1+$B$8)^(YEAR(A206)-YEAR(StartDate)))</f>
        <v/>
      </c>
      <c r="F206" s="105">
        <f>$B$7</f>
        <v/>
      </c>
      <c r="G206" s="105">
        <f>$B$8</f>
        <v/>
      </c>
      <c r="H206" s="130">
        <f>IFERROR(D206*E206,0)</f>
        <v/>
      </c>
      <c r="I206" s="130" t="n"/>
      <c r="J206" s="130">
        <f>IFERROR(D206*F206*E206,0)</f>
        <v/>
      </c>
      <c r="K206" s="104" t="n"/>
      <c r="L206" s="104" t="n"/>
      <c r="M206" s="104" t="n"/>
      <c r="N206" s="104" t="n"/>
      <c r="O206" s="104" t="n"/>
      <c r="P206" s="104" t="n"/>
      <c r="Q206" s="104" t="n"/>
      <c r="R206" s="130">
        <f>IF(C206="Owned",0,IF(B206&lt;&gt;"",2500,0))</f>
        <v/>
      </c>
      <c r="S206" s="130">
        <f>SUM(K206:R206)</f>
        <v/>
      </c>
      <c r="T206" s="130">
        <f>I206-S206</f>
        <v/>
      </c>
      <c r="U206" s="105">
        <f>IFERROR(T206/I206,0)</f>
        <v/>
      </c>
    </row>
    <row r="207" hidden="1" ht="14.25" customHeight="1" s="83">
      <c r="A207" s="125" t="n"/>
      <c r="B207" s="103" t="n"/>
      <c r="C207" s="170">
        <f>IFERROR(_xlfn.XLOOKUP(B207,DormRegistry[Dorm Name],DormRegistry[Ownership Type]),"")</f>
        <v/>
      </c>
      <c r="D207" s="170">
        <f>IFERROR(_xlfn.XLOOKUP(B207,DormRegistry[Dorm Name],DormRegistry[Bed Capacity]),0)</f>
        <v/>
      </c>
      <c r="E207" s="130">
        <f>IF(A207="","",$B$6*(1+$B$8)^(YEAR(A207)-YEAR(StartDate)))</f>
        <v/>
      </c>
      <c r="F207" s="105">
        <f>$B$7</f>
        <v/>
      </c>
      <c r="G207" s="105">
        <f>$B$8</f>
        <v/>
      </c>
      <c r="H207" s="130">
        <f>IFERROR(D207*E207,0)</f>
        <v/>
      </c>
      <c r="I207" s="130" t="n"/>
      <c r="J207" s="130">
        <f>IFERROR(D207*F207*E207,0)</f>
        <v/>
      </c>
      <c r="K207" s="104" t="n"/>
      <c r="L207" s="104" t="n"/>
      <c r="M207" s="104" t="n"/>
      <c r="N207" s="104" t="n"/>
      <c r="O207" s="104" t="n"/>
      <c r="P207" s="104" t="n"/>
      <c r="Q207" s="104" t="n"/>
      <c r="R207" s="130">
        <f>IF(C207="Owned",0,IF(B207&lt;&gt;"",2500,0))</f>
        <v/>
      </c>
      <c r="S207" s="130">
        <f>SUM(K207:R207)</f>
        <v/>
      </c>
      <c r="T207" s="130">
        <f>I207-S207</f>
        <v/>
      </c>
      <c r="U207" s="105">
        <f>IFERROR(T207/I207,0)</f>
        <v/>
      </c>
    </row>
    <row r="208" hidden="1" ht="14.25" customHeight="1" s="83">
      <c r="A208" s="125" t="n"/>
      <c r="B208" s="103" t="n"/>
      <c r="C208" s="170">
        <f>IFERROR(_xlfn.XLOOKUP(B208,DormRegistry[Dorm Name],DormRegistry[Ownership Type]),"")</f>
        <v/>
      </c>
      <c r="D208" s="170">
        <f>IFERROR(_xlfn.XLOOKUP(B208,DormRegistry[Dorm Name],DormRegistry[Bed Capacity]),0)</f>
        <v/>
      </c>
      <c r="E208" s="130">
        <f>IF(A208="","",$B$6*(1+$B$8)^(YEAR(A208)-YEAR(StartDate)))</f>
        <v/>
      </c>
      <c r="F208" s="105">
        <f>$B$7</f>
        <v/>
      </c>
      <c r="G208" s="105">
        <f>$B$8</f>
        <v/>
      </c>
      <c r="H208" s="130">
        <f>IFERROR(D208*E208,0)</f>
        <v/>
      </c>
      <c r="I208" s="130" t="n"/>
      <c r="J208" s="130">
        <f>IFERROR(D208*F208*E208,0)</f>
        <v/>
      </c>
      <c r="K208" s="104" t="n"/>
      <c r="L208" s="104" t="n"/>
      <c r="M208" s="104" t="n"/>
      <c r="N208" s="104" t="n"/>
      <c r="O208" s="104" t="n"/>
      <c r="P208" s="104" t="n"/>
      <c r="Q208" s="104" t="n"/>
      <c r="R208" s="130">
        <f>IF(C208="Owned",0,IF(B208&lt;&gt;"",2500,0))</f>
        <v/>
      </c>
      <c r="S208" s="130">
        <f>SUM(K208:R208)</f>
        <v/>
      </c>
      <c r="T208" s="130">
        <f>I208-S208</f>
        <v/>
      </c>
      <c r="U208" s="105">
        <f>IFERROR(T208/I208,0)</f>
        <v/>
      </c>
    </row>
    <row r="209" hidden="1" ht="14.25" customHeight="1" s="83">
      <c r="A209" s="125" t="n"/>
      <c r="B209" s="103" t="n"/>
      <c r="C209" s="170">
        <f>IFERROR(_xlfn.XLOOKUP(B209,DormRegistry[Dorm Name],DormRegistry[Ownership Type]),"")</f>
        <v/>
      </c>
      <c r="D209" s="170">
        <f>IFERROR(_xlfn.XLOOKUP(B209,DormRegistry[Dorm Name],DormRegistry[Bed Capacity]),0)</f>
        <v/>
      </c>
      <c r="E209" s="130">
        <f>IF(A209="","",$B$6*(1+$B$8)^(YEAR(A209)-YEAR(StartDate)))</f>
        <v/>
      </c>
      <c r="F209" s="105">
        <f>$B$7</f>
        <v/>
      </c>
      <c r="G209" s="105">
        <f>$B$8</f>
        <v/>
      </c>
      <c r="H209" s="130">
        <f>IFERROR(D209*E209,0)</f>
        <v/>
      </c>
      <c r="I209" s="130" t="n"/>
      <c r="J209" s="130">
        <f>IFERROR(D209*F209*E209,0)</f>
        <v/>
      </c>
      <c r="K209" s="104" t="n"/>
      <c r="L209" s="104" t="n"/>
      <c r="M209" s="104" t="n"/>
      <c r="N209" s="104" t="n"/>
      <c r="O209" s="104" t="n"/>
      <c r="P209" s="104" t="n"/>
      <c r="Q209" s="104" t="n"/>
      <c r="R209" s="130">
        <f>IF(C209="Owned",0,IF(B209&lt;&gt;"",2500,0))</f>
        <v/>
      </c>
      <c r="S209" s="130">
        <f>SUM(K209:R209)</f>
        <v/>
      </c>
      <c r="T209" s="130">
        <f>I209-S209</f>
        <v/>
      </c>
      <c r="U209" s="105">
        <f>IFERROR(T209/I209,0)</f>
        <v/>
      </c>
    </row>
    <row r="210" hidden="1" ht="14.25" customHeight="1" s="83">
      <c r="A210" s="125" t="n"/>
      <c r="B210" s="103" t="n"/>
      <c r="C210" s="170">
        <f>IFERROR(_xlfn.XLOOKUP(B210,DormRegistry[Dorm Name],DormRegistry[Ownership Type]),"")</f>
        <v/>
      </c>
      <c r="D210" s="170">
        <f>IFERROR(_xlfn.XLOOKUP(B210,DormRegistry[Dorm Name],DormRegistry[Bed Capacity]),0)</f>
        <v/>
      </c>
      <c r="E210" s="130">
        <f>IF(A210="","",$B$6*(1+$B$8)^(YEAR(A210)-YEAR(StartDate)))</f>
        <v/>
      </c>
      <c r="F210" s="105">
        <f>$B$7</f>
        <v/>
      </c>
      <c r="G210" s="105">
        <f>$B$8</f>
        <v/>
      </c>
      <c r="H210" s="130">
        <f>IFERROR(D210*E210,0)</f>
        <v/>
      </c>
      <c r="I210" s="130" t="n"/>
      <c r="J210" s="130">
        <f>IFERROR(D210*F210*E210,0)</f>
        <v/>
      </c>
      <c r="K210" s="104" t="n"/>
      <c r="L210" s="104" t="n"/>
      <c r="M210" s="104" t="n"/>
      <c r="N210" s="104" t="n"/>
      <c r="O210" s="104" t="n"/>
      <c r="P210" s="104" t="n"/>
      <c r="Q210" s="104" t="n"/>
      <c r="R210" s="130">
        <f>IF(C210="Owned",0,IF(B210&lt;&gt;"",2500,0))</f>
        <v/>
      </c>
      <c r="S210" s="130">
        <f>SUM(K210:R210)</f>
        <v/>
      </c>
      <c r="T210" s="130">
        <f>I210-S210</f>
        <v/>
      </c>
      <c r="U210" s="105">
        <f>IFERROR(T210/I210,0)</f>
        <v/>
      </c>
    </row>
    <row r="211" hidden="1" ht="14.25" customHeight="1" s="83">
      <c r="A211" s="125" t="n"/>
      <c r="B211" s="103" t="n"/>
      <c r="C211" s="170">
        <f>IFERROR(_xlfn.XLOOKUP(B211,DormRegistry[Dorm Name],DormRegistry[Ownership Type]),"")</f>
        <v/>
      </c>
      <c r="D211" s="170">
        <f>IFERROR(_xlfn.XLOOKUP(B211,DormRegistry[Dorm Name],DormRegistry[Bed Capacity]),0)</f>
        <v/>
      </c>
      <c r="E211" s="130">
        <f>IF(A211="","",$B$6*(1+$B$8)^(YEAR(A211)-YEAR(StartDate)))</f>
        <v/>
      </c>
      <c r="F211" s="105">
        <f>$B$7</f>
        <v/>
      </c>
      <c r="G211" s="105">
        <f>$B$8</f>
        <v/>
      </c>
      <c r="H211" s="130">
        <f>IFERROR(D211*E211,0)</f>
        <v/>
      </c>
      <c r="I211" s="130" t="n"/>
      <c r="J211" s="130">
        <f>IFERROR(D211*F211*E211,0)</f>
        <v/>
      </c>
      <c r="K211" s="104" t="n"/>
      <c r="L211" s="104" t="n"/>
      <c r="M211" s="104" t="n"/>
      <c r="N211" s="104" t="n"/>
      <c r="O211" s="104" t="n"/>
      <c r="P211" s="104" t="n"/>
      <c r="Q211" s="104" t="n"/>
      <c r="R211" s="130">
        <f>IF(C211="Owned",0,IF(B211&lt;&gt;"",2500,0))</f>
        <v/>
      </c>
      <c r="S211" s="130">
        <f>SUM(K211:R211)</f>
        <v/>
      </c>
      <c r="T211" s="130">
        <f>I211-S211</f>
        <v/>
      </c>
      <c r="U211" s="105">
        <f>IFERROR(T211/I211,0)</f>
        <v/>
      </c>
    </row>
    <row r="212" hidden="1" ht="14.25" customHeight="1" s="83">
      <c r="A212" s="125" t="n"/>
      <c r="B212" s="103" t="n"/>
      <c r="C212" s="170">
        <f>IFERROR(_xlfn.XLOOKUP(B212,DormRegistry[Dorm Name],DormRegistry[Ownership Type]),"")</f>
        <v/>
      </c>
      <c r="D212" s="170">
        <f>IFERROR(_xlfn.XLOOKUP(B212,DormRegistry[Dorm Name],DormRegistry[Bed Capacity]),0)</f>
        <v/>
      </c>
      <c r="E212" s="130">
        <f>IF(A212="","",$B$6*(1+$B$8)^(YEAR(A212)-YEAR(StartDate)))</f>
        <v/>
      </c>
      <c r="F212" s="105">
        <f>$B$7</f>
        <v/>
      </c>
      <c r="G212" s="105">
        <f>$B$8</f>
        <v/>
      </c>
      <c r="H212" s="130">
        <f>IFERROR(D212*E212,0)</f>
        <v/>
      </c>
      <c r="I212" s="130" t="n"/>
      <c r="J212" s="130">
        <f>IFERROR(D212*F212*E212,0)</f>
        <v/>
      </c>
      <c r="K212" s="104" t="n"/>
      <c r="L212" s="104" t="n"/>
      <c r="M212" s="104" t="n"/>
      <c r="N212" s="104" t="n"/>
      <c r="O212" s="104" t="n"/>
      <c r="P212" s="104" t="n"/>
      <c r="Q212" s="104" t="n"/>
      <c r="R212" s="130">
        <f>IF(C212="Owned",0,IF(B212&lt;&gt;"",2500,0))</f>
        <v/>
      </c>
      <c r="S212" s="130">
        <f>SUM(K212:R212)</f>
        <v/>
      </c>
      <c r="T212" s="130">
        <f>I212-S212</f>
        <v/>
      </c>
      <c r="U212" s="105">
        <f>IFERROR(T212/I212,0)</f>
        <v/>
      </c>
    </row>
    <row r="213" hidden="1" ht="14.25" customHeight="1" s="83">
      <c r="A213" s="125" t="n"/>
      <c r="B213" s="103" t="n"/>
      <c r="C213" s="170">
        <f>IFERROR(_xlfn.XLOOKUP(B213,DormRegistry[Dorm Name],DormRegistry[Ownership Type]),"")</f>
        <v/>
      </c>
      <c r="D213" s="170">
        <f>IFERROR(_xlfn.XLOOKUP(B213,DormRegistry[Dorm Name],DormRegistry[Bed Capacity]),0)</f>
        <v/>
      </c>
      <c r="E213" s="130">
        <f>IF(A213="","",$B$6*(1+$B$8)^(YEAR(A213)-YEAR(StartDate)))</f>
        <v/>
      </c>
      <c r="F213" s="105">
        <f>$B$7</f>
        <v/>
      </c>
      <c r="G213" s="105">
        <f>$B$8</f>
        <v/>
      </c>
      <c r="H213" s="130">
        <f>IFERROR(D213*E213,0)</f>
        <v/>
      </c>
      <c r="I213" s="130" t="n"/>
      <c r="J213" s="130">
        <f>IFERROR(D213*F213*E213,0)</f>
        <v/>
      </c>
      <c r="K213" s="104" t="n"/>
      <c r="L213" s="104" t="n"/>
      <c r="M213" s="104" t="n"/>
      <c r="N213" s="104" t="n"/>
      <c r="O213" s="104" t="n"/>
      <c r="P213" s="104" t="n"/>
      <c r="Q213" s="104" t="n"/>
      <c r="R213" s="130">
        <f>IF(C213="Owned",0,IF(B213&lt;&gt;"",2500,0))</f>
        <v/>
      </c>
      <c r="S213" s="130">
        <f>SUM(K213:R213)</f>
        <v/>
      </c>
      <c r="T213" s="130">
        <f>I213-S213</f>
        <v/>
      </c>
      <c r="U213" s="105">
        <f>IFERROR(T213/I213,0)</f>
        <v/>
      </c>
    </row>
    <row r="214" hidden="1" ht="14.25" customHeight="1" s="83">
      <c r="A214" s="125" t="n"/>
      <c r="B214" s="103" t="n"/>
      <c r="C214" s="170">
        <f>IFERROR(_xlfn.XLOOKUP(B214,DormRegistry[Dorm Name],DormRegistry[Ownership Type]),"")</f>
        <v/>
      </c>
      <c r="D214" s="170">
        <f>IFERROR(_xlfn.XLOOKUP(B214,DormRegistry[Dorm Name],DormRegistry[Bed Capacity]),0)</f>
        <v/>
      </c>
      <c r="E214" s="130">
        <f>IF(A214="","",$B$6*(1+$B$8)^(YEAR(A214)-YEAR(StartDate)))</f>
        <v/>
      </c>
      <c r="F214" s="105">
        <f>$B$7</f>
        <v/>
      </c>
      <c r="G214" s="105">
        <f>$B$8</f>
        <v/>
      </c>
      <c r="H214" s="130">
        <f>IFERROR(D214*E214,0)</f>
        <v/>
      </c>
      <c r="I214" s="130" t="n"/>
      <c r="J214" s="130">
        <f>IFERROR(D214*F214*E214,0)</f>
        <v/>
      </c>
      <c r="K214" s="104" t="n"/>
      <c r="L214" s="104" t="n"/>
      <c r="M214" s="104" t="n"/>
      <c r="N214" s="104" t="n"/>
      <c r="O214" s="104" t="n"/>
      <c r="P214" s="104" t="n"/>
      <c r="Q214" s="104" t="n"/>
      <c r="R214" s="130">
        <f>IF(C214="Owned",0,IF(B214&lt;&gt;"",2500,0))</f>
        <v/>
      </c>
      <c r="S214" s="130">
        <f>SUM(K214:R214)</f>
        <v/>
      </c>
      <c r="T214" s="130">
        <f>I214-S214</f>
        <v/>
      </c>
      <c r="U214" s="105">
        <f>IFERROR(T214/I214,0)</f>
        <v/>
      </c>
    </row>
    <row r="215" hidden="1" ht="14.25" customHeight="1" s="83">
      <c r="A215" s="125" t="n"/>
      <c r="B215" s="103" t="n"/>
      <c r="C215" s="170">
        <f>IFERROR(_xlfn.XLOOKUP(B215,DormRegistry[Dorm Name],DormRegistry[Ownership Type]),"")</f>
        <v/>
      </c>
      <c r="D215" s="170">
        <f>IFERROR(_xlfn.XLOOKUP(B215,DormRegistry[Dorm Name],DormRegistry[Bed Capacity]),0)</f>
        <v/>
      </c>
      <c r="E215" s="130">
        <f>IF(A215="","",$B$6*(1+$B$8)^(YEAR(A215)-YEAR(StartDate)))</f>
        <v/>
      </c>
      <c r="F215" s="105">
        <f>$B$7</f>
        <v/>
      </c>
      <c r="G215" s="105">
        <f>$B$8</f>
        <v/>
      </c>
      <c r="H215" s="130">
        <f>IFERROR(D215*E215,0)</f>
        <v/>
      </c>
      <c r="I215" s="130" t="n"/>
      <c r="J215" s="130">
        <f>IFERROR(D215*F215*E215,0)</f>
        <v/>
      </c>
      <c r="K215" s="104" t="n"/>
      <c r="L215" s="104" t="n"/>
      <c r="M215" s="104" t="n"/>
      <c r="N215" s="104" t="n"/>
      <c r="O215" s="104" t="n"/>
      <c r="P215" s="104" t="n"/>
      <c r="Q215" s="104" t="n"/>
      <c r="R215" s="130">
        <f>IF(C215="Owned",0,IF(B215&lt;&gt;"",2500,0))</f>
        <v/>
      </c>
      <c r="S215" s="130">
        <f>SUM(K215:R215)</f>
        <v/>
      </c>
      <c r="T215" s="130">
        <f>I215-S215</f>
        <v/>
      </c>
      <c r="U215" s="105">
        <f>IFERROR(T215/I215,0)</f>
        <v/>
      </c>
    </row>
    <row r="216" hidden="1" ht="14.25" customHeight="1" s="83">
      <c r="A216" s="125" t="n"/>
      <c r="B216" s="103" t="n"/>
      <c r="C216" s="170">
        <f>IFERROR(_xlfn.XLOOKUP(B216,DormRegistry[Dorm Name],DormRegistry[Ownership Type]),"")</f>
        <v/>
      </c>
      <c r="D216" s="170">
        <f>IFERROR(_xlfn.XLOOKUP(B216,DormRegistry[Dorm Name],DormRegistry[Bed Capacity]),0)</f>
        <v/>
      </c>
      <c r="E216" s="130">
        <f>IF(A216="","",$B$6*(1+$B$8)^(YEAR(A216)-YEAR(StartDate)))</f>
        <v/>
      </c>
      <c r="F216" s="105">
        <f>$B$7</f>
        <v/>
      </c>
      <c r="G216" s="105">
        <f>$B$8</f>
        <v/>
      </c>
      <c r="H216" s="130">
        <f>IFERROR(D216*E216,0)</f>
        <v/>
      </c>
      <c r="I216" s="130" t="n"/>
      <c r="J216" s="130">
        <f>IFERROR(D216*F216*E216,0)</f>
        <v/>
      </c>
      <c r="K216" s="104" t="n"/>
      <c r="L216" s="104" t="n"/>
      <c r="M216" s="104" t="n"/>
      <c r="N216" s="104" t="n"/>
      <c r="O216" s="104" t="n"/>
      <c r="P216" s="104" t="n"/>
      <c r="Q216" s="104" t="n"/>
      <c r="R216" s="130">
        <f>IF(C216="Owned",0,IF(B216&lt;&gt;"",2500,0))</f>
        <v/>
      </c>
      <c r="S216" s="130">
        <f>SUM(K216:R216)</f>
        <v/>
      </c>
      <c r="T216" s="130">
        <f>I216-S216</f>
        <v/>
      </c>
      <c r="U216" s="105">
        <f>IFERROR(T216/I216,0)</f>
        <v/>
      </c>
    </row>
    <row r="217" hidden="1" ht="14.25" customHeight="1" s="83">
      <c r="A217" s="125" t="n"/>
      <c r="B217" s="103" t="n"/>
      <c r="C217" s="170">
        <f>IFERROR(_xlfn.XLOOKUP(B217,DormRegistry[Dorm Name],DormRegistry[Ownership Type]),"")</f>
        <v/>
      </c>
      <c r="D217" s="170">
        <f>IFERROR(_xlfn.XLOOKUP(B217,DormRegistry[Dorm Name],DormRegistry[Bed Capacity]),0)</f>
        <v/>
      </c>
      <c r="E217" s="130">
        <f>IF(A217="","",$B$6*(1+$B$8)^(YEAR(A217)-YEAR(StartDate)))</f>
        <v/>
      </c>
      <c r="F217" s="105">
        <f>$B$7</f>
        <v/>
      </c>
      <c r="G217" s="105">
        <f>$B$8</f>
        <v/>
      </c>
      <c r="H217" s="130">
        <f>IFERROR(D217*E217,0)</f>
        <v/>
      </c>
      <c r="I217" s="130" t="n"/>
      <c r="J217" s="130">
        <f>IFERROR(D217*F217*E217,0)</f>
        <v/>
      </c>
      <c r="K217" s="104" t="n"/>
      <c r="L217" s="104" t="n"/>
      <c r="M217" s="104" t="n"/>
      <c r="N217" s="104" t="n"/>
      <c r="O217" s="104" t="n"/>
      <c r="P217" s="104" t="n"/>
      <c r="Q217" s="104" t="n"/>
      <c r="R217" s="130">
        <f>IF(C217="Owned",0,IF(B217&lt;&gt;"",2500,0))</f>
        <v/>
      </c>
      <c r="S217" s="130">
        <f>SUM(K217:R217)</f>
        <v/>
      </c>
      <c r="T217" s="130">
        <f>I217-S217</f>
        <v/>
      </c>
      <c r="U217" s="105">
        <f>IFERROR(T217/I217,0)</f>
        <v/>
      </c>
    </row>
    <row r="218" hidden="1" ht="14.25" customHeight="1" s="83">
      <c r="A218" s="125" t="n"/>
      <c r="B218" s="103" t="n"/>
      <c r="C218" s="170">
        <f>IFERROR(_xlfn.XLOOKUP(B218,DormRegistry[Dorm Name],DormRegistry[Ownership Type]),"")</f>
        <v/>
      </c>
      <c r="D218" s="170">
        <f>IFERROR(_xlfn.XLOOKUP(B218,DormRegistry[Dorm Name],DormRegistry[Bed Capacity]),0)</f>
        <v/>
      </c>
      <c r="E218" s="130">
        <f>IF(A218="","",$B$6*(1+$B$8)^(YEAR(A218)-YEAR(StartDate)))</f>
        <v/>
      </c>
      <c r="F218" s="105">
        <f>$B$7</f>
        <v/>
      </c>
      <c r="G218" s="105">
        <f>$B$8</f>
        <v/>
      </c>
      <c r="H218" s="130">
        <f>IFERROR(D218*E218,0)</f>
        <v/>
      </c>
      <c r="I218" s="130" t="n"/>
      <c r="J218" s="130">
        <f>IFERROR(D218*F218*E218,0)</f>
        <v/>
      </c>
      <c r="K218" s="104" t="n"/>
      <c r="L218" s="104" t="n"/>
      <c r="M218" s="104" t="n"/>
      <c r="N218" s="104" t="n"/>
      <c r="O218" s="104" t="n"/>
      <c r="P218" s="104" t="n"/>
      <c r="Q218" s="104" t="n"/>
      <c r="R218" s="130">
        <f>IF(C218="Owned",0,IF(B218&lt;&gt;"",2500,0))</f>
        <v/>
      </c>
      <c r="S218" s="130">
        <f>SUM(K218:R218)</f>
        <v/>
      </c>
      <c r="T218" s="130">
        <f>I218-S218</f>
        <v/>
      </c>
      <c r="U218" s="105">
        <f>IFERROR(T218/I218,0)</f>
        <v/>
      </c>
    </row>
    <row r="219" hidden="1" ht="14.25" customHeight="1" s="83">
      <c r="A219" s="125" t="n"/>
      <c r="B219" s="103" t="n"/>
      <c r="C219" s="170">
        <f>IFERROR(_xlfn.XLOOKUP(B219,DormRegistry[Dorm Name],DormRegistry[Ownership Type]),"")</f>
        <v/>
      </c>
      <c r="D219" s="170">
        <f>IFERROR(_xlfn.XLOOKUP(B219,DormRegistry[Dorm Name],DormRegistry[Bed Capacity]),0)</f>
        <v/>
      </c>
      <c r="E219" s="130">
        <f>IF(A219="","",$B$6*(1+$B$8)^(YEAR(A219)-YEAR(StartDate)))</f>
        <v/>
      </c>
      <c r="F219" s="105">
        <f>$B$7</f>
        <v/>
      </c>
      <c r="G219" s="105">
        <f>$B$8</f>
        <v/>
      </c>
      <c r="H219" s="130">
        <f>IFERROR(D219*E219,0)</f>
        <v/>
      </c>
      <c r="I219" s="130" t="n"/>
      <c r="J219" s="130">
        <f>IFERROR(D219*F219*E219,0)</f>
        <v/>
      </c>
      <c r="K219" s="104" t="n"/>
      <c r="L219" s="104" t="n"/>
      <c r="M219" s="104" t="n"/>
      <c r="N219" s="104" t="n"/>
      <c r="O219" s="104" t="n"/>
      <c r="P219" s="104" t="n"/>
      <c r="Q219" s="104" t="n"/>
      <c r="R219" s="130">
        <f>IF(C219="Owned",0,IF(B219&lt;&gt;"",2500,0))</f>
        <v/>
      </c>
      <c r="S219" s="130">
        <f>SUM(K219:R219)</f>
        <v/>
      </c>
      <c r="T219" s="130">
        <f>I219-S219</f>
        <v/>
      </c>
      <c r="U219" s="105">
        <f>IFERROR(T219/I219,0)</f>
        <v/>
      </c>
    </row>
    <row r="220" hidden="1" ht="14.25" customHeight="1" s="83">
      <c r="A220" s="125" t="n"/>
      <c r="B220" s="103" t="n"/>
      <c r="C220" s="170">
        <f>IFERROR(_xlfn.XLOOKUP(B220,DormRegistry[Dorm Name],DormRegistry[Ownership Type]),"")</f>
        <v/>
      </c>
      <c r="D220" s="170">
        <f>IFERROR(_xlfn.XLOOKUP(B220,DormRegistry[Dorm Name],DormRegistry[Bed Capacity]),0)</f>
        <v/>
      </c>
      <c r="E220" s="130">
        <f>IF(A220="","",$B$6*(1+$B$8)^(YEAR(A220)-YEAR(StartDate)))</f>
        <v/>
      </c>
      <c r="F220" s="105">
        <f>$B$7</f>
        <v/>
      </c>
      <c r="G220" s="105">
        <f>$B$8</f>
        <v/>
      </c>
      <c r="H220" s="130">
        <f>IFERROR(D220*E220,0)</f>
        <v/>
      </c>
      <c r="I220" s="130" t="n"/>
      <c r="J220" s="130">
        <f>IFERROR(D220*F220*E220,0)</f>
        <v/>
      </c>
      <c r="K220" s="104" t="n"/>
      <c r="L220" s="104" t="n"/>
      <c r="M220" s="104" t="n"/>
      <c r="N220" s="104" t="n"/>
      <c r="O220" s="104" t="n"/>
      <c r="P220" s="104" t="n"/>
      <c r="Q220" s="104" t="n"/>
      <c r="R220" s="130">
        <f>IF(C220="Owned",0,IF(B220&lt;&gt;"",2500,0))</f>
        <v/>
      </c>
      <c r="S220" s="130">
        <f>SUM(K220:R220)</f>
        <v/>
      </c>
      <c r="T220" s="130">
        <f>I220-S220</f>
        <v/>
      </c>
      <c r="U220" s="105">
        <f>IFERROR(T220/I220,0)</f>
        <v/>
      </c>
    </row>
    <row r="221" hidden="1" ht="14.25" customHeight="1" s="83">
      <c r="A221" s="125" t="n"/>
      <c r="B221" s="103" t="n"/>
      <c r="C221" s="170">
        <f>IFERROR(_xlfn.XLOOKUP(B221,DormRegistry[Dorm Name],DormRegistry[Ownership Type]),"")</f>
        <v/>
      </c>
      <c r="D221" s="170">
        <f>IFERROR(_xlfn.XLOOKUP(B221,DormRegistry[Dorm Name],DormRegistry[Bed Capacity]),0)</f>
        <v/>
      </c>
      <c r="E221" s="130">
        <f>IF(A221="","",$B$6*(1+$B$8)^(YEAR(A221)-YEAR(StartDate)))</f>
        <v/>
      </c>
      <c r="F221" s="105">
        <f>$B$7</f>
        <v/>
      </c>
      <c r="G221" s="105">
        <f>$B$8</f>
        <v/>
      </c>
      <c r="H221" s="130">
        <f>IFERROR(D221*E221,0)</f>
        <v/>
      </c>
      <c r="I221" s="130" t="n"/>
      <c r="J221" s="130">
        <f>IFERROR(D221*F221*E221,0)</f>
        <v/>
      </c>
      <c r="K221" s="104" t="n"/>
      <c r="L221" s="104" t="n"/>
      <c r="M221" s="104" t="n"/>
      <c r="N221" s="104" t="n"/>
      <c r="O221" s="104" t="n"/>
      <c r="P221" s="104" t="n"/>
      <c r="Q221" s="104" t="n"/>
      <c r="R221" s="130">
        <f>IF(C221="Owned",0,IF(B221&lt;&gt;"",2500,0))</f>
        <v/>
      </c>
      <c r="S221" s="130">
        <f>SUM(K221:R221)</f>
        <v/>
      </c>
      <c r="T221" s="130">
        <f>I221-S221</f>
        <v/>
      </c>
      <c r="U221" s="105">
        <f>IFERROR(T221/I221,0)</f>
        <v/>
      </c>
    </row>
    <row r="222" hidden="1" ht="14.25" customHeight="1" s="83">
      <c r="A222" s="125" t="n"/>
      <c r="B222" s="103" t="n"/>
      <c r="C222" s="170">
        <f>IFERROR(_xlfn.XLOOKUP(B222,DormRegistry[Dorm Name],DormRegistry[Ownership Type]),"")</f>
        <v/>
      </c>
      <c r="D222" s="170">
        <f>IFERROR(_xlfn.XLOOKUP(B222,DormRegistry[Dorm Name],DormRegistry[Bed Capacity]),0)</f>
        <v/>
      </c>
      <c r="E222" s="130">
        <f>IF(A222="","",$B$6*(1+$B$8)^(YEAR(A222)-YEAR(StartDate)))</f>
        <v/>
      </c>
      <c r="F222" s="105">
        <f>$B$7</f>
        <v/>
      </c>
      <c r="G222" s="105">
        <f>$B$8</f>
        <v/>
      </c>
      <c r="H222" s="130">
        <f>IFERROR(D222*E222,0)</f>
        <v/>
      </c>
      <c r="I222" s="130" t="n"/>
      <c r="J222" s="130">
        <f>IFERROR(D222*F222*E222,0)</f>
        <v/>
      </c>
      <c r="K222" s="104" t="n"/>
      <c r="L222" s="104" t="n"/>
      <c r="M222" s="104" t="n"/>
      <c r="N222" s="104" t="n"/>
      <c r="O222" s="104" t="n"/>
      <c r="P222" s="104" t="n"/>
      <c r="Q222" s="104" t="n"/>
      <c r="R222" s="130">
        <f>IF(C222="Owned",0,IF(B222&lt;&gt;"",2500,0))</f>
        <v/>
      </c>
      <c r="S222" s="130">
        <f>SUM(K222:R222)</f>
        <v/>
      </c>
      <c r="T222" s="130">
        <f>I222-S222</f>
        <v/>
      </c>
      <c r="U222" s="105">
        <f>IFERROR(T222/I222,0)</f>
        <v/>
      </c>
    </row>
    <row r="223" hidden="1" ht="14.25" customHeight="1" s="83">
      <c r="A223" s="125" t="n"/>
      <c r="B223" s="103" t="n"/>
      <c r="C223" s="170">
        <f>IFERROR(_xlfn.XLOOKUP(B223,DormRegistry[Dorm Name],DormRegistry[Ownership Type]),"")</f>
        <v/>
      </c>
      <c r="D223" s="170">
        <f>IFERROR(_xlfn.XLOOKUP(B223,DormRegistry[Dorm Name],DormRegistry[Bed Capacity]),0)</f>
        <v/>
      </c>
      <c r="E223" s="130">
        <f>IF(A223="","",$B$6*(1+$B$8)^(YEAR(A223)-YEAR(StartDate)))</f>
        <v/>
      </c>
      <c r="F223" s="105">
        <f>$B$7</f>
        <v/>
      </c>
      <c r="G223" s="105">
        <f>$B$8</f>
        <v/>
      </c>
      <c r="H223" s="130">
        <f>IFERROR(D223*E223,0)</f>
        <v/>
      </c>
      <c r="I223" s="130" t="n"/>
      <c r="J223" s="130">
        <f>IFERROR(D223*F223*E223,0)</f>
        <v/>
      </c>
      <c r="K223" s="104" t="n"/>
      <c r="L223" s="104" t="n"/>
      <c r="M223" s="104" t="n"/>
      <c r="N223" s="104" t="n"/>
      <c r="O223" s="104" t="n"/>
      <c r="P223" s="104" t="n"/>
      <c r="Q223" s="104" t="n"/>
      <c r="R223" s="130">
        <f>IF(C223="Owned",0,IF(B223&lt;&gt;"",2500,0))</f>
        <v/>
      </c>
      <c r="S223" s="130">
        <f>SUM(K223:R223)</f>
        <v/>
      </c>
      <c r="T223" s="130">
        <f>I223-S223</f>
        <v/>
      </c>
      <c r="U223" s="105">
        <f>IFERROR(T223/I223,0)</f>
        <v/>
      </c>
    </row>
    <row r="224" hidden="1" ht="14.25" customHeight="1" s="83">
      <c r="A224" s="125" t="n"/>
      <c r="B224" s="103" t="n"/>
      <c r="C224" s="170">
        <f>IFERROR(_xlfn.XLOOKUP(B224,DormRegistry[Dorm Name],DormRegistry[Ownership Type]),"")</f>
        <v/>
      </c>
      <c r="D224" s="170">
        <f>IFERROR(_xlfn.XLOOKUP(B224,DormRegistry[Dorm Name],DormRegistry[Bed Capacity]),0)</f>
        <v/>
      </c>
      <c r="E224" s="130">
        <f>IF(A224="","",$B$6*(1+$B$8)^(YEAR(A224)-YEAR(StartDate)))</f>
        <v/>
      </c>
      <c r="F224" s="105">
        <f>$B$7</f>
        <v/>
      </c>
      <c r="G224" s="105">
        <f>$B$8</f>
        <v/>
      </c>
      <c r="H224" s="130">
        <f>IFERROR(D224*E224,0)</f>
        <v/>
      </c>
      <c r="I224" s="130" t="n"/>
      <c r="J224" s="130">
        <f>IFERROR(D224*F224*E224,0)</f>
        <v/>
      </c>
      <c r="K224" s="104" t="n"/>
      <c r="L224" s="104" t="n"/>
      <c r="M224" s="104" t="n"/>
      <c r="N224" s="104" t="n"/>
      <c r="O224" s="104" t="n"/>
      <c r="P224" s="104" t="n"/>
      <c r="Q224" s="104" t="n"/>
      <c r="R224" s="130">
        <f>IF(C224="Owned",0,IF(B224&lt;&gt;"",2500,0))</f>
        <v/>
      </c>
      <c r="S224" s="130">
        <f>SUM(K224:R224)</f>
        <v/>
      </c>
      <c r="T224" s="130">
        <f>I224-S224</f>
        <v/>
      </c>
      <c r="U224" s="105">
        <f>IFERROR(T224/I224,0)</f>
        <v/>
      </c>
    </row>
    <row r="225" hidden="1" ht="14.25" customHeight="1" s="83">
      <c r="A225" s="125" t="n"/>
      <c r="B225" s="103" t="n"/>
      <c r="C225" s="170">
        <f>IFERROR(_xlfn.XLOOKUP(B225,DormRegistry[Dorm Name],DormRegistry[Ownership Type]),"")</f>
        <v/>
      </c>
      <c r="D225" s="170">
        <f>IFERROR(_xlfn.XLOOKUP(B225,DormRegistry[Dorm Name],DormRegistry[Bed Capacity]),0)</f>
        <v/>
      </c>
      <c r="E225" s="130">
        <f>IF(A225="","",$B$6*(1+$B$8)^(YEAR(A225)-YEAR(StartDate)))</f>
        <v/>
      </c>
      <c r="F225" s="105">
        <f>$B$7</f>
        <v/>
      </c>
      <c r="G225" s="105">
        <f>$B$8</f>
        <v/>
      </c>
      <c r="H225" s="130">
        <f>IFERROR(D225*E225,0)</f>
        <v/>
      </c>
      <c r="I225" s="130" t="n"/>
      <c r="J225" s="130">
        <f>IFERROR(D225*F225*E225,0)</f>
        <v/>
      </c>
      <c r="K225" s="104" t="n"/>
      <c r="L225" s="104" t="n"/>
      <c r="M225" s="104" t="n"/>
      <c r="N225" s="104" t="n"/>
      <c r="O225" s="104" t="n"/>
      <c r="P225" s="104" t="n"/>
      <c r="Q225" s="104" t="n"/>
      <c r="R225" s="130">
        <f>IF(C225="Owned",0,IF(B225&lt;&gt;"",2500,0))</f>
        <v/>
      </c>
      <c r="S225" s="130">
        <f>SUM(K225:R225)</f>
        <v/>
      </c>
      <c r="T225" s="130">
        <f>I225-S225</f>
        <v/>
      </c>
      <c r="U225" s="105">
        <f>IFERROR(T225/I225,0)</f>
        <v/>
      </c>
    </row>
    <row r="226" hidden="1" ht="14.25" customHeight="1" s="83">
      <c r="A226" s="125" t="n"/>
      <c r="B226" s="103" t="n"/>
      <c r="C226" s="170">
        <f>IFERROR(_xlfn.XLOOKUP(B226,DormRegistry[Dorm Name],DormRegistry[Ownership Type]),"")</f>
        <v/>
      </c>
      <c r="D226" s="170">
        <f>IFERROR(_xlfn.XLOOKUP(B226,DormRegistry[Dorm Name],DormRegistry[Bed Capacity]),0)</f>
        <v/>
      </c>
      <c r="E226" s="130">
        <f>IF(A226="","",$B$6*(1+$B$8)^(YEAR(A226)-YEAR(StartDate)))</f>
        <v/>
      </c>
      <c r="F226" s="105">
        <f>$B$7</f>
        <v/>
      </c>
      <c r="G226" s="105">
        <f>$B$8</f>
        <v/>
      </c>
      <c r="H226" s="130">
        <f>IFERROR(D226*E226,0)</f>
        <v/>
      </c>
      <c r="I226" s="130" t="n"/>
      <c r="J226" s="130">
        <f>IFERROR(D226*F226*E226,0)</f>
        <v/>
      </c>
      <c r="K226" s="104" t="n"/>
      <c r="L226" s="104" t="n"/>
      <c r="M226" s="104" t="n"/>
      <c r="N226" s="104" t="n"/>
      <c r="O226" s="104" t="n"/>
      <c r="P226" s="104" t="n"/>
      <c r="Q226" s="104" t="n"/>
      <c r="R226" s="130">
        <f>IF(C226="Owned",0,IF(B226&lt;&gt;"",2500,0))</f>
        <v/>
      </c>
      <c r="S226" s="130">
        <f>SUM(K226:R226)</f>
        <v/>
      </c>
      <c r="T226" s="130">
        <f>I226-S226</f>
        <v/>
      </c>
      <c r="U226" s="105">
        <f>IFERROR(T226/I226,0)</f>
        <v/>
      </c>
    </row>
    <row r="227" hidden="1" ht="14.25" customHeight="1" s="83">
      <c r="A227" s="125" t="n"/>
      <c r="B227" s="103" t="n"/>
      <c r="C227" s="170">
        <f>IFERROR(_xlfn.XLOOKUP(B227,DormRegistry[Dorm Name],DormRegistry[Ownership Type]),"")</f>
        <v/>
      </c>
      <c r="D227" s="170">
        <f>IFERROR(_xlfn.XLOOKUP(B227,DormRegistry[Dorm Name],DormRegistry[Bed Capacity]),0)</f>
        <v/>
      </c>
      <c r="E227" s="130">
        <f>IF(A227="","",$B$6*(1+$B$8)^(YEAR(A227)-YEAR(StartDate)))</f>
        <v/>
      </c>
      <c r="F227" s="105">
        <f>$B$7</f>
        <v/>
      </c>
      <c r="G227" s="105">
        <f>$B$8</f>
        <v/>
      </c>
      <c r="H227" s="130">
        <f>IFERROR(D227*E227,0)</f>
        <v/>
      </c>
      <c r="I227" s="130" t="n"/>
      <c r="J227" s="130">
        <f>IFERROR(D227*F227*E227,0)</f>
        <v/>
      </c>
      <c r="K227" s="104" t="n"/>
      <c r="L227" s="104" t="n"/>
      <c r="M227" s="104" t="n"/>
      <c r="N227" s="104" t="n"/>
      <c r="O227" s="104" t="n"/>
      <c r="P227" s="104" t="n"/>
      <c r="Q227" s="104" t="n"/>
      <c r="R227" s="130">
        <f>IF(C227="Owned",0,IF(B227&lt;&gt;"",2500,0))</f>
        <v/>
      </c>
      <c r="S227" s="130">
        <f>SUM(K227:R227)</f>
        <v/>
      </c>
      <c r="T227" s="130">
        <f>I227-S227</f>
        <v/>
      </c>
      <c r="U227" s="105">
        <f>IFERROR(T227/I227,0)</f>
        <v/>
      </c>
    </row>
    <row r="228" hidden="1" ht="14.25" customHeight="1" s="83">
      <c r="A228" s="125" t="n"/>
      <c r="B228" s="103" t="n"/>
      <c r="C228" s="170">
        <f>IFERROR(_xlfn.XLOOKUP(B228,DormRegistry[Dorm Name],DormRegistry[Ownership Type]),"")</f>
        <v/>
      </c>
      <c r="D228" s="170">
        <f>IFERROR(_xlfn.XLOOKUP(B228,DormRegistry[Dorm Name],DormRegistry[Bed Capacity]),0)</f>
        <v/>
      </c>
      <c r="E228" s="130">
        <f>IF(A228="","",$B$6*(1+$B$8)^(YEAR(A228)-YEAR(StartDate)))</f>
        <v/>
      </c>
      <c r="F228" s="105">
        <f>$B$7</f>
        <v/>
      </c>
      <c r="G228" s="105">
        <f>$B$8</f>
        <v/>
      </c>
      <c r="H228" s="130">
        <f>IFERROR(D228*E228,0)</f>
        <v/>
      </c>
      <c r="I228" s="130" t="n"/>
      <c r="J228" s="130">
        <f>IFERROR(D228*F228*E228,0)</f>
        <v/>
      </c>
      <c r="K228" s="104" t="n"/>
      <c r="L228" s="104" t="n"/>
      <c r="M228" s="104" t="n"/>
      <c r="N228" s="104" t="n"/>
      <c r="O228" s="104" t="n"/>
      <c r="P228" s="104" t="n"/>
      <c r="Q228" s="104" t="n"/>
      <c r="R228" s="130">
        <f>IF(C228="Owned",0,IF(B228&lt;&gt;"",2500,0))</f>
        <v/>
      </c>
      <c r="S228" s="130">
        <f>SUM(K228:R228)</f>
        <v/>
      </c>
      <c r="T228" s="130">
        <f>I228-S228</f>
        <v/>
      </c>
      <c r="U228" s="105">
        <f>IFERROR(T228/I228,0)</f>
        <v/>
      </c>
    </row>
    <row r="229" hidden="1" ht="14.25" customHeight="1" s="83">
      <c r="A229" s="125" t="n"/>
      <c r="B229" s="103" t="n"/>
      <c r="C229" s="170">
        <f>IFERROR(_xlfn.XLOOKUP(B229,DormRegistry[Dorm Name],DormRegistry[Ownership Type]),"")</f>
        <v/>
      </c>
      <c r="D229" s="170">
        <f>IFERROR(_xlfn.XLOOKUP(B229,DormRegistry[Dorm Name],DormRegistry[Bed Capacity]),0)</f>
        <v/>
      </c>
      <c r="E229" s="130">
        <f>IF(A229="","",$B$6*(1+$B$8)^(YEAR(A229)-YEAR(StartDate)))</f>
        <v/>
      </c>
      <c r="F229" s="105">
        <f>$B$7</f>
        <v/>
      </c>
      <c r="G229" s="105">
        <f>$B$8</f>
        <v/>
      </c>
      <c r="H229" s="130">
        <f>IFERROR(D229*E229,0)</f>
        <v/>
      </c>
      <c r="I229" s="130" t="n"/>
      <c r="J229" s="130">
        <f>IFERROR(D229*F229*E229,0)</f>
        <v/>
      </c>
      <c r="K229" s="104" t="n"/>
      <c r="L229" s="104" t="n"/>
      <c r="M229" s="104" t="n"/>
      <c r="N229" s="104" t="n"/>
      <c r="O229" s="104" t="n"/>
      <c r="P229" s="104" t="n"/>
      <c r="Q229" s="104" t="n"/>
      <c r="R229" s="130">
        <f>IF(C229="Owned",0,IF(B229&lt;&gt;"",2500,0))</f>
        <v/>
      </c>
      <c r="S229" s="130">
        <f>SUM(K229:R229)</f>
        <v/>
      </c>
      <c r="T229" s="130">
        <f>I229-S229</f>
        <v/>
      </c>
      <c r="U229" s="105">
        <f>IFERROR(T229/I229,0)</f>
        <v/>
      </c>
    </row>
    <row r="230" hidden="1" ht="14.25" customHeight="1" s="83">
      <c r="A230" s="125" t="n"/>
      <c r="B230" s="103" t="n"/>
      <c r="C230" s="170">
        <f>IFERROR(_xlfn.XLOOKUP(B230,DormRegistry[Dorm Name],DormRegistry[Ownership Type]),"")</f>
        <v/>
      </c>
      <c r="D230" s="170">
        <f>IFERROR(_xlfn.XLOOKUP(B230,DormRegistry[Dorm Name],DormRegistry[Bed Capacity]),0)</f>
        <v/>
      </c>
      <c r="E230" s="130">
        <f>IF(A230="","",$B$6*(1+$B$8)^(YEAR(A230)-YEAR(StartDate)))</f>
        <v/>
      </c>
      <c r="F230" s="105">
        <f>$B$7</f>
        <v/>
      </c>
      <c r="G230" s="105">
        <f>$B$8</f>
        <v/>
      </c>
      <c r="H230" s="130">
        <f>IFERROR(D230*E230,0)</f>
        <v/>
      </c>
      <c r="I230" s="130" t="n"/>
      <c r="J230" s="130">
        <f>IFERROR(D230*F230*E230,0)</f>
        <v/>
      </c>
      <c r="K230" s="104" t="n"/>
      <c r="L230" s="104" t="n"/>
      <c r="M230" s="104" t="n"/>
      <c r="N230" s="104" t="n"/>
      <c r="O230" s="104" t="n"/>
      <c r="P230" s="104" t="n"/>
      <c r="Q230" s="104" t="n"/>
      <c r="R230" s="130">
        <f>IF(C230="Owned",0,IF(B230&lt;&gt;"",2500,0))</f>
        <v/>
      </c>
      <c r="S230" s="130">
        <f>SUM(K230:R230)</f>
        <v/>
      </c>
      <c r="T230" s="130">
        <f>I230-S230</f>
        <v/>
      </c>
      <c r="U230" s="105">
        <f>IFERROR(T230/I230,0)</f>
        <v/>
      </c>
    </row>
    <row r="231" hidden="1" ht="14.25" customHeight="1" s="83">
      <c r="A231" s="125" t="n"/>
      <c r="B231" s="103" t="n"/>
      <c r="C231" s="170">
        <f>IFERROR(_xlfn.XLOOKUP(B231,DormRegistry[Dorm Name],DormRegistry[Ownership Type]),"")</f>
        <v/>
      </c>
      <c r="D231" s="170">
        <f>IFERROR(_xlfn.XLOOKUP(B231,DormRegistry[Dorm Name],DormRegistry[Bed Capacity]),0)</f>
        <v/>
      </c>
      <c r="E231" s="130">
        <f>IF(A231="","",$B$6*(1+$B$8)^(YEAR(A231)-YEAR(StartDate)))</f>
        <v/>
      </c>
      <c r="F231" s="105">
        <f>$B$7</f>
        <v/>
      </c>
      <c r="G231" s="105">
        <f>$B$8</f>
        <v/>
      </c>
      <c r="H231" s="130">
        <f>IFERROR(D231*E231,0)</f>
        <v/>
      </c>
      <c r="I231" s="130" t="n"/>
      <c r="J231" s="130">
        <f>IFERROR(D231*F231*E231,0)</f>
        <v/>
      </c>
      <c r="K231" s="104" t="n"/>
      <c r="L231" s="104" t="n"/>
      <c r="M231" s="104" t="n"/>
      <c r="N231" s="104" t="n"/>
      <c r="O231" s="104" t="n"/>
      <c r="P231" s="104" t="n"/>
      <c r="Q231" s="104" t="n"/>
      <c r="R231" s="130">
        <f>IF(C231="Owned",0,IF(B231&lt;&gt;"",2500,0))</f>
        <v/>
      </c>
      <c r="S231" s="130">
        <f>SUM(K231:R231)</f>
        <v/>
      </c>
      <c r="T231" s="130">
        <f>I231-S231</f>
        <v/>
      </c>
      <c r="U231" s="105">
        <f>IFERROR(T231/I231,0)</f>
        <v/>
      </c>
    </row>
    <row r="232" hidden="1" ht="14.25" customHeight="1" s="83">
      <c r="A232" s="125" t="n"/>
      <c r="B232" s="103" t="n"/>
      <c r="C232" s="170">
        <f>IFERROR(_xlfn.XLOOKUP(B232,DormRegistry[Dorm Name],DormRegistry[Ownership Type]),"")</f>
        <v/>
      </c>
      <c r="D232" s="170">
        <f>IFERROR(_xlfn.XLOOKUP(B232,DormRegistry[Dorm Name],DormRegistry[Bed Capacity]),0)</f>
        <v/>
      </c>
      <c r="E232" s="130">
        <f>IF(A232="","",$B$6*(1+$B$8)^(YEAR(A232)-YEAR(StartDate)))</f>
        <v/>
      </c>
      <c r="F232" s="105">
        <f>$B$7</f>
        <v/>
      </c>
      <c r="G232" s="105">
        <f>$B$8</f>
        <v/>
      </c>
      <c r="H232" s="130">
        <f>IFERROR(D232*E232,0)</f>
        <v/>
      </c>
      <c r="I232" s="130" t="n"/>
      <c r="J232" s="130">
        <f>IFERROR(D232*F232*E232,0)</f>
        <v/>
      </c>
      <c r="K232" s="104" t="n"/>
      <c r="L232" s="104" t="n"/>
      <c r="M232" s="104" t="n"/>
      <c r="N232" s="104" t="n"/>
      <c r="O232" s="104" t="n"/>
      <c r="P232" s="104" t="n"/>
      <c r="Q232" s="104" t="n"/>
      <c r="R232" s="130">
        <f>IF(C232="Owned",0,IF(B232&lt;&gt;"",2500,0))</f>
        <v/>
      </c>
      <c r="S232" s="130">
        <f>SUM(K232:R232)</f>
        <v/>
      </c>
      <c r="T232" s="130">
        <f>I232-S232</f>
        <v/>
      </c>
      <c r="U232" s="105">
        <f>IFERROR(T232/I232,0)</f>
        <v/>
      </c>
    </row>
    <row r="233" hidden="1" ht="14.25" customHeight="1" s="83">
      <c r="A233" s="125" t="n"/>
      <c r="B233" s="103" t="n"/>
      <c r="C233" s="170">
        <f>IFERROR(_xlfn.XLOOKUP(B233,DormRegistry[Dorm Name],DormRegistry[Ownership Type]),"")</f>
        <v/>
      </c>
      <c r="D233" s="170">
        <f>IFERROR(_xlfn.XLOOKUP(B233,DormRegistry[Dorm Name],DormRegistry[Bed Capacity]),0)</f>
        <v/>
      </c>
      <c r="E233" s="130">
        <f>IF(A233="","",$B$6*(1+$B$8)^(YEAR(A233)-YEAR(StartDate)))</f>
        <v/>
      </c>
      <c r="F233" s="105">
        <f>$B$7</f>
        <v/>
      </c>
      <c r="G233" s="105">
        <f>$B$8</f>
        <v/>
      </c>
      <c r="H233" s="130">
        <f>IFERROR(D233*E233,0)</f>
        <v/>
      </c>
      <c r="I233" s="130" t="n"/>
      <c r="J233" s="130">
        <f>IFERROR(D233*F233*E233,0)</f>
        <v/>
      </c>
      <c r="K233" s="104" t="n"/>
      <c r="L233" s="104" t="n"/>
      <c r="M233" s="104" t="n"/>
      <c r="N233" s="104" t="n"/>
      <c r="O233" s="104" t="n"/>
      <c r="P233" s="104" t="n"/>
      <c r="Q233" s="104" t="n"/>
      <c r="R233" s="130">
        <f>IF(C233="Owned",0,IF(B233&lt;&gt;"",2500,0))</f>
        <v/>
      </c>
      <c r="S233" s="130">
        <f>SUM(K233:R233)</f>
        <v/>
      </c>
      <c r="T233" s="130">
        <f>I233-S233</f>
        <v/>
      </c>
      <c r="U233" s="105">
        <f>IFERROR(T233/I233,0)</f>
        <v/>
      </c>
    </row>
    <row r="234" hidden="1" ht="14.25" customHeight="1" s="83">
      <c r="A234" s="125" t="n"/>
      <c r="B234" s="103" t="n"/>
      <c r="C234" s="170">
        <f>IFERROR(_xlfn.XLOOKUP(B234,DormRegistry[Dorm Name],DormRegistry[Ownership Type]),"")</f>
        <v/>
      </c>
      <c r="D234" s="170">
        <f>IFERROR(_xlfn.XLOOKUP(B234,DormRegistry[Dorm Name],DormRegistry[Bed Capacity]),0)</f>
        <v/>
      </c>
      <c r="E234" s="130">
        <f>IF(A234="","",$B$6*(1+$B$8)^(YEAR(A234)-YEAR(StartDate)))</f>
        <v/>
      </c>
      <c r="F234" s="105">
        <f>$B$7</f>
        <v/>
      </c>
      <c r="G234" s="105">
        <f>$B$8</f>
        <v/>
      </c>
      <c r="H234" s="130">
        <f>IFERROR(D234*E234,0)</f>
        <v/>
      </c>
      <c r="I234" s="130" t="n"/>
      <c r="J234" s="130">
        <f>IFERROR(D234*F234*E234,0)</f>
        <v/>
      </c>
      <c r="K234" s="104" t="n"/>
      <c r="L234" s="104" t="n"/>
      <c r="M234" s="104" t="n"/>
      <c r="N234" s="104" t="n"/>
      <c r="O234" s="104" t="n"/>
      <c r="P234" s="104" t="n"/>
      <c r="Q234" s="104" t="n"/>
      <c r="R234" s="130">
        <f>IF(C234="Owned",0,IF(B234&lt;&gt;"",2500,0))</f>
        <v/>
      </c>
      <c r="S234" s="130">
        <f>SUM(K234:R234)</f>
        <v/>
      </c>
      <c r="T234" s="130">
        <f>I234-S234</f>
        <v/>
      </c>
      <c r="U234" s="105">
        <f>IFERROR(T234/I234,0)</f>
        <v/>
      </c>
    </row>
    <row r="235" hidden="1" ht="14.25" customHeight="1" s="83">
      <c r="A235" s="125" t="n"/>
      <c r="B235" s="103" t="n"/>
      <c r="C235" s="170">
        <f>IFERROR(_xlfn.XLOOKUP(B235,DormRegistry[Dorm Name],DormRegistry[Ownership Type]),"")</f>
        <v/>
      </c>
      <c r="D235" s="170">
        <f>IFERROR(_xlfn.XLOOKUP(B235,DormRegistry[Dorm Name],DormRegistry[Bed Capacity]),0)</f>
        <v/>
      </c>
      <c r="E235" s="130">
        <f>IF(A235="","",$B$6*(1+$B$8)^(YEAR(A235)-YEAR(StartDate)))</f>
        <v/>
      </c>
      <c r="F235" s="105">
        <f>$B$7</f>
        <v/>
      </c>
      <c r="G235" s="105">
        <f>$B$8</f>
        <v/>
      </c>
      <c r="H235" s="130">
        <f>IFERROR(D235*E235,0)</f>
        <v/>
      </c>
      <c r="I235" s="130" t="n"/>
      <c r="J235" s="130">
        <f>IFERROR(D235*F235*E235,0)</f>
        <v/>
      </c>
      <c r="K235" s="104" t="n"/>
      <c r="L235" s="104" t="n"/>
      <c r="M235" s="104" t="n"/>
      <c r="N235" s="104" t="n"/>
      <c r="O235" s="104" t="n"/>
      <c r="P235" s="104" t="n"/>
      <c r="Q235" s="104" t="n"/>
      <c r="R235" s="130">
        <f>IF(C235="Owned",0,IF(B235&lt;&gt;"",2500,0))</f>
        <v/>
      </c>
      <c r="S235" s="130">
        <f>SUM(K235:R235)</f>
        <v/>
      </c>
      <c r="T235" s="130">
        <f>I235-S235</f>
        <v/>
      </c>
      <c r="U235" s="105">
        <f>IFERROR(T235/I235,0)</f>
        <v/>
      </c>
    </row>
    <row r="236" hidden="1" ht="14.25" customHeight="1" s="83">
      <c r="A236" s="125" t="n"/>
      <c r="B236" s="103" t="n"/>
      <c r="C236" s="170">
        <f>IFERROR(_xlfn.XLOOKUP(B236,DormRegistry[Dorm Name],DormRegistry[Ownership Type]),"")</f>
        <v/>
      </c>
      <c r="D236" s="170">
        <f>IFERROR(_xlfn.XLOOKUP(B236,DormRegistry[Dorm Name],DormRegistry[Bed Capacity]),0)</f>
        <v/>
      </c>
      <c r="E236" s="130">
        <f>IF(A236="","",$B$6*(1+$B$8)^(YEAR(A236)-YEAR(StartDate)))</f>
        <v/>
      </c>
      <c r="F236" s="105">
        <f>$B$7</f>
        <v/>
      </c>
      <c r="G236" s="105">
        <f>$B$8</f>
        <v/>
      </c>
      <c r="H236" s="130">
        <f>IFERROR(D236*E236,0)</f>
        <v/>
      </c>
      <c r="I236" s="130" t="n"/>
      <c r="J236" s="130">
        <f>IFERROR(D236*F236*E236,0)</f>
        <v/>
      </c>
      <c r="K236" s="104" t="n"/>
      <c r="L236" s="104" t="n"/>
      <c r="M236" s="104" t="n"/>
      <c r="N236" s="104" t="n"/>
      <c r="O236" s="104" t="n"/>
      <c r="P236" s="104" t="n"/>
      <c r="Q236" s="104" t="n"/>
      <c r="R236" s="130">
        <f>IF(C236="Owned",0,IF(B236&lt;&gt;"",2500,0))</f>
        <v/>
      </c>
      <c r="S236" s="130">
        <f>SUM(K236:R236)</f>
        <v/>
      </c>
      <c r="T236" s="130">
        <f>I236-S236</f>
        <v/>
      </c>
      <c r="U236" s="105">
        <f>IFERROR(T236/I236,0)</f>
        <v/>
      </c>
    </row>
    <row r="237" hidden="1" ht="14.25" customHeight="1" s="83">
      <c r="A237" s="125" t="n"/>
      <c r="B237" s="103" t="n"/>
      <c r="C237" s="170">
        <f>IFERROR(_xlfn.XLOOKUP(B237,DormRegistry[Dorm Name],DormRegistry[Ownership Type]),"")</f>
        <v/>
      </c>
      <c r="D237" s="170">
        <f>IFERROR(_xlfn.XLOOKUP(B237,DormRegistry[Dorm Name],DormRegistry[Bed Capacity]),0)</f>
        <v/>
      </c>
      <c r="E237" s="130">
        <f>IF(A237="","",$B$6*(1+$B$8)^(YEAR(A237)-YEAR(StartDate)))</f>
        <v/>
      </c>
      <c r="F237" s="105">
        <f>$B$7</f>
        <v/>
      </c>
      <c r="G237" s="105">
        <f>$B$8</f>
        <v/>
      </c>
      <c r="H237" s="130">
        <f>IFERROR(D237*E237,0)</f>
        <v/>
      </c>
      <c r="I237" s="130" t="n"/>
      <c r="J237" s="130">
        <f>IFERROR(D237*F237*E237,0)</f>
        <v/>
      </c>
      <c r="K237" s="104" t="n"/>
      <c r="L237" s="104" t="n"/>
      <c r="M237" s="104" t="n"/>
      <c r="N237" s="104" t="n"/>
      <c r="O237" s="104" t="n"/>
      <c r="P237" s="104" t="n"/>
      <c r="Q237" s="104" t="n"/>
      <c r="R237" s="130">
        <f>IF(C237="Owned",0,IF(B237&lt;&gt;"",2500,0))</f>
        <v/>
      </c>
      <c r="S237" s="130">
        <f>SUM(K237:R237)</f>
        <v/>
      </c>
      <c r="T237" s="130">
        <f>I237-S237</f>
        <v/>
      </c>
      <c r="U237" s="105">
        <f>IFERROR(T237/I237,0)</f>
        <v/>
      </c>
    </row>
    <row r="238" hidden="1" ht="14.25" customHeight="1" s="83">
      <c r="A238" s="125" t="n"/>
      <c r="B238" s="103" t="n"/>
      <c r="C238" s="170">
        <f>IFERROR(_xlfn.XLOOKUP(B238,DormRegistry[Dorm Name],DormRegistry[Ownership Type]),"")</f>
        <v/>
      </c>
      <c r="D238" s="170">
        <f>IFERROR(_xlfn.XLOOKUP(B238,DormRegistry[Dorm Name],DormRegistry[Bed Capacity]),0)</f>
        <v/>
      </c>
      <c r="E238" s="130">
        <f>IF(A238="","",$B$6*(1+$B$8)^(YEAR(A238)-YEAR(StartDate)))</f>
        <v/>
      </c>
      <c r="F238" s="105">
        <f>$B$7</f>
        <v/>
      </c>
      <c r="G238" s="105">
        <f>$B$8</f>
        <v/>
      </c>
      <c r="H238" s="130">
        <f>IFERROR(D238*E238,0)</f>
        <v/>
      </c>
      <c r="I238" s="130" t="n"/>
      <c r="J238" s="130">
        <f>IFERROR(D238*F238*E238,0)</f>
        <v/>
      </c>
      <c r="K238" s="104" t="n"/>
      <c r="L238" s="104" t="n"/>
      <c r="M238" s="104" t="n"/>
      <c r="N238" s="104" t="n"/>
      <c r="O238" s="104" t="n"/>
      <c r="P238" s="104" t="n"/>
      <c r="Q238" s="104" t="n"/>
      <c r="R238" s="130">
        <f>IF(C238="Owned",0,IF(B238&lt;&gt;"",2500,0))</f>
        <v/>
      </c>
      <c r="S238" s="130">
        <f>SUM(K238:R238)</f>
        <v/>
      </c>
      <c r="T238" s="130">
        <f>I238-S238</f>
        <v/>
      </c>
      <c r="U238" s="105">
        <f>IFERROR(T238/I238,0)</f>
        <v/>
      </c>
    </row>
    <row r="239" hidden="1" ht="14.25" customHeight="1" s="83">
      <c r="A239" s="125" t="n"/>
      <c r="B239" s="103" t="n"/>
      <c r="C239" s="170">
        <f>IFERROR(_xlfn.XLOOKUP(B239,DormRegistry[Dorm Name],DormRegistry[Ownership Type]),"")</f>
        <v/>
      </c>
      <c r="D239" s="170">
        <f>IFERROR(_xlfn.XLOOKUP(B239,DormRegistry[Dorm Name],DormRegistry[Bed Capacity]),0)</f>
        <v/>
      </c>
      <c r="E239" s="130">
        <f>IF(A239="","",$B$6*(1+$B$8)^(YEAR(A239)-YEAR(StartDate)))</f>
        <v/>
      </c>
      <c r="F239" s="105">
        <f>$B$7</f>
        <v/>
      </c>
      <c r="G239" s="105">
        <f>$B$8</f>
        <v/>
      </c>
      <c r="H239" s="130">
        <f>IFERROR(D239*E239,0)</f>
        <v/>
      </c>
      <c r="I239" s="130" t="n"/>
      <c r="J239" s="130">
        <f>IFERROR(D239*F239*E239,0)</f>
        <v/>
      </c>
      <c r="K239" s="104" t="n"/>
      <c r="L239" s="104" t="n"/>
      <c r="M239" s="104" t="n"/>
      <c r="N239" s="104" t="n"/>
      <c r="O239" s="104" t="n"/>
      <c r="P239" s="104" t="n"/>
      <c r="Q239" s="104" t="n"/>
      <c r="R239" s="130">
        <f>IF(C239="Owned",0,IF(B239&lt;&gt;"",2500,0))</f>
        <v/>
      </c>
      <c r="S239" s="130">
        <f>SUM(K239:R239)</f>
        <v/>
      </c>
      <c r="T239" s="130">
        <f>I239-S239</f>
        <v/>
      </c>
      <c r="U239" s="105">
        <f>IFERROR(T239/I239,0)</f>
        <v/>
      </c>
    </row>
    <row r="240" hidden="1" ht="14.25" customHeight="1" s="83">
      <c r="A240" s="125" t="n"/>
      <c r="B240" s="103" t="n"/>
      <c r="C240" s="170">
        <f>IFERROR(_xlfn.XLOOKUP(B240,DormRegistry[Dorm Name],DormRegistry[Ownership Type]),"")</f>
        <v/>
      </c>
      <c r="D240" s="170">
        <f>IFERROR(_xlfn.XLOOKUP(B240,DormRegistry[Dorm Name],DormRegistry[Bed Capacity]),0)</f>
        <v/>
      </c>
      <c r="E240" s="130">
        <f>IF(A240="","",$B$6*(1+$B$8)^(YEAR(A240)-YEAR(StartDate)))</f>
        <v/>
      </c>
      <c r="F240" s="105">
        <f>$B$7</f>
        <v/>
      </c>
      <c r="G240" s="105">
        <f>$B$8</f>
        <v/>
      </c>
      <c r="H240" s="130">
        <f>IFERROR(D240*E240,0)</f>
        <v/>
      </c>
      <c r="I240" s="130" t="n"/>
      <c r="J240" s="130">
        <f>IFERROR(D240*F240*E240,0)</f>
        <v/>
      </c>
      <c r="K240" s="104" t="n"/>
      <c r="L240" s="104" t="n"/>
      <c r="M240" s="104" t="n"/>
      <c r="N240" s="104" t="n"/>
      <c r="O240" s="104" t="n"/>
      <c r="P240" s="104" t="n"/>
      <c r="Q240" s="104" t="n"/>
      <c r="R240" s="130">
        <f>IF(C240="Owned",0,IF(B240&lt;&gt;"",2500,0))</f>
        <v/>
      </c>
      <c r="S240" s="130">
        <f>SUM(K240:R240)</f>
        <v/>
      </c>
      <c r="T240" s="130">
        <f>I240-S240</f>
        <v/>
      </c>
      <c r="U240" s="105">
        <f>IFERROR(T240/I240,0)</f>
        <v/>
      </c>
    </row>
    <row r="241" hidden="1" ht="14.25" customHeight="1" s="83">
      <c r="A241" s="125" t="n"/>
      <c r="B241" s="103" t="n"/>
      <c r="C241" s="170">
        <f>IFERROR(_xlfn.XLOOKUP(B241,DormRegistry[Dorm Name],DormRegistry[Ownership Type]),"")</f>
        <v/>
      </c>
      <c r="D241" s="170">
        <f>IFERROR(_xlfn.XLOOKUP(B241,DormRegistry[Dorm Name],DormRegistry[Bed Capacity]),0)</f>
        <v/>
      </c>
      <c r="E241" s="130">
        <f>IF(A241="","",$B$6*(1+$B$8)^(YEAR(A241)-YEAR(StartDate)))</f>
        <v/>
      </c>
      <c r="F241" s="105">
        <f>$B$7</f>
        <v/>
      </c>
      <c r="G241" s="105">
        <f>$B$8</f>
        <v/>
      </c>
      <c r="H241" s="130">
        <f>IFERROR(D241*E241,0)</f>
        <v/>
      </c>
      <c r="I241" s="130" t="n"/>
      <c r="J241" s="130">
        <f>IFERROR(D241*F241*E241,0)</f>
        <v/>
      </c>
      <c r="K241" s="104" t="n"/>
      <c r="L241" s="104" t="n"/>
      <c r="M241" s="104" t="n"/>
      <c r="N241" s="104" t="n"/>
      <c r="O241" s="104" t="n"/>
      <c r="P241" s="104" t="n"/>
      <c r="Q241" s="104" t="n"/>
      <c r="R241" s="130">
        <f>IF(C241="Owned",0,IF(B241&lt;&gt;"",2500,0))</f>
        <v/>
      </c>
      <c r="S241" s="130">
        <f>SUM(K241:R241)</f>
        <v/>
      </c>
      <c r="T241" s="130">
        <f>I241-S241</f>
        <v/>
      </c>
      <c r="U241" s="105">
        <f>IFERROR(T241/I241,0)</f>
        <v/>
      </c>
    </row>
    <row r="242" hidden="1" ht="14.25" customHeight="1" s="83">
      <c r="A242" s="125" t="n"/>
      <c r="B242" s="103" t="n"/>
      <c r="C242" s="170">
        <f>IFERROR(_xlfn.XLOOKUP(B242,DormRegistry[Dorm Name],DormRegistry[Ownership Type]),"")</f>
        <v/>
      </c>
      <c r="D242" s="170">
        <f>IFERROR(_xlfn.XLOOKUP(B242,DormRegistry[Dorm Name],DormRegistry[Bed Capacity]),0)</f>
        <v/>
      </c>
      <c r="E242" s="130">
        <f>IF(A242="","",$B$6*(1+$B$8)^(YEAR(A242)-YEAR(StartDate)))</f>
        <v/>
      </c>
      <c r="F242" s="105">
        <f>$B$7</f>
        <v/>
      </c>
      <c r="G242" s="105">
        <f>$B$8</f>
        <v/>
      </c>
      <c r="H242" s="130">
        <f>IFERROR(D242*E242,0)</f>
        <v/>
      </c>
      <c r="I242" s="130" t="n"/>
      <c r="J242" s="130">
        <f>IFERROR(D242*F242*E242,0)</f>
        <v/>
      </c>
      <c r="K242" s="104" t="n"/>
      <c r="L242" s="104" t="n"/>
      <c r="M242" s="104" t="n"/>
      <c r="N242" s="104" t="n"/>
      <c r="O242" s="104" t="n"/>
      <c r="P242" s="104" t="n"/>
      <c r="Q242" s="104" t="n"/>
      <c r="R242" s="130">
        <f>IF(C242="Owned",0,IF(B242&lt;&gt;"",2500,0))</f>
        <v/>
      </c>
      <c r="S242" s="130">
        <f>SUM(K242:R242)</f>
        <v/>
      </c>
      <c r="T242" s="130">
        <f>I242-S242</f>
        <v/>
      </c>
      <c r="U242" s="105">
        <f>IFERROR(T242/I242,0)</f>
        <v/>
      </c>
    </row>
    <row r="243" hidden="1" ht="14.25" customHeight="1" s="83">
      <c r="A243" s="125" t="n"/>
      <c r="B243" s="103" t="n"/>
      <c r="C243" s="170">
        <f>IFERROR(_xlfn.XLOOKUP(B243,DormRegistry[Dorm Name],DormRegistry[Ownership Type]),"")</f>
        <v/>
      </c>
      <c r="D243" s="170">
        <f>IFERROR(_xlfn.XLOOKUP(B243,DormRegistry[Dorm Name],DormRegistry[Bed Capacity]),0)</f>
        <v/>
      </c>
      <c r="E243" s="130">
        <f>IF(A243="","",$B$6*(1+$B$8)^(YEAR(A243)-YEAR(StartDate)))</f>
        <v/>
      </c>
      <c r="F243" s="105">
        <f>$B$7</f>
        <v/>
      </c>
      <c r="G243" s="105">
        <f>$B$8</f>
        <v/>
      </c>
      <c r="H243" s="130">
        <f>IFERROR(D243*E243,0)</f>
        <v/>
      </c>
      <c r="I243" s="130" t="n"/>
      <c r="J243" s="130">
        <f>IFERROR(D243*F243*E243,0)</f>
        <v/>
      </c>
      <c r="K243" s="104" t="n"/>
      <c r="L243" s="104" t="n"/>
      <c r="M243" s="104" t="n"/>
      <c r="N243" s="104" t="n"/>
      <c r="O243" s="104" t="n"/>
      <c r="P243" s="104" t="n"/>
      <c r="Q243" s="104" t="n"/>
      <c r="R243" s="130">
        <f>IF(C243="Owned",0,IF(B243&lt;&gt;"",2500,0))</f>
        <v/>
      </c>
      <c r="S243" s="130">
        <f>SUM(K243:R243)</f>
        <v/>
      </c>
      <c r="T243" s="130">
        <f>I243-S243</f>
        <v/>
      </c>
      <c r="U243" s="105">
        <f>IFERROR(T243/I243,0)</f>
        <v/>
      </c>
    </row>
    <row r="244" hidden="1" ht="14.25" customHeight="1" s="83">
      <c r="A244" s="125" t="n"/>
      <c r="B244" s="103" t="n"/>
      <c r="C244" s="170">
        <f>IFERROR(_xlfn.XLOOKUP(B244,DormRegistry[Dorm Name],DormRegistry[Ownership Type]),"")</f>
        <v/>
      </c>
      <c r="D244" s="170">
        <f>IFERROR(_xlfn.XLOOKUP(B244,DormRegistry[Dorm Name],DormRegistry[Bed Capacity]),0)</f>
        <v/>
      </c>
      <c r="E244" s="130">
        <f>IF(A244="","",$B$6*(1+$B$8)^(YEAR(A244)-YEAR(StartDate)))</f>
        <v/>
      </c>
      <c r="F244" s="105">
        <f>$B$7</f>
        <v/>
      </c>
      <c r="G244" s="105">
        <f>$B$8</f>
        <v/>
      </c>
      <c r="H244" s="130">
        <f>IFERROR(D244*E244,0)</f>
        <v/>
      </c>
      <c r="I244" s="130" t="n"/>
      <c r="J244" s="130">
        <f>IFERROR(D244*F244*E244,0)</f>
        <v/>
      </c>
      <c r="K244" s="104" t="n"/>
      <c r="L244" s="104" t="n"/>
      <c r="M244" s="104" t="n"/>
      <c r="N244" s="104" t="n"/>
      <c r="O244" s="104" t="n"/>
      <c r="P244" s="104" t="n"/>
      <c r="Q244" s="104" t="n"/>
      <c r="R244" s="130">
        <f>IF(C244="Owned",0,IF(B244&lt;&gt;"",2500,0))</f>
        <v/>
      </c>
      <c r="S244" s="130">
        <f>SUM(K244:R244)</f>
        <v/>
      </c>
      <c r="T244" s="130">
        <f>I244-S244</f>
        <v/>
      </c>
      <c r="U244" s="105">
        <f>IFERROR(T244/I244,0)</f>
        <v/>
      </c>
    </row>
    <row r="245" hidden="1" ht="14.25" customHeight="1" s="83">
      <c r="A245" s="125" t="n"/>
      <c r="B245" s="103" t="n"/>
      <c r="C245" s="170">
        <f>IFERROR(_xlfn.XLOOKUP(B245,DormRegistry[Dorm Name],DormRegistry[Ownership Type]),"")</f>
        <v/>
      </c>
      <c r="D245" s="170">
        <f>IFERROR(_xlfn.XLOOKUP(B245,DormRegistry[Dorm Name],DormRegistry[Bed Capacity]),0)</f>
        <v/>
      </c>
      <c r="E245" s="130">
        <f>IF(A245="","",$B$6*(1+$B$8)^(YEAR(A245)-YEAR(StartDate)))</f>
        <v/>
      </c>
      <c r="F245" s="105">
        <f>$B$7</f>
        <v/>
      </c>
      <c r="G245" s="105">
        <f>$B$8</f>
        <v/>
      </c>
      <c r="H245" s="130">
        <f>IFERROR(D245*E245,0)</f>
        <v/>
      </c>
      <c r="I245" s="130" t="n"/>
      <c r="J245" s="130">
        <f>IFERROR(D245*F245*E245,0)</f>
        <v/>
      </c>
      <c r="K245" s="104" t="n"/>
      <c r="L245" s="104" t="n"/>
      <c r="M245" s="104" t="n"/>
      <c r="N245" s="104" t="n"/>
      <c r="O245" s="104" t="n"/>
      <c r="P245" s="104" t="n"/>
      <c r="Q245" s="104" t="n"/>
      <c r="R245" s="130">
        <f>IF(C245="Owned",0,IF(B245&lt;&gt;"",2500,0))</f>
        <v/>
      </c>
      <c r="S245" s="130">
        <f>SUM(K245:R245)</f>
        <v/>
      </c>
      <c r="T245" s="130">
        <f>I245-S245</f>
        <v/>
      </c>
      <c r="U245" s="105">
        <f>IFERROR(T245/I245,0)</f>
        <v/>
      </c>
    </row>
    <row r="246" hidden="1" ht="14.25" customHeight="1" s="83">
      <c r="A246" s="125" t="n"/>
      <c r="B246" s="103" t="n"/>
      <c r="C246" s="170">
        <f>IFERROR(_xlfn.XLOOKUP(B246,DormRegistry[Dorm Name],DormRegistry[Ownership Type]),"")</f>
        <v/>
      </c>
      <c r="D246" s="170">
        <f>IFERROR(_xlfn.XLOOKUP(B246,DormRegistry[Dorm Name],DormRegistry[Bed Capacity]),0)</f>
        <v/>
      </c>
      <c r="E246" s="130">
        <f>IF(A246="","",$B$6*(1+$B$8)^(YEAR(A246)-YEAR(StartDate)))</f>
        <v/>
      </c>
      <c r="F246" s="105">
        <f>$B$7</f>
        <v/>
      </c>
      <c r="G246" s="105">
        <f>$B$8</f>
        <v/>
      </c>
      <c r="H246" s="130">
        <f>IFERROR(D246*E246,0)</f>
        <v/>
      </c>
      <c r="I246" s="130" t="n"/>
      <c r="J246" s="130">
        <f>IFERROR(D246*F246*E246,0)</f>
        <v/>
      </c>
      <c r="K246" s="104" t="n"/>
      <c r="L246" s="104" t="n"/>
      <c r="M246" s="104" t="n"/>
      <c r="N246" s="104" t="n"/>
      <c r="O246" s="104" t="n"/>
      <c r="P246" s="104" t="n"/>
      <c r="Q246" s="104" t="n"/>
      <c r="R246" s="130">
        <f>IF(C246="Owned",0,IF(B246&lt;&gt;"",2500,0))</f>
        <v/>
      </c>
      <c r="S246" s="130">
        <f>SUM(K246:R246)</f>
        <v/>
      </c>
      <c r="T246" s="130">
        <f>I246-S246</f>
        <v/>
      </c>
      <c r="U246" s="105">
        <f>IFERROR(T246/I246,0)</f>
        <v/>
      </c>
    </row>
    <row r="247" hidden="1" ht="14.25" customHeight="1" s="83">
      <c r="A247" s="125" t="n"/>
      <c r="B247" s="103" t="n"/>
      <c r="C247" s="170">
        <f>IFERROR(_xlfn.XLOOKUP(B247,DormRegistry[Dorm Name],DormRegistry[Ownership Type]),"")</f>
        <v/>
      </c>
      <c r="D247" s="170">
        <f>IFERROR(_xlfn.XLOOKUP(B247,DormRegistry[Dorm Name],DormRegistry[Bed Capacity]),0)</f>
        <v/>
      </c>
      <c r="E247" s="130">
        <f>IF(A247="","",$B$6*(1+$B$8)^(YEAR(A247)-YEAR(StartDate)))</f>
        <v/>
      </c>
      <c r="F247" s="105">
        <f>$B$7</f>
        <v/>
      </c>
      <c r="G247" s="105">
        <f>$B$8</f>
        <v/>
      </c>
      <c r="H247" s="130">
        <f>IFERROR(D247*E247,0)</f>
        <v/>
      </c>
      <c r="I247" s="130" t="n"/>
      <c r="J247" s="130">
        <f>IFERROR(D247*F247*E247,0)</f>
        <v/>
      </c>
      <c r="K247" s="104" t="n"/>
      <c r="L247" s="104" t="n"/>
      <c r="M247" s="104" t="n"/>
      <c r="N247" s="104" t="n"/>
      <c r="O247" s="104" t="n"/>
      <c r="P247" s="104" t="n"/>
      <c r="Q247" s="104" t="n"/>
      <c r="R247" s="130">
        <f>IF(C247="Owned",0,IF(B247&lt;&gt;"",2500,0))</f>
        <v/>
      </c>
      <c r="S247" s="130">
        <f>SUM(K247:R247)</f>
        <v/>
      </c>
      <c r="T247" s="130">
        <f>I247-S247</f>
        <v/>
      </c>
      <c r="U247" s="105">
        <f>IFERROR(T247/I247,0)</f>
        <v/>
      </c>
    </row>
    <row r="248" hidden="1" ht="14.25" customHeight="1" s="83">
      <c r="A248" s="125" t="n"/>
      <c r="B248" s="103" t="n"/>
      <c r="C248" s="170">
        <f>IFERROR(_xlfn.XLOOKUP(B248,DormRegistry[Dorm Name],DormRegistry[Ownership Type]),"")</f>
        <v/>
      </c>
      <c r="D248" s="170">
        <f>IFERROR(_xlfn.XLOOKUP(B248,DormRegistry[Dorm Name],DormRegistry[Bed Capacity]),0)</f>
        <v/>
      </c>
      <c r="E248" s="130">
        <f>IF(A248="","",$B$6*(1+$B$8)^(YEAR(A248)-YEAR(StartDate)))</f>
        <v/>
      </c>
      <c r="F248" s="105">
        <f>$B$7</f>
        <v/>
      </c>
      <c r="G248" s="105">
        <f>$B$8</f>
        <v/>
      </c>
      <c r="H248" s="130">
        <f>IFERROR(D248*E248,0)</f>
        <v/>
      </c>
      <c r="I248" s="130" t="n"/>
      <c r="J248" s="130">
        <f>IFERROR(D248*F248*E248,0)</f>
        <v/>
      </c>
      <c r="K248" s="104" t="n"/>
      <c r="L248" s="104" t="n"/>
      <c r="M248" s="104" t="n"/>
      <c r="N248" s="104" t="n"/>
      <c r="O248" s="104" t="n"/>
      <c r="P248" s="104" t="n"/>
      <c r="Q248" s="104" t="n"/>
      <c r="R248" s="130">
        <f>IF(C248="Owned",0,IF(B248&lt;&gt;"",2500,0))</f>
        <v/>
      </c>
      <c r="S248" s="130">
        <f>SUM(K248:R248)</f>
        <v/>
      </c>
      <c r="T248" s="130">
        <f>I248-S248</f>
        <v/>
      </c>
      <c r="U248" s="105">
        <f>IFERROR(T248/I248,0)</f>
        <v/>
      </c>
    </row>
    <row r="249" hidden="1" ht="14.25" customHeight="1" s="83">
      <c r="A249" s="125" t="n"/>
      <c r="B249" s="103" t="n"/>
      <c r="C249" s="170">
        <f>IFERROR(_xlfn.XLOOKUP(B249,DormRegistry[Dorm Name],DormRegistry[Ownership Type]),"")</f>
        <v/>
      </c>
      <c r="D249" s="170">
        <f>IFERROR(_xlfn.XLOOKUP(B249,DormRegistry[Dorm Name],DormRegistry[Bed Capacity]),0)</f>
        <v/>
      </c>
      <c r="E249" s="130">
        <f>IF(A249="","",$B$6*(1+$B$8)^(YEAR(A249)-YEAR(StartDate)))</f>
        <v/>
      </c>
      <c r="F249" s="105">
        <f>$B$7</f>
        <v/>
      </c>
      <c r="G249" s="105">
        <f>$B$8</f>
        <v/>
      </c>
      <c r="H249" s="130">
        <f>IFERROR(D249*E249,0)</f>
        <v/>
      </c>
      <c r="I249" s="130" t="n"/>
      <c r="J249" s="130">
        <f>IFERROR(D249*F249*E249,0)</f>
        <v/>
      </c>
      <c r="K249" s="104" t="n"/>
      <c r="L249" s="104" t="n"/>
      <c r="M249" s="104" t="n"/>
      <c r="N249" s="104" t="n"/>
      <c r="O249" s="104" t="n"/>
      <c r="P249" s="104" t="n"/>
      <c r="Q249" s="104" t="n"/>
      <c r="R249" s="130">
        <f>IF(C249="Owned",0,IF(B249&lt;&gt;"",2500,0))</f>
        <v/>
      </c>
      <c r="S249" s="130">
        <f>SUM(K249:R249)</f>
        <v/>
      </c>
      <c r="T249" s="130">
        <f>I249-S249</f>
        <v/>
      </c>
      <c r="U249" s="105">
        <f>IFERROR(T249/I249,0)</f>
        <v/>
      </c>
    </row>
    <row r="250" hidden="1" ht="14.25" customHeight="1" s="83">
      <c r="A250" s="125" t="n"/>
      <c r="B250" s="103" t="n"/>
      <c r="C250" s="170">
        <f>IFERROR(_xlfn.XLOOKUP(B250,DormRegistry[Dorm Name],DormRegistry[Ownership Type]),"")</f>
        <v/>
      </c>
      <c r="D250" s="170">
        <f>IFERROR(_xlfn.XLOOKUP(B250,DormRegistry[Dorm Name],DormRegistry[Bed Capacity]),0)</f>
        <v/>
      </c>
      <c r="E250" s="130">
        <f>IF(A250="","",$B$6*(1+$B$8)^(YEAR(A250)-YEAR(StartDate)))</f>
        <v/>
      </c>
      <c r="F250" s="105">
        <f>$B$7</f>
        <v/>
      </c>
      <c r="G250" s="105">
        <f>$B$8</f>
        <v/>
      </c>
      <c r="H250" s="130">
        <f>IFERROR(D250*E250,0)</f>
        <v/>
      </c>
      <c r="I250" s="130" t="n"/>
      <c r="J250" s="130">
        <f>IFERROR(D250*F250*E250,0)</f>
        <v/>
      </c>
      <c r="K250" s="104" t="n"/>
      <c r="L250" s="104" t="n"/>
      <c r="M250" s="104" t="n"/>
      <c r="N250" s="104" t="n"/>
      <c r="O250" s="104" t="n"/>
      <c r="P250" s="104" t="n"/>
      <c r="Q250" s="104" t="n"/>
      <c r="R250" s="130">
        <f>IF(C250="Owned",0,IF(B250&lt;&gt;"",2500,0))</f>
        <v/>
      </c>
      <c r="S250" s="130">
        <f>SUM(K250:R250)</f>
        <v/>
      </c>
      <c r="T250" s="130">
        <f>I250-S250</f>
        <v/>
      </c>
      <c r="U250" s="105">
        <f>IFERROR(T250/I250,0)</f>
        <v/>
      </c>
    </row>
    <row r="251" hidden="1" ht="14.25" customHeight="1" s="83">
      <c r="A251" s="125" t="n"/>
      <c r="B251" s="103" t="n"/>
      <c r="C251" s="170">
        <f>IFERROR(_xlfn.XLOOKUP(B251,DormRegistry[Dorm Name],DormRegistry[Ownership Type]),"")</f>
        <v/>
      </c>
      <c r="D251" s="170">
        <f>IFERROR(_xlfn.XLOOKUP(B251,DormRegistry[Dorm Name],DormRegistry[Bed Capacity]),0)</f>
        <v/>
      </c>
      <c r="E251" s="130">
        <f>IF(A251="","",$B$6*(1+$B$8)^(YEAR(A251)-YEAR(StartDate)))</f>
        <v/>
      </c>
      <c r="F251" s="105">
        <f>$B$7</f>
        <v/>
      </c>
      <c r="G251" s="105">
        <f>$B$8</f>
        <v/>
      </c>
      <c r="H251" s="130">
        <f>IFERROR(D251*E251,0)</f>
        <v/>
      </c>
      <c r="I251" s="130" t="n"/>
      <c r="J251" s="130">
        <f>IFERROR(D251*F251*E251,0)</f>
        <v/>
      </c>
      <c r="K251" s="104" t="n"/>
      <c r="L251" s="104" t="n"/>
      <c r="M251" s="104" t="n"/>
      <c r="N251" s="104" t="n"/>
      <c r="O251" s="104" t="n"/>
      <c r="P251" s="104" t="n"/>
      <c r="Q251" s="104" t="n"/>
      <c r="R251" s="130">
        <f>IF(C251="Owned",0,IF(B251&lt;&gt;"",2500,0))</f>
        <v/>
      </c>
      <c r="S251" s="130">
        <f>SUM(K251:R251)</f>
        <v/>
      </c>
      <c r="T251" s="130">
        <f>I251-S251</f>
        <v/>
      </c>
      <c r="U251" s="105">
        <f>IFERROR(T251/I251,0)</f>
        <v/>
      </c>
    </row>
    <row r="252" hidden="1" ht="14.25" customHeight="1" s="83">
      <c r="A252" s="125" t="n"/>
      <c r="B252" s="103" t="n"/>
      <c r="C252" s="170">
        <f>IFERROR(_xlfn.XLOOKUP(B252,DormRegistry[Dorm Name],DormRegistry[Ownership Type]),"")</f>
        <v/>
      </c>
      <c r="D252" s="170">
        <f>IFERROR(_xlfn.XLOOKUP(B252,DormRegistry[Dorm Name],DormRegistry[Bed Capacity]),0)</f>
        <v/>
      </c>
      <c r="E252" s="130">
        <f>IF(A252="","",$B$6*(1+$B$8)^(YEAR(A252)-YEAR(StartDate)))</f>
        <v/>
      </c>
      <c r="F252" s="105">
        <f>$B$7</f>
        <v/>
      </c>
      <c r="G252" s="105">
        <f>$B$8</f>
        <v/>
      </c>
      <c r="H252" s="130">
        <f>IFERROR(D252*E252,0)</f>
        <v/>
      </c>
      <c r="I252" s="130" t="n"/>
      <c r="J252" s="130">
        <f>IFERROR(D252*F252*E252,0)</f>
        <v/>
      </c>
      <c r="K252" s="104" t="n"/>
      <c r="L252" s="104" t="n"/>
      <c r="M252" s="104" t="n"/>
      <c r="N252" s="104" t="n"/>
      <c r="O252" s="104" t="n"/>
      <c r="P252" s="104" t="n"/>
      <c r="Q252" s="104" t="n"/>
      <c r="R252" s="130">
        <f>IF(C252="Owned",0,IF(B252&lt;&gt;"",2500,0))</f>
        <v/>
      </c>
      <c r="S252" s="130">
        <f>SUM(K252:R252)</f>
        <v/>
      </c>
      <c r="T252" s="130">
        <f>I252-S252</f>
        <v/>
      </c>
      <c r="U252" s="105">
        <f>IFERROR(T252/I252,0)</f>
        <v/>
      </c>
    </row>
    <row r="253" hidden="1" ht="14.25" customHeight="1" s="83">
      <c r="A253" s="125" t="n"/>
      <c r="B253" s="103" t="n"/>
      <c r="C253" s="170">
        <f>IFERROR(_xlfn.XLOOKUP(B253,DormRegistry[Dorm Name],DormRegistry[Ownership Type]),"")</f>
        <v/>
      </c>
      <c r="D253" s="170">
        <f>IFERROR(_xlfn.XLOOKUP(B253,DormRegistry[Dorm Name],DormRegistry[Bed Capacity]),0)</f>
        <v/>
      </c>
      <c r="E253" s="130">
        <f>IF(A253="","",$B$6*(1+$B$8)^(YEAR(A253)-YEAR(StartDate)))</f>
        <v/>
      </c>
      <c r="F253" s="105">
        <f>$B$7</f>
        <v/>
      </c>
      <c r="G253" s="105">
        <f>$B$8</f>
        <v/>
      </c>
      <c r="H253" s="130">
        <f>IFERROR(D253*E253,0)</f>
        <v/>
      </c>
      <c r="I253" s="130" t="n"/>
      <c r="J253" s="130">
        <f>IFERROR(D253*F253*E253,0)</f>
        <v/>
      </c>
      <c r="K253" s="104" t="n"/>
      <c r="L253" s="104" t="n"/>
      <c r="M253" s="104" t="n"/>
      <c r="N253" s="104" t="n"/>
      <c r="O253" s="104" t="n"/>
      <c r="P253" s="104" t="n"/>
      <c r="Q253" s="104" t="n"/>
      <c r="R253" s="130">
        <f>IF(C253="Owned",0,IF(B253&lt;&gt;"",2500,0))</f>
        <v/>
      </c>
      <c r="S253" s="130">
        <f>SUM(K253:R253)</f>
        <v/>
      </c>
      <c r="T253" s="130">
        <f>I253-S253</f>
        <v/>
      </c>
      <c r="U253" s="105">
        <f>IFERROR(T253/I253,0)</f>
        <v/>
      </c>
    </row>
    <row r="254" hidden="1" ht="14.25" customHeight="1" s="83">
      <c r="A254" s="125" t="n"/>
      <c r="B254" s="103" t="n"/>
      <c r="C254" s="170">
        <f>IFERROR(_xlfn.XLOOKUP(B254,DormRegistry[Dorm Name],DormRegistry[Ownership Type]),"")</f>
        <v/>
      </c>
      <c r="D254" s="170">
        <f>IFERROR(_xlfn.XLOOKUP(B254,DormRegistry[Dorm Name],DormRegistry[Bed Capacity]),0)</f>
        <v/>
      </c>
      <c r="E254" s="130">
        <f>IF(A254="","",$B$6*(1+$B$8)^(YEAR(A254)-YEAR(StartDate)))</f>
        <v/>
      </c>
      <c r="F254" s="105">
        <f>$B$7</f>
        <v/>
      </c>
      <c r="G254" s="105">
        <f>$B$8</f>
        <v/>
      </c>
      <c r="H254" s="130">
        <f>IFERROR(D254*E254,0)</f>
        <v/>
      </c>
      <c r="I254" s="130" t="n"/>
      <c r="J254" s="130">
        <f>IFERROR(D254*F254*E254,0)</f>
        <v/>
      </c>
      <c r="K254" s="104" t="n"/>
      <c r="L254" s="104" t="n"/>
      <c r="M254" s="104" t="n"/>
      <c r="N254" s="104" t="n"/>
      <c r="O254" s="104" t="n"/>
      <c r="P254" s="104" t="n"/>
      <c r="Q254" s="104" t="n"/>
      <c r="R254" s="130">
        <f>IF(C254="Owned",0,IF(B254&lt;&gt;"",2500,0))</f>
        <v/>
      </c>
      <c r="S254" s="130">
        <f>SUM(K254:R254)</f>
        <v/>
      </c>
      <c r="T254" s="130">
        <f>I254-S254</f>
        <v/>
      </c>
      <c r="U254" s="105">
        <f>IFERROR(T254/I254,0)</f>
        <v/>
      </c>
    </row>
    <row r="255" hidden="1" ht="14.25" customHeight="1" s="83">
      <c r="A255" s="125" t="n"/>
      <c r="B255" s="103" t="n"/>
      <c r="C255" s="170">
        <f>IFERROR(_xlfn.XLOOKUP(B255,DormRegistry[Dorm Name],DormRegistry[Ownership Type]),"")</f>
        <v/>
      </c>
      <c r="D255" s="170">
        <f>IFERROR(_xlfn.XLOOKUP(B255,DormRegistry[Dorm Name],DormRegistry[Bed Capacity]),0)</f>
        <v/>
      </c>
      <c r="E255" s="130">
        <f>IF(A255="","",$B$6*(1+$B$8)^(YEAR(A255)-YEAR(StartDate)))</f>
        <v/>
      </c>
      <c r="F255" s="105">
        <f>$B$7</f>
        <v/>
      </c>
      <c r="G255" s="105">
        <f>$B$8</f>
        <v/>
      </c>
      <c r="H255" s="130">
        <f>IFERROR(D255*E255,0)</f>
        <v/>
      </c>
      <c r="I255" s="130" t="n"/>
      <c r="J255" s="130">
        <f>IFERROR(D255*F255*E255,0)</f>
        <v/>
      </c>
      <c r="K255" s="104" t="n"/>
      <c r="L255" s="104" t="n"/>
      <c r="M255" s="104" t="n"/>
      <c r="N255" s="104" t="n"/>
      <c r="O255" s="104" t="n"/>
      <c r="P255" s="104" t="n"/>
      <c r="Q255" s="104" t="n"/>
      <c r="R255" s="130">
        <f>IF(C255="Owned",0,IF(B255&lt;&gt;"",2500,0))</f>
        <v/>
      </c>
      <c r="S255" s="130">
        <f>SUM(K255:R255)</f>
        <v/>
      </c>
      <c r="T255" s="130">
        <f>I255-S255</f>
        <v/>
      </c>
      <c r="U255" s="105">
        <f>IFERROR(T255/I255,0)</f>
        <v/>
      </c>
    </row>
    <row r="256" hidden="1" ht="14.25" customHeight="1" s="83">
      <c r="A256" s="125" t="n"/>
      <c r="B256" s="103" t="n"/>
      <c r="C256" s="170">
        <f>IFERROR(_xlfn.XLOOKUP(B256,DormRegistry[Dorm Name],DormRegistry[Ownership Type]),"")</f>
        <v/>
      </c>
      <c r="D256" s="170">
        <f>IFERROR(_xlfn.XLOOKUP(B256,DormRegistry[Dorm Name],DormRegistry[Bed Capacity]),0)</f>
        <v/>
      </c>
      <c r="E256" s="130">
        <f>IF(A256="","",$B$6*(1+$B$8)^(YEAR(A256)-YEAR(StartDate)))</f>
        <v/>
      </c>
      <c r="F256" s="105">
        <f>$B$7</f>
        <v/>
      </c>
      <c r="G256" s="105">
        <f>$B$8</f>
        <v/>
      </c>
      <c r="H256" s="130">
        <f>IFERROR(D256*E256,0)</f>
        <v/>
      </c>
      <c r="I256" s="130" t="n"/>
      <c r="J256" s="130">
        <f>IFERROR(D256*F256*E256,0)</f>
        <v/>
      </c>
      <c r="K256" s="104" t="n"/>
      <c r="L256" s="104" t="n"/>
      <c r="M256" s="104" t="n"/>
      <c r="N256" s="104" t="n"/>
      <c r="O256" s="104" t="n"/>
      <c r="P256" s="104" t="n"/>
      <c r="Q256" s="104" t="n"/>
      <c r="R256" s="130">
        <f>IF(C256="Owned",0,IF(B256&lt;&gt;"",2500,0))</f>
        <v/>
      </c>
      <c r="S256" s="130">
        <f>SUM(K256:R256)</f>
        <v/>
      </c>
      <c r="T256" s="130">
        <f>I256-S256</f>
        <v/>
      </c>
      <c r="U256" s="105">
        <f>IFERROR(T256/I256,0)</f>
        <v/>
      </c>
    </row>
    <row r="257" hidden="1" ht="14.25" customHeight="1" s="83">
      <c r="A257" s="125" t="n"/>
      <c r="B257" s="103" t="n"/>
      <c r="C257" s="170">
        <f>IFERROR(_xlfn.XLOOKUP(B257,DormRegistry[Dorm Name],DormRegistry[Ownership Type]),"")</f>
        <v/>
      </c>
      <c r="D257" s="170">
        <f>IFERROR(_xlfn.XLOOKUP(B257,DormRegistry[Dorm Name],DormRegistry[Bed Capacity]),0)</f>
        <v/>
      </c>
      <c r="E257" s="130">
        <f>IF(A257="","",$B$6*(1+$B$8)^(YEAR(A257)-YEAR(StartDate)))</f>
        <v/>
      </c>
      <c r="F257" s="105">
        <f>$B$7</f>
        <v/>
      </c>
      <c r="G257" s="105">
        <f>$B$8</f>
        <v/>
      </c>
      <c r="H257" s="130">
        <f>IFERROR(D257*E257,0)</f>
        <v/>
      </c>
      <c r="I257" s="130" t="n"/>
      <c r="J257" s="130">
        <f>IFERROR(D257*F257*E257,0)</f>
        <v/>
      </c>
      <c r="K257" s="104" t="n"/>
      <c r="L257" s="104" t="n"/>
      <c r="M257" s="104" t="n"/>
      <c r="N257" s="104" t="n"/>
      <c r="O257" s="104" t="n"/>
      <c r="P257" s="104" t="n"/>
      <c r="Q257" s="104" t="n"/>
      <c r="R257" s="130">
        <f>IF(C257="Owned",0,IF(B257&lt;&gt;"",2500,0))</f>
        <v/>
      </c>
      <c r="S257" s="130">
        <f>SUM(K257:R257)</f>
        <v/>
      </c>
      <c r="T257" s="130">
        <f>I257-S257</f>
        <v/>
      </c>
      <c r="U257" s="105">
        <f>IFERROR(T257/I257,0)</f>
        <v/>
      </c>
    </row>
    <row r="258" hidden="1" ht="14.25" customHeight="1" s="83">
      <c r="A258" s="125" t="n"/>
      <c r="B258" s="103" t="n"/>
      <c r="C258" s="170">
        <f>IFERROR(_xlfn.XLOOKUP(B258,DormRegistry[Dorm Name],DormRegistry[Ownership Type]),"")</f>
        <v/>
      </c>
      <c r="D258" s="170">
        <f>IFERROR(_xlfn.XLOOKUP(B258,DormRegistry[Dorm Name],DormRegistry[Bed Capacity]),0)</f>
        <v/>
      </c>
      <c r="E258" s="130">
        <f>IF(A258="","",$B$6*(1+$B$8)^(YEAR(A258)-YEAR(StartDate)))</f>
        <v/>
      </c>
      <c r="F258" s="105">
        <f>$B$7</f>
        <v/>
      </c>
      <c r="G258" s="105">
        <f>$B$8</f>
        <v/>
      </c>
      <c r="H258" s="130">
        <f>IFERROR(D258*E258,0)</f>
        <v/>
      </c>
      <c r="I258" s="130" t="n"/>
      <c r="J258" s="130">
        <f>IFERROR(D258*F258*E258,0)</f>
        <v/>
      </c>
      <c r="K258" s="104" t="n"/>
      <c r="L258" s="104" t="n"/>
      <c r="M258" s="104" t="n"/>
      <c r="N258" s="104" t="n"/>
      <c r="O258" s="104" t="n"/>
      <c r="P258" s="104" t="n"/>
      <c r="Q258" s="104" t="n"/>
      <c r="R258" s="130">
        <f>IF(C258="Owned",0,IF(B258&lt;&gt;"",2500,0))</f>
        <v/>
      </c>
      <c r="S258" s="130">
        <f>SUM(K258:R258)</f>
        <v/>
      </c>
      <c r="T258" s="130">
        <f>I258-S258</f>
        <v/>
      </c>
      <c r="U258" s="105">
        <f>IFERROR(T258/I258,0)</f>
        <v/>
      </c>
    </row>
    <row r="259" hidden="1" ht="14.25" customHeight="1" s="83">
      <c r="A259" s="125" t="n"/>
      <c r="B259" s="103" t="n"/>
      <c r="C259" s="170">
        <f>IFERROR(_xlfn.XLOOKUP(B259,DormRegistry[Dorm Name],DormRegistry[Ownership Type]),"")</f>
        <v/>
      </c>
      <c r="D259" s="170">
        <f>IFERROR(_xlfn.XLOOKUP(B259,DormRegistry[Dorm Name],DormRegistry[Bed Capacity]),0)</f>
        <v/>
      </c>
      <c r="E259" s="130">
        <f>IF(A259="","",$B$6*(1+$B$8)^(YEAR(A259)-YEAR(StartDate)))</f>
        <v/>
      </c>
      <c r="F259" s="105">
        <f>$B$7</f>
        <v/>
      </c>
      <c r="G259" s="105">
        <f>$B$8</f>
        <v/>
      </c>
      <c r="H259" s="130">
        <f>IFERROR(D259*E259,0)</f>
        <v/>
      </c>
      <c r="I259" s="130" t="n"/>
      <c r="J259" s="130">
        <f>IFERROR(D259*F259*E259,0)</f>
        <v/>
      </c>
      <c r="K259" s="104" t="n"/>
      <c r="L259" s="104" t="n"/>
      <c r="M259" s="104" t="n"/>
      <c r="N259" s="104" t="n"/>
      <c r="O259" s="104" t="n"/>
      <c r="P259" s="104" t="n"/>
      <c r="Q259" s="104" t="n"/>
      <c r="R259" s="130">
        <f>IF(C259="Owned",0,IF(B259&lt;&gt;"",2500,0))</f>
        <v/>
      </c>
      <c r="S259" s="130">
        <f>SUM(K259:R259)</f>
        <v/>
      </c>
      <c r="T259" s="130">
        <f>I259-S259</f>
        <v/>
      </c>
      <c r="U259" s="105">
        <f>IFERROR(T259/I259,0)</f>
        <v/>
      </c>
    </row>
    <row r="260" hidden="1" ht="14.25" customHeight="1" s="83">
      <c r="A260" s="125" t="n"/>
      <c r="B260" s="103" t="n"/>
      <c r="C260" s="170">
        <f>IFERROR(_xlfn.XLOOKUP(B260,DormRegistry[Dorm Name],DormRegistry[Ownership Type]),"")</f>
        <v/>
      </c>
      <c r="D260" s="170">
        <f>IFERROR(_xlfn.XLOOKUP(B260,DormRegistry[Dorm Name],DormRegistry[Bed Capacity]),0)</f>
        <v/>
      </c>
      <c r="E260" s="130">
        <f>IF(A260="","",$B$6*(1+$B$8)^(YEAR(A260)-YEAR(StartDate)))</f>
        <v/>
      </c>
      <c r="F260" s="105">
        <f>$B$7</f>
        <v/>
      </c>
      <c r="G260" s="105">
        <f>$B$8</f>
        <v/>
      </c>
      <c r="H260" s="130">
        <f>IFERROR(D260*E260,0)</f>
        <v/>
      </c>
      <c r="I260" s="130" t="n"/>
      <c r="J260" s="130">
        <f>IFERROR(D260*F260*E260,0)</f>
        <v/>
      </c>
      <c r="K260" s="104" t="n"/>
      <c r="L260" s="104" t="n"/>
      <c r="M260" s="104" t="n"/>
      <c r="N260" s="104" t="n"/>
      <c r="O260" s="104" t="n"/>
      <c r="P260" s="104" t="n"/>
      <c r="Q260" s="104" t="n"/>
      <c r="R260" s="130">
        <f>IF(C260="Owned",0,IF(B260&lt;&gt;"",2500,0))</f>
        <v/>
      </c>
      <c r="S260" s="130">
        <f>SUM(K260:R260)</f>
        <v/>
      </c>
      <c r="T260" s="130">
        <f>I260-S260</f>
        <v/>
      </c>
      <c r="U260" s="105">
        <f>IFERROR(T260/I260,0)</f>
        <v/>
      </c>
    </row>
    <row r="261" hidden="1" ht="14.25" customHeight="1" s="83">
      <c r="A261" s="125" t="n"/>
      <c r="B261" s="103" t="n"/>
      <c r="C261" s="170">
        <f>IFERROR(_xlfn.XLOOKUP(B261,DormRegistry[Dorm Name],DormRegistry[Ownership Type]),"")</f>
        <v/>
      </c>
      <c r="D261" s="170">
        <f>IFERROR(_xlfn.XLOOKUP(B261,DormRegistry[Dorm Name],DormRegistry[Bed Capacity]),0)</f>
        <v/>
      </c>
      <c r="E261" s="130">
        <f>IF(A261="","",$B$6*(1+$B$8)^(YEAR(A261)-YEAR(StartDate)))</f>
        <v/>
      </c>
      <c r="F261" s="105">
        <f>$B$7</f>
        <v/>
      </c>
      <c r="G261" s="105">
        <f>$B$8</f>
        <v/>
      </c>
      <c r="H261" s="130">
        <f>IFERROR(D261*E261,0)</f>
        <v/>
      </c>
      <c r="I261" s="130" t="n"/>
      <c r="J261" s="130">
        <f>IFERROR(D261*F261*E261,0)</f>
        <v/>
      </c>
      <c r="K261" s="104" t="n"/>
      <c r="L261" s="104" t="n"/>
      <c r="M261" s="104" t="n"/>
      <c r="N261" s="104" t="n"/>
      <c r="O261" s="104" t="n"/>
      <c r="P261" s="104" t="n"/>
      <c r="Q261" s="104" t="n"/>
      <c r="R261" s="130">
        <f>IF(C261="Owned",0,IF(B261&lt;&gt;"",2500,0))</f>
        <v/>
      </c>
      <c r="S261" s="130">
        <f>SUM(K261:R261)</f>
        <v/>
      </c>
      <c r="T261" s="130">
        <f>I261-S261</f>
        <v/>
      </c>
      <c r="U261" s="105">
        <f>IFERROR(T261/I261,0)</f>
        <v/>
      </c>
    </row>
    <row r="262" hidden="1" ht="14.25" customHeight="1" s="83">
      <c r="A262" s="125" t="n"/>
      <c r="B262" s="103" t="n"/>
      <c r="C262" s="170">
        <f>IFERROR(_xlfn.XLOOKUP(B262,DormRegistry[Dorm Name],DormRegistry[Ownership Type]),"")</f>
        <v/>
      </c>
      <c r="D262" s="170">
        <f>IFERROR(_xlfn.XLOOKUP(B262,DormRegistry[Dorm Name],DormRegistry[Bed Capacity]),0)</f>
        <v/>
      </c>
      <c r="E262" s="130">
        <f>IF(A262="","",$B$6*(1+$B$8)^(YEAR(A262)-YEAR(StartDate)))</f>
        <v/>
      </c>
      <c r="F262" s="105">
        <f>$B$7</f>
        <v/>
      </c>
      <c r="G262" s="105">
        <f>$B$8</f>
        <v/>
      </c>
      <c r="H262" s="130">
        <f>IFERROR(D262*E262,0)</f>
        <v/>
      </c>
      <c r="I262" s="130" t="n"/>
      <c r="J262" s="130">
        <f>IFERROR(D262*F262*E262,0)</f>
        <v/>
      </c>
      <c r="K262" s="104" t="n"/>
      <c r="L262" s="104" t="n"/>
      <c r="M262" s="104" t="n"/>
      <c r="N262" s="104" t="n"/>
      <c r="O262" s="104" t="n"/>
      <c r="P262" s="104" t="n"/>
      <c r="Q262" s="104" t="n"/>
      <c r="R262" s="130">
        <f>IF(C262="Owned",0,IF(B262&lt;&gt;"",2500,0))</f>
        <v/>
      </c>
      <c r="S262" s="130">
        <f>SUM(K262:R262)</f>
        <v/>
      </c>
      <c r="T262" s="130">
        <f>I262-S262</f>
        <v/>
      </c>
      <c r="U262" s="105">
        <f>IFERROR(T262/I262,0)</f>
        <v/>
      </c>
    </row>
    <row r="263" hidden="1" ht="14.25" customHeight="1" s="83">
      <c r="A263" s="125" t="n"/>
      <c r="B263" s="103" t="n"/>
      <c r="C263" s="170">
        <f>IFERROR(_xlfn.XLOOKUP(B263,DormRegistry[Dorm Name],DormRegistry[Ownership Type]),"")</f>
        <v/>
      </c>
      <c r="D263" s="170">
        <f>IFERROR(_xlfn.XLOOKUP(B263,DormRegistry[Dorm Name],DormRegistry[Bed Capacity]),0)</f>
        <v/>
      </c>
      <c r="E263" s="130">
        <f>IF(A263="","",$B$6*(1+$B$8)^(YEAR(A263)-YEAR(StartDate)))</f>
        <v/>
      </c>
      <c r="F263" s="105">
        <f>$B$7</f>
        <v/>
      </c>
      <c r="G263" s="105">
        <f>$B$8</f>
        <v/>
      </c>
      <c r="H263" s="130">
        <f>IFERROR(D263*E263,0)</f>
        <v/>
      </c>
      <c r="I263" s="130" t="n"/>
      <c r="J263" s="130">
        <f>IFERROR(D263*F263*E263,0)</f>
        <v/>
      </c>
      <c r="K263" s="104" t="n"/>
      <c r="L263" s="104" t="n"/>
      <c r="M263" s="104" t="n"/>
      <c r="N263" s="104" t="n"/>
      <c r="O263" s="104" t="n"/>
      <c r="P263" s="104" t="n"/>
      <c r="Q263" s="104" t="n"/>
      <c r="R263" s="130">
        <f>IF(C263="Owned",0,IF(B263&lt;&gt;"",2500,0))</f>
        <v/>
      </c>
      <c r="S263" s="130">
        <f>SUM(K263:R263)</f>
        <v/>
      </c>
      <c r="T263" s="130">
        <f>I263-S263</f>
        <v/>
      </c>
      <c r="U263" s="105">
        <f>IFERROR(T263/I263,0)</f>
        <v/>
      </c>
    </row>
    <row r="264" hidden="1" ht="14.25" customHeight="1" s="83">
      <c r="A264" s="125" t="n"/>
      <c r="B264" s="103" t="n"/>
      <c r="C264" s="170">
        <f>IFERROR(_xlfn.XLOOKUP(B264,DormRegistry[Dorm Name],DormRegistry[Ownership Type]),"")</f>
        <v/>
      </c>
      <c r="D264" s="170">
        <f>IFERROR(_xlfn.XLOOKUP(B264,DormRegistry[Dorm Name],DormRegistry[Bed Capacity]),0)</f>
        <v/>
      </c>
      <c r="E264" s="130">
        <f>IF(A264="","",$B$6*(1+$B$8)^(YEAR(A264)-YEAR(StartDate)))</f>
        <v/>
      </c>
      <c r="F264" s="105">
        <f>$B$7</f>
        <v/>
      </c>
      <c r="G264" s="105">
        <f>$B$8</f>
        <v/>
      </c>
      <c r="H264" s="130">
        <f>IFERROR(D264*E264,0)</f>
        <v/>
      </c>
      <c r="I264" s="130" t="n"/>
      <c r="J264" s="130">
        <f>IFERROR(D264*F264*E264,0)</f>
        <v/>
      </c>
      <c r="K264" s="104" t="n"/>
      <c r="L264" s="104" t="n"/>
      <c r="M264" s="104" t="n"/>
      <c r="N264" s="104" t="n"/>
      <c r="O264" s="104" t="n"/>
      <c r="P264" s="104" t="n"/>
      <c r="Q264" s="104" t="n"/>
      <c r="R264" s="130">
        <f>IF(C264="Owned",0,IF(B264&lt;&gt;"",2500,0))</f>
        <v/>
      </c>
      <c r="S264" s="130">
        <f>SUM(K264:R264)</f>
        <v/>
      </c>
      <c r="T264" s="130">
        <f>I264-S264</f>
        <v/>
      </c>
      <c r="U264" s="105">
        <f>IFERROR(T264/I264,0)</f>
        <v/>
      </c>
    </row>
    <row r="265" hidden="1" ht="14.25" customHeight="1" s="83">
      <c r="A265" s="125" t="n"/>
      <c r="B265" s="103" t="n"/>
      <c r="C265" s="170">
        <f>IFERROR(_xlfn.XLOOKUP(B265,DormRegistry[Dorm Name],DormRegistry[Ownership Type]),"")</f>
        <v/>
      </c>
      <c r="D265" s="170">
        <f>IFERROR(_xlfn.XLOOKUP(B265,DormRegistry[Dorm Name],DormRegistry[Bed Capacity]),0)</f>
        <v/>
      </c>
      <c r="E265" s="130">
        <f>IF(A265="","",$B$6*(1+$B$8)^(YEAR(A265)-YEAR(StartDate)))</f>
        <v/>
      </c>
      <c r="F265" s="105">
        <f>$B$7</f>
        <v/>
      </c>
      <c r="G265" s="105">
        <f>$B$8</f>
        <v/>
      </c>
      <c r="H265" s="130">
        <f>IFERROR(D265*E265,0)</f>
        <v/>
      </c>
      <c r="I265" s="130" t="n"/>
      <c r="J265" s="130">
        <f>IFERROR(D265*F265*E265,0)</f>
        <v/>
      </c>
      <c r="K265" s="104" t="n"/>
      <c r="L265" s="104" t="n"/>
      <c r="M265" s="104" t="n"/>
      <c r="N265" s="104" t="n"/>
      <c r="O265" s="104" t="n"/>
      <c r="P265" s="104" t="n"/>
      <c r="Q265" s="104" t="n"/>
      <c r="R265" s="130">
        <f>IF(C265="Owned",0,IF(B265&lt;&gt;"",2500,0))</f>
        <v/>
      </c>
      <c r="S265" s="130">
        <f>SUM(K265:R265)</f>
        <v/>
      </c>
      <c r="T265" s="130">
        <f>I265-S265</f>
        <v/>
      </c>
      <c r="U265" s="105">
        <f>IFERROR(T265/I265,0)</f>
        <v/>
      </c>
    </row>
    <row r="266" hidden="1" ht="14.25" customHeight="1" s="83">
      <c r="A266" s="125" t="n"/>
      <c r="B266" s="103" t="n"/>
      <c r="C266" s="170">
        <f>IFERROR(_xlfn.XLOOKUP(B266,DormRegistry[Dorm Name],DormRegistry[Ownership Type]),"")</f>
        <v/>
      </c>
      <c r="D266" s="170">
        <f>IFERROR(_xlfn.XLOOKUP(B266,DormRegistry[Dorm Name],DormRegistry[Bed Capacity]),0)</f>
        <v/>
      </c>
      <c r="E266" s="130">
        <f>IF(A266="","",$B$6*(1+$B$8)^(YEAR(A266)-YEAR(StartDate)))</f>
        <v/>
      </c>
      <c r="F266" s="105">
        <f>$B$7</f>
        <v/>
      </c>
      <c r="G266" s="105">
        <f>$B$8</f>
        <v/>
      </c>
      <c r="H266" s="130">
        <f>IFERROR(D266*E266,0)</f>
        <v/>
      </c>
      <c r="I266" s="130" t="n"/>
      <c r="J266" s="130">
        <f>IFERROR(D266*F266*E266,0)</f>
        <v/>
      </c>
      <c r="K266" s="104" t="n"/>
      <c r="L266" s="104" t="n"/>
      <c r="M266" s="104" t="n"/>
      <c r="N266" s="104" t="n"/>
      <c r="O266" s="104" t="n"/>
      <c r="P266" s="104" t="n"/>
      <c r="Q266" s="104" t="n"/>
      <c r="R266" s="130">
        <f>IF(C266="Owned",0,IF(B266&lt;&gt;"",2500,0))</f>
        <v/>
      </c>
      <c r="S266" s="130">
        <f>SUM(K266:R266)</f>
        <v/>
      </c>
      <c r="T266" s="130">
        <f>I266-S266</f>
        <v/>
      </c>
      <c r="U266" s="105">
        <f>IFERROR(T266/I266,0)</f>
        <v/>
      </c>
    </row>
    <row r="267" hidden="1" ht="14.25" customHeight="1" s="83">
      <c r="A267" s="125" t="n"/>
      <c r="B267" s="103" t="n"/>
      <c r="C267" s="170">
        <f>IFERROR(_xlfn.XLOOKUP(B267,DormRegistry[Dorm Name],DormRegistry[Ownership Type]),"")</f>
        <v/>
      </c>
      <c r="D267" s="170">
        <f>IFERROR(_xlfn.XLOOKUP(B267,DormRegistry[Dorm Name],DormRegistry[Bed Capacity]),0)</f>
        <v/>
      </c>
      <c r="E267" s="130">
        <f>IF(A267="","",$B$6*(1+$B$8)^(YEAR(A267)-YEAR(StartDate)))</f>
        <v/>
      </c>
      <c r="F267" s="105">
        <f>$B$7</f>
        <v/>
      </c>
      <c r="G267" s="105">
        <f>$B$8</f>
        <v/>
      </c>
      <c r="H267" s="130">
        <f>IFERROR(D267*E267,0)</f>
        <v/>
      </c>
      <c r="I267" s="130" t="n"/>
      <c r="J267" s="130">
        <f>IFERROR(D267*F267*E267,0)</f>
        <v/>
      </c>
      <c r="K267" s="104" t="n"/>
      <c r="L267" s="104" t="n"/>
      <c r="M267" s="104" t="n"/>
      <c r="N267" s="104" t="n"/>
      <c r="O267" s="104" t="n"/>
      <c r="P267" s="104" t="n"/>
      <c r="Q267" s="104" t="n"/>
      <c r="R267" s="130">
        <f>IF(C267="Owned",0,IF(B267&lt;&gt;"",2500,0))</f>
        <v/>
      </c>
      <c r="S267" s="130">
        <f>SUM(K267:R267)</f>
        <v/>
      </c>
      <c r="T267" s="130">
        <f>I267-S267</f>
        <v/>
      </c>
      <c r="U267" s="105">
        <f>IFERROR(T267/I267,0)</f>
        <v/>
      </c>
    </row>
    <row r="268" hidden="1" ht="14.25" customHeight="1" s="83">
      <c r="A268" s="125" t="n"/>
      <c r="B268" s="103" t="n"/>
      <c r="C268" s="170">
        <f>IFERROR(_xlfn.XLOOKUP(B268,DormRegistry[Dorm Name],DormRegistry[Ownership Type]),"")</f>
        <v/>
      </c>
      <c r="D268" s="170">
        <f>IFERROR(_xlfn.XLOOKUP(B268,DormRegistry[Dorm Name],DormRegistry[Bed Capacity]),0)</f>
        <v/>
      </c>
      <c r="E268" s="130">
        <f>IF(A268="","",$B$6*(1+$B$8)^(YEAR(A268)-YEAR(StartDate)))</f>
        <v/>
      </c>
      <c r="F268" s="105">
        <f>$B$7</f>
        <v/>
      </c>
      <c r="G268" s="105">
        <f>$B$8</f>
        <v/>
      </c>
      <c r="H268" s="130">
        <f>IFERROR(D268*E268,0)</f>
        <v/>
      </c>
      <c r="I268" s="130" t="n"/>
      <c r="J268" s="130">
        <f>IFERROR(D268*F268*E268,0)</f>
        <v/>
      </c>
      <c r="K268" s="104" t="n"/>
      <c r="L268" s="104" t="n"/>
      <c r="M268" s="104" t="n"/>
      <c r="N268" s="104" t="n"/>
      <c r="O268" s="104" t="n"/>
      <c r="P268" s="104" t="n"/>
      <c r="Q268" s="104" t="n"/>
      <c r="R268" s="130">
        <f>IF(C268="Owned",0,IF(B268&lt;&gt;"",2500,0))</f>
        <v/>
      </c>
      <c r="S268" s="130">
        <f>SUM(K268:R268)</f>
        <v/>
      </c>
      <c r="T268" s="130">
        <f>I268-S268</f>
        <v/>
      </c>
      <c r="U268" s="105">
        <f>IFERROR(T268/I268,0)</f>
        <v/>
      </c>
    </row>
    <row r="269" hidden="1" ht="14.25" customHeight="1" s="83">
      <c r="A269" s="125" t="n"/>
      <c r="B269" s="103" t="n"/>
      <c r="C269" s="170">
        <f>IFERROR(_xlfn.XLOOKUP(B269,DormRegistry[Dorm Name],DormRegistry[Ownership Type]),"")</f>
        <v/>
      </c>
      <c r="D269" s="170">
        <f>IFERROR(_xlfn.XLOOKUP(B269,DormRegistry[Dorm Name],DormRegistry[Bed Capacity]),0)</f>
        <v/>
      </c>
      <c r="E269" s="130">
        <f>IF(A269="","",$B$6*(1+$B$8)^(YEAR(A269)-YEAR(StartDate)))</f>
        <v/>
      </c>
      <c r="F269" s="105">
        <f>$B$7</f>
        <v/>
      </c>
      <c r="G269" s="105">
        <f>$B$8</f>
        <v/>
      </c>
      <c r="H269" s="130">
        <f>IFERROR(D269*E269,0)</f>
        <v/>
      </c>
      <c r="I269" s="130" t="n"/>
      <c r="J269" s="130">
        <f>IFERROR(D269*F269*E269,0)</f>
        <v/>
      </c>
      <c r="K269" s="104" t="n"/>
      <c r="L269" s="104" t="n"/>
      <c r="M269" s="104" t="n"/>
      <c r="N269" s="104" t="n"/>
      <c r="O269" s="104" t="n"/>
      <c r="P269" s="104" t="n"/>
      <c r="Q269" s="104" t="n"/>
      <c r="R269" s="130">
        <f>IF(C269="Owned",0,IF(B269&lt;&gt;"",2500,0))</f>
        <v/>
      </c>
      <c r="S269" s="130">
        <f>SUM(K269:R269)</f>
        <v/>
      </c>
      <c r="T269" s="130">
        <f>I269-S269</f>
        <v/>
      </c>
      <c r="U269" s="105">
        <f>IFERROR(T269/I269,0)</f>
        <v/>
      </c>
    </row>
    <row r="270" hidden="1" ht="14.25" customHeight="1" s="83">
      <c r="A270" s="125" t="n"/>
      <c r="B270" s="103" t="n"/>
      <c r="C270" s="170">
        <f>IFERROR(_xlfn.XLOOKUP(B270,DormRegistry[Dorm Name],DormRegistry[Ownership Type]),"")</f>
        <v/>
      </c>
      <c r="D270" s="170">
        <f>IFERROR(_xlfn.XLOOKUP(B270,DormRegistry[Dorm Name],DormRegistry[Bed Capacity]),0)</f>
        <v/>
      </c>
      <c r="E270" s="130">
        <f>IF(A270="","",$B$6*(1+$B$8)^(YEAR(A270)-YEAR(StartDate)))</f>
        <v/>
      </c>
      <c r="F270" s="105">
        <f>$B$7</f>
        <v/>
      </c>
      <c r="G270" s="105">
        <f>$B$8</f>
        <v/>
      </c>
      <c r="H270" s="130">
        <f>IFERROR(D270*E270,0)</f>
        <v/>
      </c>
      <c r="I270" s="130" t="n"/>
      <c r="J270" s="130">
        <f>IFERROR(D270*F270*E270,0)</f>
        <v/>
      </c>
      <c r="K270" s="104" t="n"/>
      <c r="L270" s="104" t="n"/>
      <c r="M270" s="104" t="n"/>
      <c r="N270" s="104" t="n"/>
      <c r="O270" s="104" t="n"/>
      <c r="P270" s="104" t="n"/>
      <c r="Q270" s="104" t="n"/>
      <c r="R270" s="130">
        <f>IF(C270="Owned",0,IF(B270&lt;&gt;"",2500,0))</f>
        <v/>
      </c>
      <c r="S270" s="130">
        <f>SUM(K270:R270)</f>
        <v/>
      </c>
      <c r="T270" s="130">
        <f>I270-S270</f>
        <v/>
      </c>
      <c r="U270" s="105">
        <f>IFERROR(T270/I270,0)</f>
        <v/>
      </c>
    </row>
    <row r="271" hidden="1" ht="14.25" customHeight="1" s="83">
      <c r="A271" s="125" t="n"/>
      <c r="B271" s="103" t="n"/>
      <c r="C271" s="170">
        <f>IFERROR(_xlfn.XLOOKUP(B271,DormRegistry[Dorm Name],DormRegistry[Ownership Type]),"")</f>
        <v/>
      </c>
      <c r="D271" s="170">
        <f>IFERROR(_xlfn.XLOOKUP(B271,DormRegistry[Dorm Name],DormRegistry[Bed Capacity]),0)</f>
        <v/>
      </c>
      <c r="E271" s="130">
        <f>IF(A271="","",$B$6*(1+$B$8)^(YEAR(A271)-YEAR(StartDate)))</f>
        <v/>
      </c>
      <c r="F271" s="105">
        <f>$B$7</f>
        <v/>
      </c>
      <c r="G271" s="105">
        <f>$B$8</f>
        <v/>
      </c>
      <c r="H271" s="130">
        <f>IFERROR(D271*E271,0)</f>
        <v/>
      </c>
      <c r="I271" s="130" t="n"/>
      <c r="J271" s="130">
        <f>IFERROR(D271*F271*E271,0)</f>
        <v/>
      </c>
      <c r="K271" s="104" t="n"/>
      <c r="L271" s="104" t="n"/>
      <c r="M271" s="104" t="n"/>
      <c r="N271" s="104" t="n"/>
      <c r="O271" s="104" t="n"/>
      <c r="P271" s="104" t="n"/>
      <c r="Q271" s="104" t="n"/>
      <c r="R271" s="130">
        <f>IF(C271="Owned",0,IF(B271&lt;&gt;"",2500,0))</f>
        <v/>
      </c>
      <c r="S271" s="130">
        <f>SUM(K271:R271)</f>
        <v/>
      </c>
      <c r="T271" s="130">
        <f>I271-S271</f>
        <v/>
      </c>
      <c r="U271" s="105">
        <f>IFERROR(T271/I271,0)</f>
        <v/>
      </c>
    </row>
    <row r="272" hidden="1" ht="14.25" customHeight="1" s="83">
      <c r="A272" s="125" t="n"/>
      <c r="B272" s="103" t="n"/>
      <c r="C272" s="170">
        <f>IFERROR(_xlfn.XLOOKUP(B272,DormRegistry[Dorm Name],DormRegistry[Ownership Type]),"")</f>
        <v/>
      </c>
      <c r="D272" s="170">
        <f>IFERROR(_xlfn.XLOOKUP(B272,DormRegistry[Dorm Name],DormRegistry[Bed Capacity]),0)</f>
        <v/>
      </c>
      <c r="E272" s="130">
        <f>IF(A272="","",$B$6*(1+$B$8)^(YEAR(A272)-YEAR(StartDate)))</f>
        <v/>
      </c>
      <c r="F272" s="105">
        <f>$B$7</f>
        <v/>
      </c>
      <c r="G272" s="105">
        <f>$B$8</f>
        <v/>
      </c>
      <c r="H272" s="130">
        <f>IFERROR(D272*E272,0)</f>
        <v/>
      </c>
      <c r="I272" s="130" t="n"/>
      <c r="J272" s="130">
        <f>IFERROR(D272*F272*E272,0)</f>
        <v/>
      </c>
      <c r="K272" s="104" t="n"/>
      <c r="L272" s="104" t="n"/>
      <c r="M272" s="104" t="n"/>
      <c r="N272" s="104" t="n"/>
      <c r="O272" s="104" t="n"/>
      <c r="P272" s="104" t="n"/>
      <c r="Q272" s="104" t="n"/>
      <c r="R272" s="130">
        <f>IF(C272="Owned",0,IF(B272&lt;&gt;"",2500,0))</f>
        <v/>
      </c>
      <c r="S272" s="130">
        <f>SUM(K272:R272)</f>
        <v/>
      </c>
      <c r="T272" s="130">
        <f>I272-S272</f>
        <v/>
      </c>
      <c r="U272" s="105">
        <f>IFERROR(T272/I272,0)</f>
        <v/>
      </c>
    </row>
    <row r="273" hidden="1" ht="14.25" customHeight="1" s="83">
      <c r="A273" s="125" t="n"/>
      <c r="B273" s="103" t="n"/>
      <c r="C273" s="170">
        <f>IFERROR(_xlfn.XLOOKUP(B273,DormRegistry[Dorm Name],DormRegistry[Ownership Type]),"")</f>
        <v/>
      </c>
      <c r="D273" s="170">
        <f>IFERROR(_xlfn.XLOOKUP(B273,DormRegistry[Dorm Name],DormRegistry[Bed Capacity]),0)</f>
        <v/>
      </c>
      <c r="E273" s="130">
        <f>IF(A273="","",$B$6*(1+$B$8)^(YEAR(A273)-YEAR(StartDate)))</f>
        <v/>
      </c>
      <c r="F273" s="105">
        <f>$B$7</f>
        <v/>
      </c>
      <c r="G273" s="105">
        <f>$B$8</f>
        <v/>
      </c>
      <c r="H273" s="130">
        <f>IFERROR(D273*E273,0)</f>
        <v/>
      </c>
      <c r="I273" s="130" t="n"/>
      <c r="J273" s="130">
        <f>IFERROR(D273*F273*E273,0)</f>
        <v/>
      </c>
      <c r="K273" s="104" t="n"/>
      <c r="L273" s="104" t="n"/>
      <c r="M273" s="104" t="n"/>
      <c r="N273" s="104" t="n"/>
      <c r="O273" s="104" t="n"/>
      <c r="P273" s="104" t="n"/>
      <c r="Q273" s="104" t="n"/>
      <c r="R273" s="130">
        <f>IF(C273="Owned",0,IF(B273&lt;&gt;"",2500,0))</f>
        <v/>
      </c>
      <c r="S273" s="130">
        <f>SUM(K273:R273)</f>
        <v/>
      </c>
      <c r="T273" s="130">
        <f>I273-S273</f>
        <v/>
      </c>
      <c r="U273" s="105">
        <f>IFERROR(T273/I273,0)</f>
        <v/>
      </c>
    </row>
    <row r="274" hidden="1" ht="14.25" customHeight="1" s="83">
      <c r="A274" s="125" t="n"/>
      <c r="B274" s="103" t="n"/>
      <c r="C274" s="170">
        <f>IFERROR(_xlfn.XLOOKUP(B274,DormRegistry[Dorm Name],DormRegistry[Ownership Type]),"")</f>
        <v/>
      </c>
      <c r="D274" s="170">
        <f>IFERROR(_xlfn.XLOOKUP(B274,DormRegistry[Dorm Name],DormRegistry[Bed Capacity]),0)</f>
        <v/>
      </c>
      <c r="E274" s="130">
        <f>IF(A274="","",$B$6*(1+$B$8)^(YEAR(A274)-YEAR(StartDate)))</f>
        <v/>
      </c>
      <c r="F274" s="105">
        <f>$B$7</f>
        <v/>
      </c>
      <c r="G274" s="105">
        <f>$B$8</f>
        <v/>
      </c>
      <c r="H274" s="130">
        <f>IFERROR(D274*E274,0)</f>
        <v/>
      </c>
      <c r="I274" s="130" t="n"/>
      <c r="J274" s="130">
        <f>IFERROR(D274*F274*E274,0)</f>
        <v/>
      </c>
      <c r="K274" s="104" t="n"/>
      <c r="L274" s="104" t="n"/>
      <c r="M274" s="104" t="n"/>
      <c r="N274" s="104" t="n"/>
      <c r="O274" s="104" t="n"/>
      <c r="P274" s="104" t="n"/>
      <c r="Q274" s="104" t="n"/>
      <c r="R274" s="130">
        <f>IF(C274="Owned",0,IF(B274&lt;&gt;"",2500,0))</f>
        <v/>
      </c>
      <c r="S274" s="130">
        <f>SUM(K274:R274)</f>
        <v/>
      </c>
      <c r="T274" s="130">
        <f>I274-S274</f>
        <v/>
      </c>
      <c r="U274" s="105">
        <f>IFERROR(T274/I274,0)</f>
        <v/>
      </c>
    </row>
    <row r="275" hidden="1" ht="14.25" customHeight="1" s="83">
      <c r="A275" s="125" t="n"/>
      <c r="B275" s="103" t="n"/>
      <c r="C275" s="170">
        <f>IFERROR(_xlfn.XLOOKUP(B275,DormRegistry[Dorm Name],DormRegistry[Ownership Type]),"")</f>
        <v/>
      </c>
      <c r="D275" s="170">
        <f>IFERROR(_xlfn.XLOOKUP(B275,DormRegistry[Dorm Name],DormRegistry[Bed Capacity]),0)</f>
        <v/>
      </c>
      <c r="E275" s="130">
        <f>IF(A275="","",$B$6*(1+$B$8)^(YEAR(A275)-YEAR(StartDate)))</f>
        <v/>
      </c>
      <c r="F275" s="105">
        <f>$B$7</f>
        <v/>
      </c>
      <c r="G275" s="105">
        <f>$B$8</f>
        <v/>
      </c>
      <c r="H275" s="130">
        <f>IFERROR(D275*E275,0)</f>
        <v/>
      </c>
      <c r="I275" s="130" t="n"/>
      <c r="J275" s="130">
        <f>IFERROR(D275*F275*E275,0)</f>
        <v/>
      </c>
      <c r="K275" s="104" t="n"/>
      <c r="L275" s="104" t="n"/>
      <c r="M275" s="104" t="n"/>
      <c r="N275" s="104" t="n"/>
      <c r="O275" s="104" t="n"/>
      <c r="P275" s="104" t="n"/>
      <c r="Q275" s="104" t="n"/>
      <c r="R275" s="130">
        <f>IF(C275="Owned",0,IF(B275&lt;&gt;"",2500,0))</f>
        <v/>
      </c>
      <c r="S275" s="130">
        <f>SUM(K275:R275)</f>
        <v/>
      </c>
      <c r="T275" s="130">
        <f>I275-S275</f>
        <v/>
      </c>
      <c r="U275" s="105">
        <f>IFERROR(T275/I275,0)</f>
        <v/>
      </c>
    </row>
    <row r="276" hidden="1" ht="14.25" customHeight="1" s="83">
      <c r="A276" s="125" t="n"/>
      <c r="B276" s="103" t="n"/>
      <c r="C276" s="170">
        <f>IFERROR(_xlfn.XLOOKUP(B276,DormRegistry[Dorm Name],DormRegistry[Ownership Type]),"")</f>
        <v/>
      </c>
      <c r="D276" s="170">
        <f>IFERROR(_xlfn.XLOOKUP(B276,DormRegistry[Dorm Name],DormRegistry[Bed Capacity]),0)</f>
        <v/>
      </c>
      <c r="E276" s="130">
        <f>IF(A276="","",$B$6*(1+$B$8)^(YEAR(A276)-YEAR(StartDate)))</f>
        <v/>
      </c>
      <c r="F276" s="105">
        <f>$B$7</f>
        <v/>
      </c>
      <c r="G276" s="105">
        <f>$B$8</f>
        <v/>
      </c>
      <c r="H276" s="130">
        <f>IFERROR(D276*E276,0)</f>
        <v/>
      </c>
      <c r="I276" s="130" t="n"/>
      <c r="J276" s="130">
        <f>IFERROR(D276*F276*E276,0)</f>
        <v/>
      </c>
      <c r="K276" s="104" t="n"/>
      <c r="L276" s="104" t="n"/>
      <c r="M276" s="104" t="n"/>
      <c r="N276" s="104" t="n"/>
      <c r="O276" s="104" t="n"/>
      <c r="P276" s="104" t="n"/>
      <c r="Q276" s="104" t="n"/>
      <c r="R276" s="130">
        <f>IF(C276="Owned",0,IF(B276&lt;&gt;"",2500,0))</f>
        <v/>
      </c>
      <c r="S276" s="130">
        <f>SUM(K276:R276)</f>
        <v/>
      </c>
      <c r="T276" s="130">
        <f>I276-S276</f>
        <v/>
      </c>
      <c r="U276" s="105">
        <f>IFERROR(T276/I276,0)</f>
        <v/>
      </c>
    </row>
    <row r="277" hidden="1" ht="14.25" customHeight="1" s="83">
      <c r="A277" s="125" t="n"/>
      <c r="B277" s="103" t="n"/>
      <c r="C277" s="170">
        <f>IFERROR(_xlfn.XLOOKUP(B277,DormRegistry[Dorm Name],DormRegistry[Ownership Type]),"")</f>
        <v/>
      </c>
      <c r="D277" s="170">
        <f>IFERROR(_xlfn.XLOOKUP(B277,DormRegistry[Dorm Name],DormRegistry[Bed Capacity]),0)</f>
        <v/>
      </c>
      <c r="E277" s="130">
        <f>IF(A277="","",$B$6*(1+$B$8)^(YEAR(A277)-YEAR(StartDate)))</f>
        <v/>
      </c>
      <c r="F277" s="105">
        <f>$B$7</f>
        <v/>
      </c>
      <c r="G277" s="105">
        <f>$B$8</f>
        <v/>
      </c>
      <c r="H277" s="130">
        <f>IFERROR(D277*E277,0)</f>
        <v/>
      </c>
      <c r="I277" s="130" t="n"/>
      <c r="J277" s="130">
        <f>IFERROR(D277*F277*E277,0)</f>
        <v/>
      </c>
      <c r="K277" s="104" t="n"/>
      <c r="L277" s="104" t="n"/>
      <c r="M277" s="104" t="n"/>
      <c r="N277" s="104" t="n"/>
      <c r="O277" s="104" t="n"/>
      <c r="P277" s="104" t="n"/>
      <c r="Q277" s="104" t="n"/>
      <c r="R277" s="130">
        <f>IF(C277="Owned",0,IF(B277&lt;&gt;"",2500,0))</f>
        <v/>
      </c>
      <c r="S277" s="130">
        <f>SUM(K277:R277)</f>
        <v/>
      </c>
      <c r="T277" s="130">
        <f>I277-S277</f>
        <v/>
      </c>
      <c r="U277" s="105">
        <f>IFERROR(T277/I277,0)</f>
        <v/>
      </c>
    </row>
    <row r="278" hidden="1" ht="14.25" customHeight="1" s="83">
      <c r="A278" s="125" t="n"/>
      <c r="B278" s="103" t="n"/>
      <c r="C278" s="170">
        <f>IFERROR(_xlfn.XLOOKUP(B278,DormRegistry[Dorm Name],DormRegistry[Ownership Type]),"")</f>
        <v/>
      </c>
      <c r="D278" s="170">
        <f>IFERROR(_xlfn.XLOOKUP(B278,DormRegistry[Dorm Name],DormRegistry[Bed Capacity]),0)</f>
        <v/>
      </c>
      <c r="E278" s="130">
        <f>IF(A278="","",$B$6*(1+$B$8)^(YEAR(A278)-YEAR(StartDate)))</f>
        <v/>
      </c>
      <c r="F278" s="105">
        <f>$B$7</f>
        <v/>
      </c>
      <c r="G278" s="105">
        <f>$B$8</f>
        <v/>
      </c>
      <c r="H278" s="130">
        <f>IFERROR(D278*E278,0)</f>
        <v/>
      </c>
      <c r="I278" s="130" t="n"/>
      <c r="J278" s="130">
        <f>IFERROR(D278*F278*E278,0)</f>
        <v/>
      </c>
      <c r="K278" s="104" t="n"/>
      <c r="L278" s="104" t="n"/>
      <c r="M278" s="104" t="n"/>
      <c r="N278" s="104" t="n"/>
      <c r="O278" s="104" t="n"/>
      <c r="P278" s="104" t="n"/>
      <c r="Q278" s="104" t="n"/>
      <c r="R278" s="130">
        <f>IF(C278="Owned",0,IF(B278&lt;&gt;"",2500,0))</f>
        <v/>
      </c>
      <c r="S278" s="130">
        <f>SUM(K278:R278)</f>
        <v/>
      </c>
      <c r="T278" s="130">
        <f>I278-S278</f>
        <v/>
      </c>
      <c r="U278" s="105">
        <f>IFERROR(T278/I278,0)</f>
        <v/>
      </c>
    </row>
    <row r="279" hidden="1" ht="14.25" customHeight="1" s="83">
      <c r="A279" s="125" t="n"/>
      <c r="B279" s="103" t="n"/>
      <c r="C279" s="170">
        <f>IFERROR(_xlfn.XLOOKUP(B279,DormRegistry[Dorm Name],DormRegistry[Ownership Type]),"")</f>
        <v/>
      </c>
      <c r="D279" s="170">
        <f>IFERROR(_xlfn.XLOOKUP(B279,DormRegistry[Dorm Name],DormRegistry[Bed Capacity]),0)</f>
        <v/>
      </c>
      <c r="E279" s="130">
        <f>IF(A279="","",$B$6*(1+$B$8)^(YEAR(A279)-YEAR(StartDate)))</f>
        <v/>
      </c>
      <c r="F279" s="105">
        <f>$B$7</f>
        <v/>
      </c>
      <c r="G279" s="105">
        <f>$B$8</f>
        <v/>
      </c>
      <c r="H279" s="130">
        <f>IFERROR(D279*E279,0)</f>
        <v/>
      </c>
      <c r="I279" s="130" t="n"/>
      <c r="J279" s="130">
        <f>IFERROR(D279*F279*E279,0)</f>
        <v/>
      </c>
      <c r="K279" s="104" t="n"/>
      <c r="L279" s="104" t="n"/>
      <c r="M279" s="104" t="n"/>
      <c r="N279" s="104" t="n"/>
      <c r="O279" s="104" t="n"/>
      <c r="P279" s="104" t="n"/>
      <c r="Q279" s="104" t="n"/>
      <c r="R279" s="130">
        <f>IF(C279="Owned",0,IF(B279&lt;&gt;"",2500,0))</f>
        <v/>
      </c>
      <c r="S279" s="130">
        <f>SUM(K279:R279)</f>
        <v/>
      </c>
      <c r="T279" s="130">
        <f>I279-S279</f>
        <v/>
      </c>
      <c r="U279" s="105">
        <f>IFERROR(T279/I279,0)</f>
        <v/>
      </c>
    </row>
    <row r="280" hidden="1" ht="14.25" customHeight="1" s="83">
      <c r="A280" s="125" t="n"/>
      <c r="B280" s="103" t="n"/>
      <c r="C280" s="170">
        <f>IFERROR(_xlfn.XLOOKUP(B280,DormRegistry[Dorm Name],DormRegistry[Ownership Type]),"")</f>
        <v/>
      </c>
      <c r="D280" s="170">
        <f>IFERROR(_xlfn.XLOOKUP(B280,DormRegistry[Dorm Name],DormRegistry[Bed Capacity]),0)</f>
        <v/>
      </c>
      <c r="E280" s="130">
        <f>IF(A280="","",$B$6*(1+$B$8)^(YEAR(A280)-YEAR(StartDate)))</f>
        <v/>
      </c>
      <c r="F280" s="105">
        <f>$B$7</f>
        <v/>
      </c>
      <c r="G280" s="105">
        <f>$B$8</f>
        <v/>
      </c>
      <c r="H280" s="130">
        <f>IFERROR(D280*E280,0)</f>
        <v/>
      </c>
      <c r="I280" s="130" t="n"/>
      <c r="J280" s="130">
        <f>IFERROR(D280*F280*E280,0)</f>
        <v/>
      </c>
      <c r="K280" s="104" t="n"/>
      <c r="L280" s="104" t="n"/>
      <c r="M280" s="104" t="n"/>
      <c r="N280" s="104" t="n"/>
      <c r="O280" s="104" t="n"/>
      <c r="P280" s="104" t="n"/>
      <c r="Q280" s="104" t="n"/>
      <c r="R280" s="130">
        <f>IF(C280="Owned",0,IF(B280&lt;&gt;"",2500,0))</f>
        <v/>
      </c>
      <c r="S280" s="130">
        <f>SUM(K280:R280)</f>
        <v/>
      </c>
      <c r="T280" s="130">
        <f>I280-S280</f>
        <v/>
      </c>
      <c r="U280" s="105">
        <f>IFERROR(T280/I280,0)</f>
        <v/>
      </c>
    </row>
    <row r="281" hidden="1" ht="14.25" customHeight="1" s="83">
      <c r="A281" s="125" t="n"/>
      <c r="B281" s="103" t="n"/>
      <c r="C281" s="170">
        <f>IFERROR(_xlfn.XLOOKUP(B281,DormRegistry[Dorm Name],DormRegistry[Ownership Type]),"")</f>
        <v/>
      </c>
      <c r="D281" s="170">
        <f>IFERROR(_xlfn.XLOOKUP(B281,DormRegistry[Dorm Name],DormRegistry[Bed Capacity]),0)</f>
        <v/>
      </c>
      <c r="E281" s="130">
        <f>IF(A281="","",$B$6*(1+$B$8)^(YEAR(A281)-YEAR(StartDate)))</f>
        <v/>
      </c>
      <c r="F281" s="105">
        <f>$B$7</f>
        <v/>
      </c>
      <c r="G281" s="105">
        <f>$B$8</f>
        <v/>
      </c>
      <c r="H281" s="130">
        <f>IFERROR(D281*E281,0)</f>
        <v/>
      </c>
      <c r="I281" s="130" t="n"/>
      <c r="J281" s="130">
        <f>IFERROR(D281*F281*E281,0)</f>
        <v/>
      </c>
      <c r="K281" s="104" t="n"/>
      <c r="L281" s="104" t="n"/>
      <c r="M281" s="104" t="n"/>
      <c r="N281" s="104" t="n"/>
      <c r="O281" s="104" t="n"/>
      <c r="P281" s="104" t="n"/>
      <c r="Q281" s="104" t="n"/>
      <c r="R281" s="130">
        <f>IF(C281="Owned",0,IF(B281&lt;&gt;"",2500,0))</f>
        <v/>
      </c>
      <c r="S281" s="130">
        <f>SUM(K281:R281)</f>
        <v/>
      </c>
      <c r="T281" s="130">
        <f>I281-S281</f>
        <v/>
      </c>
      <c r="U281" s="105">
        <f>IFERROR(T281/I281,0)</f>
        <v/>
      </c>
    </row>
    <row r="282" hidden="1" ht="14.25" customHeight="1" s="83">
      <c r="A282" s="125" t="n"/>
      <c r="B282" s="103" t="n"/>
      <c r="C282" s="170">
        <f>IFERROR(_xlfn.XLOOKUP(B282,DormRegistry[Dorm Name],DormRegistry[Ownership Type]),"")</f>
        <v/>
      </c>
      <c r="D282" s="170">
        <f>IFERROR(_xlfn.XLOOKUP(B282,DormRegistry[Dorm Name],DormRegistry[Bed Capacity]),0)</f>
        <v/>
      </c>
      <c r="E282" s="130">
        <f>IF(A282="","",$B$6*(1+$B$8)^(YEAR(A282)-YEAR(StartDate)))</f>
        <v/>
      </c>
      <c r="F282" s="105">
        <f>$B$7</f>
        <v/>
      </c>
      <c r="G282" s="105">
        <f>$B$8</f>
        <v/>
      </c>
      <c r="H282" s="130">
        <f>IFERROR(D282*E282,0)</f>
        <v/>
      </c>
      <c r="I282" s="130" t="n"/>
      <c r="J282" s="130">
        <f>IFERROR(D282*F282*E282,0)</f>
        <v/>
      </c>
      <c r="K282" s="104" t="n"/>
      <c r="L282" s="104" t="n"/>
      <c r="M282" s="104" t="n"/>
      <c r="N282" s="104" t="n"/>
      <c r="O282" s="104" t="n"/>
      <c r="P282" s="104" t="n"/>
      <c r="Q282" s="104" t="n"/>
      <c r="R282" s="130">
        <f>IF(C282="Owned",0,IF(B282&lt;&gt;"",2500,0))</f>
        <v/>
      </c>
      <c r="S282" s="130">
        <f>SUM(K282:R282)</f>
        <v/>
      </c>
      <c r="T282" s="130">
        <f>I282-S282</f>
        <v/>
      </c>
      <c r="U282" s="105">
        <f>IFERROR(T282/I282,0)</f>
        <v/>
      </c>
    </row>
    <row r="283" hidden="1" ht="14.25" customHeight="1" s="83">
      <c r="A283" s="125" t="n"/>
      <c r="B283" s="103" t="n"/>
      <c r="C283" s="170">
        <f>IFERROR(_xlfn.XLOOKUP(B283,DormRegistry[Dorm Name],DormRegistry[Ownership Type]),"")</f>
        <v/>
      </c>
      <c r="D283" s="170">
        <f>IFERROR(_xlfn.XLOOKUP(B283,DormRegistry[Dorm Name],DormRegistry[Bed Capacity]),0)</f>
        <v/>
      </c>
      <c r="E283" s="130">
        <f>IF(A283="","",$B$6*(1+$B$8)^(YEAR(A283)-YEAR(StartDate)))</f>
        <v/>
      </c>
      <c r="F283" s="105">
        <f>$B$7</f>
        <v/>
      </c>
      <c r="G283" s="105">
        <f>$B$8</f>
        <v/>
      </c>
      <c r="H283" s="130">
        <f>IFERROR(D283*E283,0)</f>
        <v/>
      </c>
      <c r="I283" s="130" t="n"/>
      <c r="J283" s="130">
        <f>IFERROR(D283*F283*E283,0)</f>
        <v/>
      </c>
      <c r="K283" s="104" t="n"/>
      <c r="L283" s="104" t="n"/>
      <c r="M283" s="104" t="n"/>
      <c r="N283" s="104" t="n"/>
      <c r="O283" s="104" t="n"/>
      <c r="P283" s="104" t="n"/>
      <c r="Q283" s="104" t="n"/>
      <c r="R283" s="130">
        <f>IF(C283="Owned",0,IF(B283&lt;&gt;"",2500,0))</f>
        <v/>
      </c>
      <c r="S283" s="130">
        <f>SUM(K283:R283)</f>
        <v/>
      </c>
      <c r="T283" s="130">
        <f>I283-S283</f>
        <v/>
      </c>
      <c r="U283" s="105">
        <f>IFERROR(T283/I283,0)</f>
        <v/>
      </c>
    </row>
    <row r="284" hidden="1" ht="14.25" customHeight="1" s="83">
      <c r="A284" s="125" t="n"/>
      <c r="B284" s="103" t="n"/>
      <c r="C284" s="170">
        <f>IFERROR(_xlfn.XLOOKUP(B284,DormRegistry[Dorm Name],DormRegistry[Ownership Type]),"")</f>
        <v/>
      </c>
      <c r="D284" s="170">
        <f>IFERROR(_xlfn.XLOOKUP(B284,DormRegistry[Dorm Name],DormRegistry[Bed Capacity]),0)</f>
        <v/>
      </c>
      <c r="E284" s="130">
        <f>IF(A284="","",$B$6*(1+$B$8)^(YEAR(A284)-YEAR(StartDate)))</f>
        <v/>
      </c>
      <c r="F284" s="105">
        <f>$B$7</f>
        <v/>
      </c>
      <c r="G284" s="105">
        <f>$B$8</f>
        <v/>
      </c>
      <c r="H284" s="130">
        <f>IFERROR(D284*E284,0)</f>
        <v/>
      </c>
      <c r="I284" s="130" t="n"/>
      <c r="J284" s="130">
        <f>IFERROR(D284*F284*E284,0)</f>
        <v/>
      </c>
      <c r="K284" s="104" t="n"/>
      <c r="L284" s="104" t="n"/>
      <c r="M284" s="104" t="n"/>
      <c r="N284" s="104" t="n"/>
      <c r="O284" s="104" t="n"/>
      <c r="P284" s="104" t="n"/>
      <c r="Q284" s="104" t="n"/>
      <c r="R284" s="130">
        <f>IF(C284="Owned",0,IF(B284&lt;&gt;"",2500,0))</f>
        <v/>
      </c>
      <c r="S284" s="130">
        <f>SUM(K284:R284)</f>
        <v/>
      </c>
      <c r="T284" s="130">
        <f>I284-S284</f>
        <v/>
      </c>
      <c r="U284" s="105">
        <f>IFERROR(T284/I284,0)</f>
        <v/>
      </c>
    </row>
    <row r="285" hidden="1" ht="14.25" customHeight="1" s="83">
      <c r="A285" s="125" t="n"/>
      <c r="B285" s="103" t="n"/>
      <c r="C285" s="170">
        <f>IFERROR(_xlfn.XLOOKUP(B285,DormRegistry[Dorm Name],DormRegistry[Ownership Type]),"")</f>
        <v/>
      </c>
      <c r="D285" s="170">
        <f>IFERROR(_xlfn.XLOOKUP(B285,DormRegistry[Dorm Name],DormRegistry[Bed Capacity]),0)</f>
        <v/>
      </c>
      <c r="E285" s="130">
        <f>IF(A285="","",$B$6*(1+$B$8)^(YEAR(A285)-YEAR(StartDate)))</f>
        <v/>
      </c>
      <c r="F285" s="105">
        <f>$B$7</f>
        <v/>
      </c>
      <c r="G285" s="105">
        <f>$B$8</f>
        <v/>
      </c>
      <c r="H285" s="130">
        <f>IFERROR(D285*E285,0)</f>
        <v/>
      </c>
      <c r="I285" s="130" t="n"/>
      <c r="J285" s="130">
        <f>IFERROR(D285*F285*E285,0)</f>
        <v/>
      </c>
      <c r="K285" s="104" t="n"/>
      <c r="L285" s="104" t="n"/>
      <c r="M285" s="104" t="n"/>
      <c r="N285" s="104" t="n"/>
      <c r="O285" s="104" t="n"/>
      <c r="P285" s="104" t="n"/>
      <c r="Q285" s="104" t="n"/>
      <c r="R285" s="130">
        <f>IF(C285="Owned",0,IF(B285&lt;&gt;"",2500,0))</f>
        <v/>
      </c>
      <c r="S285" s="130">
        <f>SUM(K285:R285)</f>
        <v/>
      </c>
      <c r="T285" s="130">
        <f>I285-S285</f>
        <v/>
      </c>
      <c r="U285" s="105">
        <f>IFERROR(T285/I285,0)</f>
        <v/>
      </c>
    </row>
    <row r="286" hidden="1" ht="14.25" customHeight="1" s="83">
      <c r="A286" s="125" t="n"/>
      <c r="B286" s="103" t="n"/>
      <c r="C286" s="170">
        <f>IFERROR(_xlfn.XLOOKUP(B286,DormRegistry[Dorm Name],DormRegistry[Ownership Type]),"")</f>
        <v/>
      </c>
      <c r="D286" s="170">
        <f>IFERROR(_xlfn.XLOOKUP(B286,DormRegistry[Dorm Name],DormRegistry[Bed Capacity]),0)</f>
        <v/>
      </c>
      <c r="E286" s="130">
        <f>IF(A286="","",$B$6*(1+$B$8)^(YEAR(A286)-YEAR(StartDate)))</f>
        <v/>
      </c>
      <c r="F286" s="105">
        <f>$B$7</f>
        <v/>
      </c>
      <c r="G286" s="105">
        <f>$B$8</f>
        <v/>
      </c>
      <c r="H286" s="130">
        <f>IFERROR(D286*E286,0)</f>
        <v/>
      </c>
      <c r="I286" s="130" t="n"/>
      <c r="J286" s="130">
        <f>IFERROR(D286*F286*E286,0)</f>
        <v/>
      </c>
      <c r="K286" s="104" t="n"/>
      <c r="L286" s="104" t="n"/>
      <c r="M286" s="104" t="n"/>
      <c r="N286" s="104" t="n"/>
      <c r="O286" s="104" t="n"/>
      <c r="P286" s="104" t="n"/>
      <c r="Q286" s="104" t="n"/>
      <c r="R286" s="130">
        <f>IF(C286="Owned",0,IF(B286&lt;&gt;"",2500,0))</f>
        <v/>
      </c>
      <c r="S286" s="130">
        <f>SUM(K286:R286)</f>
        <v/>
      </c>
      <c r="T286" s="130">
        <f>I286-S286</f>
        <v/>
      </c>
      <c r="U286" s="105">
        <f>IFERROR(T286/I286,0)</f>
        <v/>
      </c>
    </row>
    <row r="287" hidden="1" ht="14.25" customHeight="1" s="83">
      <c r="A287" s="125" t="n"/>
      <c r="B287" s="103" t="n"/>
      <c r="C287" s="170">
        <f>IFERROR(_xlfn.XLOOKUP(B287,DormRegistry[Dorm Name],DormRegistry[Ownership Type]),"")</f>
        <v/>
      </c>
      <c r="D287" s="170">
        <f>IFERROR(_xlfn.XLOOKUP(B287,DormRegistry[Dorm Name],DormRegistry[Bed Capacity]),0)</f>
        <v/>
      </c>
      <c r="E287" s="130">
        <f>IF(A287="","",$B$6*(1+$B$8)^(YEAR(A287)-YEAR(StartDate)))</f>
        <v/>
      </c>
      <c r="F287" s="105">
        <f>$B$7</f>
        <v/>
      </c>
      <c r="G287" s="105">
        <f>$B$8</f>
        <v/>
      </c>
      <c r="H287" s="130">
        <f>IFERROR(D287*E287,0)</f>
        <v/>
      </c>
      <c r="I287" s="130" t="n"/>
      <c r="J287" s="130">
        <f>IFERROR(D287*F287*E287,0)</f>
        <v/>
      </c>
      <c r="K287" s="104" t="n"/>
      <c r="L287" s="104" t="n"/>
      <c r="M287" s="104" t="n"/>
      <c r="N287" s="104" t="n"/>
      <c r="O287" s="104" t="n"/>
      <c r="P287" s="104" t="n"/>
      <c r="Q287" s="104" t="n"/>
      <c r="R287" s="130">
        <f>IF(C287="Owned",0,IF(B287&lt;&gt;"",2500,0))</f>
        <v/>
      </c>
      <c r="S287" s="130">
        <f>SUM(K287:R287)</f>
        <v/>
      </c>
      <c r="T287" s="130">
        <f>I287-S287</f>
        <v/>
      </c>
      <c r="U287" s="105">
        <f>IFERROR(T287/I287,0)</f>
        <v/>
      </c>
    </row>
    <row r="288" hidden="1" ht="14.25" customHeight="1" s="83">
      <c r="A288" s="125" t="n"/>
      <c r="B288" s="103" t="n"/>
      <c r="C288" s="170">
        <f>IFERROR(_xlfn.XLOOKUP(B288,DormRegistry[Dorm Name],DormRegistry[Ownership Type]),"")</f>
        <v/>
      </c>
      <c r="D288" s="170">
        <f>IFERROR(_xlfn.XLOOKUP(B288,DormRegistry[Dorm Name],DormRegistry[Bed Capacity]),0)</f>
        <v/>
      </c>
      <c r="E288" s="130">
        <f>IF(A288="","",$B$6*(1+$B$8)^(YEAR(A288)-YEAR(StartDate)))</f>
        <v/>
      </c>
      <c r="F288" s="105">
        <f>$B$7</f>
        <v/>
      </c>
      <c r="G288" s="105">
        <f>$B$8</f>
        <v/>
      </c>
      <c r="H288" s="130">
        <f>IFERROR(D288*E288,0)</f>
        <v/>
      </c>
      <c r="I288" s="130" t="n"/>
      <c r="J288" s="130">
        <f>IFERROR(D288*F288*E288,0)</f>
        <v/>
      </c>
      <c r="K288" s="104" t="n"/>
      <c r="L288" s="104" t="n"/>
      <c r="M288" s="104" t="n"/>
      <c r="N288" s="104" t="n"/>
      <c r="O288" s="104" t="n"/>
      <c r="P288" s="104" t="n"/>
      <c r="Q288" s="104" t="n"/>
      <c r="R288" s="130">
        <f>IF(C288="Owned",0,IF(B288&lt;&gt;"",2500,0))</f>
        <v/>
      </c>
      <c r="S288" s="130">
        <f>SUM(K288:R288)</f>
        <v/>
      </c>
      <c r="T288" s="130">
        <f>I288-S288</f>
        <v/>
      </c>
      <c r="U288" s="105">
        <f>IFERROR(T288/I288,0)</f>
        <v/>
      </c>
    </row>
    <row r="289" hidden="1" ht="14.25" customHeight="1" s="83">
      <c r="A289" s="125" t="n"/>
      <c r="B289" s="103" t="n"/>
      <c r="C289" s="170">
        <f>IFERROR(_xlfn.XLOOKUP(B289,DormRegistry[Dorm Name],DormRegistry[Ownership Type]),"")</f>
        <v/>
      </c>
      <c r="D289" s="170">
        <f>IFERROR(_xlfn.XLOOKUP(B289,DormRegistry[Dorm Name],DormRegistry[Bed Capacity]),0)</f>
        <v/>
      </c>
      <c r="E289" s="130">
        <f>IF(A289="","",$B$6*(1+$B$8)^(YEAR(A289)-YEAR(StartDate)))</f>
        <v/>
      </c>
      <c r="F289" s="105">
        <f>$B$7</f>
        <v/>
      </c>
      <c r="G289" s="105">
        <f>$B$8</f>
        <v/>
      </c>
      <c r="H289" s="130">
        <f>IFERROR(D289*E289,0)</f>
        <v/>
      </c>
      <c r="I289" s="130" t="n"/>
      <c r="J289" s="130">
        <f>IFERROR(D289*F289*E289,0)</f>
        <v/>
      </c>
      <c r="K289" s="104" t="n"/>
      <c r="L289" s="104" t="n"/>
      <c r="M289" s="104" t="n"/>
      <c r="N289" s="104" t="n"/>
      <c r="O289" s="104" t="n"/>
      <c r="P289" s="104" t="n"/>
      <c r="Q289" s="104" t="n"/>
      <c r="R289" s="130">
        <f>IF(C289="Owned",0,IF(B289&lt;&gt;"",2500,0))</f>
        <v/>
      </c>
      <c r="S289" s="130">
        <f>SUM(K289:R289)</f>
        <v/>
      </c>
      <c r="T289" s="130">
        <f>I289-S289</f>
        <v/>
      </c>
      <c r="U289" s="105">
        <f>IFERROR(T289/I289,0)</f>
        <v/>
      </c>
    </row>
    <row r="290" hidden="1" ht="14.25" customHeight="1" s="83">
      <c r="A290" s="125" t="n"/>
      <c r="B290" s="103" t="n"/>
      <c r="C290" s="170">
        <f>IFERROR(_xlfn.XLOOKUP(B290,DormRegistry[Dorm Name],DormRegistry[Ownership Type]),"")</f>
        <v/>
      </c>
      <c r="D290" s="170">
        <f>IFERROR(_xlfn.XLOOKUP(B290,DormRegistry[Dorm Name],DormRegistry[Bed Capacity]),0)</f>
        <v/>
      </c>
      <c r="E290" s="130">
        <f>IF(A290="","",$B$6*(1+$B$8)^(YEAR(A290)-YEAR(StartDate)))</f>
        <v/>
      </c>
      <c r="F290" s="105">
        <f>$B$7</f>
        <v/>
      </c>
      <c r="G290" s="105">
        <f>$B$8</f>
        <v/>
      </c>
      <c r="H290" s="130">
        <f>IFERROR(D290*E290,0)</f>
        <v/>
      </c>
      <c r="I290" s="130" t="n"/>
      <c r="J290" s="130">
        <f>IFERROR(D290*F290*E290,0)</f>
        <v/>
      </c>
      <c r="K290" s="104" t="n"/>
      <c r="L290" s="104" t="n"/>
      <c r="M290" s="104" t="n"/>
      <c r="N290" s="104" t="n"/>
      <c r="O290" s="104" t="n"/>
      <c r="P290" s="104" t="n"/>
      <c r="Q290" s="104" t="n"/>
      <c r="R290" s="130">
        <f>IF(C290="Owned",0,IF(B290&lt;&gt;"",2500,0))</f>
        <v/>
      </c>
      <c r="S290" s="130">
        <f>SUM(K290:R290)</f>
        <v/>
      </c>
      <c r="T290" s="130">
        <f>I290-S290</f>
        <v/>
      </c>
      <c r="U290" s="105">
        <f>IFERROR(T290/I290,0)</f>
        <v/>
      </c>
    </row>
    <row r="291" hidden="1" ht="14.25" customHeight="1" s="83">
      <c r="A291" s="125" t="n"/>
      <c r="B291" s="103" t="n"/>
      <c r="C291" s="170">
        <f>IFERROR(_xlfn.XLOOKUP(B291,DormRegistry[Dorm Name],DormRegistry[Ownership Type]),"")</f>
        <v/>
      </c>
      <c r="D291" s="170">
        <f>IFERROR(_xlfn.XLOOKUP(B291,DormRegistry[Dorm Name],DormRegistry[Bed Capacity]),0)</f>
        <v/>
      </c>
      <c r="E291" s="130">
        <f>IF(A291="","",$B$6*(1+$B$8)^(YEAR(A291)-YEAR(StartDate)))</f>
        <v/>
      </c>
      <c r="F291" s="105">
        <f>$B$7</f>
        <v/>
      </c>
      <c r="G291" s="105">
        <f>$B$8</f>
        <v/>
      </c>
      <c r="H291" s="130">
        <f>IFERROR(D291*E291,0)</f>
        <v/>
      </c>
      <c r="I291" s="130" t="n"/>
      <c r="J291" s="130">
        <f>IFERROR(D291*F291*E291,0)</f>
        <v/>
      </c>
      <c r="K291" s="104" t="n"/>
      <c r="L291" s="104" t="n"/>
      <c r="M291" s="104" t="n"/>
      <c r="N291" s="104" t="n"/>
      <c r="O291" s="104" t="n"/>
      <c r="P291" s="104" t="n"/>
      <c r="Q291" s="104" t="n"/>
      <c r="R291" s="130">
        <f>IF(C291="Owned",0,IF(B291&lt;&gt;"",2500,0))</f>
        <v/>
      </c>
      <c r="S291" s="130">
        <f>SUM(K291:R291)</f>
        <v/>
      </c>
      <c r="T291" s="130">
        <f>I291-S291</f>
        <v/>
      </c>
      <c r="U291" s="105">
        <f>IFERROR(T291/I291,0)</f>
        <v/>
      </c>
    </row>
    <row r="292" hidden="1" ht="14.25" customHeight="1" s="83">
      <c r="A292" s="125" t="n"/>
      <c r="B292" s="103" t="n"/>
      <c r="C292" s="170">
        <f>IFERROR(_xlfn.XLOOKUP(B292,DormRegistry[Dorm Name],DormRegistry[Ownership Type]),"")</f>
        <v/>
      </c>
      <c r="D292" s="170">
        <f>IFERROR(_xlfn.XLOOKUP(B292,DormRegistry[Dorm Name],DormRegistry[Bed Capacity]),0)</f>
        <v/>
      </c>
      <c r="E292" s="130">
        <f>IF(A292="","",$B$6*(1+$B$8)^(YEAR(A292)-YEAR(StartDate)))</f>
        <v/>
      </c>
      <c r="F292" s="105">
        <f>$B$7</f>
        <v/>
      </c>
      <c r="G292" s="105">
        <f>$B$8</f>
        <v/>
      </c>
      <c r="H292" s="130">
        <f>IFERROR(D292*E292,0)</f>
        <v/>
      </c>
      <c r="I292" s="130" t="n"/>
      <c r="J292" s="130">
        <f>IFERROR(D292*F292*E292,0)</f>
        <v/>
      </c>
      <c r="K292" s="104" t="n"/>
      <c r="L292" s="104" t="n"/>
      <c r="M292" s="104" t="n"/>
      <c r="N292" s="104" t="n"/>
      <c r="O292" s="104" t="n"/>
      <c r="P292" s="104" t="n"/>
      <c r="Q292" s="104" t="n"/>
      <c r="R292" s="130">
        <f>IF(C292="Owned",0,IF(B292&lt;&gt;"",2500,0))</f>
        <v/>
      </c>
      <c r="S292" s="130">
        <f>SUM(K292:R292)</f>
        <v/>
      </c>
      <c r="T292" s="130">
        <f>I292-S292</f>
        <v/>
      </c>
      <c r="U292" s="105">
        <f>IFERROR(T292/I292,0)</f>
        <v/>
      </c>
    </row>
    <row r="293" hidden="1" ht="14.25" customHeight="1" s="83">
      <c r="A293" s="125" t="n"/>
      <c r="B293" s="103" t="n"/>
      <c r="C293" s="170">
        <f>IFERROR(_xlfn.XLOOKUP(B293,DormRegistry[Dorm Name],DormRegistry[Ownership Type]),"")</f>
        <v/>
      </c>
      <c r="D293" s="170">
        <f>IFERROR(_xlfn.XLOOKUP(B293,DormRegistry[Dorm Name],DormRegistry[Bed Capacity]),0)</f>
        <v/>
      </c>
      <c r="E293" s="130">
        <f>IF(A293="","",$B$6*(1+$B$8)^(YEAR(A293)-YEAR(StartDate)))</f>
        <v/>
      </c>
      <c r="F293" s="105">
        <f>$B$7</f>
        <v/>
      </c>
      <c r="G293" s="105">
        <f>$B$8</f>
        <v/>
      </c>
      <c r="H293" s="130">
        <f>IFERROR(D293*E293,0)</f>
        <v/>
      </c>
      <c r="I293" s="130" t="n"/>
      <c r="J293" s="130">
        <f>IFERROR(D293*F293*E293,0)</f>
        <v/>
      </c>
      <c r="K293" s="104" t="n"/>
      <c r="L293" s="104" t="n"/>
      <c r="M293" s="104" t="n"/>
      <c r="N293" s="104" t="n"/>
      <c r="O293" s="104" t="n"/>
      <c r="P293" s="104" t="n"/>
      <c r="Q293" s="104" t="n"/>
      <c r="R293" s="130">
        <f>IF(C293="Owned",0,IF(B293&lt;&gt;"",2500,0))</f>
        <v/>
      </c>
      <c r="S293" s="130">
        <f>SUM(K293:R293)</f>
        <v/>
      </c>
      <c r="T293" s="130">
        <f>I293-S293</f>
        <v/>
      </c>
      <c r="U293" s="105">
        <f>IFERROR(T293/I293,0)</f>
        <v/>
      </c>
    </row>
    <row r="294" hidden="1" ht="14.25" customHeight="1" s="83">
      <c r="A294" s="125" t="n"/>
      <c r="B294" s="103" t="n"/>
      <c r="C294" s="170">
        <f>IFERROR(_xlfn.XLOOKUP(B294,DormRegistry[Dorm Name],DormRegistry[Ownership Type]),"")</f>
        <v/>
      </c>
      <c r="D294" s="170">
        <f>IFERROR(_xlfn.XLOOKUP(B294,DormRegistry[Dorm Name],DormRegistry[Bed Capacity]),0)</f>
        <v/>
      </c>
      <c r="E294" s="130">
        <f>IF(A294="","",$B$6*(1+$B$8)^(YEAR(A294)-YEAR(StartDate)))</f>
        <v/>
      </c>
      <c r="F294" s="105">
        <f>$B$7</f>
        <v/>
      </c>
      <c r="G294" s="105">
        <f>$B$8</f>
        <v/>
      </c>
      <c r="H294" s="130">
        <f>IFERROR(D294*E294,0)</f>
        <v/>
      </c>
      <c r="I294" s="130" t="n"/>
      <c r="J294" s="130">
        <f>IFERROR(D294*F294*E294,0)</f>
        <v/>
      </c>
      <c r="K294" s="104" t="n"/>
      <c r="L294" s="104" t="n"/>
      <c r="M294" s="104" t="n"/>
      <c r="N294" s="104" t="n"/>
      <c r="O294" s="104" t="n"/>
      <c r="P294" s="104" t="n"/>
      <c r="Q294" s="104" t="n"/>
      <c r="R294" s="130">
        <f>IF(C294="Owned",0,IF(B294&lt;&gt;"",2500,0))</f>
        <v/>
      </c>
      <c r="S294" s="130">
        <f>SUM(K294:R294)</f>
        <v/>
      </c>
      <c r="T294" s="130">
        <f>I294-S294</f>
        <v/>
      </c>
      <c r="U294" s="105">
        <f>IFERROR(T294/I294,0)</f>
        <v/>
      </c>
    </row>
    <row r="295" hidden="1" ht="14.25" customHeight="1" s="83">
      <c r="A295" s="125" t="n"/>
      <c r="B295" s="103" t="n"/>
      <c r="C295" s="170">
        <f>IFERROR(_xlfn.XLOOKUP(B295,DormRegistry[Dorm Name],DormRegistry[Ownership Type]),"")</f>
        <v/>
      </c>
      <c r="D295" s="170">
        <f>IFERROR(_xlfn.XLOOKUP(B295,DormRegistry[Dorm Name],DormRegistry[Bed Capacity]),0)</f>
        <v/>
      </c>
      <c r="E295" s="130">
        <f>IF(A295="","",$B$6*(1+$B$8)^(YEAR(A295)-YEAR(StartDate)))</f>
        <v/>
      </c>
      <c r="F295" s="105">
        <f>$B$7</f>
        <v/>
      </c>
      <c r="G295" s="105">
        <f>$B$8</f>
        <v/>
      </c>
      <c r="H295" s="130">
        <f>IFERROR(D295*E295,0)</f>
        <v/>
      </c>
      <c r="I295" s="130" t="n"/>
      <c r="J295" s="130">
        <f>IFERROR(D295*F295*E295,0)</f>
        <v/>
      </c>
      <c r="K295" s="104" t="n"/>
      <c r="L295" s="104" t="n"/>
      <c r="M295" s="104" t="n"/>
      <c r="N295" s="104" t="n"/>
      <c r="O295" s="104" t="n"/>
      <c r="P295" s="104" t="n"/>
      <c r="Q295" s="104" t="n"/>
      <c r="R295" s="130">
        <f>IF(C295="Owned",0,IF(B295&lt;&gt;"",2500,0))</f>
        <v/>
      </c>
      <c r="S295" s="130">
        <f>SUM(K295:R295)</f>
        <v/>
      </c>
      <c r="T295" s="130">
        <f>I295-S295</f>
        <v/>
      </c>
      <c r="U295" s="105">
        <f>IFERROR(T295/I295,0)</f>
        <v/>
      </c>
    </row>
    <row r="296" hidden="1" ht="14.25" customHeight="1" s="83">
      <c r="A296" s="125" t="n"/>
      <c r="B296" s="103" t="n"/>
      <c r="C296" s="170">
        <f>IFERROR(_xlfn.XLOOKUP(B296,DormRegistry[Dorm Name],DormRegistry[Ownership Type]),"")</f>
        <v/>
      </c>
      <c r="D296" s="170">
        <f>IFERROR(_xlfn.XLOOKUP(B296,DormRegistry[Dorm Name],DormRegistry[Bed Capacity]),0)</f>
        <v/>
      </c>
      <c r="E296" s="130">
        <f>IF(A296="","",$B$6*(1+$B$8)^(YEAR(A296)-YEAR(StartDate)))</f>
        <v/>
      </c>
      <c r="F296" s="105">
        <f>$B$7</f>
        <v/>
      </c>
      <c r="G296" s="105">
        <f>$B$8</f>
        <v/>
      </c>
      <c r="H296" s="130">
        <f>IFERROR(D296*E296,0)</f>
        <v/>
      </c>
      <c r="I296" s="130" t="n"/>
      <c r="J296" s="130">
        <f>IFERROR(D296*F296*E296,0)</f>
        <v/>
      </c>
      <c r="K296" s="104" t="n"/>
      <c r="L296" s="104" t="n"/>
      <c r="M296" s="104" t="n"/>
      <c r="N296" s="104" t="n"/>
      <c r="O296" s="104" t="n"/>
      <c r="P296" s="104" t="n"/>
      <c r="Q296" s="104" t="n"/>
      <c r="R296" s="130">
        <f>IF(C296="Owned",0,IF(B296&lt;&gt;"",2500,0))</f>
        <v/>
      </c>
      <c r="S296" s="130">
        <f>SUM(K296:R296)</f>
        <v/>
      </c>
      <c r="T296" s="130">
        <f>I296-S296</f>
        <v/>
      </c>
      <c r="U296" s="105">
        <f>IFERROR(T296/I296,0)</f>
        <v/>
      </c>
    </row>
    <row r="297" hidden="1" ht="14.25" customHeight="1" s="83">
      <c r="A297" s="125" t="n"/>
      <c r="B297" s="103" t="n"/>
      <c r="C297" s="170">
        <f>IFERROR(_xlfn.XLOOKUP(B297,DormRegistry[Dorm Name],DormRegistry[Ownership Type]),"")</f>
        <v/>
      </c>
      <c r="D297" s="170">
        <f>IFERROR(_xlfn.XLOOKUP(B297,DormRegistry[Dorm Name],DormRegistry[Bed Capacity]),0)</f>
        <v/>
      </c>
      <c r="E297" s="130">
        <f>IF(A297="","",$B$6*(1+$B$8)^(YEAR(A297)-YEAR(StartDate)))</f>
        <v/>
      </c>
      <c r="F297" s="105">
        <f>$B$7</f>
        <v/>
      </c>
      <c r="G297" s="105">
        <f>$B$8</f>
        <v/>
      </c>
      <c r="H297" s="130">
        <f>IFERROR(D297*E297,0)</f>
        <v/>
      </c>
      <c r="I297" s="130" t="n"/>
      <c r="J297" s="130">
        <f>IFERROR(D297*F297*E297,0)</f>
        <v/>
      </c>
      <c r="K297" s="104" t="n"/>
      <c r="L297" s="104" t="n"/>
      <c r="M297" s="104" t="n"/>
      <c r="N297" s="104" t="n"/>
      <c r="O297" s="104" t="n"/>
      <c r="P297" s="104" t="n"/>
      <c r="Q297" s="104" t="n"/>
      <c r="R297" s="130">
        <f>IF(C297="Owned",0,IF(B297&lt;&gt;"",2500,0))</f>
        <v/>
      </c>
      <c r="S297" s="130">
        <f>SUM(K297:R297)</f>
        <v/>
      </c>
      <c r="T297" s="130">
        <f>I297-S297</f>
        <v/>
      </c>
      <c r="U297" s="105">
        <f>IFERROR(T297/I297,0)</f>
        <v/>
      </c>
    </row>
    <row r="298" hidden="1" ht="14.25" customHeight="1" s="83">
      <c r="A298" s="125" t="n"/>
      <c r="B298" s="103" t="n"/>
      <c r="C298" s="170">
        <f>IFERROR(_xlfn.XLOOKUP(B298,DormRegistry[Dorm Name],DormRegistry[Ownership Type]),"")</f>
        <v/>
      </c>
      <c r="D298" s="170">
        <f>IFERROR(_xlfn.XLOOKUP(B298,DormRegistry[Dorm Name],DormRegistry[Bed Capacity]),0)</f>
        <v/>
      </c>
      <c r="E298" s="130">
        <f>IF(A298="","",$B$6*(1+$B$8)^(YEAR(A298)-YEAR(StartDate)))</f>
        <v/>
      </c>
      <c r="F298" s="105">
        <f>$B$7</f>
        <v/>
      </c>
      <c r="G298" s="105">
        <f>$B$8</f>
        <v/>
      </c>
      <c r="H298" s="130">
        <f>IFERROR(D298*E298,0)</f>
        <v/>
      </c>
      <c r="I298" s="130" t="n"/>
      <c r="J298" s="130">
        <f>IFERROR(D298*F298*E298,0)</f>
        <v/>
      </c>
      <c r="K298" s="104" t="n"/>
      <c r="L298" s="104" t="n"/>
      <c r="M298" s="104" t="n"/>
      <c r="N298" s="104" t="n"/>
      <c r="O298" s="104" t="n"/>
      <c r="P298" s="104" t="n"/>
      <c r="Q298" s="104" t="n"/>
      <c r="R298" s="130">
        <f>IF(C298="Owned",0,IF(B298&lt;&gt;"",2500,0))</f>
        <v/>
      </c>
      <c r="S298" s="130">
        <f>SUM(K298:R298)</f>
        <v/>
      </c>
      <c r="T298" s="130">
        <f>I298-S298</f>
        <v/>
      </c>
      <c r="U298" s="105">
        <f>IFERROR(T298/I298,0)</f>
        <v/>
      </c>
    </row>
    <row r="299" hidden="1" ht="14.25" customHeight="1" s="83">
      <c r="A299" s="125" t="n"/>
      <c r="B299" s="103" t="n"/>
      <c r="C299" s="170">
        <f>IFERROR(_xlfn.XLOOKUP(B299,DormRegistry[Dorm Name],DormRegistry[Ownership Type]),"")</f>
        <v/>
      </c>
      <c r="D299" s="170">
        <f>IFERROR(_xlfn.XLOOKUP(B299,DormRegistry[Dorm Name],DormRegistry[Bed Capacity]),0)</f>
        <v/>
      </c>
      <c r="E299" s="130">
        <f>IF(A299="","",$B$6*(1+$B$8)^(YEAR(A299)-YEAR(StartDate)))</f>
        <v/>
      </c>
      <c r="F299" s="105">
        <f>$B$7</f>
        <v/>
      </c>
      <c r="G299" s="105">
        <f>$B$8</f>
        <v/>
      </c>
      <c r="H299" s="130">
        <f>IFERROR(D299*E299,0)</f>
        <v/>
      </c>
      <c r="I299" s="130" t="n"/>
      <c r="J299" s="130">
        <f>IFERROR(D299*F299*E299,0)</f>
        <v/>
      </c>
      <c r="K299" s="104" t="n"/>
      <c r="L299" s="104" t="n"/>
      <c r="M299" s="104" t="n"/>
      <c r="N299" s="104" t="n"/>
      <c r="O299" s="104" t="n"/>
      <c r="P299" s="104" t="n"/>
      <c r="Q299" s="104" t="n"/>
      <c r="R299" s="130">
        <f>IF(C299="Owned",0,IF(B299&lt;&gt;"",2500,0))</f>
        <v/>
      </c>
      <c r="S299" s="130">
        <f>SUM(K299:R299)</f>
        <v/>
      </c>
      <c r="T299" s="130">
        <f>I299-S299</f>
        <v/>
      </c>
      <c r="U299" s="105">
        <f>IFERROR(T299/I299,0)</f>
        <v/>
      </c>
    </row>
    <row r="300" hidden="1" ht="14.25" customHeight="1" s="83">
      <c r="A300" s="125" t="n"/>
      <c r="B300" s="103" t="n"/>
      <c r="C300" s="170">
        <f>IFERROR(_xlfn.XLOOKUP(B300,DormRegistry[Dorm Name],DormRegistry[Ownership Type]),"")</f>
        <v/>
      </c>
      <c r="D300" s="170">
        <f>IFERROR(_xlfn.XLOOKUP(B300,DormRegistry[Dorm Name],DormRegistry[Bed Capacity]),0)</f>
        <v/>
      </c>
      <c r="E300" s="130">
        <f>IF(A300="","",$B$6*(1+$B$8)^(YEAR(A300)-YEAR(StartDate)))</f>
        <v/>
      </c>
      <c r="F300" s="105">
        <f>$B$7</f>
        <v/>
      </c>
      <c r="G300" s="105">
        <f>$B$8</f>
        <v/>
      </c>
      <c r="H300" s="130">
        <f>IFERROR(D300*E300,0)</f>
        <v/>
      </c>
      <c r="I300" s="130" t="n"/>
      <c r="J300" s="130">
        <f>IFERROR(D300*F300*E300,0)</f>
        <v/>
      </c>
      <c r="K300" s="104" t="n"/>
      <c r="L300" s="104" t="n"/>
      <c r="M300" s="104" t="n"/>
      <c r="N300" s="104" t="n"/>
      <c r="O300" s="104" t="n"/>
      <c r="P300" s="104" t="n"/>
      <c r="Q300" s="104" t="n"/>
      <c r="R300" s="130">
        <f>IF(C300="Owned",0,IF(B300&lt;&gt;"",2500,0))</f>
        <v/>
      </c>
      <c r="S300" s="130">
        <f>SUM(K300:R300)</f>
        <v/>
      </c>
      <c r="T300" s="130">
        <f>I300-S300</f>
        <v/>
      </c>
      <c r="U300" s="105">
        <f>IFERROR(T300/I300,0)</f>
        <v/>
      </c>
    </row>
  </sheetData>
  <mergeCells count="2">
    <mergeCell ref="A2:H2"/>
    <mergeCell ref="A1:H1"/>
  </mergeCells>
  <conditionalFormatting sqref="T14:T300">
    <cfRule type="cellIs" rank="0" priority="2" equalAverage="0" operator="lessThan" aboveAverage="0" dxfId="4" text="" percent="0" bottom="0">
      <formula>0</formula>
    </cfRule>
  </conditionalFormatting>
  <conditionalFormatting sqref="U14:U300">
    <cfRule type="cellIs" rank="0" priority="3" equalAverage="0" operator="lessThan" aboveAverage="0" dxfId="4" text="" percent="0" bottom="0">
      <formula>0</formula>
    </cfRule>
  </conditionalFormatting>
  <dataValidations count="3">
    <dataValidation sqref="A14:A300" showDropDown="0" showInputMessage="0" showErrorMessage="0" allowBlank="1" errorTitle="Invalid date" error="Enter a valid date using dd/mm/yyyy." type="date" errorStyle="stop" operator="greaterThanOrEqual">
      <formula1>DATE(2020,1,1)</formula1>
      <formula2>0</formula2>
    </dataValidation>
    <dataValidation sqref="B14:B300" showDropDown="0" showInputMessage="0" showErrorMessage="0" allowBlank="1" errorTitle="Invalid selection" error="Select a value from the dropdown list." type="list" errorStyle="stop" operator="between">
      <formula1>DormList</formula1>
      <formula2>0</formula2>
    </dataValidation>
    <dataValidation sqref="K14:R300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U300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pane xSplit="0" ySplit="13" topLeftCell="A14" activePane="bottomLeft" state="frozen"/>
      <selection pane="topLeft" activeCell="H1" activeCellId="0" sqref="H1"/>
      <selection pane="bottomLeft" activeCell="S16" activeCellId="0" sqref="S16"/>
    </sheetView>
  </sheetViews>
  <sheetFormatPr baseColWidth="8" defaultColWidth="9.00390625" defaultRowHeight="14.25" customHeight="0" zeroHeight="0" outlineLevelRow="0"/>
  <cols>
    <col width="14" customWidth="1" style="82" min="1" max="2"/>
    <col width="15" customWidth="1" style="82" min="3" max="3"/>
    <col width="14" customWidth="1" style="82" min="4" max="5"/>
    <col width="16" customWidth="1" style="82" min="6" max="6"/>
    <col width="12" customWidth="1" style="82" min="7" max="7"/>
    <col width="18" customWidth="1" style="82" min="8" max="8"/>
    <col width="16" customWidth="1" style="82" min="9" max="11"/>
    <col width="20" customWidth="1" style="82" min="12" max="12"/>
    <col width="12" customWidth="1" style="82" min="13" max="13"/>
    <col width="14" customWidth="1" style="82" min="14" max="14"/>
    <col width="12" customWidth="1" style="82" min="15" max="17"/>
    <col width="14" customWidth="1" style="82" min="18" max="18"/>
    <col width="18" customWidth="1" style="82" min="19" max="19"/>
    <col width="14" customWidth="1" style="82" min="20" max="20"/>
    <col width="12" customWidth="1" style="82" min="21" max="21"/>
  </cols>
  <sheetData>
    <row r="1" ht="27.75" customHeight="1" s="83">
      <c r="A1" s="84" t="inlineStr">
        <is>
          <t>12-Month Financial Model &amp; Cash Flow</t>
        </is>
      </c>
      <c r="B1" s="85" t="n"/>
      <c r="C1" s="85" t="n"/>
      <c r="D1" s="85" t="n"/>
      <c r="E1" s="85" t="n"/>
      <c r="F1" s="85" t="n"/>
      <c r="G1" s="85" t="n"/>
      <c r="H1" s="85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</row>
    <row r="2" ht="14.25" customHeight="1" s="83">
      <c r="A2" s="86" t="inlineStr">
        <is>
          <t>Rolling forecast for revenue, operating expenses, rent, and profitability.</t>
        </is>
      </c>
      <c r="B2" s="85" t="n"/>
      <c r="C2" s="85" t="n"/>
      <c r="D2" s="85" t="n"/>
      <c r="E2" s="85" t="n"/>
      <c r="F2" s="85" t="n"/>
      <c r="G2" s="85" t="n"/>
      <c r="H2" s="85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</row>
    <row r="3" ht="14.25" customHeight="1" s="83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</row>
    <row r="4" ht="14.25" customHeight="1" s="83">
      <c r="A4" s="102" t="inlineStr">
        <is>
          <t>Start Date</t>
        </is>
      </c>
      <c r="B4" s="167" t="n">
        <v>46082</v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</row>
    <row r="5" ht="14.25" customHeight="1" s="83">
      <c r="A5" s="102" t="inlineStr">
        <is>
          <t>Bed Capacity</t>
        </is>
      </c>
      <c r="B5" s="95">
        <f>SUM(DormRegistry[Bed Capacity])</f>
        <v/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</row>
    <row r="6" ht="14.25" customHeight="1" s="83">
      <c r="A6" s="102" t="inlineStr">
        <is>
          <t>Rent Per Bed</t>
        </is>
      </c>
      <c r="B6" s="168">
        <f>DefaultRentPerBed</f>
        <v/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</row>
    <row r="7" ht="28.5" customHeight="1" s="83">
      <c r="A7" s="102" t="inlineStr">
        <is>
          <t>Target Occupancy %</t>
        </is>
      </c>
      <c r="B7" s="169">
        <f>TargetOccupancy</f>
        <v/>
      </c>
      <c r="C7" s="88" t="n"/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</row>
    <row r="8" ht="14.25" customHeight="1" s="83">
      <c r="A8" s="102" t="inlineStr">
        <is>
          <t>Inflation %</t>
        </is>
      </c>
      <c r="B8" s="169">
        <f>InflationRate</f>
        <v/>
      </c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</row>
    <row r="9" ht="28.5" customHeight="1" s="83">
      <c r="A9" s="102" t="inlineStr">
        <is>
          <t>Generator Rate per kWh</t>
        </is>
      </c>
      <c r="B9" s="168">
        <f>GeneratorRate</f>
        <v/>
      </c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</row>
    <row r="10" ht="28.5" customHeight="1" s="83">
      <c r="A10" s="102" t="inlineStr">
        <is>
          <t>Government Rate per kWh</t>
        </is>
      </c>
      <c r="B10" s="168">
        <f>GovernmentRate</f>
        <v/>
      </c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</row>
    <row r="11" ht="14.25" customHeight="1" s="83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</row>
    <row r="12" ht="14.25" customHeight="1" s="83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</row>
    <row r="13" ht="28.5" customHeight="1" s="83">
      <c r="A13" s="124" t="inlineStr">
        <is>
          <t>Month</t>
        </is>
      </c>
      <c r="B13" s="124" t="inlineStr">
        <is>
          <t>Dorm Name</t>
        </is>
      </c>
      <c r="C13" s="124" t="inlineStr">
        <is>
          <t>Ownership Type</t>
        </is>
      </c>
      <c r="D13" s="124" t="inlineStr">
        <is>
          <t>Bed Capacity</t>
        </is>
      </c>
      <c r="E13" s="124" t="inlineStr">
        <is>
          <t>Rent Per Bed</t>
        </is>
      </c>
      <c r="F13" s="124" t="inlineStr">
        <is>
          <t>Target Occupancy %</t>
        </is>
      </c>
      <c r="G13" s="124" t="inlineStr">
        <is>
          <t>Inflation %</t>
        </is>
      </c>
      <c r="H13" s="124" t="inlineStr">
        <is>
          <t>Maximum Gross Revenue</t>
        </is>
      </c>
      <c r="I13" s="124" t="inlineStr">
        <is>
          <t>Actual Revenue</t>
        </is>
      </c>
      <c r="J13" s="124" t="inlineStr">
        <is>
          <t>Target Revenue</t>
        </is>
      </c>
      <c r="K13" s="124" t="inlineStr">
        <is>
          <t>Municipality Fees</t>
        </is>
      </c>
      <c r="L13" s="124" t="inlineStr">
        <is>
          <t>Building Subscription Fees</t>
        </is>
      </c>
      <c r="M13" s="124" t="inlineStr">
        <is>
          <t>Cleaning</t>
        </is>
      </c>
      <c r="N13" s="124" t="inlineStr">
        <is>
          <t>Maintenance</t>
        </is>
      </c>
      <c r="O13" s="124" t="inlineStr">
        <is>
          <t>Internet</t>
        </is>
      </c>
      <c r="P13" s="124" t="inlineStr">
        <is>
          <t>Supplies</t>
        </is>
      </c>
      <c r="Q13" s="124" t="inlineStr">
        <is>
          <t>Marketing</t>
        </is>
      </c>
      <c r="R13" s="124" t="inlineStr">
        <is>
          <t>Building Rent</t>
        </is>
      </c>
      <c r="S13" s="124" t="inlineStr">
        <is>
          <t>Operating Expenses</t>
        </is>
      </c>
      <c r="T13" s="124" t="inlineStr">
        <is>
          <t>Net Profit</t>
        </is>
      </c>
      <c r="U13" s="124" t="inlineStr">
        <is>
          <t>Net Margin</t>
        </is>
      </c>
    </row>
    <row r="14" ht="14.25" customHeight="1" s="83">
      <c r="A14" s="125">
        <f>EDATE(StartDate,0)</f>
        <v/>
      </c>
      <c r="B14" s="103" t="inlineStr">
        <is>
          <t>Dorm 1</t>
        </is>
      </c>
      <c r="C14" s="170">
        <f>IFERROR(_xlfn.XLOOKUP(B14,DormRegistry[Dorm Name],DormRegistry[Ownership Type]),"")</f>
        <v/>
      </c>
      <c r="D14" s="170">
        <f>IFERROR(_xlfn.XLOOKUP(B14,DormRegistry[Dorm Name],DormRegistry[Bed Capacity]),0)</f>
        <v/>
      </c>
      <c r="E14" s="130">
        <f>$B$6*(1+$B$8)^(YEAR(A14)-YEAR(StartDate))</f>
        <v/>
      </c>
      <c r="F14" s="105">
        <f>$B$7</f>
        <v/>
      </c>
      <c r="G14" s="105">
        <f>$B$8</f>
        <v/>
      </c>
      <c r="H14" s="130">
        <f>D14*E14</f>
        <v/>
      </c>
      <c r="I14" s="130" t="n"/>
      <c r="J14" s="130">
        <f>D14*F14*E14</f>
        <v/>
      </c>
      <c r="K14" s="104" t="n">
        <v>75</v>
      </c>
      <c r="L14" s="104" t="n">
        <v>50</v>
      </c>
      <c r="M14" s="104" t="n">
        <v>150</v>
      </c>
      <c r="N14" s="104" t="n">
        <v>125</v>
      </c>
      <c r="O14" s="104" t="n">
        <v>60</v>
      </c>
      <c r="P14" s="104" t="n">
        <v>80</v>
      </c>
      <c r="Q14" s="104" t="n">
        <v>40</v>
      </c>
      <c r="R14" s="130">
        <f>IF(C14="Owned",0,2500)</f>
        <v/>
      </c>
      <c r="S14" s="130">
        <f>SUM(K14:R14)</f>
        <v/>
      </c>
      <c r="T14" s="130">
        <f>I14-S14</f>
        <v/>
      </c>
      <c r="U14" s="105">
        <f>IFERROR(T14/I14,0)</f>
        <v/>
      </c>
    </row>
    <row r="15" ht="14.25" customHeight="1" s="83">
      <c r="A15" s="125">
        <f>EDATE(StartDate,0)</f>
        <v/>
      </c>
      <c r="B15" s="103" t="inlineStr">
        <is>
          <t>Dorm 2</t>
        </is>
      </c>
      <c r="C15" s="170">
        <f>IFERROR(_xlfn.XLOOKUP(B15,DormRegistry[Dorm Name],DormRegistry[Ownership Type]),"")</f>
        <v/>
      </c>
      <c r="D15" s="170">
        <f>IFERROR(_xlfn.XLOOKUP(B15,DormRegistry[Dorm Name],DormRegistry[Bed Capacity]),0)</f>
        <v/>
      </c>
      <c r="E15" s="130">
        <f>$B$6*(1+$B$8)^(YEAR(A15)-YEAR(StartDate))</f>
        <v/>
      </c>
      <c r="F15" s="105">
        <f>$B$7</f>
        <v/>
      </c>
      <c r="G15" s="105">
        <f>$B$8</f>
        <v/>
      </c>
      <c r="H15" s="130">
        <f>D15*E15</f>
        <v/>
      </c>
      <c r="I15" s="130" t="n"/>
      <c r="J15" s="130">
        <f>D15*F15*E15</f>
        <v/>
      </c>
      <c r="K15" s="104" t="n">
        <v>75</v>
      </c>
      <c r="L15" s="104" t="n">
        <v>50</v>
      </c>
      <c r="M15" s="104" t="n">
        <v>150</v>
      </c>
      <c r="N15" s="104" t="n">
        <v>125</v>
      </c>
      <c r="O15" s="104" t="n">
        <v>60</v>
      </c>
      <c r="P15" s="104" t="n">
        <v>80</v>
      </c>
      <c r="Q15" s="104" t="n">
        <v>40</v>
      </c>
      <c r="R15" s="130">
        <f>IF(C15="Owned",0,2500)</f>
        <v/>
      </c>
      <c r="S15" s="130">
        <f>SUM(K15:R15)</f>
        <v/>
      </c>
      <c r="T15" s="130">
        <f>I15-S15</f>
        <v/>
      </c>
      <c r="U15" s="105">
        <f>IFERROR(T15/I15,0)</f>
        <v/>
      </c>
    </row>
    <row r="16" ht="14.25" customHeight="1" s="83">
      <c r="A16" s="125">
        <f>EDATE(StartDate,0)</f>
        <v/>
      </c>
      <c r="B16" s="103" t="inlineStr">
        <is>
          <t>Dorm 3</t>
        </is>
      </c>
      <c r="C16" s="170">
        <f>IFERROR(_xlfn.XLOOKUP(B16,DormRegistry[Dorm Name],DormRegistry[Ownership Type]),"")</f>
        <v/>
      </c>
      <c r="D16" s="170">
        <f>IFERROR(_xlfn.XLOOKUP(B16,DormRegistry[Dorm Name],DormRegistry[Bed Capacity]),0)</f>
        <v/>
      </c>
      <c r="E16" s="130">
        <f>$B$6*(1+$B$8)^(YEAR(A16)-YEAR(StartDate))</f>
        <v/>
      </c>
      <c r="F16" s="105">
        <f>$B$7</f>
        <v/>
      </c>
      <c r="G16" s="105">
        <f>$B$8</f>
        <v/>
      </c>
      <c r="H16" s="130">
        <f>D16*E16</f>
        <v/>
      </c>
      <c r="I16" s="130" t="n"/>
      <c r="J16" s="130">
        <f>D16*F16*E16</f>
        <v/>
      </c>
      <c r="K16" s="104" t="n">
        <v>75</v>
      </c>
      <c r="L16" s="104" t="n">
        <v>50</v>
      </c>
      <c r="M16" s="104" t="n">
        <v>150</v>
      </c>
      <c r="N16" s="104" t="n">
        <v>125</v>
      </c>
      <c r="O16" s="104" t="n">
        <v>60</v>
      </c>
      <c r="P16" s="104" t="n">
        <v>80</v>
      </c>
      <c r="Q16" s="104" t="n">
        <v>40</v>
      </c>
      <c r="R16" s="130">
        <f>IF(C16="Owned",0,2500)</f>
        <v/>
      </c>
      <c r="S16" s="130">
        <f>SUM(K16:R16)</f>
        <v/>
      </c>
      <c r="T16" s="130">
        <f>I16-S16</f>
        <v/>
      </c>
      <c r="U16" s="105">
        <f>IFERROR(T16/I16,0)</f>
        <v/>
      </c>
    </row>
    <row r="17" ht="14.25" customHeight="1" s="83">
      <c r="A17" s="125">
        <f>EDATE(StartDate,1)</f>
        <v/>
      </c>
      <c r="B17" s="103" t="inlineStr">
        <is>
          <t>Dorm 1</t>
        </is>
      </c>
      <c r="C17" s="170">
        <f>IFERROR(_xlfn.XLOOKUP(B17,DormRegistry[Dorm Name],DormRegistry[Ownership Type]),"")</f>
        <v/>
      </c>
      <c r="D17" s="170">
        <f>IFERROR(_xlfn.XLOOKUP(B17,DormRegistry[Dorm Name],DormRegistry[Bed Capacity]),0)</f>
        <v/>
      </c>
      <c r="E17" s="130">
        <f>$B$6*(1+$B$8)^(YEAR(A17)-YEAR(StartDate))</f>
        <v/>
      </c>
      <c r="F17" s="105">
        <f>$B$7</f>
        <v/>
      </c>
      <c r="G17" s="105">
        <f>$B$8</f>
        <v/>
      </c>
      <c r="H17" s="130">
        <f>D17*E17</f>
        <v/>
      </c>
      <c r="I17" s="130" t="n"/>
      <c r="J17" s="130">
        <f>D17*F17*E17</f>
        <v/>
      </c>
      <c r="K17" s="104" t="n">
        <v>75</v>
      </c>
      <c r="L17" s="104" t="n">
        <v>50</v>
      </c>
      <c r="M17" s="104" t="n">
        <v>150</v>
      </c>
      <c r="N17" s="104" t="n">
        <v>125</v>
      </c>
      <c r="O17" s="104" t="n">
        <v>60</v>
      </c>
      <c r="P17" s="104" t="n">
        <v>80</v>
      </c>
      <c r="Q17" s="104" t="n">
        <v>40</v>
      </c>
      <c r="R17" s="130">
        <f>IF(C17="Owned",0,2500)</f>
        <v/>
      </c>
      <c r="S17" s="130">
        <f>SUM(K17:R17)</f>
        <v/>
      </c>
      <c r="T17" s="130">
        <f>I17-S17</f>
        <v/>
      </c>
      <c r="U17" s="105">
        <f>IFERROR(T17/I17,0)</f>
        <v/>
      </c>
    </row>
    <row r="18" ht="14.25" customHeight="1" s="83">
      <c r="A18" s="125">
        <f>EDATE(StartDate,1)</f>
        <v/>
      </c>
      <c r="B18" s="103" t="inlineStr">
        <is>
          <t>Dorm 2</t>
        </is>
      </c>
      <c r="C18" s="170">
        <f>IFERROR(_xlfn.XLOOKUP(B18,DormRegistry[Dorm Name],DormRegistry[Ownership Type]),"")</f>
        <v/>
      </c>
      <c r="D18" s="170">
        <f>IFERROR(_xlfn.XLOOKUP(B18,DormRegistry[Dorm Name],DormRegistry[Bed Capacity]),0)</f>
        <v/>
      </c>
      <c r="E18" s="130">
        <f>$B$6*(1+$B$8)^(YEAR(A18)-YEAR(StartDate))</f>
        <v/>
      </c>
      <c r="F18" s="105">
        <f>$B$7</f>
        <v/>
      </c>
      <c r="G18" s="105">
        <f>$B$8</f>
        <v/>
      </c>
      <c r="H18" s="130">
        <f>D18*E18</f>
        <v/>
      </c>
      <c r="I18" s="130" t="n"/>
      <c r="J18" s="130">
        <f>D18*F18*E18</f>
        <v/>
      </c>
      <c r="K18" s="104" t="n">
        <v>75</v>
      </c>
      <c r="L18" s="104" t="n">
        <v>50</v>
      </c>
      <c r="M18" s="104" t="n">
        <v>150</v>
      </c>
      <c r="N18" s="104" t="n">
        <v>125</v>
      </c>
      <c r="O18" s="104" t="n">
        <v>60</v>
      </c>
      <c r="P18" s="104" t="n">
        <v>80</v>
      </c>
      <c r="Q18" s="104" t="n">
        <v>40</v>
      </c>
      <c r="R18" s="130">
        <f>IF(C18="Owned",0,2500)</f>
        <v/>
      </c>
      <c r="S18" s="130">
        <f>SUM(K18:R18)</f>
        <v/>
      </c>
      <c r="T18" s="130">
        <f>I18-S18</f>
        <v/>
      </c>
      <c r="U18" s="105">
        <f>IFERROR(T18/I18,0)</f>
        <v/>
      </c>
    </row>
    <row r="19" ht="14.25" customHeight="1" s="83">
      <c r="A19" s="125">
        <f>EDATE(StartDate,1)</f>
        <v/>
      </c>
      <c r="B19" s="103" t="inlineStr">
        <is>
          <t>Dorm 3</t>
        </is>
      </c>
      <c r="C19" s="170">
        <f>IFERROR(_xlfn.XLOOKUP(B19,DormRegistry[Dorm Name],DormRegistry[Ownership Type]),"")</f>
        <v/>
      </c>
      <c r="D19" s="170">
        <f>IFERROR(_xlfn.XLOOKUP(B19,DormRegistry[Dorm Name],DormRegistry[Bed Capacity]),0)</f>
        <v/>
      </c>
      <c r="E19" s="130">
        <f>$B$6*(1+$B$8)^(YEAR(A19)-YEAR(StartDate))</f>
        <v/>
      </c>
      <c r="F19" s="105">
        <f>$B$7</f>
        <v/>
      </c>
      <c r="G19" s="105">
        <f>$B$8</f>
        <v/>
      </c>
      <c r="H19" s="130">
        <f>D19*E19</f>
        <v/>
      </c>
      <c r="I19" s="130" t="n"/>
      <c r="J19" s="130">
        <f>D19*F19*E19</f>
        <v/>
      </c>
      <c r="K19" s="104" t="n">
        <v>75</v>
      </c>
      <c r="L19" s="104" t="n">
        <v>50</v>
      </c>
      <c r="M19" s="104" t="n">
        <v>150</v>
      </c>
      <c r="N19" s="104" t="n">
        <v>125</v>
      </c>
      <c r="O19" s="104" t="n">
        <v>60</v>
      </c>
      <c r="P19" s="104" t="n">
        <v>80</v>
      </c>
      <c r="Q19" s="104" t="n">
        <v>40</v>
      </c>
      <c r="R19" s="130">
        <f>IF(C19="Owned",0,2500)</f>
        <v/>
      </c>
      <c r="S19" s="130">
        <f>SUM(K19:R19)</f>
        <v/>
      </c>
      <c r="T19" s="130">
        <f>I19-S19</f>
        <v/>
      </c>
      <c r="U19" s="105">
        <f>IFERROR(T19/I19,0)</f>
        <v/>
      </c>
    </row>
    <row r="20" ht="14.25" customHeight="1" s="83">
      <c r="A20" s="125">
        <f>EDATE(StartDate,2)</f>
        <v/>
      </c>
      <c r="B20" s="103" t="inlineStr">
        <is>
          <t>Dorm 1</t>
        </is>
      </c>
      <c r="C20" s="170">
        <f>IFERROR(_xlfn.XLOOKUP(B20,DormRegistry[Dorm Name],DormRegistry[Ownership Type]),"")</f>
        <v/>
      </c>
      <c r="D20" s="170">
        <f>IFERROR(_xlfn.XLOOKUP(B20,DormRegistry[Dorm Name],DormRegistry[Bed Capacity]),0)</f>
        <v/>
      </c>
      <c r="E20" s="130">
        <f>$B$6*(1+$B$8)^(YEAR(A20)-YEAR(StartDate))</f>
        <v/>
      </c>
      <c r="F20" s="105">
        <f>$B$7</f>
        <v/>
      </c>
      <c r="G20" s="105">
        <f>$B$8</f>
        <v/>
      </c>
      <c r="H20" s="130">
        <f>D20*E20</f>
        <v/>
      </c>
      <c r="I20" s="130" t="n"/>
      <c r="J20" s="130">
        <f>D20*F20*E20</f>
        <v/>
      </c>
      <c r="K20" s="104" t="n">
        <v>75</v>
      </c>
      <c r="L20" s="104" t="n">
        <v>50</v>
      </c>
      <c r="M20" s="104" t="n">
        <v>150</v>
      </c>
      <c r="N20" s="104" t="n">
        <v>125</v>
      </c>
      <c r="O20" s="104" t="n">
        <v>60</v>
      </c>
      <c r="P20" s="104" t="n">
        <v>80</v>
      </c>
      <c r="Q20" s="104" t="n">
        <v>40</v>
      </c>
      <c r="R20" s="130">
        <f>IF(C20="Owned",0,2500)</f>
        <v/>
      </c>
      <c r="S20" s="130">
        <f>SUM(K20:R20)</f>
        <v/>
      </c>
      <c r="T20" s="130">
        <f>I20-S20</f>
        <v/>
      </c>
      <c r="U20" s="105">
        <f>IFERROR(T20/I20,0)</f>
        <v/>
      </c>
    </row>
    <row r="21" ht="14.25" customHeight="1" s="83">
      <c r="A21" s="125">
        <f>EDATE(StartDate,2)</f>
        <v/>
      </c>
      <c r="B21" s="103" t="inlineStr">
        <is>
          <t>Dorm 2</t>
        </is>
      </c>
      <c r="C21" s="170">
        <f>IFERROR(_xlfn.XLOOKUP(B21,DormRegistry[Dorm Name],DormRegistry[Ownership Type]),"")</f>
        <v/>
      </c>
      <c r="D21" s="170">
        <f>IFERROR(_xlfn.XLOOKUP(B21,DormRegistry[Dorm Name],DormRegistry[Bed Capacity]),0)</f>
        <v/>
      </c>
      <c r="E21" s="130">
        <f>$B$6*(1+$B$8)^(YEAR(A21)-YEAR(StartDate))</f>
        <v/>
      </c>
      <c r="F21" s="105">
        <f>$B$7</f>
        <v/>
      </c>
      <c r="G21" s="105">
        <f>$B$8</f>
        <v/>
      </c>
      <c r="H21" s="130">
        <f>D21*E21</f>
        <v/>
      </c>
      <c r="I21" s="130" t="n"/>
      <c r="J21" s="130">
        <f>D21*F21*E21</f>
        <v/>
      </c>
      <c r="K21" s="104" t="n">
        <v>75</v>
      </c>
      <c r="L21" s="104" t="n">
        <v>50</v>
      </c>
      <c r="M21" s="104" t="n">
        <v>150</v>
      </c>
      <c r="N21" s="104" t="n">
        <v>125</v>
      </c>
      <c r="O21" s="104" t="n">
        <v>60</v>
      </c>
      <c r="P21" s="104" t="n">
        <v>80</v>
      </c>
      <c r="Q21" s="104" t="n">
        <v>40</v>
      </c>
      <c r="R21" s="130">
        <f>IF(C21="Owned",0,2500)</f>
        <v/>
      </c>
      <c r="S21" s="130">
        <f>SUM(K21:R21)</f>
        <v/>
      </c>
      <c r="T21" s="130">
        <f>I21-S21</f>
        <v/>
      </c>
      <c r="U21" s="105">
        <f>IFERROR(T21/I21,0)</f>
        <v/>
      </c>
    </row>
    <row r="22" ht="14.25" customHeight="1" s="83">
      <c r="A22" s="125">
        <f>EDATE(StartDate,2)</f>
        <v/>
      </c>
      <c r="B22" s="103" t="inlineStr">
        <is>
          <t>Dorm 3</t>
        </is>
      </c>
      <c r="C22" s="170">
        <f>IFERROR(_xlfn.XLOOKUP(B22,DormRegistry[Dorm Name],DormRegistry[Ownership Type]),"")</f>
        <v/>
      </c>
      <c r="D22" s="170">
        <f>IFERROR(_xlfn.XLOOKUP(B22,DormRegistry[Dorm Name],DormRegistry[Bed Capacity]),0)</f>
        <v/>
      </c>
      <c r="E22" s="130">
        <f>$B$6*(1+$B$8)^(YEAR(A22)-YEAR(StartDate))</f>
        <v/>
      </c>
      <c r="F22" s="105">
        <f>$B$7</f>
        <v/>
      </c>
      <c r="G22" s="105">
        <f>$B$8</f>
        <v/>
      </c>
      <c r="H22" s="130">
        <f>D22*E22</f>
        <v/>
      </c>
      <c r="I22" s="130" t="n"/>
      <c r="J22" s="130">
        <f>D22*F22*E22</f>
        <v/>
      </c>
      <c r="K22" s="104" t="n">
        <v>75</v>
      </c>
      <c r="L22" s="104" t="n">
        <v>50</v>
      </c>
      <c r="M22" s="104" t="n">
        <v>150</v>
      </c>
      <c r="N22" s="104" t="n">
        <v>125</v>
      </c>
      <c r="O22" s="104" t="n">
        <v>60</v>
      </c>
      <c r="P22" s="104" t="n">
        <v>80</v>
      </c>
      <c r="Q22" s="104" t="n">
        <v>40</v>
      </c>
      <c r="R22" s="130">
        <f>IF(C22="Owned",0,2500)</f>
        <v/>
      </c>
      <c r="S22" s="130">
        <f>SUM(K22:R22)</f>
        <v/>
      </c>
      <c r="T22" s="130">
        <f>I22-S22</f>
        <v/>
      </c>
      <c r="U22" s="105">
        <f>IFERROR(T22/I22,0)</f>
        <v/>
      </c>
    </row>
    <row r="23" ht="14.25" customHeight="1" s="83">
      <c r="A23" s="125">
        <f>EDATE(StartDate,3)</f>
        <v/>
      </c>
      <c r="B23" s="103" t="inlineStr">
        <is>
          <t>Dorm 1</t>
        </is>
      </c>
      <c r="C23" s="170">
        <f>IFERROR(_xlfn.XLOOKUP(B23,DormRegistry[Dorm Name],DormRegistry[Ownership Type]),"")</f>
        <v/>
      </c>
      <c r="D23" s="170">
        <f>IFERROR(_xlfn.XLOOKUP(B23,DormRegistry[Dorm Name],DormRegistry[Bed Capacity]),0)</f>
        <v/>
      </c>
      <c r="E23" s="130">
        <f>$B$6*(1+$B$8)^(YEAR(A23)-YEAR(StartDate))</f>
        <v/>
      </c>
      <c r="F23" s="105">
        <f>$B$7</f>
        <v/>
      </c>
      <c r="G23" s="105">
        <f>$B$8</f>
        <v/>
      </c>
      <c r="H23" s="130">
        <f>D23*E23</f>
        <v/>
      </c>
      <c r="I23" s="130" t="n"/>
      <c r="J23" s="130">
        <f>D23*F23*E23</f>
        <v/>
      </c>
      <c r="K23" s="104" t="n">
        <v>75</v>
      </c>
      <c r="L23" s="104" t="n">
        <v>50</v>
      </c>
      <c r="M23" s="104" t="n">
        <v>150</v>
      </c>
      <c r="N23" s="104" t="n">
        <v>125</v>
      </c>
      <c r="O23" s="104" t="n">
        <v>60</v>
      </c>
      <c r="P23" s="104" t="n">
        <v>80</v>
      </c>
      <c r="Q23" s="104" t="n">
        <v>40</v>
      </c>
      <c r="R23" s="130">
        <f>IF(C23="Owned",0,2500)</f>
        <v/>
      </c>
      <c r="S23" s="130">
        <f>SUM(K23:R23)</f>
        <v/>
      </c>
      <c r="T23" s="130">
        <f>I23-S23</f>
        <v/>
      </c>
      <c r="U23" s="105">
        <f>IFERROR(T23/I23,0)</f>
        <v/>
      </c>
    </row>
    <row r="24" ht="14.25" customHeight="1" s="83">
      <c r="A24" s="125">
        <f>EDATE(StartDate,3)</f>
        <v/>
      </c>
      <c r="B24" s="103" t="inlineStr">
        <is>
          <t>Dorm 2</t>
        </is>
      </c>
      <c r="C24" s="170">
        <f>IFERROR(_xlfn.XLOOKUP(B24,DormRegistry[Dorm Name],DormRegistry[Ownership Type]),"")</f>
        <v/>
      </c>
      <c r="D24" s="170">
        <f>IFERROR(_xlfn.XLOOKUP(B24,DormRegistry[Dorm Name],DormRegistry[Bed Capacity]),0)</f>
        <v/>
      </c>
      <c r="E24" s="130">
        <f>$B$6*(1+$B$8)^(YEAR(A24)-YEAR(StartDate))</f>
        <v/>
      </c>
      <c r="F24" s="105">
        <f>$B$7</f>
        <v/>
      </c>
      <c r="G24" s="105">
        <f>$B$8</f>
        <v/>
      </c>
      <c r="H24" s="130">
        <f>D24*E24</f>
        <v/>
      </c>
      <c r="I24" s="130" t="n"/>
      <c r="J24" s="130">
        <f>D24*F24*E24</f>
        <v/>
      </c>
      <c r="K24" s="104" t="n">
        <v>75</v>
      </c>
      <c r="L24" s="104" t="n">
        <v>50</v>
      </c>
      <c r="M24" s="104" t="n">
        <v>150</v>
      </c>
      <c r="N24" s="104" t="n">
        <v>125</v>
      </c>
      <c r="O24" s="104" t="n">
        <v>60</v>
      </c>
      <c r="P24" s="104" t="n">
        <v>80</v>
      </c>
      <c r="Q24" s="104" t="n">
        <v>40</v>
      </c>
      <c r="R24" s="130">
        <f>IF(C24="Owned",0,2500)</f>
        <v/>
      </c>
      <c r="S24" s="130">
        <f>SUM(K24:R24)</f>
        <v/>
      </c>
      <c r="T24" s="130">
        <f>I24-S24</f>
        <v/>
      </c>
      <c r="U24" s="105">
        <f>IFERROR(T24/I24,0)</f>
        <v/>
      </c>
    </row>
    <row r="25" ht="14.25" customHeight="1" s="83">
      <c r="A25" s="125">
        <f>EDATE(StartDate,3)</f>
        <v/>
      </c>
      <c r="B25" s="103" t="inlineStr">
        <is>
          <t>Dorm 3</t>
        </is>
      </c>
      <c r="C25" s="170">
        <f>IFERROR(_xlfn.XLOOKUP(B25,DormRegistry[Dorm Name],DormRegistry[Ownership Type]),"")</f>
        <v/>
      </c>
      <c r="D25" s="170">
        <f>IFERROR(_xlfn.XLOOKUP(B25,DormRegistry[Dorm Name],DormRegistry[Bed Capacity]),0)</f>
        <v/>
      </c>
      <c r="E25" s="130">
        <f>$B$6*(1+$B$8)^(YEAR(A25)-YEAR(StartDate))</f>
        <v/>
      </c>
      <c r="F25" s="105">
        <f>$B$7</f>
        <v/>
      </c>
      <c r="G25" s="105">
        <f>$B$8</f>
        <v/>
      </c>
      <c r="H25" s="130">
        <f>D25*E25</f>
        <v/>
      </c>
      <c r="I25" s="130" t="n"/>
      <c r="J25" s="130">
        <f>D25*F25*E25</f>
        <v/>
      </c>
      <c r="K25" s="104" t="n">
        <v>75</v>
      </c>
      <c r="L25" s="104" t="n">
        <v>50</v>
      </c>
      <c r="M25" s="104" t="n">
        <v>150</v>
      </c>
      <c r="N25" s="104" t="n">
        <v>125</v>
      </c>
      <c r="O25" s="104" t="n">
        <v>60</v>
      </c>
      <c r="P25" s="104" t="n">
        <v>80</v>
      </c>
      <c r="Q25" s="104" t="n">
        <v>40</v>
      </c>
      <c r="R25" s="130">
        <f>IF(C25="Owned",0,2500)</f>
        <v/>
      </c>
      <c r="S25" s="130">
        <f>SUM(K25:R25)</f>
        <v/>
      </c>
      <c r="T25" s="130">
        <f>I25-S25</f>
        <v/>
      </c>
      <c r="U25" s="105">
        <f>IFERROR(T25/I25,0)</f>
        <v/>
      </c>
    </row>
    <row r="26" ht="14.25" customHeight="1" s="83">
      <c r="A26" s="125">
        <f>EDATE(StartDate,4)</f>
        <v/>
      </c>
      <c r="B26" s="103" t="inlineStr">
        <is>
          <t>Dorm 1</t>
        </is>
      </c>
      <c r="C26" s="170">
        <f>IFERROR(_xlfn.XLOOKUP(B26,DormRegistry[Dorm Name],DormRegistry[Ownership Type]),"")</f>
        <v/>
      </c>
      <c r="D26" s="170">
        <f>IFERROR(_xlfn.XLOOKUP(B26,DormRegistry[Dorm Name],DormRegistry[Bed Capacity]),0)</f>
        <v/>
      </c>
      <c r="E26" s="130">
        <f>$B$6*(1+$B$8)^(YEAR(A26)-YEAR(StartDate))</f>
        <v/>
      </c>
      <c r="F26" s="105">
        <f>$B$7</f>
        <v/>
      </c>
      <c r="G26" s="105">
        <f>$B$8</f>
        <v/>
      </c>
      <c r="H26" s="130">
        <f>D26*E26</f>
        <v/>
      </c>
      <c r="I26" s="130" t="n"/>
      <c r="J26" s="130">
        <f>D26*F26*E26</f>
        <v/>
      </c>
      <c r="K26" s="104" t="n">
        <v>75</v>
      </c>
      <c r="L26" s="104" t="n">
        <v>50</v>
      </c>
      <c r="M26" s="104" t="n">
        <v>150</v>
      </c>
      <c r="N26" s="104" t="n">
        <v>125</v>
      </c>
      <c r="O26" s="104" t="n">
        <v>60</v>
      </c>
      <c r="P26" s="104" t="n">
        <v>80</v>
      </c>
      <c r="Q26" s="104" t="n">
        <v>40</v>
      </c>
      <c r="R26" s="130">
        <f>IF(C26="Owned",0,2500)</f>
        <v/>
      </c>
      <c r="S26" s="130">
        <f>SUM(K26:R26)</f>
        <v/>
      </c>
      <c r="T26" s="130">
        <f>I26-S26</f>
        <v/>
      </c>
      <c r="U26" s="105">
        <f>IFERROR(T26/I26,0)</f>
        <v/>
      </c>
    </row>
    <row r="27" ht="14.25" customHeight="1" s="83">
      <c r="A27" s="125">
        <f>EDATE(StartDate,4)</f>
        <v/>
      </c>
      <c r="B27" s="103" t="inlineStr">
        <is>
          <t>Dorm 2</t>
        </is>
      </c>
      <c r="C27" s="170">
        <f>IFERROR(_xlfn.XLOOKUP(B27,DormRegistry[Dorm Name],DormRegistry[Ownership Type]),"")</f>
        <v/>
      </c>
      <c r="D27" s="170">
        <f>IFERROR(_xlfn.XLOOKUP(B27,DormRegistry[Dorm Name],DormRegistry[Bed Capacity]),0)</f>
        <v/>
      </c>
      <c r="E27" s="130">
        <f>$B$6*(1+$B$8)^(YEAR(A27)-YEAR(StartDate))</f>
        <v/>
      </c>
      <c r="F27" s="105">
        <f>$B$7</f>
        <v/>
      </c>
      <c r="G27" s="105">
        <f>$B$8</f>
        <v/>
      </c>
      <c r="H27" s="130">
        <f>D27*E27</f>
        <v/>
      </c>
      <c r="I27" s="130" t="n"/>
      <c r="J27" s="130">
        <f>D27*F27*E27</f>
        <v/>
      </c>
      <c r="K27" s="104" t="n">
        <v>75</v>
      </c>
      <c r="L27" s="104" t="n">
        <v>50</v>
      </c>
      <c r="M27" s="104" t="n">
        <v>150</v>
      </c>
      <c r="N27" s="104" t="n">
        <v>125</v>
      </c>
      <c r="O27" s="104" t="n">
        <v>60</v>
      </c>
      <c r="P27" s="104" t="n">
        <v>80</v>
      </c>
      <c r="Q27" s="104" t="n">
        <v>40</v>
      </c>
      <c r="R27" s="130">
        <f>IF(C27="Owned",0,2500)</f>
        <v/>
      </c>
      <c r="S27" s="130">
        <f>SUM(K27:R27)</f>
        <v/>
      </c>
      <c r="T27" s="130">
        <f>I27-S27</f>
        <v/>
      </c>
      <c r="U27" s="105">
        <f>IFERROR(T27/I27,0)</f>
        <v/>
      </c>
    </row>
    <row r="28" ht="14.25" customHeight="1" s="83">
      <c r="A28" s="125">
        <f>EDATE(StartDate,4)</f>
        <v/>
      </c>
      <c r="B28" s="103" t="inlineStr">
        <is>
          <t>Dorm 3</t>
        </is>
      </c>
      <c r="C28" s="170">
        <f>IFERROR(_xlfn.XLOOKUP(B28,DormRegistry[Dorm Name],DormRegistry[Ownership Type]),"")</f>
        <v/>
      </c>
      <c r="D28" s="170">
        <f>IFERROR(_xlfn.XLOOKUP(B28,DormRegistry[Dorm Name],DormRegistry[Bed Capacity]),0)</f>
        <v/>
      </c>
      <c r="E28" s="130">
        <f>$B$6*(1+$B$8)^(YEAR(A28)-YEAR(StartDate))</f>
        <v/>
      </c>
      <c r="F28" s="105">
        <f>$B$7</f>
        <v/>
      </c>
      <c r="G28" s="105">
        <f>$B$8</f>
        <v/>
      </c>
      <c r="H28" s="130">
        <f>D28*E28</f>
        <v/>
      </c>
      <c r="I28" s="130" t="n"/>
      <c r="J28" s="130">
        <f>D28*F28*E28</f>
        <v/>
      </c>
      <c r="K28" s="104" t="n">
        <v>75</v>
      </c>
      <c r="L28" s="104" t="n">
        <v>50</v>
      </c>
      <c r="M28" s="104" t="n">
        <v>150</v>
      </c>
      <c r="N28" s="104" t="n">
        <v>125</v>
      </c>
      <c r="O28" s="104" t="n">
        <v>60</v>
      </c>
      <c r="P28" s="104" t="n">
        <v>80</v>
      </c>
      <c r="Q28" s="104" t="n">
        <v>40</v>
      </c>
      <c r="R28" s="130">
        <f>IF(C28="Owned",0,2500)</f>
        <v/>
      </c>
      <c r="S28" s="130">
        <f>SUM(K28:R28)</f>
        <v/>
      </c>
      <c r="T28" s="130">
        <f>I28-S28</f>
        <v/>
      </c>
      <c r="U28" s="105">
        <f>IFERROR(T28/I28,0)</f>
        <v/>
      </c>
    </row>
    <row r="29" ht="14.25" customHeight="1" s="83">
      <c r="A29" s="125">
        <f>EDATE(StartDate,5)</f>
        <v/>
      </c>
      <c r="B29" s="103" t="inlineStr">
        <is>
          <t>Dorm 1</t>
        </is>
      </c>
      <c r="C29" s="170">
        <f>IFERROR(_xlfn.XLOOKUP(B29,DormRegistry[Dorm Name],DormRegistry[Ownership Type]),"")</f>
        <v/>
      </c>
      <c r="D29" s="170">
        <f>IFERROR(_xlfn.XLOOKUP(B29,DormRegistry[Dorm Name],DormRegistry[Bed Capacity]),0)</f>
        <v/>
      </c>
      <c r="E29" s="130">
        <f>$B$6*(1+$B$8)^(YEAR(A29)-YEAR(StartDate))</f>
        <v/>
      </c>
      <c r="F29" s="105">
        <f>$B$7</f>
        <v/>
      </c>
      <c r="G29" s="105">
        <f>$B$8</f>
        <v/>
      </c>
      <c r="H29" s="130">
        <f>D29*E29</f>
        <v/>
      </c>
      <c r="I29" s="130" t="n"/>
      <c r="J29" s="130">
        <f>D29*F29*E29</f>
        <v/>
      </c>
      <c r="K29" s="104" t="n">
        <v>75</v>
      </c>
      <c r="L29" s="104" t="n">
        <v>50</v>
      </c>
      <c r="M29" s="104" t="n">
        <v>150</v>
      </c>
      <c r="N29" s="104" t="n">
        <v>125</v>
      </c>
      <c r="O29" s="104" t="n">
        <v>60</v>
      </c>
      <c r="P29" s="104" t="n">
        <v>80</v>
      </c>
      <c r="Q29" s="104" t="n">
        <v>40</v>
      </c>
      <c r="R29" s="130">
        <f>IF(C29="Owned",0,2500)</f>
        <v/>
      </c>
      <c r="S29" s="130">
        <f>SUM(K29:R29)</f>
        <v/>
      </c>
      <c r="T29" s="130">
        <f>I29-S29</f>
        <v/>
      </c>
      <c r="U29" s="105">
        <f>IFERROR(T29/I29,0)</f>
        <v/>
      </c>
    </row>
    <row r="30" ht="14.25" customHeight="1" s="83">
      <c r="A30" s="125">
        <f>EDATE(StartDate,5)</f>
        <v/>
      </c>
      <c r="B30" s="103" t="inlineStr">
        <is>
          <t>Dorm 2</t>
        </is>
      </c>
      <c r="C30" s="170">
        <f>IFERROR(_xlfn.XLOOKUP(B30,DormRegistry[Dorm Name],DormRegistry[Ownership Type]),"")</f>
        <v/>
      </c>
      <c r="D30" s="170">
        <f>IFERROR(_xlfn.XLOOKUP(B30,DormRegistry[Dorm Name],DormRegistry[Bed Capacity]),0)</f>
        <v/>
      </c>
      <c r="E30" s="130">
        <f>$B$6*(1+$B$8)^(YEAR(A30)-YEAR(StartDate))</f>
        <v/>
      </c>
      <c r="F30" s="105">
        <f>$B$7</f>
        <v/>
      </c>
      <c r="G30" s="105">
        <f>$B$8</f>
        <v/>
      </c>
      <c r="H30" s="130">
        <f>D30*E30</f>
        <v/>
      </c>
      <c r="I30" s="130" t="n"/>
      <c r="J30" s="130">
        <f>D30*F30*E30</f>
        <v/>
      </c>
      <c r="K30" s="104" t="n">
        <v>75</v>
      </c>
      <c r="L30" s="104" t="n">
        <v>50</v>
      </c>
      <c r="M30" s="104" t="n">
        <v>150</v>
      </c>
      <c r="N30" s="104" t="n">
        <v>125</v>
      </c>
      <c r="O30" s="104" t="n">
        <v>60</v>
      </c>
      <c r="P30" s="104" t="n">
        <v>80</v>
      </c>
      <c r="Q30" s="104" t="n">
        <v>40</v>
      </c>
      <c r="R30" s="130">
        <f>IF(C30="Owned",0,2500)</f>
        <v/>
      </c>
      <c r="S30" s="130">
        <f>SUM(K30:R30)</f>
        <v/>
      </c>
      <c r="T30" s="130">
        <f>I30-S30</f>
        <v/>
      </c>
      <c r="U30" s="105">
        <f>IFERROR(T30/I30,0)</f>
        <v/>
      </c>
    </row>
    <row r="31" ht="14.25" customHeight="1" s="83">
      <c r="A31" s="125">
        <f>EDATE(StartDate,5)</f>
        <v/>
      </c>
      <c r="B31" s="103" t="inlineStr">
        <is>
          <t>Dorm 3</t>
        </is>
      </c>
      <c r="C31" s="170">
        <f>IFERROR(_xlfn.XLOOKUP(B31,DormRegistry[Dorm Name],DormRegistry[Ownership Type]),"")</f>
        <v/>
      </c>
      <c r="D31" s="170">
        <f>IFERROR(_xlfn.XLOOKUP(B31,DormRegistry[Dorm Name],DormRegistry[Bed Capacity]),0)</f>
        <v/>
      </c>
      <c r="E31" s="130">
        <f>$B$6*(1+$B$8)^(YEAR(A31)-YEAR(StartDate))</f>
        <v/>
      </c>
      <c r="F31" s="105">
        <f>$B$7</f>
        <v/>
      </c>
      <c r="G31" s="105">
        <f>$B$8</f>
        <v/>
      </c>
      <c r="H31" s="130">
        <f>D31*E31</f>
        <v/>
      </c>
      <c r="I31" s="130" t="n"/>
      <c r="J31" s="130">
        <f>D31*F31*E31</f>
        <v/>
      </c>
      <c r="K31" s="104" t="n">
        <v>75</v>
      </c>
      <c r="L31" s="104" t="n">
        <v>50</v>
      </c>
      <c r="M31" s="104" t="n">
        <v>150</v>
      </c>
      <c r="N31" s="104" t="n">
        <v>125</v>
      </c>
      <c r="O31" s="104" t="n">
        <v>60</v>
      </c>
      <c r="P31" s="104" t="n">
        <v>80</v>
      </c>
      <c r="Q31" s="104" t="n">
        <v>40</v>
      </c>
      <c r="R31" s="130">
        <f>IF(C31="Owned",0,2500)</f>
        <v/>
      </c>
      <c r="S31" s="130">
        <f>SUM(K31:R31)</f>
        <v/>
      </c>
      <c r="T31" s="130">
        <f>I31-S31</f>
        <v/>
      </c>
      <c r="U31" s="105">
        <f>IFERROR(T31/I31,0)</f>
        <v/>
      </c>
    </row>
    <row r="32" ht="14.25" customHeight="1" s="83">
      <c r="A32" s="125">
        <f>EDATE(StartDate,6)</f>
        <v/>
      </c>
      <c r="B32" s="103" t="inlineStr">
        <is>
          <t>Dorm 1</t>
        </is>
      </c>
      <c r="C32" s="170">
        <f>IFERROR(_xlfn.XLOOKUP(B32,DormRegistry[Dorm Name],DormRegistry[Ownership Type]),"")</f>
        <v/>
      </c>
      <c r="D32" s="170">
        <f>IFERROR(_xlfn.XLOOKUP(B32,DormRegistry[Dorm Name],DormRegistry[Bed Capacity]),0)</f>
        <v/>
      </c>
      <c r="E32" s="130">
        <f>$B$6*(1+$B$8)^(YEAR(A32)-YEAR(StartDate))</f>
        <v/>
      </c>
      <c r="F32" s="105">
        <f>$B$7</f>
        <v/>
      </c>
      <c r="G32" s="105">
        <f>$B$8</f>
        <v/>
      </c>
      <c r="H32" s="130">
        <f>D32*E32</f>
        <v/>
      </c>
      <c r="I32" s="130" t="n"/>
      <c r="J32" s="130">
        <f>D32*F32*E32</f>
        <v/>
      </c>
      <c r="K32" s="104" t="n">
        <v>75</v>
      </c>
      <c r="L32" s="104" t="n">
        <v>50</v>
      </c>
      <c r="M32" s="104" t="n">
        <v>150</v>
      </c>
      <c r="N32" s="104" t="n">
        <v>125</v>
      </c>
      <c r="O32" s="104" t="n">
        <v>60</v>
      </c>
      <c r="P32" s="104" t="n">
        <v>80</v>
      </c>
      <c r="Q32" s="104" t="n">
        <v>40</v>
      </c>
      <c r="R32" s="130">
        <f>IF(C32="Owned",0,2500)</f>
        <v/>
      </c>
      <c r="S32" s="130">
        <f>SUM(K32:R32)</f>
        <v/>
      </c>
      <c r="T32" s="130">
        <f>I32-S32</f>
        <v/>
      </c>
      <c r="U32" s="105">
        <f>IFERROR(T32/I32,0)</f>
        <v/>
      </c>
    </row>
    <row r="33" ht="14.25" customHeight="1" s="83">
      <c r="A33" s="125">
        <f>EDATE(StartDate,6)</f>
        <v/>
      </c>
      <c r="B33" s="103" t="inlineStr">
        <is>
          <t>Dorm 2</t>
        </is>
      </c>
      <c r="C33" s="170">
        <f>IFERROR(_xlfn.XLOOKUP(B33,DormRegistry[Dorm Name],DormRegistry[Ownership Type]),"")</f>
        <v/>
      </c>
      <c r="D33" s="170">
        <f>IFERROR(_xlfn.XLOOKUP(B33,DormRegistry[Dorm Name],DormRegistry[Bed Capacity]),0)</f>
        <v/>
      </c>
      <c r="E33" s="130">
        <f>$B$6*(1+$B$8)^(YEAR(A33)-YEAR(StartDate))</f>
        <v/>
      </c>
      <c r="F33" s="105">
        <f>$B$7</f>
        <v/>
      </c>
      <c r="G33" s="105">
        <f>$B$8</f>
        <v/>
      </c>
      <c r="H33" s="130">
        <f>D33*E33</f>
        <v/>
      </c>
      <c r="I33" s="130" t="n"/>
      <c r="J33" s="130">
        <f>D33*F33*E33</f>
        <v/>
      </c>
      <c r="K33" s="104" t="n">
        <v>75</v>
      </c>
      <c r="L33" s="104" t="n">
        <v>50</v>
      </c>
      <c r="M33" s="104" t="n">
        <v>150</v>
      </c>
      <c r="N33" s="104" t="n">
        <v>125</v>
      </c>
      <c r="O33" s="104" t="n">
        <v>60</v>
      </c>
      <c r="P33" s="104" t="n">
        <v>80</v>
      </c>
      <c r="Q33" s="104" t="n">
        <v>40</v>
      </c>
      <c r="R33" s="130">
        <f>IF(C33="Owned",0,2500)</f>
        <v/>
      </c>
      <c r="S33" s="130">
        <f>SUM(K33:R33)</f>
        <v/>
      </c>
      <c r="T33" s="130">
        <f>I33-S33</f>
        <v/>
      </c>
      <c r="U33" s="105">
        <f>IFERROR(T33/I33,0)</f>
        <v/>
      </c>
    </row>
    <row r="34" ht="14.25" customHeight="1" s="83">
      <c r="A34" s="125">
        <f>EDATE(StartDate,6)</f>
        <v/>
      </c>
      <c r="B34" s="103" t="inlineStr">
        <is>
          <t>Dorm 3</t>
        </is>
      </c>
      <c r="C34" s="170">
        <f>IFERROR(_xlfn.XLOOKUP(B34,DormRegistry[Dorm Name],DormRegistry[Ownership Type]),"")</f>
        <v/>
      </c>
      <c r="D34" s="170">
        <f>IFERROR(_xlfn.XLOOKUP(B34,DormRegistry[Dorm Name],DormRegistry[Bed Capacity]),0)</f>
        <v/>
      </c>
      <c r="E34" s="130">
        <f>$B$6*(1+$B$8)^(YEAR(A34)-YEAR(StartDate))</f>
        <v/>
      </c>
      <c r="F34" s="105">
        <f>$B$7</f>
        <v/>
      </c>
      <c r="G34" s="105">
        <f>$B$8</f>
        <v/>
      </c>
      <c r="H34" s="130">
        <f>D34*E34</f>
        <v/>
      </c>
      <c r="I34" s="130" t="n"/>
      <c r="J34" s="130">
        <f>D34*F34*E34</f>
        <v/>
      </c>
      <c r="K34" s="104" t="n">
        <v>75</v>
      </c>
      <c r="L34" s="104" t="n">
        <v>50</v>
      </c>
      <c r="M34" s="104" t="n">
        <v>150</v>
      </c>
      <c r="N34" s="104" t="n">
        <v>125</v>
      </c>
      <c r="O34" s="104" t="n">
        <v>60</v>
      </c>
      <c r="P34" s="104" t="n">
        <v>80</v>
      </c>
      <c r="Q34" s="104" t="n">
        <v>40</v>
      </c>
      <c r="R34" s="130">
        <f>IF(C34="Owned",0,2500)</f>
        <v/>
      </c>
      <c r="S34" s="130">
        <f>SUM(K34:R34)</f>
        <v/>
      </c>
      <c r="T34" s="130">
        <f>I34-S34</f>
        <v/>
      </c>
      <c r="U34" s="105">
        <f>IFERROR(T34/I34,0)</f>
        <v/>
      </c>
    </row>
    <row r="35" ht="14.25" customHeight="1" s="83">
      <c r="A35" s="125">
        <f>EDATE(StartDate,7)</f>
        <v/>
      </c>
      <c r="B35" s="103" t="inlineStr">
        <is>
          <t>Dorm 1</t>
        </is>
      </c>
      <c r="C35" s="170">
        <f>IFERROR(_xlfn.XLOOKUP(B35,DormRegistry[Dorm Name],DormRegistry[Ownership Type]),"")</f>
        <v/>
      </c>
      <c r="D35" s="170">
        <f>IFERROR(_xlfn.XLOOKUP(B35,DormRegistry[Dorm Name],DormRegistry[Bed Capacity]),0)</f>
        <v/>
      </c>
      <c r="E35" s="130">
        <f>$B$6*(1+$B$8)^(YEAR(A35)-YEAR(StartDate))</f>
        <v/>
      </c>
      <c r="F35" s="105">
        <f>$B$7</f>
        <v/>
      </c>
      <c r="G35" s="105">
        <f>$B$8</f>
        <v/>
      </c>
      <c r="H35" s="130">
        <f>D35*E35</f>
        <v/>
      </c>
      <c r="I35" s="130" t="n"/>
      <c r="J35" s="130">
        <f>D35*F35*E35</f>
        <v/>
      </c>
      <c r="K35" s="104" t="n">
        <v>75</v>
      </c>
      <c r="L35" s="104" t="n">
        <v>50</v>
      </c>
      <c r="M35" s="104" t="n">
        <v>150</v>
      </c>
      <c r="N35" s="104" t="n">
        <v>125</v>
      </c>
      <c r="O35" s="104" t="n">
        <v>60</v>
      </c>
      <c r="P35" s="104" t="n">
        <v>80</v>
      </c>
      <c r="Q35" s="104" t="n">
        <v>40</v>
      </c>
      <c r="R35" s="130">
        <f>IF(C35="Owned",0,2500)</f>
        <v/>
      </c>
      <c r="S35" s="130">
        <f>SUM(K35:R35)</f>
        <v/>
      </c>
      <c r="T35" s="130">
        <f>I35-S35</f>
        <v/>
      </c>
      <c r="U35" s="105">
        <f>IFERROR(T35/I35,0)</f>
        <v/>
      </c>
    </row>
    <row r="36" ht="14.25" customHeight="1" s="83">
      <c r="A36" s="125">
        <f>EDATE(StartDate,7)</f>
        <v/>
      </c>
      <c r="B36" s="103" t="inlineStr">
        <is>
          <t>Dorm 2</t>
        </is>
      </c>
      <c r="C36" s="170">
        <f>IFERROR(_xlfn.XLOOKUP(B36,DormRegistry[Dorm Name],DormRegistry[Ownership Type]),"")</f>
        <v/>
      </c>
      <c r="D36" s="170">
        <f>IFERROR(_xlfn.XLOOKUP(B36,DormRegistry[Dorm Name],DormRegistry[Bed Capacity]),0)</f>
        <v/>
      </c>
      <c r="E36" s="130">
        <f>$B$6*(1+$B$8)^(YEAR(A36)-YEAR(StartDate))</f>
        <v/>
      </c>
      <c r="F36" s="105">
        <f>$B$7</f>
        <v/>
      </c>
      <c r="G36" s="105">
        <f>$B$8</f>
        <v/>
      </c>
      <c r="H36" s="130">
        <f>D36*E36</f>
        <v/>
      </c>
      <c r="I36" s="130" t="n"/>
      <c r="J36" s="130">
        <f>D36*F36*E36</f>
        <v/>
      </c>
      <c r="K36" s="104" t="n">
        <v>75</v>
      </c>
      <c r="L36" s="104" t="n">
        <v>50</v>
      </c>
      <c r="M36" s="104" t="n">
        <v>150</v>
      </c>
      <c r="N36" s="104" t="n">
        <v>125</v>
      </c>
      <c r="O36" s="104" t="n">
        <v>60</v>
      </c>
      <c r="P36" s="104" t="n">
        <v>80</v>
      </c>
      <c r="Q36" s="104" t="n">
        <v>40</v>
      </c>
      <c r="R36" s="130">
        <f>IF(C36="Owned",0,2500)</f>
        <v/>
      </c>
      <c r="S36" s="130">
        <f>SUM(K36:R36)</f>
        <v/>
      </c>
      <c r="T36" s="130">
        <f>I36-S36</f>
        <v/>
      </c>
      <c r="U36" s="105">
        <f>IFERROR(T36/I36,0)</f>
        <v/>
      </c>
    </row>
    <row r="37" ht="14.25" customHeight="1" s="83">
      <c r="A37" s="125">
        <f>EDATE(StartDate,7)</f>
        <v/>
      </c>
      <c r="B37" s="103" t="inlineStr">
        <is>
          <t>Dorm 3</t>
        </is>
      </c>
      <c r="C37" s="170">
        <f>IFERROR(_xlfn.XLOOKUP(B37,DormRegistry[Dorm Name],DormRegistry[Ownership Type]),"")</f>
        <v/>
      </c>
      <c r="D37" s="170">
        <f>IFERROR(_xlfn.XLOOKUP(B37,DormRegistry[Dorm Name],DormRegistry[Bed Capacity]),0)</f>
        <v/>
      </c>
      <c r="E37" s="130">
        <f>$B$6*(1+$B$8)^(YEAR(A37)-YEAR(StartDate))</f>
        <v/>
      </c>
      <c r="F37" s="105">
        <f>$B$7</f>
        <v/>
      </c>
      <c r="G37" s="105">
        <f>$B$8</f>
        <v/>
      </c>
      <c r="H37" s="130">
        <f>D37*E37</f>
        <v/>
      </c>
      <c r="I37" s="130" t="n"/>
      <c r="J37" s="130">
        <f>D37*F37*E37</f>
        <v/>
      </c>
      <c r="K37" s="104" t="n">
        <v>75</v>
      </c>
      <c r="L37" s="104" t="n">
        <v>50</v>
      </c>
      <c r="M37" s="104" t="n">
        <v>150</v>
      </c>
      <c r="N37" s="104" t="n">
        <v>125</v>
      </c>
      <c r="O37" s="104" t="n">
        <v>60</v>
      </c>
      <c r="P37" s="104" t="n">
        <v>80</v>
      </c>
      <c r="Q37" s="104" t="n">
        <v>40</v>
      </c>
      <c r="R37" s="130">
        <f>IF(C37="Owned",0,2500)</f>
        <v/>
      </c>
      <c r="S37" s="130">
        <f>SUM(K37:R37)</f>
        <v/>
      </c>
      <c r="T37" s="130">
        <f>I37-S37</f>
        <v/>
      </c>
      <c r="U37" s="105">
        <f>IFERROR(T37/I37,0)</f>
        <v/>
      </c>
    </row>
    <row r="38" ht="14.25" customHeight="1" s="83">
      <c r="A38" s="125">
        <f>EDATE(StartDate,8)</f>
        <v/>
      </c>
      <c r="B38" s="103" t="inlineStr">
        <is>
          <t>Dorm 1</t>
        </is>
      </c>
      <c r="C38" s="170">
        <f>IFERROR(_xlfn.XLOOKUP(B38,DormRegistry[Dorm Name],DormRegistry[Ownership Type]),"")</f>
        <v/>
      </c>
      <c r="D38" s="170">
        <f>IFERROR(_xlfn.XLOOKUP(B38,DormRegistry[Dorm Name],DormRegistry[Bed Capacity]),0)</f>
        <v/>
      </c>
      <c r="E38" s="130">
        <f>$B$6*(1+$B$8)^(YEAR(A38)-YEAR(StartDate))</f>
        <v/>
      </c>
      <c r="F38" s="105">
        <f>$B$7</f>
        <v/>
      </c>
      <c r="G38" s="105">
        <f>$B$8</f>
        <v/>
      </c>
      <c r="H38" s="130">
        <f>D38*E38</f>
        <v/>
      </c>
      <c r="I38" s="130" t="n"/>
      <c r="J38" s="130">
        <f>D38*F38*E38</f>
        <v/>
      </c>
      <c r="K38" s="104" t="n">
        <v>75</v>
      </c>
      <c r="L38" s="104" t="n">
        <v>50</v>
      </c>
      <c r="M38" s="104" t="n">
        <v>150</v>
      </c>
      <c r="N38" s="104" t="n">
        <v>125</v>
      </c>
      <c r="O38" s="104" t="n">
        <v>60</v>
      </c>
      <c r="P38" s="104" t="n">
        <v>80</v>
      </c>
      <c r="Q38" s="104" t="n">
        <v>40</v>
      </c>
      <c r="R38" s="130">
        <f>IF(C38="Owned",0,2500)</f>
        <v/>
      </c>
      <c r="S38" s="130">
        <f>SUM(K38:R38)</f>
        <v/>
      </c>
      <c r="T38" s="130">
        <f>I38-S38</f>
        <v/>
      </c>
      <c r="U38" s="105">
        <f>IFERROR(T38/I38,0)</f>
        <v/>
      </c>
    </row>
    <row r="39" ht="14.25" customHeight="1" s="83">
      <c r="A39" s="125">
        <f>EDATE(StartDate,8)</f>
        <v/>
      </c>
      <c r="B39" s="103" t="inlineStr">
        <is>
          <t>Dorm 2</t>
        </is>
      </c>
      <c r="C39" s="170">
        <f>IFERROR(_xlfn.XLOOKUP(B39,DormRegistry[Dorm Name],DormRegistry[Ownership Type]),"")</f>
        <v/>
      </c>
      <c r="D39" s="170">
        <f>IFERROR(_xlfn.XLOOKUP(B39,DormRegistry[Dorm Name],DormRegistry[Bed Capacity]),0)</f>
        <v/>
      </c>
      <c r="E39" s="130">
        <f>$B$6*(1+$B$8)^(YEAR(A39)-YEAR(StartDate))</f>
        <v/>
      </c>
      <c r="F39" s="105">
        <f>$B$7</f>
        <v/>
      </c>
      <c r="G39" s="105">
        <f>$B$8</f>
        <v/>
      </c>
      <c r="H39" s="130">
        <f>D39*E39</f>
        <v/>
      </c>
      <c r="I39" s="130" t="n"/>
      <c r="J39" s="130">
        <f>D39*F39*E39</f>
        <v/>
      </c>
      <c r="K39" s="104" t="n">
        <v>75</v>
      </c>
      <c r="L39" s="104" t="n">
        <v>50</v>
      </c>
      <c r="M39" s="104" t="n">
        <v>150</v>
      </c>
      <c r="N39" s="104" t="n">
        <v>125</v>
      </c>
      <c r="O39" s="104" t="n">
        <v>60</v>
      </c>
      <c r="P39" s="104" t="n">
        <v>80</v>
      </c>
      <c r="Q39" s="104" t="n">
        <v>40</v>
      </c>
      <c r="R39" s="130">
        <f>IF(C39="Owned",0,2500)</f>
        <v/>
      </c>
      <c r="S39" s="130">
        <f>SUM(K39:R39)</f>
        <v/>
      </c>
      <c r="T39" s="130">
        <f>I39-S39</f>
        <v/>
      </c>
      <c r="U39" s="105">
        <f>IFERROR(T39/I39,0)</f>
        <v/>
      </c>
    </row>
    <row r="40" ht="14.25" customHeight="1" s="83">
      <c r="A40" s="125">
        <f>EDATE(StartDate,8)</f>
        <v/>
      </c>
      <c r="B40" s="103" t="inlineStr">
        <is>
          <t>Dorm 3</t>
        </is>
      </c>
      <c r="C40" s="170">
        <f>IFERROR(_xlfn.XLOOKUP(B40,DormRegistry[Dorm Name],DormRegistry[Ownership Type]),"")</f>
        <v/>
      </c>
      <c r="D40" s="170">
        <f>IFERROR(_xlfn.XLOOKUP(B40,DormRegistry[Dorm Name],DormRegistry[Bed Capacity]),0)</f>
        <v/>
      </c>
      <c r="E40" s="130">
        <f>$B$6*(1+$B$8)^(YEAR(A40)-YEAR(StartDate))</f>
        <v/>
      </c>
      <c r="F40" s="105">
        <f>$B$7</f>
        <v/>
      </c>
      <c r="G40" s="105">
        <f>$B$8</f>
        <v/>
      </c>
      <c r="H40" s="130">
        <f>D40*E40</f>
        <v/>
      </c>
      <c r="I40" s="130" t="n"/>
      <c r="J40" s="130">
        <f>D40*F40*E40</f>
        <v/>
      </c>
      <c r="K40" s="104" t="n">
        <v>75</v>
      </c>
      <c r="L40" s="104" t="n">
        <v>50</v>
      </c>
      <c r="M40" s="104" t="n">
        <v>150</v>
      </c>
      <c r="N40" s="104" t="n">
        <v>125</v>
      </c>
      <c r="O40" s="104" t="n">
        <v>60</v>
      </c>
      <c r="P40" s="104" t="n">
        <v>80</v>
      </c>
      <c r="Q40" s="104" t="n">
        <v>40</v>
      </c>
      <c r="R40" s="130">
        <f>IF(C40="Owned",0,2500)</f>
        <v/>
      </c>
      <c r="S40" s="130">
        <f>SUM(K40:R40)</f>
        <v/>
      </c>
      <c r="T40" s="130">
        <f>I40-S40</f>
        <v/>
      </c>
      <c r="U40" s="105">
        <f>IFERROR(T40/I40,0)</f>
        <v/>
      </c>
    </row>
    <row r="41" ht="14.25" customHeight="1" s="83">
      <c r="A41" s="125">
        <f>EDATE(StartDate,9)</f>
        <v/>
      </c>
      <c r="B41" s="103" t="inlineStr">
        <is>
          <t>Dorm 1</t>
        </is>
      </c>
      <c r="C41" s="170">
        <f>IFERROR(_xlfn.XLOOKUP(B41,DormRegistry[Dorm Name],DormRegistry[Ownership Type]),"")</f>
        <v/>
      </c>
      <c r="D41" s="170">
        <f>IFERROR(_xlfn.XLOOKUP(B41,DormRegistry[Dorm Name],DormRegistry[Bed Capacity]),0)</f>
        <v/>
      </c>
      <c r="E41" s="130">
        <f>$B$6*(1+$B$8)^(YEAR(A41)-YEAR(StartDate))</f>
        <v/>
      </c>
      <c r="F41" s="105">
        <f>$B$7</f>
        <v/>
      </c>
      <c r="G41" s="105">
        <f>$B$8</f>
        <v/>
      </c>
      <c r="H41" s="130">
        <f>D41*E41</f>
        <v/>
      </c>
      <c r="I41" s="130" t="n"/>
      <c r="J41" s="130">
        <f>D41*F41*E41</f>
        <v/>
      </c>
      <c r="K41" s="104" t="n">
        <v>75</v>
      </c>
      <c r="L41" s="104" t="n">
        <v>50</v>
      </c>
      <c r="M41" s="104" t="n">
        <v>150</v>
      </c>
      <c r="N41" s="104" t="n">
        <v>125</v>
      </c>
      <c r="O41" s="104" t="n">
        <v>60</v>
      </c>
      <c r="P41" s="104" t="n">
        <v>80</v>
      </c>
      <c r="Q41" s="104" t="n">
        <v>40</v>
      </c>
      <c r="R41" s="130">
        <f>IF(C41="Owned",0,2500)</f>
        <v/>
      </c>
      <c r="S41" s="130">
        <f>SUM(K41:R41)</f>
        <v/>
      </c>
      <c r="T41" s="130">
        <f>I41-S41</f>
        <v/>
      </c>
      <c r="U41" s="105">
        <f>IFERROR(T41/I41,0)</f>
        <v/>
      </c>
    </row>
    <row r="42" ht="14.25" customHeight="1" s="83">
      <c r="A42" s="125">
        <f>EDATE(StartDate,9)</f>
        <v/>
      </c>
      <c r="B42" s="103" t="inlineStr">
        <is>
          <t>Dorm 2</t>
        </is>
      </c>
      <c r="C42" s="170">
        <f>IFERROR(_xlfn.XLOOKUP(B42,DormRegistry[Dorm Name],DormRegistry[Ownership Type]),"")</f>
        <v/>
      </c>
      <c r="D42" s="170">
        <f>IFERROR(_xlfn.XLOOKUP(B42,DormRegistry[Dorm Name],DormRegistry[Bed Capacity]),0)</f>
        <v/>
      </c>
      <c r="E42" s="130">
        <f>$B$6*(1+$B$8)^(YEAR(A42)-YEAR(StartDate))</f>
        <v/>
      </c>
      <c r="F42" s="105">
        <f>$B$7</f>
        <v/>
      </c>
      <c r="G42" s="105">
        <f>$B$8</f>
        <v/>
      </c>
      <c r="H42" s="130">
        <f>D42*E42</f>
        <v/>
      </c>
      <c r="I42" s="130" t="n"/>
      <c r="J42" s="130">
        <f>D42*F42*E42</f>
        <v/>
      </c>
      <c r="K42" s="104" t="n">
        <v>75</v>
      </c>
      <c r="L42" s="104" t="n">
        <v>50</v>
      </c>
      <c r="M42" s="104" t="n">
        <v>150</v>
      </c>
      <c r="N42" s="104" t="n">
        <v>125</v>
      </c>
      <c r="O42" s="104" t="n">
        <v>60</v>
      </c>
      <c r="P42" s="104" t="n">
        <v>80</v>
      </c>
      <c r="Q42" s="104" t="n">
        <v>40</v>
      </c>
      <c r="R42" s="130">
        <f>IF(C42="Owned",0,2500)</f>
        <v/>
      </c>
      <c r="S42" s="130">
        <f>SUM(K42:R42)</f>
        <v/>
      </c>
      <c r="T42" s="130">
        <f>I42-S42</f>
        <v/>
      </c>
      <c r="U42" s="105">
        <f>IFERROR(T42/I42,0)</f>
        <v/>
      </c>
    </row>
    <row r="43" ht="14.25" customHeight="1" s="83">
      <c r="A43" s="125">
        <f>EDATE(StartDate,9)</f>
        <v/>
      </c>
      <c r="B43" s="103" t="inlineStr">
        <is>
          <t>Dorm 3</t>
        </is>
      </c>
      <c r="C43" s="170">
        <f>IFERROR(_xlfn.XLOOKUP(B43,DormRegistry[Dorm Name],DormRegistry[Ownership Type]),"")</f>
        <v/>
      </c>
      <c r="D43" s="170">
        <f>IFERROR(_xlfn.XLOOKUP(B43,DormRegistry[Dorm Name],DormRegistry[Bed Capacity]),0)</f>
        <v/>
      </c>
      <c r="E43" s="130">
        <f>$B$6*(1+$B$8)^(YEAR(A43)-YEAR(StartDate))</f>
        <v/>
      </c>
      <c r="F43" s="105">
        <f>$B$7</f>
        <v/>
      </c>
      <c r="G43" s="105">
        <f>$B$8</f>
        <v/>
      </c>
      <c r="H43" s="130">
        <f>D43*E43</f>
        <v/>
      </c>
      <c r="I43" s="130" t="n"/>
      <c r="J43" s="130">
        <f>D43*F43*E43</f>
        <v/>
      </c>
      <c r="K43" s="104" t="n">
        <v>75</v>
      </c>
      <c r="L43" s="104" t="n">
        <v>50</v>
      </c>
      <c r="M43" s="104" t="n">
        <v>150</v>
      </c>
      <c r="N43" s="104" t="n">
        <v>125</v>
      </c>
      <c r="O43" s="104" t="n">
        <v>60</v>
      </c>
      <c r="P43" s="104" t="n">
        <v>80</v>
      </c>
      <c r="Q43" s="104" t="n">
        <v>40</v>
      </c>
      <c r="R43" s="130">
        <f>IF(C43="Owned",0,2500)</f>
        <v/>
      </c>
      <c r="S43" s="130">
        <f>SUM(K43:R43)</f>
        <v/>
      </c>
      <c r="T43" s="130">
        <f>I43-S43</f>
        <v/>
      </c>
      <c r="U43" s="105">
        <f>IFERROR(T43/I43,0)</f>
        <v/>
      </c>
    </row>
    <row r="44" ht="14.25" customHeight="1" s="83">
      <c r="A44" s="125">
        <f>EDATE(StartDate,10)</f>
        <v/>
      </c>
      <c r="B44" s="103" t="inlineStr">
        <is>
          <t>Dorm 1</t>
        </is>
      </c>
      <c r="C44" s="170">
        <f>IFERROR(_xlfn.XLOOKUP(B44,DormRegistry[Dorm Name],DormRegistry[Ownership Type]),"")</f>
        <v/>
      </c>
      <c r="D44" s="170">
        <f>IFERROR(_xlfn.XLOOKUP(B44,DormRegistry[Dorm Name],DormRegistry[Bed Capacity]),0)</f>
        <v/>
      </c>
      <c r="E44" s="130">
        <f>$B$6*(1+$B$8)^(YEAR(A44)-YEAR(StartDate))</f>
        <v/>
      </c>
      <c r="F44" s="105">
        <f>$B$7</f>
        <v/>
      </c>
      <c r="G44" s="105">
        <f>$B$8</f>
        <v/>
      </c>
      <c r="H44" s="130">
        <f>D44*E44</f>
        <v/>
      </c>
      <c r="I44" s="130" t="n"/>
      <c r="J44" s="130">
        <f>D44*F44*E44</f>
        <v/>
      </c>
      <c r="K44" s="104" t="n">
        <v>75</v>
      </c>
      <c r="L44" s="104" t="n">
        <v>50</v>
      </c>
      <c r="M44" s="104" t="n">
        <v>150</v>
      </c>
      <c r="N44" s="104" t="n">
        <v>125</v>
      </c>
      <c r="O44" s="104" t="n">
        <v>60</v>
      </c>
      <c r="P44" s="104" t="n">
        <v>80</v>
      </c>
      <c r="Q44" s="104" t="n">
        <v>40</v>
      </c>
      <c r="R44" s="130">
        <f>IF(C44="Owned",0,2500)</f>
        <v/>
      </c>
      <c r="S44" s="130">
        <f>SUM(K44:R44)</f>
        <v/>
      </c>
      <c r="T44" s="130">
        <f>I44-S44</f>
        <v/>
      </c>
      <c r="U44" s="105">
        <f>IFERROR(T44/I44,0)</f>
        <v/>
      </c>
    </row>
    <row r="45" ht="14.25" customHeight="1" s="83">
      <c r="A45" s="125">
        <f>EDATE(StartDate,10)</f>
        <v/>
      </c>
      <c r="B45" s="103" t="inlineStr">
        <is>
          <t>Dorm 2</t>
        </is>
      </c>
      <c r="C45" s="170">
        <f>IFERROR(_xlfn.XLOOKUP(B45,DormRegistry[Dorm Name],DormRegistry[Ownership Type]),"")</f>
        <v/>
      </c>
      <c r="D45" s="170">
        <f>IFERROR(_xlfn.XLOOKUP(B45,DormRegistry[Dorm Name],DormRegistry[Bed Capacity]),0)</f>
        <v/>
      </c>
      <c r="E45" s="130">
        <f>$B$6*(1+$B$8)^(YEAR(A45)-YEAR(StartDate))</f>
        <v/>
      </c>
      <c r="F45" s="105">
        <f>$B$7</f>
        <v/>
      </c>
      <c r="G45" s="105">
        <f>$B$8</f>
        <v/>
      </c>
      <c r="H45" s="130">
        <f>D45*E45</f>
        <v/>
      </c>
      <c r="I45" s="130" t="n"/>
      <c r="J45" s="130">
        <f>D45*F45*E45</f>
        <v/>
      </c>
      <c r="K45" s="104" t="n">
        <v>75</v>
      </c>
      <c r="L45" s="104" t="n">
        <v>50</v>
      </c>
      <c r="M45" s="104" t="n">
        <v>150</v>
      </c>
      <c r="N45" s="104" t="n">
        <v>125</v>
      </c>
      <c r="O45" s="104" t="n">
        <v>60</v>
      </c>
      <c r="P45" s="104" t="n">
        <v>80</v>
      </c>
      <c r="Q45" s="104" t="n">
        <v>40</v>
      </c>
      <c r="R45" s="130">
        <f>IF(C45="Owned",0,2500)</f>
        <v/>
      </c>
      <c r="S45" s="130">
        <f>SUM(K45:R45)</f>
        <v/>
      </c>
      <c r="T45" s="130">
        <f>I45-S45</f>
        <v/>
      </c>
      <c r="U45" s="105">
        <f>IFERROR(T45/I45,0)</f>
        <v/>
      </c>
    </row>
    <row r="46" ht="14.25" customHeight="1" s="83">
      <c r="A46" s="125">
        <f>EDATE(StartDate,10)</f>
        <v/>
      </c>
      <c r="B46" s="103" t="inlineStr">
        <is>
          <t>Dorm 3</t>
        </is>
      </c>
      <c r="C46" s="170">
        <f>IFERROR(_xlfn.XLOOKUP(B46,DormRegistry[Dorm Name],DormRegistry[Ownership Type]),"")</f>
        <v/>
      </c>
      <c r="D46" s="170">
        <f>IFERROR(_xlfn.XLOOKUP(B46,DormRegistry[Dorm Name],DormRegistry[Bed Capacity]),0)</f>
        <v/>
      </c>
      <c r="E46" s="130">
        <f>$B$6*(1+$B$8)^(YEAR(A46)-YEAR(StartDate))</f>
        <v/>
      </c>
      <c r="F46" s="105">
        <f>$B$7</f>
        <v/>
      </c>
      <c r="G46" s="105">
        <f>$B$8</f>
        <v/>
      </c>
      <c r="H46" s="130">
        <f>D46*E46</f>
        <v/>
      </c>
      <c r="I46" s="130" t="n"/>
      <c r="J46" s="130">
        <f>D46*F46*E46</f>
        <v/>
      </c>
      <c r="K46" s="104" t="n">
        <v>75</v>
      </c>
      <c r="L46" s="104" t="n">
        <v>50</v>
      </c>
      <c r="M46" s="104" t="n">
        <v>150</v>
      </c>
      <c r="N46" s="104" t="n">
        <v>125</v>
      </c>
      <c r="O46" s="104" t="n">
        <v>60</v>
      </c>
      <c r="P46" s="104" t="n">
        <v>80</v>
      </c>
      <c r="Q46" s="104" t="n">
        <v>40</v>
      </c>
      <c r="R46" s="130">
        <f>IF(C46="Owned",0,2500)</f>
        <v/>
      </c>
      <c r="S46" s="130">
        <f>SUM(K46:R46)</f>
        <v/>
      </c>
      <c r="T46" s="130">
        <f>I46-S46</f>
        <v/>
      </c>
      <c r="U46" s="105">
        <f>IFERROR(T46/I46,0)</f>
        <v/>
      </c>
    </row>
    <row r="47" ht="14.25" customHeight="1" s="83">
      <c r="A47" s="125">
        <f>EDATE(StartDate,11)</f>
        <v/>
      </c>
      <c r="B47" s="103" t="inlineStr">
        <is>
          <t>Dorm 1</t>
        </is>
      </c>
      <c r="C47" s="170">
        <f>IFERROR(_xlfn.XLOOKUP(B47,DormRegistry[Dorm Name],DormRegistry[Ownership Type]),"")</f>
        <v/>
      </c>
      <c r="D47" s="170">
        <f>IFERROR(_xlfn.XLOOKUP(B47,DormRegistry[Dorm Name],DormRegistry[Bed Capacity]),0)</f>
        <v/>
      </c>
      <c r="E47" s="130">
        <f>$B$6*(1+$B$8)^(YEAR(A47)-YEAR(StartDate))</f>
        <v/>
      </c>
      <c r="F47" s="105">
        <f>$B$7</f>
        <v/>
      </c>
      <c r="G47" s="105">
        <f>$B$8</f>
        <v/>
      </c>
      <c r="H47" s="130">
        <f>D47*E47</f>
        <v/>
      </c>
      <c r="I47" s="130" t="n"/>
      <c r="J47" s="130">
        <f>D47*F47*E47</f>
        <v/>
      </c>
      <c r="K47" s="104" t="n">
        <v>75</v>
      </c>
      <c r="L47" s="104" t="n">
        <v>50</v>
      </c>
      <c r="M47" s="104" t="n">
        <v>150</v>
      </c>
      <c r="N47" s="104" t="n">
        <v>125</v>
      </c>
      <c r="O47" s="104" t="n">
        <v>60</v>
      </c>
      <c r="P47" s="104" t="n">
        <v>80</v>
      </c>
      <c r="Q47" s="104" t="n">
        <v>40</v>
      </c>
      <c r="R47" s="130">
        <f>IF(C47="Owned",0,2500)</f>
        <v/>
      </c>
      <c r="S47" s="130">
        <f>SUM(K47:R47)</f>
        <v/>
      </c>
      <c r="T47" s="130">
        <f>I47-S47</f>
        <v/>
      </c>
      <c r="U47" s="105">
        <f>IFERROR(T47/I47,0)</f>
        <v/>
      </c>
    </row>
    <row r="48" ht="14.25" customHeight="1" s="83">
      <c r="A48" s="125">
        <f>EDATE(StartDate,11)</f>
        <v/>
      </c>
      <c r="B48" s="103" t="inlineStr">
        <is>
          <t>Dorm 2</t>
        </is>
      </c>
      <c r="C48" s="170">
        <f>IFERROR(_xlfn.XLOOKUP(B48,DormRegistry[Dorm Name],DormRegistry[Ownership Type]),"")</f>
        <v/>
      </c>
      <c r="D48" s="170">
        <f>IFERROR(_xlfn.XLOOKUP(B48,DormRegistry[Dorm Name],DormRegistry[Bed Capacity]),0)</f>
        <v/>
      </c>
      <c r="E48" s="130">
        <f>$B$6*(1+$B$8)^(YEAR(A48)-YEAR(StartDate))</f>
        <v/>
      </c>
      <c r="F48" s="105">
        <f>$B$7</f>
        <v/>
      </c>
      <c r="G48" s="105">
        <f>$B$8</f>
        <v/>
      </c>
      <c r="H48" s="130">
        <f>D48*E48</f>
        <v/>
      </c>
      <c r="I48" s="130" t="n"/>
      <c r="J48" s="130">
        <f>D48*F48*E48</f>
        <v/>
      </c>
      <c r="K48" s="104" t="n">
        <v>75</v>
      </c>
      <c r="L48" s="104" t="n">
        <v>50</v>
      </c>
      <c r="M48" s="104" t="n">
        <v>150</v>
      </c>
      <c r="N48" s="104" t="n">
        <v>125</v>
      </c>
      <c r="O48" s="104" t="n">
        <v>60</v>
      </c>
      <c r="P48" s="104" t="n">
        <v>80</v>
      </c>
      <c r="Q48" s="104" t="n">
        <v>40</v>
      </c>
      <c r="R48" s="130">
        <f>IF(C48="Owned",0,2500)</f>
        <v/>
      </c>
      <c r="S48" s="130">
        <f>SUM(K48:R48)</f>
        <v/>
      </c>
      <c r="T48" s="130">
        <f>I48-S48</f>
        <v/>
      </c>
      <c r="U48" s="105">
        <f>IFERROR(T48/I48,0)</f>
        <v/>
      </c>
    </row>
    <row r="49" ht="14.25" customHeight="1" s="83">
      <c r="A49" s="125">
        <f>EDATE(StartDate,11)</f>
        <v/>
      </c>
      <c r="B49" s="103" t="inlineStr">
        <is>
          <t>Dorm 3</t>
        </is>
      </c>
      <c r="C49" s="170">
        <f>IFERROR(_xlfn.XLOOKUP(B49,DormRegistry[Dorm Name],DormRegistry[Ownership Type]),"")</f>
        <v/>
      </c>
      <c r="D49" s="170">
        <f>IFERROR(_xlfn.XLOOKUP(B49,DormRegistry[Dorm Name],DormRegistry[Bed Capacity]),0)</f>
        <v/>
      </c>
      <c r="E49" s="130">
        <f>$B$6*(1+$B$8)^(YEAR(A49)-YEAR(StartDate))</f>
        <v/>
      </c>
      <c r="F49" s="105">
        <f>$B$7</f>
        <v/>
      </c>
      <c r="G49" s="105">
        <f>$B$8</f>
        <v/>
      </c>
      <c r="H49" s="130">
        <f>D49*E49</f>
        <v/>
      </c>
      <c r="I49" s="130" t="n"/>
      <c r="J49" s="130">
        <f>D49*F49*E49</f>
        <v/>
      </c>
      <c r="K49" s="104" t="n">
        <v>75</v>
      </c>
      <c r="L49" s="104" t="n">
        <v>50</v>
      </c>
      <c r="M49" s="104" t="n">
        <v>150</v>
      </c>
      <c r="N49" s="104" t="n">
        <v>125</v>
      </c>
      <c r="O49" s="104" t="n">
        <v>60</v>
      </c>
      <c r="P49" s="104" t="n">
        <v>80</v>
      </c>
      <c r="Q49" s="104" t="n">
        <v>40</v>
      </c>
      <c r="R49" s="130">
        <f>IF(C49="Owned",0,2500)</f>
        <v/>
      </c>
      <c r="S49" s="130">
        <f>SUM(K49:R49)</f>
        <v/>
      </c>
      <c r="T49" s="130">
        <f>I49-S49</f>
        <v/>
      </c>
      <c r="U49" s="105">
        <f>IFERROR(T49/I49,0)</f>
        <v/>
      </c>
    </row>
    <row r="50" ht="14.25" customHeight="1" s="83">
      <c r="A50" s="125" t="n"/>
      <c r="B50" s="103" t="n"/>
      <c r="C50" s="170">
        <f>IFERROR(_xlfn.XLOOKUP(B50,DormRegistry[Dorm Name],DormRegistry[Ownership Type]),"")</f>
        <v/>
      </c>
      <c r="D50" s="170" t="n">
        <v>2</v>
      </c>
      <c r="E50" s="130">
        <f>IF(A50="","",$B$6*(1+$B$8)^(YEAR(A50)-YEAR(StartDate)))</f>
        <v/>
      </c>
      <c r="F50" s="105">
        <f>$B$7</f>
        <v/>
      </c>
      <c r="G50" s="105">
        <f>$B$8</f>
        <v/>
      </c>
      <c r="H50" s="130">
        <f>IFERROR(D50*E50,0)</f>
        <v/>
      </c>
      <c r="I50" s="130" t="n"/>
      <c r="J50" s="130">
        <f>IFERROR(D50*F50*E50,0)</f>
        <v/>
      </c>
      <c r="K50" s="104" t="n"/>
      <c r="L50" s="104" t="n"/>
      <c r="M50" s="104" t="n"/>
      <c r="N50" s="104" t="n"/>
      <c r="O50" s="104" t="n"/>
      <c r="P50" s="104" t="n"/>
      <c r="Q50" s="104" t="n"/>
      <c r="R50" s="130">
        <f>IF(C50="Owned",0,IF(B50&lt;&gt;"",2500,0))</f>
        <v/>
      </c>
      <c r="S50" s="130">
        <f>SUM(K50:R50)</f>
        <v/>
      </c>
      <c r="T50" s="130">
        <f>I50-S50</f>
        <v/>
      </c>
      <c r="U50" s="105">
        <f>IFERROR(T50/I50,0)</f>
        <v/>
      </c>
    </row>
    <row r="51" ht="14.25" customHeight="1" s="83">
      <c r="A51" s="125" t="n"/>
      <c r="B51" s="103" t="n"/>
      <c r="C51" s="170">
        <f>IFERROR(_xlfn.XLOOKUP(B51,DormRegistry[Dorm Name],DormRegistry[Ownership Type]),"")</f>
        <v/>
      </c>
      <c r="D51" s="170" t="n">
        <v>2</v>
      </c>
      <c r="E51" s="130">
        <f>IF(A51="","",$B$6*(1+$B$8)^(YEAR(A51)-YEAR(StartDate)))</f>
        <v/>
      </c>
      <c r="F51" s="105">
        <f>$B$7</f>
        <v/>
      </c>
      <c r="G51" s="105">
        <f>$B$8</f>
        <v/>
      </c>
      <c r="H51" s="130">
        <f>IFERROR(D51*E51,0)</f>
        <v/>
      </c>
      <c r="I51" s="130" t="n"/>
      <c r="J51" s="130">
        <f>IFERROR(D51*F51*E51,0)</f>
        <v/>
      </c>
      <c r="K51" s="104" t="n"/>
      <c r="L51" s="104" t="n"/>
      <c r="M51" s="104" t="n"/>
      <c r="N51" s="104" t="n"/>
      <c r="O51" s="104" t="n"/>
      <c r="P51" s="104" t="n"/>
      <c r="Q51" s="104" t="n"/>
      <c r="R51" s="130">
        <f>IF(C51="Owned",0,IF(B51&lt;&gt;"",2500,0))</f>
        <v/>
      </c>
      <c r="S51" s="130">
        <f>SUM(K51:R51)</f>
        <v/>
      </c>
      <c r="T51" s="130">
        <f>I51-S51</f>
        <v/>
      </c>
      <c r="U51" s="105">
        <f>IFERROR(T51/I51,0)</f>
        <v/>
      </c>
    </row>
    <row r="52" ht="14.25" customHeight="1" s="83">
      <c r="A52" s="125" t="n"/>
      <c r="B52" s="103" t="n"/>
      <c r="C52" s="170">
        <f>IFERROR(_xlfn.XLOOKUP(B52,DormRegistry[Dorm Name],DormRegistry[Ownership Type]),"")</f>
        <v/>
      </c>
      <c r="D52" s="170" t="n">
        <v>2</v>
      </c>
      <c r="E52" s="130">
        <f>IF(A52="","",$B$6*(1+$B$8)^(YEAR(A52)-YEAR(StartDate)))</f>
        <v/>
      </c>
      <c r="F52" s="105">
        <f>$B$7</f>
        <v/>
      </c>
      <c r="G52" s="105">
        <f>$B$8</f>
        <v/>
      </c>
      <c r="H52" s="130">
        <f>IFERROR(D52*E52,0)</f>
        <v/>
      </c>
      <c r="I52" s="130" t="n"/>
      <c r="J52" s="130">
        <f>IFERROR(D52*F52*E52,0)</f>
        <v/>
      </c>
      <c r="K52" s="104" t="n"/>
      <c r="L52" s="104" t="n"/>
      <c r="M52" s="104" t="n"/>
      <c r="N52" s="104" t="n"/>
      <c r="O52" s="104" t="n"/>
      <c r="P52" s="104" t="n"/>
      <c r="Q52" s="104" t="n"/>
      <c r="R52" s="130">
        <f>IF(C52="Owned",0,IF(B52&lt;&gt;"",2500,0))</f>
        <v/>
      </c>
      <c r="S52" s="130">
        <f>SUM(K52:R52)</f>
        <v/>
      </c>
      <c r="T52" s="130">
        <f>I52-S52</f>
        <v/>
      </c>
      <c r="U52" s="105">
        <f>IFERROR(T52/I52,0)</f>
        <v/>
      </c>
    </row>
    <row r="53" ht="14.25" customHeight="1" s="83">
      <c r="A53" s="125" t="n"/>
      <c r="B53" s="103" t="n"/>
      <c r="C53" s="170">
        <f>IFERROR(_xlfn.XLOOKUP(B53,DormRegistry[Dorm Name],DormRegistry[Ownership Type]),"")</f>
        <v/>
      </c>
      <c r="D53" s="170" t="n">
        <v>2</v>
      </c>
      <c r="E53" s="130">
        <f>IF(A53="","",$B$6*(1+$B$8)^(YEAR(A53)-YEAR(StartDate)))</f>
        <v/>
      </c>
      <c r="F53" s="105">
        <f>$B$7</f>
        <v/>
      </c>
      <c r="G53" s="105">
        <f>$B$8</f>
        <v/>
      </c>
      <c r="H53" s="130">
        <f>IFERROR(D53*E53,0)</f>
        <v/>
      </c>
      <c r="I53" s="130" t="n"/>
      <c r="J53" s="130">
        <f>IFERROR(D53*F53*E53,0)</f>
        <v/>
      </c>
      <c r="K53" s="104" t="n"/>
      <c r="L53" s="104" t="n"/>
      <c r="M53" s="104" t="n"/>
      <c r="N53" s="104" t="n"/>
      <c r="O53" s="104" t="n"/>
      <c r="P53" s="104" t="n"/>
      <c r="Q53" s="104" t="n"/>
      <c r="R53" s="130">
        <f>IF(C53="Owned",0,IF(B53&lt;&gt;"",2500,0))</f>
        <v/>
      </c>
      <c r="S53" s="130">
        <f>SUM(K53:R53)</f>
        <v/>
      </c>
      <c r="T53" s="130">
        <f>I53-S53</f>
        <v/>
      </c>
      <c r="U53" s="105">
        <f>IFERROR(T53/I53,0)</f>
        <v/>
      </c>
    </row>
    <row r="54" ht="14.25" customHeight="1" s="83">
      <c r="A54" s="125" t="n"/>
      <c r="B54" s="103" t="n"/>
      <c r="C54" s="170">
        <f>IFERROR(_xlfn.XLOOKUP(B54,DormRegistry[Dorm Name],DormRegistry[Ownership Type]),"")</f>
        <v/>
      </c>
      <c r="D54" s="170" t="n">
        <v>2</v>
      </c>
      <c r="E54" s="130">
        <f>IF(A54="","",$B$6*(1+$B$8)^(YEAR(A54)-YEAR(StartDate)))</f>
        <v/>
      </c>
      <c r="F54" s="105">
        <f>$B$7</f>
        <v/>
      </c>
      <c r="G54" s="105">
        <f>$B$8</f>
        <v/>
      </c>
      <c r="H54" s="130">
        <f>IFERROR(D54*E54,0)</f>
        <v/>
      </c>
      <c r="I54" s="130" t="n"/>
      <c r="J54" s="130">
        <f>IFERROR(D54*F54*E54,0)</f>
        <v/>
      </c>
      <c r="K54" s="104" t="n"/>
      <c r="L54" s="104" t="n"/>
      <c r="M54" s="104" t="n"/>
      <c r="N54" s="104" t="n"/>
      <c r="O54" s="104" t="n"/>
      <c r="P54" s="104" t="n"/>
      <c r="Q54" s="104" t="n"/>
      <c r="R54" s="130">
        <f>IF(C54="Owned",0,IF(B54&lt;&gt;"",2500,0))</f>
        <v/>
      </c>
      <c r="S54" s="130">
        <f>SUM(K54:R54)</f>
        <v/>
      </c>
      <c r="T54" s="130">
        <f>I54-S54</f>
        <v/>
      </c>
      <c r="U54" s="105">
        <f>IFERROR(T54/I54,0)</f>
        <v/>
      </c>
    </row>
    <row r="55" ht="14.25" customHeight="1" s="83">
      <c r="A55" s="125" t="n"/>
      <c r="B55" s="103" t="n"/>
      <c r="C55" s="170">
        <f>IFERROR(_xlfn.XLOOKUP(B55,DormRegistry[Dorm Name],DormRegistry[Ownership Type]),"")</f>
        <v/>
      </c>
      <c r="D55" s="170" t="n">
        <v>2</v>
      </c>
      <c r="E55" s="130">
        <f>IF(A55="","",$B$6*(1+$B$8)^(YEAR(A55)-YEAR(StartDate)))</f>
        <v/>
      </c>
      <c r="F55" s="105">
        <f>$B$7</f>
        <v/>
      </c>
      <c r="G55" s="105">
        <f>$B$8</f>
        <v/>
      </c>
      <c r="H55" s="130">
        <f>IFERROR(D55*E55,0)</f>
        <v/>
      </c>
      <c r="I55" s="130" t="n"/>
      <c r="J55" s="130">
        <f>IFERROR(D55*F55*E55,0)</f>
        <v/>
      </c>
      <c r="K55" s="104" t="n"/>
      <c r="L55" s="104" t="n"/>
      <c r="M55" s="104" t="n"/>
      <c r="N55" s="104" t="n"/>
      <c r="O55" s="104" t="n"/>
      <c r="P55" s="104" t="n"/>
      <c r="Q55" s="104" t="n"/>
      <c r="R55" s="130">
        <f>IF(C55="Owned",0,IF(B55&lt;&gt;"",2500,0))</f>
        <v/>
      </c>
      <c r="S55" s="130">
        <f>SUM(K55:R55)</f>
        <v/>
      </c>
      <c r="T55" s="130">
        <f>I55-S55</f>
        <v/>
      </c>
      <c r="U55" s="105">
        <f>IFERROR(T55/I55,0)</f>
        <v/>
      </c>
    </row>
    <row r="56" ht="14.25" customHeight="1" s="83">
      <c r="A56" s="125" t="n"/>
      <c r="B56" s="103" t="n"/>
      <c r="C56" s="170">
        <f>IFERROR(_xlfn.XLOOKUP(B56,DormRegistry[Dorm Name],DormRegistry[Ownership Type]),"")</f>
        <v/>
      </c>
      <c r="D56" s="170" t="n">
        <v>2</v>
      </c>
      <c r="E56" s="130">
        <f>IF(A56="","",$B$6*(1+$B$8)^(YEAR(A56)-YEAR(StartDate)))</f>
        <v/>
      </c>
      <c r="F56" s="105">
        <f>$B$7</f>
        <v/>
      </c>
      <c r="G56" s="105">
        <f>$B$8</f>
        <v/>
      </c>
      <c r="H56" s="130">
        <f>IFERROR(D56*E56,0)</f>
        <v/>
      </c>
      <c r="I56" s="130" t="n"/>
      <c r="J56" s="130">
        <f>IFERROR(D56*F56*E56,0)</f>
        <v/>
      </c>
      <c r="K56" s="104" t="n"/>
      <c r="L56" s="104" t="n"/>
      <c r="M56" s="104" t="n"/>
      <c r="N56" s="104" t="n"/>
      <c r="O56" s="104" t="n"/>
      <c r="P56" s="104" t="n"/>
      <c r="Q56" s="104" t="n"/>
      <c r="R56" s="130">
        <f>IF(C56="Owned",0,IF(B56&lt;&gt;"",2500,0))</f>
        <v/>
      </c>
      <c r="S56" s="130">
        <f>SUM(K56:R56)</f>
        <v/>
      </c>
      <c r="T56" s="130">
        <f>I56-S56</f>
        <v/>
      </c>
      <c r="U56" s="105">
        <f>IFERROR(T56/I56,0)</f>
        <v/>
      </c>
    </row>
    <row r="57" ht="14.25" customHeight="1" s="83">
      <c r="A57" s="125" t="n"/>
      <c r="B57" s="103" t="n"/>
      <c r="C57" s="170">
        <f>IFERROR(_xlfn.XLOOKUP(B57,DormRegistry[Dorm Name],DormRegistry[Ownership Type]),"")</f>
        <v/>
      </c>
      <c r="D57" s="170" t="n">
        <v>2</v>
      </c>
      <c r="E57" s="130">
        <f>IF(A57="","",$B$6*(1+$B$8)^(YEAR(A57)-YEAR(StartDate)))</f>
        <v/>
      </c>
      <c r="F57" s="105">
        <f>$B$7</f>
        <v/>
      </c>
      <c r="G57" s="105">
        <f>$B$8</f>
        <v/>
      </c>
      <c r="H57" s="130">
        <f>IFERROR(D57*E57,0)</f>
        <v/>
      </c>
      <c r="I57" s="130" t="n"/>
      <c r="J57" s="130">
        <f>IFERROR(D57*F57*E57,0)</f>
        <v/>
      </c>
      <c r="K57" s="104" t="n"/>
      <c r="L57" s="104" t="n"/>
      <c r="M57" s="104" t="n"/>
      <c r="N57" s="104" t="n"/>
      <c r="O57" s="104" t="n"/>
      <c r="P57" s="104" t="n"/>
      <c r="Q57" s="104" t="n"/>
      <c r="R57" s="130">
        <f>IF(C57="Owned",0,IF(B57&lt;&gt;"",2500,0))</f>
        <v/>
      </c>
      <c r="S57" s="130">
        <f>SUM(K57:R57)</f>
        <v/>
      </c>
      <c r="T57" s="130">
        <f>I57-S57</f>
        <v/>
      </c>
      <c r="U57" s="105">
        <f>IFERROR(T57/I57,0)</f>
        <v/>
      </c>
    </row>
    <row r="58" ht="14.25" customHeight="1" s="83">
      <c r="A58" s="125" t="n"/>
      <c r="B58" s="103" t="n"/>
      <c r="C58" s="170">
        <f>IFERROR(_xlfn.XLOOKUP(B58,DormRegistry[Dorm Name],DormRegistry[Ownership Type]),"")</f>
        <v/>
      </c>
      <c r="D58" s="170" t="n">
        <v>2</v>
      </c>
      <c r="E58" s="130">
        <f>IF(A58="","",$B$6*(1+$B$8)^(YEAR(A58)-YEAR(StartDate)))</f>
        <v/>
      </c>
      <c r="F58" s="105">
        <f>$B$7</f>
        <v/>
      </c>
      <c r="G58" s="105">
        <f>$B$8</f>
        <v/>
      </c>
      <c r="H58" s="130">
        <f>IFERROR(D58*E58,0)</f>
        <v/>
      </c>
      <c r="I58" s="130" t="n"/>
      <c r="J58" s="130">
        <f>IFERROR(D58*F58*E58,0)</f>
        <v/>
      </c>
      <c r="K58" s="104" t="n"/>
      <c r="L58" s="104" t="n"/>
      <c r="M58" s="104" t="n"/>
      <c r="N58" s="104" t="n"/>
      <c r="O58" s="104" t="n"/>
      <c r="P58" s="104" t="n"/>
      <c r="Q58" s="104" t="n"/>
      <c r="R58" s="130">
        <f>IF(C58="Owned",0,IF(B58&lt;&gt;"",2500,0))</f>
        <v/>
      </c>
      <c r="S58" s="130">
        <f>SUM(K58:R58)</f>
        <v/>
      </c>
      <c r="T58" s="130">
        <f>I58-S58</f>
        <v/>
      </c>
      <c r="U58" s="105">
        <f>IFERROR(T58/I58,0)</f>
        <v/>
      </c>
    </row>
    <row r="59" ht="14.25" customHeight="1" s="83">
      <c r="A59" s="125" t="n"/>
      <c r="B59" s="103" t="n"/>
      <c r="C59" s="170">
        <f>IFERROR(_xlfn.XLOOKUP(B59,DormRegistry[Dorm Name],DormRegistry[Ownership Type]),"")</f>
        <v/>
      </c>
      <c r="D59" s="170" t="n">
        <v>2</v>
      </c>
      <c r="E59" s="130">
        <f>IF(A59="","",$B$6*(1+$B$8)^(YEAR(A59)-YEAR(StartDate)))</f>
        <v/>
      </c>
      <c r="F59" s="105">
        <f>$B$7</f>
        <v/>
      </c>
      <c r="G59" s="105">
        <f>$B$8</f>
        <v/>
      </c>
      <c r="H59" s="130">
        <f>IFERROR(D59*E59,0)</f>
        <v/>
      </c>
      <c r="I59" s="130" t="n"/>
      <c r="J59" s="130">
        <f>IFERROR(D59*F59*E59,0)</f>
        <v/>
      </c>
      <c r="K59" s="104" t="n"/>
      <c r="L59" s="104" t="n"/>
      <c r="M59" s="104" t="n"/>
      <c r="N59" s="104" t="n"/>
      <c r="O59" s="104" t="n"/>
      <c r="P59" s="104" t="n"/>
      <c r="Q59" s="104" t="n"/>
      <c r="R59" s="130">
        <f>IF(C59="Owned",0,IF(B59&lt;&gt;"",2500,0))</f>
        <v/>
      </c>
      <c r="S59" s="130">
        <f>SUM(K59:R59)</f>
        <v/>
      </c>
      <c r="T59" s="130">
        <f>I59-S59</f>
        <v/>
      </c>
      <c r="U59" s="105">
        <f>IFERROR(T59/I59,0)</f>
        <v/>
      </c>
    </row>
    <row r="60" ht="14.25" customHeight="1" s="83">
      <c r="A60" s="125" t="n"/>
      <c r="B60" s="103" t="n"/>
      <c r="C60" s="170">
        <f>IFERROR(_xlfn.XLOOKUP(B60,DormRegistry[Dorm Name],DormRegistry[Ownership Type]),"")</f>
        <v/>
      </c>
      <c r="D60" s="170" t="n">
        <v>2</v>
      </c>
      <c r="E60" s="130">
        <f>IF(A60="","",$B$6*(1+$B$8)^(YEAR(A60)-YEAR(StartDate)))</f>
        <v/>
      </c>
      <c r="F60" s="105">
        <f>$B$7</f>
        <v/>
      </c>
      <c r="G60" s="105">
        <f>$B$8</f>
        <v/>
      </c>
      <c r="H60" s="130">
        <f>IFERROR(D60*E60,0)</f>
        <v/>
      </c>
      <c r="I60" s="130" t="n"/>
      <c r="J60" s="130">
        <f>IFERROR(D60*F60*E60,0)</f>
        <v/>
      </c>
      <c r="K60" s="104" t="n"/>
      <c r="L60" s="104" t="n"/>
      <c r="M60" s="104" t="n"/>
      <c r="N60" s="104" t="n"/>
      <c r="O60" s="104" t="n"/>
      <c r="P60" s="104" t="n"/>
      <c r="Q60" s="104" t="n"/>
      <c r="R60" s="130">
        <f>IF(C60="Owned",0,IF(B60&lt;&gt;"",2500,0))</f>
        <v/>
      </c>
      <c r="S60" s="130">
        <f>SUM(K60:R60)</f>
        <v/>
      </c>
      <c r="T60" s="130">
        <f>I60-S60</f>
        <v/>
      </c>
      <c r="U60" s="105">
        <f>IFERROR(T60/I60,0)</f>
        <v/>
      </c>
    </row>
    <row r="61" ht="14.25" customHeight="1" s="83">
      <c r="A61" s="125" t="n"/>
      <c r="B61" s="103" t="n"/>
      <c r="C61" s="170">
        <f>IFERROR(_xlfn.XLOOKUP(B61,DormRegistry[Dorm Name],DormRegistry[Ownership Type]),"")</f>
        <v/>
      </c>
      <c r="D61" s="170" t="n">
        <v>2</v>
      </c>
      <c r="E61" s="130">
        <f>IF(A61="","",$B$6*(1+$B$8)^(YEAR(A61)-YEAR(StartDate)))</f>
        <v/>
      </c>
      <c r="F61" s="105">
        <f>$B$7</f>
        <v/>
      </c>
      <c r="G61" s="105">
        <f>$B$8</f>
        <v/>
      </c>
      <c r="H61" s="130">
        <f>IFERROR(D61*E61,0)</f>
        <v/>
      </c>
      <c r="I61" s="130" t="n"/>
      <c r="J61" s="130">
        <f>IFERROR(D61*F61*E61,0)</f>
        <v/>
      </c>
      <c r="K61" s="104" t="n"/>
      <c r="L61" s="104" t="n"/>
      <c r="M61" s="104" t="n"/>
      <c r="N61" s="104" t="n"/>
      <c r="O61" s="104" t="n"/>
      <c r="P61" s="104" t="n"/>
      <c r="Q61" s="104" t="n"/>
      <c r="R61" s="130">
        <f>IF(C61="Owned",0,IF(B61&lt;&gt;"",2500,0))</f>
        <v/>
      </c>
      <c r="S61" s="130">
        <f>SUM(K61:R61)</f>
        <v/>
      </c>
      <c r="T61" s="130">
        <f>I61-S61</f>
        <v/>
      </c>
      <c r="U61" s="105">
        <f>IFERROR(T61/I61,0)</f>
        <v/>
      </c>
    </row>
    <row r="62" ht="14.25" customHeight="1" s="83">
      <c r="A62" s="125" t="n"/>
      <c r="B62" s="103" t="n"/>
      <c r="C62" s="170">
        <f>IFERROR(_xlfn.XLOOKUP(B62,DormRegistry[Dorm Name],DormRegistry[Ownership Type]),"")</f>
        <v/>
      </c>
      <c r="D62" s="170">
        <f>IFERROR(_xlfn.XLOOKUP(B62,DormRegistry[Dorm Name],DormRegistry[Bed Capacity]),0)</f>
        <v/>
      </c>
      <c r="E62" s="130">
        <f>IF(A62="","",$B$6*(1+$B$8)^(YEAR(A62)-YEAR(StartDate)))</f>
        <v/>
      </c>
      <c r="F62" s="105">
        <f>$B$7</f>
        <v/>
      </c>
      <c r="G62" s="105">
        <f>$B$8</f>
        <v/>
      </c>
      <c r="H62" s="130">
        <f>IFERROR(D62*E62,0)</f>
        <v/>
      </c>
      <c r="I62" s="130" t="n"/>
      <c r="J62" s="130">
        <f>IFERROR(D62*F62*E62,0)</f>
        <v/>
      </c>
      <c r="K62" s="104" t="n"/>
      <c r="L62" s="104" t="n"/>
      <c r="M62" s="104" t="n"/>
      <c r="N62" s="104" t="n"/>
      <c r="O62" s="104" t="n"/>
      <c r="P62" s="104" t="n"/>
      <c r="Q62" s="104" t="n"/>
      <c r="R62" s="130">
        <f>IF(C62="Owned",0,IF(B62&lt;&gt;"",2500,0))</f>
        <v/>
      </c>
      <c r="S62" s="130">
        <f>SUM(K62:R62)</f>
        <v/>
      </c>
      <c r="T62" s="130">
        <f>I62-S62</f>
        <v/>
      </c>
      <c r="U62" s="105">
        <f>IFERROR(T62/I62,0)</f>
        <v/>
      </c>
    </row>
    <row r="63" ht="14.25" customHeight="1" s="83">
      <c r="A63" s="125" t="n"/>
      <c r="B63" s="103" t="n"/>
      <c r="C63" s="170">
        <f>IFERROR(_xlfn.XLOOKUP(B63,DormRegistry[Dorm Name],DormRegistry[Ownership Type]),"")</f>
        <v/>
      </c>
      <c r="D63" s="170">
        <f>IFERROR(_xlfn.XLOOKUP(B63,DormRegistry[Dorm Name],DormRegistry[Bed Capacity]),0)</f>
        <v/>
      </c>
      <c r="E63" s="130">
        <f>IF(A63="","",$B$6*(1+$B$8)^(YEAR(A63)-YEAR(StartDate)))</f>
        <v/>
      </c>
      <c r="F63" s="105">
        <f>$B$7</f>
        <v/>
      </c>
      <c r="G63" s="105">
        <f>$B$8</f>
        <v/>
      </c>
      <c r="H63" s="130">
        <f>IFERROR(D63*E63,0)</f>
        <v/>
      </c>
      <c r="I63" s="130" t="n"/>
      <c r="J63" s="130">
        <f>IFERROR(D63*F63*E63,0)</f>
        <v/>
      </c>
      <c r="K63" s="104" t="n"/>
      <c r="L63" s="104" t="n"/>
      <c r="M63" s="104" t="n"/>
      <c r="N63" s="104" t="n"/>
      <c r="O63" s="104" t="n"/>
      <c r="P63" s="104" t="n"/>
      <c r="Q63" s="104" t="n"/>
      <c r="R63" s="130">
        <f>IF(C63="Owned",0,IF(B63&lt;&gt;"",2500,0))</f>
        <v/>
      </c>
      <c r="S63" s="130">
        <f>SUM(K63:R63)</f>
        <v/>
      </c>
      <c r="T63" s="130">
        <f>I63-S63</f>
        <v/>
      </c>
      <c r="U63" s="105">
        <f>IFERROR(T63/I63,0)</f>
        <v/>
      </c>
    </row>
    <row r="64" ht="14.25" customHeight="1" s="83">
      <c r="A64" s="125" t="n"/>
      <c r="B64" s="103" t="n"/>
      <c r="C64" s="170">
        <f>IFERROR(_xlfn.XLOOKUP(B64,DormRegistry[Dorm Name],DormRegistry[Ownership Type]),"")</f>
        <v/>
      </c>
      <c r="D64" s="170">
        <f>IFERROR(_xlfn.XLOOKUP(B64,DormRegistry[Dorm Name],DormRegistry[Bed Capacity]),0)</f>
        <v/>
      </c>
      <c r="E64" s="130">
        <f>IF(A64="","",$B$6*(1+$B$8)^(YEAR(A64)-YEAR(StartDate)))</f>
        <v/>
      </c>
      <c r="F64" s="105">
        <f>$B$7</f>
        <v/>
      </c>
      <c r="G64" s="105">
        <f>$B$8</f>
        <v/>
      </c>
      <c r="H64" s="130">
        <f>IFERROR(D64*E64,0)</f>
        <v/>
      </c>
      <c r="I64" s="130" t="n"/>
      <c r="J64" s="130">
        <f>IFERROR(D64*F64*E64,0)</f>
        <v/>
      </c>
      <c r="K64" s="104" t="n"/>
      <c r="L64" s="104" t="n"/>
      <c r="M64" s="104" t="n"/>
      <c r="N64" s="104" t="n"/>
      <c r="O64" s="104" t="n"/>
      <c r="P64" s="104" t="n"/>
      <c r="Q64" s="104" t="n"/>
      <c r="R64" s="130">
        <f>IF(C64="Owned",0,IF(B64&lt;&gt;"",2500,0))</f>
        <v/>
      </c>
      <c r="S64" s="130">
        <f>SUM(K64:R64)</f>
        <v/>
      </c>
      <c r="T64" s="130">
        <f>I64-S64</f>
        <v/>
      </c>
      <c r="U64" s="105">
        <f>IFERROR(T64/I64,0)</f>
        <v/>
      </c>
    </row>
    <row r="65" ht="14.25" customHeight="1" s="83">
      <c r="A65" s="125" t="n"/>
      <c r="B65" s="103" t="n"/>
      <c r="C65" s="170">
        <f>IFERROR(_xlfn.XLOOKUP(B65,DormRegistry[Dorm Name],DormRegistry[Ownership Type]),"")</f>
        <v/>
      </c>
      <c r="D65" s="170">
        <f>IFERROR(_xlfn.XLOOKUP(B65,DormRegistry[Dorm Name],DormRegistry[Bed Capacity]),0)</f>
        <v/>
      </c>
      <c r="E65" s="130">
        <f>IF(A65="","",$B$6*(1+$B$8)^(YEAR(A65)-YEAR(StartDate)))</f>
        <v/>
      </c>
      <c r="F65" s="105">
        <f>$B$7</f>
        <v/>
      </c>
      <c r="G65" s="105">
        <f>$B$8</f>
        <v/>
      </c>
      <c r="H65" s="130">
        <f>IFERROR(D65*E65,0)</f>
        <v/>
      </c>
      <c r="I65" s="130" t="n"/>
      <c r="J65" s="130">
        <f>IFERROR(D65*F65*E65,0)</f>
        <v/>
      </c>
      <c r="K65" s="104" t="n"/>
      <c r="L65" s="104" t="n"/>
      <c r="M65" s="104" t="n"/>
      <c r="N65" s="104" t="n"/>
      <c r="O65" s="104" t="n"/>
      <c r="P65" s="104" t="n"/>
      <c r="Q65" s="104" t="n"/>
      <c r="R65" s="130">
        <f>IF(C65="Owned",0,IF(B65&lt;&gt;"",2500,0))</f>
        <v/>
      </c>
      <c r="S65" s="130">
        <f>SUM(K65:R65)</f>
        <v/>
      </c>
      <c r="T65" s="130">
        <f>I65-S65</f>
        <v/>
      </c>
      <c r="U65" s="105">
        <f>IFERROR(T65/I65,0)</f>
        <v/>
      </c>
    </row>
    <row r="66" ht="14.25" customHeight="1" s="83">
      <c r="A66" s="125" t="n"/>
      <c r="B66" s="103" t="n"/>
      <c r="C66" s="170">
        <f>IFERROR(_xlfn.XLOOKUP(B66,DormRegistry[Dorm Name],DormRegistry[Ownership Type]),"")</f>
        <v/>
      </c>
      <c r="D66" s="170">
        <f>IFERROR(_xlfn.XLOOKUP(B66,DormRegistry[Dorm Name],DormRegistry[Bed Capacity]),0)</f>
        <v/>
      </c>
      <c r="E66" s="130">
        <f>IF(A66="","",$B$6*(1+$B$8)^(YEAR(A66)-YEAR(StartDate)))</f>
        <v/>
      </c>
      <c r="F66" s="105">
        <f>$B$7</f>
        <v/>
      </c>
      <c r="G66" s="105">
        <f>$B$8</f>
        <v/>
      </c>
      <c r="H66" s="130">
        <f>IFERROR(D66*E66,0)</f>
        <v/>
      </c>
      <c r="I66" s="130" t="n"/>
      <c r="J66" s="130">
        <f>IFERROR(D66*F66*E66,0)</f>
        <v/>
      </c>
      <c r="K66" s="104" t="n"/>
      <c r="L66" s="104" t="n"/>
      <c r="M66" s="104" t="n"/>
      <c r="N66" s="104" t="n"/>
      <c r="O66" s="104" t="n"/>
      <c r="P66" s="104" t="n"/>
      <c r="Q66" s="104" t="n"/>
      <c r="R66" s="130">
        <f>IF(C66="Owned",0,IF(B66&lt;&gt;"",2500,0))</f>
        <v/>
      </c>
      <c r="S66" s="130">
        <f>SUM(K66:R66)</f>
        <v/>
      </c>
      <c r="T66" s="130">
        <f>I66-S66</f>
        <v/>
      </c>
      <c r="U66" s="105">
        <f>IFERROR(T66/I66,0)</f>
        <v/>
      </c>
    </row>
    <row r="67" ht="14.25" customHeight="1" s="83">
      <c r="A67" s="125" t="n"/>
      <c r="B67" s="103" t="n"/>
      <c r="C67" s="170">
        <f>IFERROR(_xlfn.XLOOKUP(B67,DormRegistry[Dorm Name],DormRegistry[Ownership Type]),"")</f>
        <v/>
      </c>
      <c r="D67" s="170">
        <f>IFERROR(_xlfn.XLOOKUP(B67,DormRegistry[Dorm Name],DormRegistry[Bed Capacity]),0)</f>
        <v/>
      </c>
      <c r="E67" s="130">
        <f>IF(A67="","",$B$6*(1+$B$8)^(YEAR(A67)-YEAR(StartDate)))</f>
        <v/>
      </c>
      <c r="F67" s="105">
        <f>$B$7</f>
        <v/>
      </c>
      <c r="G67" s="105">
        <f>$B$8</f>
        <v/>
      </c>
      <c r="H67" s="130">
        <f>IFERROR(D67*E67,0)</f>
        <v/>
      </c>
      <c r="I67" s="130" t="n"/>
      <c r="J67" s="130">
        <f>IFERROR(D67*F67*E67,0)</f>
        <v/>
      </c>
      <c r="K67" s="104" t="n"/>
      <c r="L67" s="104" t="n"/>
      <c r="M67" s="104" t="n"/>
      <c r="N67" s="104" t="n"/>
      <c r="O67" s="104" t="n"/>
      <c r="P67" s="104" t="n"/>
      <c r="Q67" s="104" t="n"/>
      <c r="R67" s="130">
        <f>IF(C67="Owned",0,IF(B67&lt;&gt;"",2500,0))</f>
        <v/>
      </c>
      <c r="S67" s="130">
        <f>SUM(K67:R67)</f>
        <v/>
      </c>
      <c r="T67" s="130">
        <f>I67-S67</f>
        <v/>
      </c>
      <c r="U67" s="105">
        <f>IFERROR(T67/I67,0)</f>
        <v/>
      </c>
    </row>
    <row r="68" ht="14.25" customHeight="1" s="83">
      <c r="A68" s="125" t="n"/>
      <c r="B68" s="103" t="n"/>
      <c r="C68" s="170">
        <f>IFERROR(_xlfn.XLOOKUP(B68,DormRegistry[Dorm Name],DormRegistry[Ownership Type]),"")</f>
        <v/>
      </c>
      <c r="D68" s="170">
        <f>IFERROR(_xlfn.XLOOKUP(B68,DormRegistry[Dorm Name],DormRegistry[Bed Capacity]),0)</f>
        <v/>
      </c>
      <c r="E68" s="130">
        <f>IF(A68="","",$B$6*(1+$B$8)^(YEAR(A68)-YEAR(StartDate)))</f>
        <v/>
      </c>
      <c r="F68" s="105">
        <f>$B$7</f>
        <v/>
      </c>
      <c r="G68" s="105">
        <f>$B$8</f>
        <v/>
      </c>
      <c r="H68" s="130">
        <f>IFERROR(D68*E68,0)</f>
        <v/>
      </c>
      <c r="I68" s="130" t="n"/>
      <c r="J68" s="130">
        <f>IFERROR(D68*F68*E68,0)</f>
        <v/>
      </c>
      <c r="K68" s="104" t="n"/>
      <c r="L68" s="104" t="n"/>
      <c r="M68" s="104" t="n"/>
      <c r="N68" s="104" t="n"/>
      <c r="O68" s="104" t="n"/>
      <c r="P68" s="104" t="n"/>
      <c r="Q68" s="104" t="n"/>
      <c r="R68" s="130">
        <f>IF(C68="Owned",0,IF(B68&lt;&gt;"",2500,0))</f>
        <v/>
      </c>
      <c r="S68" s="130">
        <f>SUM(K68:R68)</f>
        <v/>
      </c>
      <c r="T68" s="130">
        <f>I68-S68</f>
        <v/>
      </c>
      <c r="U68" s="105">
        <f>IFERROR(T68/I68,0)</f>
        <v/>
      </c>
    </row>
    <row r="69" ht="14.25" customHeight="1" s="83">
      <c r="A69" s="125" t="n"/>
      <c r="B69" s="103" t="n"/>
      <c r="C69" s="170">
        <f>IFERROR(_xlfn.XLOOKUP(B69,DormRegistry[Dorm Name],DormRegistry[Ownership Type]),"")</f>
        <v/>
      </c>
      <c r="D69" s="170">
        <f>IFERROR(_xlfn.XLOOKUP(B69,DormRegistry[Dorm Name],DormRegistry[Bed Capacity]),0)</f>
        <v/>
      </c>
      <c r="E69" s="130">
        <f>IF(A69="","",$B$6*(1+$B$8)^(YEAR(A69)-YEAR(StartDate)))</f>
        <v/>
      </c>
      <c r="F69" s="105">
        <f>$B$7</f>
        <v/>
      </c>
      <c r="G69" s="105">
        <f>$B$8</f>
        <v/>
      </c>
      <c r="H69" s="130">
        <f>IFERROR(D69*E69,0)</f>
        <v/>
      </c>
      <c r="I69" s="130" t="n"/>
      <c r="J69" s="130">
        <f>IFERROR(D69*F69*E69,0)</f>
        <v/>
      </c>
      <c r="K69" s="104" t="n"/>
      <c r="L69" s="104" t="n"/>
      <c r="M69" s="104" t="n"/>
      <c r="N69" s="104" t="n"/>
      <c r="O69" s="104" t="n"/>
      <c r="P69" s="104" t="n"/>
      <c r="Q69" s="104" t="n"/>
      <c r="R69" s="130">
        <f>IF(C69="Owned",0,IF(B69&lt;&gt;"",2500,0))</f>
        <v/>
      </c>
      <c r="S69" s="130">
        <f>SUM(K69:R69)</f>
        <v/>
      </c>
      <c r="T69" s="130">
        <f>I69-S69</f>
        <v/>
      </c>
      <c r="U69" s="105">
        <f>IFERROR(T69/I69,0)</f>
        <v/>
      </c>
    </row>
    <row r="70" ht="14.25" customHeight="1" s="83">
      <c r="A70" s="125" t="n"/>
      <c r="B70" s="103" t="n"/>
      <c r="C70" s="170">
        <f>IFERROR(_xlfn.XLOOKUP(B70,DormRegistry[Dorm Name],DormRegistry[Ownership Type]),"")</f>
        <v/>
      </c>
      <c r="D70" s="170">
        <f>IFERROR(_xlfn.XLOOKUP(B70,DormRegistry[Dorm Name],DormRegistry[Bed Capacity]),0)</f>
        <v/>
      </c>
      <c r="E70" s="130">
        <f>IF(A70="","",$B$6*(1+$B$8)^(YEAR(A70)-YEAR(StartDate)))</f>
        <v/>
      </c>
      <c r="F70" s="105">
        <f>$B$7</f>
        <v/>
      </c>
      <c r="G70" s="105">
        <f>$B$8</f>
        <v/>
      </c>
      <c r="H70" s="130">
        <f>IFERROR(D70*E70,0)</f>
        <v/>
      </c>
      <c r="I70" s="130" t="n"/>
      <c r="J70" s="130">
        <f>IFERROR(D70*F70*E70,0)</f>
        <v/>
      </c>
      <c r="K70" s="104" t="n"/>
      <c r="L70" s="104" t="n"/>
      <c r="M70" s="104" t="n"/>
      <c r="N70" s="104" t="n"/>
      <c r="O70" s="104" t="n"/>
      <c r="P70" s="104" t="n"/>
      <c r="Q70" s="104" t="n"/>
      <c r="R70" s="130">
        <f>IF(C70="Owned",0,IF(B70&lt;&gt;"",2500,0))</f>
        <v/>
      </c>
      <c r="S70" s="130">
        <f>SUM(K70:R70)</f>
        <v/>
      </c>
      <c r="T70" s="130">
        <f>I70-S70</f>
        <v/>
      </c>
      <c r="U70" s="105">
        <f>IFERROR(T70/I70,0)</f>
        <v/>
      </c>
    </row>
    <row r="71" ht="14.25" customHeight="1" s="83">
      <c r="A71" s="125" t="n"/>
      <c r="B71" s="103" t="n"/>
      <c r="C71" s="170">
        <f>IFERROR(_xlfn.XLOOKUP(B71,DormRegistry[Dorm Name],DormRegistry[Ownership Type]),"")</f>
        <v/>
      </c>
      <c r="D71" s="170">
        <f>IFERROR(_xlfn.XLOOKUP(B71,DormRegistry[Dorm Name],DormRegistry[Bed Capacity]),0)</f>
        <v/>
      </c>
      <c r="E71" s="130">
        <f>IF(A71="","",$B$6*(1+$B$8)^(YEAR(A71)-YEAR(StartDate)))</f>
        <v/>
      </c>
      <c r="F71" s="105">
        <f>$B$7</f>
        <v/>
      </c>
      <c r="G71" s="105">
        <f>$B$8</f>
        <v/>
      </c>
      <c r="H71" s="130">
        <f>IFERROR(D71*E71,0)</f>
        <v/>
      </c>
      <c r="I71" s="130" t="n"/>
      <c r="J71" s="130">
        <f>IFERROR(D71*F71*E71,0)</f>
        <v/>
      </c>
      <c r="K71" s="104" t="n"/>
      <c r="L71" s="104" t="n"/>
      <c r="M71" s="104" t="n"/>
      <c r="N71" s="104" t="n"/>
      <c r="O71" s="104" t="n"/>
      <c r="P71" s="104" t="n"/>
      <c r="Q71" s="104" t="n"/>
      <c r="R71" s="130">
        <f>IF(C71="Owned",0,IF(B71&lt;&gt;"",2500,0))</f>
        <v/>
      </c>
      <c r="S71" s="130">
        <f>SUM(K71:R71)</f>
        <v/>
      </c>
      <c r="T71" s="130">
        <f>I71-S71</f>
        <v/>
      </c>
      <c r="U71" s="105">
        <f>IFERROR(T71/I71,0)</f>
        <v/>
      </c>
    </row>
    <row r="72" ht="14.25" customHeight="1" s="83">
      <c r="A72" s="125" t="n"/>
      <c r="B72" s="103" t="n"/>
      <c r="C72" s="170">
        <f>IFERROR(_xlfn.XLOOKUP(B72,DormRegistry[Dorm Name],DormRegistry[Ownership Type]),"")</f>
        <v/>
      </c>
      <c r="D72" s="170">
        <f>IFERROR(_xlfn.XLOOKUP(B72,DormRegistry[Dorm Name],DormRegistry[Bed Capacity]),0)</f>
        <v/>
      </c>
      <c r="E72" s="130">
        <f>IF(A72="","",$B$6*(1+$B$8)^(YEAR(A72)-YEAR(StartDate)))</f>
        <v/>
      </c>
      <c r="F72" s="105">
        <f>$B$7</f>
        <v/>
      </c>
      <c r="G72" s="105">
        <f>$B$8</f>
        <v/>
      </c>
      <c r="H72" s="130">
        <f>IFERROR(D72*E72,0)</f>
        <v/>
      </c>
      <c r="I72" s="130" t="n"/>
      <c r="J72" s="130">
        <f>IFERROR(D72*F72*E72,0)</f>
        <v/>
      </c>
      <c r="K72" s="104" t="n"/>
      <c r="L72" s="104" t="n"/>
      <c r="M72" s="104" t="n"/>
      <c r="N72" s="104" t="n"/>
      <c r="O72" s="104" t="n"/>
      <c r="P72" s="104" t="n"/>
      <c r="Q72" s="104" t="n"/>
      <c r="R72" s="130">
        <f>IF(C72="Owned",0,IF(B72&lt;&gt;"",2500,0))</f>
        <v/>
      </c>
      <c r="S72" s="130">
        <f>SUM(K72:R72)</f>
        <v/>
      </c>
      <c r="T72" s="130">
        <f>I72-S72</f>
        <v/>
      </c>
      <c r="U72" s="105">
        <f>IFERROR(T72/I72,0)</f>
        <v/>
      </c>
    </row>
    <row r="73" ht="14.25" customHeight="1" s="83">
      <c r="A73" s="125" t="n"/>
      <c r="B73" s="103" t="n"/>
      <c r="C73" s="170">
        <f>IFERROR(_xlfn.XLOOKUP(B73,DormRegistry[Dorm Name],DormRegistry[Ownership Type]),"")</f>
        <v/>
      </c>
      <c r="D73" s="170">
        <f>IFERROR(_xlfn.XLOOKUP(B73,DormRegistry[Dorm Name],DormRegistry[Bed Capacity]),0)</f>
        <v/>
      </c>
      <c r="E73" s="130">
        <f>IF(A73="","",$B$6*(1+$B$8)^(YEAR(A73)-YEAR(StartDate)))</f>
        <v/>
      </c>
      <c r="F73" s="105">
        <f>$B$7</f>
        <v/>
      </c>
      <c r="G73" s="105">
        <f>$B$8</f>
        <v/>
      </c>
      <c r="H73" s="130">
        <f>IFERROR(D73*E73,0)</f>
        <v/>
      </c>
      <c r="I73" s="130" t="n"/>
      <c r="J73" s="130">
        <f>IFERROR(D73*F73*E73,0)</f>
        <v/>
      </c>
      <c r="K73" s="104" t="n"/>
      <c r="L73" s="104" t="n"/>
      <c r="M73" s="104" t="n"/>
      <c r="N73" s="104" t="n"/>
      <c r="O73" s="104" t="n"/>
      <c r="P73" s="104" t="n"/>
      <c r="Q73" s="104" t="n"/>
      <c r="R73" s="130">
        <f>IF(C73="Owned",0,IF(B73&lt;&gt;"",2500,0))</f>
        <v/>
      </c>
      <c r="S73" s="130">
        <f>SUM(K73:R73)</f>
        <v/>
      </c>
      <c r="T73" s="130">
        <f>I73-S73</f>
        <v/>
      </c>
      <c r="U73" s="105">
        <f>IFERROR(T73/I73,0)</f>
        <v/>
      </c>
    </row>
    <row r="74" ht="14.25" customHeight="1" s="83">
      <c r="A74" s="125" t="n"/>
      <c r="B74" s="103" t="n"/>
      <c r="C74" s="170">
        <f>IFERROR(_xlfn.XLOOKUP(B74,DormRegistry[Dorm Name],DormRegistry[Ownership Type]),"")</f>
        <v/>
      </c>
      <c r="D74" s="170">
        <f>IFERROR(_xlfn.XLOOKUP(B74,DormRegistry[Dorm Name],DormRegistry[Bed Capacity]),0)</f>
        <v/>
      </c>
      <c r="E74" s="130">
        <f>IF(A74="","",$B$6*(1+$B$8)^(YEAR(A74)-YEAR(StartDate)))</f>
        <v/>
      </c>
      <c r="F74" s="105">
        <f>$B$7</f>
        <v/>
      </c>
      <c r="G74" s="105">
        <f>$B$8</f>
        <v/>
      </c>
      <c r="H74" s="130">
        <f>IFERROR(D74*E74,0)</f>
        <v/>
      </c>
      <c r="I74" s="130" t="n"/>
      <c r="J74" s="130">
        <f>IFERROR(D74*F74*E74,0)</f>
        <v/>
      </c>
      <c r="K74" s="104" t="n"/>
      <c r="L74" s="104" t="n"/>
      <c r="M74" s="104" t="n"/>
      <c r="N74" s="104" t="n"/>
      <c r="O74" s="104" t="n"/>
      <c r="P74" s="104" t="n"/>
      <c r="Q74" s="104" t="n"/>
      <c r="R74" s="130">
        <f>IF(C74="Owned",0,IF(B74&lt;&gt;"",2500,0))</f>
        <v/>
      </c>
      <c r="S74" s="130">
        <f>SUM(K74:R74)</f>
        <v/>
      </c>
      <c r="T74" s="130">
        <f>I74-S74</f>
        <v/>
      </c>
      <c r="U74" s="105">
        <f>IFERROR(T74/I74,0)</f>
        <v/>
      </c>
    </row>
    <row r="75" ht="14.25" customHeight="1" s="83">
      <c r="A75" s="125" t="n"/>
      <c r="B75" s="103" t="n"/>
      <c r="C75" s="170">
        <f>IFERROR(_xlfn.XLOOKUP(B75,DormRegistry[Dorm Name],DormRegistry[Ownership Type]),"")</f>
        <v/>
      </c>
      <c r="D75" s="170">
        <f>IFERROR(_xlfn.XLOOKUP(B75,DormRegistry[Dorm Name],DormRegistry[Bed Capacity]),0)</f>
        <v/>
      </c>
      <c r="E75" s="130">
        <f>IF(A75="","",$B$6*(1+$B$8)^(YEAR(A75)-YEAR(StartDate)))</f>
        <v/>
      </c>
      <c r="F75" s="105">
        <f>$B$7</f>
        <v/>
      </c>
      <c r="G75" s="105">
        <f>$B$8</f>
        <v/>
      </c>
      <c r="H75" s="130">
        <f>IFERROR(D75*E75,0)</f>
        <v/>
      </c>
      <c r="I75" s="130" t="n"/>
      <c r="J75" s="130">
        <f>IFERROR(D75*F75*E75,0)</f>
        <v/>
      </c>
      <c r="K75" s="104" t="n"/>
      <c r="L75" s="104" t="n"/>
      <c r="M75" s="104" t="n"/>
      <c r="N75" s="104" t="n"/>
      <c r="O75" s="104" t="n"/>
      <c r="P75" s="104" t="n"/>
      <c r="Q75" s="104" t="n"/>
      <c r="R75" s="130">
        <f>IF(C75="Owned",0,IF(B75&lt;&gt;"",2500,0))</f>
        <v/>
      </c>
      <c r="S75" s="130">
        <f>SUM(K75:R75)</f>
        <v/>
      </c>
      <c r="T75" s="130">
        <f>I75-S75</f>
        <v/>
      </c>
      <c r="U75" s="105">
        <f>IFERROR(T75/I75,0)</f>
        <v/>
      </c>
    </row>
    <row r="76" ht="14.25" customHeight="1" s="83">
      <c r="A76" s="125" t="n"/>
      <c r="B76" s="103" t="n"/>
      <c r="C76" s="170">
        <f>IFERROR(_xlfn.XLOOKUP(B76,DormRegistry[Dorm Name],DormRegistry[Ownership Type]),"")</f>
        <v/>
      </c>
      <c r="D76" s="170">
        <f>IFERROR(_xlfn.XLOOKUP(B76,DormRegistry[Dorm Name],DormRegistry[Bed Capacity]),0)</f>
        <v/>
      </c>
      <c r="E76" s="130">
        <f>IF(A76="","",$B$6*(1+$B$8)^(YEAR(A76)-YEAR(StartDate)))</f>
        <v/>
      </c>
      <c r="F76" s="105">
        <f>$B$7</f>
        <v/>
      </c>
      <c r="G76" s="105">
        <f>$B$8</f>
        <v/>
      </c>
      <c r="H76" s="130">
        <f>IFERROR(D76*E76,0)</f>
        <v/>
      </c>
      <c r="I76" s="130" t="n"/>
      <c r="J76" s="130">
        <f>IFERROR(D76*F76*E76,0)</f>
        <v/>
      </c>
      <c r="K76" s="104" t="n"/>
      <c r="L76" s="104" t="n"/>
      <c r="M76" s="104" t="n"/>
      <c r="N76" s="104" t="n"/>
      <c r="O76" s="104" t="n"/>
      <c r="P76" s="104" t="n"/>
      <c r="Q76" s="104" t="n"/>
      <c r="R76" s="130">
        <f>IF(C76="Owned",0,IF(B76&lt;&gt;"",2500,0))</f>
        <v/>
      </c>
      <c r="S76" s="130">
        <f>SUM(K76:R76)</f>
        <v/>
      </c>
      <c r="T76" s="130">
        <f>I76-S76</f>
        <v/>
      </c>
      <c r="U76" s="105">
        <f>IFERROR(T76/I76,0)</f>
        <v/>
      </c>
    </row>
    <row r="77" ht="14.25" customHeight="1" s="83">
      <c r="A77" s="125" t="n"/>
      <c r="B77" s="103" t="n"/>
      <c r="C77" s="170">
        <f>IFERROR(_xlfn.XLOOKUP(B77,DormRegistry[Dorm Name],DormRegistry[Ownership Type]),"")</f>
        <v/>
      </c>
      <c r="D77" s="170">
        <f>IFERROR(_xlfn.XLOOKUP(B77,DormRegistry[Dorm Name],DormRegistry[Bed Capacity]),0)</f>
        <v/>
      </c>
      <c r="E77" s="130">
        <f>IF(A77="","",$B$6*(1+$B$8)^(YEAR(A77)-YEAR(StartDate)))</f>
        <v/>
      </c>
      <c r="F77" s="105">
        <f>$B$7</f>
        <v/>
      </c>
      <c r="G77" s="105">
        <f>$B$8</f>
        <v/>
      </c>
      <c r="H77" s="130">
        <f>IFERROR(D77*E77,0)</f>
        <v/>
      </c>
      <c r="I77" s="130" t="n"/>
      <c r="J77" s="130">
        <f>IFERROR(D77*F77*E77,0)</f>
        <v/>
      </c>
      <c r="K77" s="104" t="n"/>
      <c r="L77" s="104" t="n"/>
      <c r="M77" s="104" t="n"/>
      <c r="N77" s="104" t="n"/>
      <c r="O77" s="104" t="n"/>
      <c r="P77" s="104" t="n"/>
      <c r="Q77" s="104" t="n"/>
      <c r="R77" s="130">
        <f>IF(C77="Owned",0,IF(B77&lt;&gt;"",2500,0))</f>
        <v/>
      </c>
      <c r="S77" s="130">
        <f>SUM(K77:R77)</f>
        <v/>
      </c>
      <c r="T77" s="130">
        <f>I77-S77</f>
        <v/>
      </c>
      <c r="U77" s="105">
        <f>IFERROR(T77/I77,0)</f>
        <v/>
      </c>
    </row>
    <row r="78" ht="14.25" customHeight="1" s="83">
      <c r="A78" s="125" t="n"/>
      <c r="B78" s="103" t="n"/>
      <c r="C78" s="170">
        <f>IFERROR(_xlfn.XLOOKUP(B78,DormRegistry[Dorm Name],DormRegistry[Ownership Type]),"")</f>
        <v/>
      </c>
      <c r="D78" s="170">
        <f>IFERROR(_xlfn.XLOOKUP(B78,DormRegistry[Dorm Name],DormRegistry[Bed Capacity]),0)</f>
        <v/>
      </c>
      <c r="E78" s="130">
        <f>IF(A78="","",$B$6*(1+$B$8)^(YEAR(A78)-YEAR(StartDate)))</f>
        <v/>
      </c>
      <c r="F78" s="105">
        <f>$B$7</f>
        <v/>
      </c>
      <c r="G78" s="105">
        <f>$B$8</f>
        <v/>
      </c>
      <c r="H78" s="130">
        <f>IFERROR(D78*E78,0)</f>
        <v/>
      </c>
      <c r="I78" s="130" t="n"/>
      <c r="J78" s="130">
        <f>IFERROR(D78*F78*E78,0)</f>
        <v/>
      </c>
      <c r="K78" s="104" t="n"/>
      <c r="L78" s="104" t="n"/>
      <c r="M78" s="104" t="n"/>
      <c r="N78" s="104" t="n"/>
      <c r="O78" s="104" t="n"/>
      <c r="P78" s="104" t="n"/>
      <c r="Q78" s="104" t="n"/>
      <c r="R78" s="130">
        <f>IF(C78="Owned",0,IF(B78&lt;&gt;"",2500,0))</f>
        <v/>
      </c>
      <c r="S78" s="130">
        <f>SUM(K78:R78)</f>
        <v/>
      </c>
      <c r="T78" s="130">
        <f>I78-S78</f>
        <v/>
      </c>
      <c r="U78" s="105">
        <f>IFERROR(T78/I78,0)</f>
        <v/>
      </c>
    </row>
    <row r="79" ht="14.25" customHeight="1" s="83">
      <c r="A79" s="125" t="n"/>
      <c r="B79" s="103" t="n"/>
      <c r="C79" s="170">
        <f>IFERROR(_xlfn.XLOOKUP(B79,DormRegistry[Dorm Name],DormRegistry[Ownership Type]),"")</f>
        <v/>
      </c>
      <c r="D79" s="170">
        <f>IFERROR(_xlfn.XLOOKUP(B79,DormRegistry[Dorm Name],DormRegistry[Bed Capacity]),0)</f>
        <v/>
      </c>
      <c r="E79" s="130">
        <f>IF(A79="","",$B$6*(1+$B$8)^(YEAR(A79)-YEAR(StartDate)))</f>
        <v/>
      </c>
      <c r="F79" s="105">
        <f>$B$7</f>
        <v/>
      </c>
      <c r="G79" s="105">
        <f>$B$8</f>
        <v/>
      </c>
      <c r="H79" s="130">
        <f>IFERROR(D79*E79,0)</f>
        <v/>
      </c>
      <c r="I79" s="130" t="n"/>
      <c r="J79" s="130">
        <f>IFERROR(D79*F79*E79,0)</f>
        <v/>
      </c>
      <c r="K79" s="104" t="n"/>
      <c r="L79" s="104" t="n"/>
      <c r="M79" s="104" t="n"/>
      <c r="N79" s="104" t="n"/>
      <c r="O79" s="104" t="n"/>
      <c r="P79" s="104" t="n"/>
      <c r="Q79" s="104" t="n"/>
      <c r="R79" s="130">
        <f>IF(C79="Owned",0,IF(B79&lt;&gt;"",2500,0))</f>
        <v/>
      </c>
      <c r="S79" s="130">
        <f>SUM(K79:R79)</f>
        <v/>
      </c>
      <c r="T79" s="130">
        <f>I79-S79</f>
        <v/>
      </c>
      <c r="U79" s="105">
        <f>IFERROR(T79/I79,0)</f>
        <v/>
      </c>
    </row>
    <row r="80" ht="14.25" customHeight="1" s="83">
      <c r="A80" s="125" t="n"/>
      <c r="B80" s="103" t="n"/>
      <c r="C80" s="170">
        <f>IFERROR(_xlfn.XLOOKUP(B80,DormRegistry[Dorm Name],DormRegistry[Ownership Type]),"")</f>
        <v/>
      </c>
      <c r="D80" s="170">
        <f>IFERROR(_xlfn.XLOOKUP(B80,DormRegistry[Dorm Name],DormRegistry[Bed Capacity]),0)</f>
        <v/>
      </c>
      <c r="E80" s="130">
        <f>IF(A80="","",$B$6*(1+$B$8)^(YEAR(A80)-YEAR(StartDate)))</f>
        <v/>
      </c>
      <c r="F80" s="105">
        <f>$B$7</f>
        <v/>
      </c>
      <c r="G80" s="105">
        <f>$B$8</f>
        <v/>
      </c>
      <c r="H80" s="130">
        <f>IFERROR(D80*E80,0)</f>
        <v/>
      </c>
      <c r="I80" s="130" t="n"/>
      <c r="J80" s="130">
        <f>IFERROR(D80*F80*E80,0)</f>
        <v/>
      </c>
      <c r="K80" s="104" t="n"/>
      <c r="L80" s="104" t="n"/>
      <c r="M80" s="104" t="n"/>
      <c r="N80" s="104" t="n"/>
      <c r="O80" s="104" t="n"/>
      <c r="P80" s="104" t="n"/>
      <c r="Q80" s="104" t="n"/>
      <c r="R80" s="130">
        <f>IF(C80="Owned",0,IF(B80&lt;&gt;"",2500,0))</f>
        <v/>
      </c>
      <c r="S80" s="130">
        <f>SUM(K80:R80)</f>
        <v/>
      </c>
      <c r="T80" s="130">
        <f>I80-S80</f>
        <v/>
      </c>
      <c r="U80" s="105">
        <f>IFERROR(T80/I80,0)</f>
        <v/>
      </c>
    </row>
    <row r="81" ht="14.25" customHeight="1" s="83">
      <c r="A81" s="125" t="n"/>
      <c r="B81" s="103" t="n"/>
      <c r="C81" s="170">
        <f>IFERROR(_xlfn.XLOOKUP(B81,DormRegistry[Dorm Name],DormRegistry[Ownership Type]),"")</f>
        <v/>
      </c>
      <c r="D81" s="170">
        <f>IFERROR(_xlfn.XLOOKUP(B81,DormRegistry[Dorm Name],DormRegistry[Bed Capacity]),0)</f>
        <v/>
      </c>
      <c r="E81" s="130">
        <f>IF(A81="","",$B$6*(1+$B$8)^(YEAR(A81)-YEAR(StartDate)))</f>
        <v/>
      </c>
      <c r="F81" s="105">
        <f>$B$7</f>
        <v/>
      </c>
      <c r="G81" s="105">
        <f>$B$8</f>
        <v/>
      </c>
      <c r="H81" s="130">
        <f>IFERROR(D81*E81,0)</f>
        <v/>
      </c>
      <c r="I81" s="130" t="n"/>
      <c r="J81" s="130">
        <f>IFERROR(D81*F81*E81,0)</f>
        <v/>
      </c>
      <c r="K81" s="104" t="n"/>
      <c r="L81" s="104" t="n"/>
      <c r="M81" s="104" t="n"/>
      <c r="N81" s="104" t="n"/>
      <c r="O81" s="104" t="n"/>
      <c r="P81" s="104" t="n"/>
      <c r="Q81" s="104" t="n"/>
      <c r="R81" s="130">
        <f>IF(C81="Owned",0,IF(B81&lt;&gt;"",2500,0))</f>
        <v/>
      </c>
      <c r="S81" s="130">
        <f>SUM(K81:R81)</f>
        <v/>
      </c>
      <c r="T81" s="130">
        <f>I81-S81</f>
        <v/>
      </c>
      <c r="U81" s="105">
        <f>IFERROR(T81/I81,0)</f>
        <v/>
      </c>
    </row>
    <row r="82" ht="14.25" customHeight="1" s="83">
      <c r="A82" s="125" t="n"/>
      <c r="B82" s="103" t="n"/>
      <c r="C82" s="170">
        <f>IFERROR(_xlfn.XLOOKUP(B82,DormRegistry[Dorm Name],DormRegistry[Ownership Type]),"")</f>
        <v/>
      </c>
      <c r="D82" s="170">
        <f>IFERROR(_xlfn.XLOOKUP(B82,DormRegistry[Dorm Name],DormRegistry[Bed Capacity]),0)</f>
        <v/>
      </c>
      <c r="E82" s="130">
        <f>IF(A82="","",$B$6*(1+$B$8)^(YEAR(A82)-YEAR(StartDate)))</f>
        <v/>
      </c>
      <c r="F82" s="105">
        <f>$B$7</f>
        <v/>
      </c>
      <c r="G82" s="105">
        <f>$B$8</f>
        <v/>
      </c>
      <c r="H82" s="130">
        <f>IFERROR(D82*E82,0)</f>
        <v/>
      </c>
      <c r="I82" s="130" t="n"/>
      <c r="J82" s="130">
        <f>IFERROR(D82*F82*E82,0)</f>
        <v/>
      </c>
      <c r="K82" s="104" t="n"/>
      <c r="L82" s="104" t="n"/>
      <c r="M82" s="104" t="n"/>
      <c r="N82" s="104" t="n"/>
      <c r="O82" s="104" t="n"/>
      <c r="P82" s="104" t="n"/>
      <c r="Q82" s="104" t="n"/>
      <c r="R82" s="130">
        <f>IF(C82="Owned",0,IF(B82&lt;&gt;"",2500,0))</f>
        <v/>
      </c>
      <c r="S82" s="130">
        <f>SUM(K82:R82)</f>
        <v/>
      </c>
      <c r="T82" s="130">
        <f>I82-S82</f>
        <v/>
      </c>
      <c r="U82" s="105">
        <f>IFERROR(T82/I82,0)</f>
        <v/>
      </c>
    </row>
    <row r="83" ht="14.25" customHeight="1" s="83">
      <c r="A83" s="125" t="n"/>
      <c r="B83" s="103" t="n"/>
      <c r="C83" s="170">
        <f>IFERROR(_xlfn.XLOOKUP(B83,DormRegistry[Dorm Name],DormRegistry[Ownership Type]),"")</f>
        <v/>
      </c>
      <c r="D83" s="170">
        <f>IFERROR(_xlfn.XLOOKUP(B83,DormRegistry[Dorm Name],DormRegistry[Bed Capacity]),0)</f>
        <v/>
      </c>
      <c r="E83" s="130">
        <f>IF(A83="","",$B$6*(1+$B$8)^(YEAR(A83)-YEAR(StartDate)))</f>
        <v/>
      </c>
      <c r="F83" s="105">
        <f>$B$7</f>
        <v/>
      </c>
      <c r="G83" s="105">
        <f>$B$8</f>
        <v/>
      </c>
      <c r="H83" s="130">
        <f>IFERROR(D83*E83,0)</f>
        <v/>
      </c>
      <c r="I83" s="130" t="n"/>
      <c r="J83" s="130">
        <f>IFERROR(D83*F83*E83,0)</f>
        <v/>
      </c>
      <c r="K83" s="104" t="n"/>
      <c r="L83" s="104" t="n"/>
      <c r="M83" s="104" t="n"/>
      <c r="N83" s="104" t="n"/>
      <c r="O83" s="104" t="n"/>
      <c r="P83" s="104" t="n"/>
      <c r="Q83" s="104" t="n"/>
      <c r="R83" s="130">
        <f>IF(C83="Owned",0,IF(B83&lt;&gt;"",2500,0))</f>
        <v/>
      </c>
      <c r="S83" s="130">
        <f>SUM(K83:R83)</f>
        <v/>
      </c>
      <c r="T83" s="130">
        <f>I83-S83</f>
        <v/>
      </c>
      <c r="U83" s="105">
        <f>IFERROR(T83/I83,0)</f>
        <v/>
      </c>
    </row>
    <row r="84" ht="14.25" customHeight="1" s="83">
      <c r="A84" s="125" t="n"/>
      <c r="B84" s="103" t="n"/>
      <c r="C84" s="170">
        <f>IFERROR(_xlfn.XLOOKUP(B84,DormRegistry[Dorm Name],DormRegistry[Ownership Type]),"")</f>
        <v/>
      </c>
      <c r="D84" s="170">
        <f>IFERROR(_xlfn.XLOOKUP(B84,DormRegistry[Dorm Name],DormRegistry[Bed Capacity]),0)</f>
        <v/>
      </c>
      <c r="E84" s="130">
        <f>IF(A84="","",$B$6*(1+$B$8)^(YEAR(A84)-YEAR(StartDate)))</f>
        <v/>
      </c>
      <c r="F84" s="105">
        <f>$B$7</f>
        <v/>
      </c>
      <c r="G84" s="105">
        <f>$B$8</f>
        <v/>
      </c>
      <c r="H84" s="130">
        <f>IFERROR(D84*E84,0)</f>
        <v/>
      </c>
      <c r="I84" s="130" t="n"/>
      <c r="J84" s="130">
        <f>IFERROR(D84*F84*E84,0)</f>
        <v/>
      </c>
      <c r="K84" s="104" t="n"/>
      <c r="L84" s="104" t="n"/>
      <c r="M84" s="104" t="n"/>
      <c r="N84" s="104" t="n"/>
      <c r="O84" s="104" t="n"/>
      <c r="P84" s="104" t="n"/>
      <c r="Q84" s="104" t="n"/>
      <c r="R84" s="130">
        <f>IF(C84="Owned",0,IF(B84&lt;&gt;"",2500,0))</f>
        <v/>
      </c>
      <c r="S84" s="130">
        <f>SUM(K84:R84)</f>
        <v/>
      </c>
      <c r="T84" s="130">
        <f>I84-S84</f>
        <v/>
      </c>
      <c r="U84" s="105">
        <f>IFERROR(T84/I84,0)</f>
        <v/>
      </c>
    </row>
    <row r="85" ht="14.25" customHeight="1" s="83">
      <c r="A85" s="125" t="n"/>
      <c r="B85" s="103" t="n"/>
      <c r="C85" s="170">
        <f>IFERROR(_xlfn.XLOOKUP(B85,DormRegistry[Dorm Name],DormRegistry[Ownership Type]),"")</f>
        <v/>
      </c>
      <c r="D85" s="170">
        <f>IFERROR(_xlfn.XLOOKUP(B85,DormRegistry[Dorm Name],DormRegistry[Bed Capacity]),0)</f>
        <v/>
      </c>
      <c r="E85" s="130">
        <f>IF(A85="","",$B$6*(1+$B$8)^(YEAR(A85)-YEAR(StartDate)))</f>
        <v/>
      </c>
      <c r="F85" s="105">
        <f>$B$7</f>
        <v/>
      </c>
      <c r="G85" s="105">
        <f>$B$8</f>
        <v/>
      </c>
      <c r="H85" s="130">
        <f>IFERROR(D85*E85,0)</f>
        <v/>
      </c>
      <c r="I85" s="130" t="n"/>
      <c r="J85" s="130">
        <f>IFERROR(D85*F85*E85,0)</f>
        <v/>
      </c>
      <c r="K85" s="104" t="n"/>
      <c r="L85" s="104" t="n"/>
      <c r="M85" s="104" t="n"/>
      <c r="N85" s="104" t="n"/>
      <c r="O85" s="104" t="n"/>
      <c r="P85" s="104" t="n"/>
      <c r="Q85" s="104" t="n"/>
      <c r="R85" s="130">
        <f>IF(C85="Owned",0,IF(B85&lt;&gt;"",2500,0))</f>
        <v/>
      </c>
      <c r="S85" s="130">
        <f>SUM(K85:R85)</f>
        <v/>
      </c>
      <c r="T85" s="130">
        <f>I85-S85</f>
        <v/>
      </c>
      <c r="U85" s="105">
        <f>IFERROR(T85/I85,0)</f>
        <v/>
      </c>
    </row>
    <row r="86" ht="14.25" customHeight="1" s="83">
      <c r="A86" s="125" t="n"/>
      <c r="B86" s="103" t="n"/>
      <c r="C86" s="170">
        <f>IFERROR(_xlfn.XLOOKUP(B86,DormRegistry[Dorm Name],DormRegistry[Ownership Type]),"")</f>
        <v/>
      </c>
      <c r="D86" s="170">
        <f>IFERROR(_xlfn.XLOOKUP(B86,DormRegistry[Dorm Name],DormRegistry[Bed Capacity]),0)</f>
        <v/>
      </c>
      <c r="E86" s="130">
        <f>IF(A86="","",$B$6*(1+$B$8)^(YEAR(A86)-YEAR(StartDate)))</f>
        <v/>
      </c>
      <c r="F86" s="105">
        <f>$B$7</f>
        <v/>
      </c>
      <c r="G86" s="105">
        <f>$B$8</f>
        <v/>
      </c>
      <c r="H86" s="130">
        <f>IFERROR(D86*E86,0)</f>
        <v/>
      </c>
      <c r="I86" s="130" t="n"/>
      <c r="J86" s="130">
        <f>IFERROR(D86*F86*E86,0)</f>
        <v/>
      </c>
      <c r="K86" s="104" t="n"/>
      <c r="L86" s="104" t="n"/>
      <c r="M86" s="104" t="n"/>
      <c r="N86" s="104" t="n"/>
      <c r="O86" s="104" t="n"/>
      <c r="P86" s="104" t="n"/>
      <c r="Q86" s="104" t="n"/>
      <c r="R86" s="130">
        <f>IF(C86="Owned",0,IF(B86&lt;&gt;"",2500,0))</f>
        <v/>
      </c>
      <c r="S86" s="130">
        <f>SUM(K86:R86)</f>
        <v/>
      </c>
      <c r="T86" s="130">
        <f>I86-S86</f>
        <v/>
      </c>
      <c r="U86" s="105">
        <f>IFERROR(T86/I86,0)</f>
        <v/>
      </c>
    </row>
    <row r="87" ht="14.25" customHeight="1" s="83">
      <c r="A87" s="125" t="n"/>
      <c r="B87" s="103" t="n"/>
      <c r="C87" s="170">
        <f>IFERROR(_xlfn.XLOOKUP(B87,DormRegistry[Dorm Name],DormRegistry[Ownership Type]),"")</f>
        <v/>
      </c>
      <c r="D87" s="170">
        <f>IFERROR(_xlfn.XLOOKUP(B87,DormRegistry[Dorm Name],DormRegistry[Bed Capacity]),0)</f>
        <v/>
      </c>
      <c r="E87" s="130">
        <f>IF(A87="","",$B$6*(1+$B$8)^(YEAR(A87)-YEAR(StartDate)))</f>
        <v/>
      </c>
      <c r="F87" s="105">
        <f>$B$7</f>
        <v/>
      </c>
      <c r="G87" s="105">
        <f>$B$8</f>
        <v/>
      </c>
      <c r="H87" s="130">
        <f>IFERROR(D87*E87,0)</f>
        <v/>
      </c>
      <c r="I87" s="130" t="n"/>
      <c r="J87" s="130">
        <f>IFERROR(D87*F87*E87,0)</f>
        <v/>
      </c>
      <c r="K87" s="104" t="n"/>
      <c r="L87" s="104" t="n"/>
      <c r="M87" s="104" t="n"/>
      <c r="N87" s="104" t="n"/>
      <c r="O87" s="104" t="n"/>
      <c r="P87" s="104" t="n"/>
      <c r="Q87" s="104" t="n"/>
      <c r="R87" s="130">
        <f>IF(C87="Owned",0,IF(B87&lt;&gt;"",2500,0))</f>
        <v/>
      </c>
      <c r="S87" s="130">
        <f>SUM(K87:R87)</f>
        <v/>
      </c>
      <c r="T87" s="130">
        <f>I87-S87</f>
        <v/>
      </c>
      <c r="U87" s="105">
        <f>IFERROR(T87/I87,0)</f>
        <v/>
      </c>
    </row>
    <row r="88" ht="14.25" customHeight="1" s="83">
      <c r="A88" s="125" t="n"/>
      <c r="B88" s="103" t="n"/>
      <c r="C88" s="170">
        <f>IFERROR(_xlfn.XLOOKUP(B88,DormRegistry[Dorm Name],DormRegistry[Ownership Type]),"")</f>
        <v/>
      </c>
      <c r="D88" s="170">
        <f>IFERROR(_xlfn.XLOOKUP(B88,DormRegistry[Dorm Name],DormRegistry[Bed Capacity]),0)</f>
        <v/>
      </c>
      <c r="E88" s="130">
        <f>IF(A88="","",$B$6*(1+$B$8)^(YEAR(A88)-YEAR(StartDate)))</f>
        <v/>
      </c>
      <c r="F88" s="105">
        <f>$B$7</f>
        <v/>
      </c>
      <c r="G88" s="105">
        <f>$B$8</f>
        <v/>
      </c>
      <c r="H88" s="130">
        <f>IFERROR(D88*E88,0)</f>
        <v/>
      </c>
      <c r="I88" s="130" t="n"/>
      <c r="J88" s="130">
        <f>IFERROR(D88*F88*E88,0)</f>
        <v/>
      </c>
      <c r="K88" s="104" t="n"/>
      <c r="L88" s="104" t="n"/>
      <c r="M88" s="104" t="n"/>
      <c r="N88" s="104" t="n"/>
      <c r="O88" s="104" t="n"/>
      <c r="P88" s="104" t="n"/>
      <c r="Q88" s="104" t="n"/>
      <c r="R88" s="130">
        <f>IF(C88="Owned",0,IF(B88&lt;&gt;"",2500,0))</f>
        <v/>
      </c>
      <c r="S88" s="130">
        <f>SUM(K88:R88)</f>
        <v/>
      </c>
      <c r="T88" s="130">
        <f>I88-S88</f>
        <v/>
      </c>
      <c r="U88" s="105">
        <f>IFERROR(T88/I88,0)</f>
        <v/>
      </c>
    </row>
    <row r="89" ht="14.25" customHeight="1" s="83">
      <c r="A89" s="125" t="n"/>
      <c r="B89" s="103" t="n"/>
      <c r="C89" s="170">
        <f>IFERROR(_xlfn.XLOOKUP(B89,DormRegistry[Dorm Name],DormRegistry[Ownership Type]),"")</f>
        <v/>
      </c>
      <c r="D89" s="170">
        <f>IFERROR(_xlfn.XLOOKUP(B89,DormRegistry[Dorm Name],DormRegistry[Bed Capacity]),0)</f>
        <v/>
      </c>
      <c r="E89" s="130">
        <f>IF(A89="","",$B$6*(1+$B$8)^(YEAR(A89)-YEAR(StartDate)))</f>
        <v/>
      </c>
      <c r="F89" s="105">
        <f>$B$7</f>
        <v/>
      </c>
      <c r="G89" s="105">
        <f>$B$8</f>
        <v/>
      </c>
      <c r="H89" s="130">
        <f>IFERROR(D89*E89,0)</f>
        <v/>
      </c>
      <c r="I89" s="130" t="n"/>
      <c r="J89" s="130">
        <f>IFERROR(D89*F89*E89,0)</f>
        <v/>
      </c>
      <c r="K89" s="104" t="n"/>
      <c r="L89" s="104" t="n"/>
      <c r="M89" s="104" t="n"/>
      <c r="N89" s="104" t="n"/>
      <c r="O89" s="104" t="n"/>
      <c r="P89" s="104" t="n"/>
      <c r="Q89" s="104" t="n"/>
      <c r="R89" s="130">
        <f>IF(C89="Owned",0,IF(B89&lt;&gt;"",2500,0))</f>
        <v/>
      </c>
      <c r="S89" s="130">
        <f>SUM(K89:R89)</f>
        <v/>
      </c>
      <c r="T89" s="130">
        <f>I89-S89</f>
        <v/>
      </c>
      <c r="U89" s="105">
        <f>IFERROR(T89/I89,0)</f>
        <v/>
      </c>
    </row>
    <row r="90" ht="14.25" customHeight="1" s="83">
      <c r="A90" s="125" t="n"/>
      <c r="B90" s="103" t="n"/>
      <c r="C90" s="170">
        <f>IFERROR(_xlfn.XLOOKUP(B90,DormRegistry[Dorm Name],DormRegistry[Ownership Type]),"")</f>
        <v/>
      </c>
      <c r="D90" s="170">
        <f>IFERROR(_xlfn.XLOOKUP(B90,DormRegistry[Dorm Name],DormRegistry[Bed Capacity]),0)</f>
        <v/>
      </c>
      <c r="E90" s="130">
        <f>IF(A90="","",$B$6*(1+$B$8)^(YEAR(A90)-YEAR(StartDate)))</f>
        <v/>
      </c>
      <c r="F90" s="105">
        <f>$B$7</f>
        <v/>
      </c>
      <c r="G90" s="105">
        <f>$B$8</f>
        <v/>
      </c>
      <c r="H90" s="130">
        <f>IFERROR(D90*E90,0)</f>
        <v/>
      </c>
      <c r="I90" s="130" t="n"/>
      <c r="J90" s="130">
        <f>IFERROR(D90*F90*E90,0)</f>
        <v/>
      </c>
      <c r="K90" s="104" t="n"/>
      <c r="L90" s="104" t="n"/>
      <c r="M90" s="104" t="n"/>
      <c r="N90" s="104" t="n"/>
      <c r="O90" s="104" t="n"/>
      <c r="P90" s="104" t="n"/>
      <c r="Q90" s="104" t="n"/>
      <c r="R90" s="130">
        <f>IF(C90="Owned",0,IF(B90&lt;&gt;"",2500,0))</f>
        <v/>
      </c>
      <c r="S90" s="130">
        <f>SUM(K90:R90)</f>
        <v/>
      </c>
      <c r="T90" s="130">
        <f>I90-S90</f>
        <v/>
      </c>
      <c r="U90" s="105">
        <f>IFERROR(T90/I90,0)</f>
        <v/>
      </c>
    </row>
    <row r="91" ht="14.25" customHeight="1" s="83">
      <c r="A91" s="125" t="n"/>
      <c r="B91" s="103" t="n"/>
      <c r="C91" s="170">
        <f>IFERROR(_xlfn.XLOOKUP(B91,DormRegistry[Dorm Name],DormRegistry[Ownership Type]),"")</f>
        <v/>
      </c>
      <c r="D91" s="170">
        <f>IFERROR(_xlfn.XLOOKUP(B91,DormRegistry[Dorm Name],DormRegistry[Bed Capacity]),0)</f>
        <v/>
      </c>
      <c r="E91" s="130">
        <f>IF(A91="","",$B$6*(1+$B$8)^(YEAR(A91)-YEAR(StartDate)))</f>
        <v/>
      </c>
      <c r="F91" s="105">
        <f>$B$7</f>
        <v/>
      </c>
      <c r="G91" s="105">
        <f>$B$8</f>
        <v/>
      </c>
      <c r="H91" s="130">
        <f>IFERROR(D91*E91,0)</f>
        <v/>
      </c>
      <c r="I91" s="130" t="n"/>
      <c r="J91" s="130">
        <f>IFERROR(D91*F91*E91,0)</f>
        <v/>
      </c>
      <c r="K91" s="104" t="n"/>
      <c r="L91" s="104" t="n"/>
      <c r="M91" s="104" t="n"/>
      <c r="N91" s="104" t="n"/>
      <c r="O91" s="104" t="n"/>
      <c r="P91" s="104" t="n"/>
      <c r="Q91" s="104" t="n"/>
      <c r="R91" s="130">
        <f>IF(C91="Owned",0,IF(B91&lt;&gt;"",2500,0))</f>
        <v/>
      </c>
      <c r="S91" s="130">
        <f>SUM(K91:R91)</f>
        <v/>
      </c>
      <c r="T91" s="130">
        <f>I91-S91</f>
        <v/>
      </c>
      <c r="U91" s="105">
        <f>IFERROR(T91/I91,0)</f>
        <v/>
      </c>
    </row>
    <row r="92" ht="14.25" customHeight="1" s="83">
      <c r="A92" s="125" t="n"/>
      <c r="B92" s="103" t="n"/>
      <c r="C92" s="170">
        <f>IFERROR(_xlfn.XLOOKUP(B92,DormRegistry[Dorm Name],DormRegistry[Ownership Type]),"")</f>
        <v/>
      </c>
      <c r="D92" s="170">
        <f>IFERROR(_xlfn.XLOOKUP(B92,DormRegistry[Dorm Name],DormRegistry[Bed Capacity]),0)</f>
        <v/>
      </c>
      <c r="E92" s="130">
        <f>IF(A92="","",$B$6*(1+$B$8)^(YEAR(A92)-YEAR(StartDate)))</f>
        <v/>
      </c>
      <c r="F92" s="105">
        <f>$B$7</f>
        <v/>
      </c>
      <c r="G92" s="105">
        <f>$B$8</f>
        <v/>
      </c>
      <c r="H92" s="130">
        <f>IFERROR(D92*E92,0)</f>
        <v/>
      </c>
      <c r="I92" s="130" t="n"/>
      <c r="J92" s="130">
        <f>IFERROR(D92*F92*E92,0)</f>
        <v/>
      </c>
      <c r="K92" s="104" t="n"/>
      <c r="L92" s="104" t="n"/>
      <c r="M92" s="104" t="n"/>
      <c r="N92" s="104" t="n"/>
      <c r="O92" s="104" t="n"/>
      <c r="P92" s="104" t="n"/>
      <c r="Q92" s="104" t="n"/>
      <c r="R92" s="130">
        <f>IF(C92="Owned",0,IF(B92&lt;&gt;"",2500,0))</f>
        <v/>
      </c>
      <c r="S92" s="130">
        <f>SUM(K92:R92)</f>
        <v/>
      </c>
      <c r="T92" s="130">
        <f>I92-S92</f>
        <v/>
      </c>
      <c r="U92" s="105">
        <f>IFERROR(T92/I92,0)</f>
        <v/>
      </c>
    </row>
    <row r="93" ht="14.25" customHeight="1" s="83">
      <c r="A93" s="125" t="n"/>
      <c r="B93" s="103" t="n"/>
      <c r="C93" s="170">
        <f>IFERROR(_xlfn.XLOOKUP(B93,DormRegistry[Dorm Name],DormRegistry[Ownership Type]),"")</f>
        <v/>
      </c>
      <c r="D93" s="170">
        <f>IFERROR(_xlfn.XLOOKUP(B93,DormRegistry[Dorm Name],DormRegistry[Bed Capacity]),0)</f>
        <v/>
      </c>
      <c r="E93" s="130">
        <f>IF(A93="","",$B$6*(1+$B$8)^(YEAR(A93)-YEAR(StartDate)))</f>
        <v/>
      </c>
      <c r="F93" s="105">
        <f>$B$7</f>
        <v/>
      </c>
      <c r="G93" s="105">
        <f>$B$8</f>
        <v/>
      </c>
      <c r="H93" s="130">
        <f>IFERROR(D93*E93,0)</f>
        <v/>
      </c>
      <c r="I93" s="130" t="n"/>
      <c r="J93" s="130">
        <f>IFERROR(D93*F93*E93,0)</f>
        <v/>
      </c>
      <c r="K93" s="104" t="n"/>
      <c r="L93" s="104" t="n"/>
      <c r="M93" s="104" t="n"/>
      <c r="N93" s="104" t="n"/>
      <c r="O93" s="104" t="n"/>
      <c r="P93" s="104" t="n"/>
      <c r="Q93" s="104" t="n"/>
      <c r="R93" s="130">
        <f>IF(C93="Owned",0,IF(B93&lt;&gt;"",2500,0))</f>
        <v/>
      </c>
      <c r="S93" s="130">
        <f>SUM(K93:R93)</f>
        <v/>
      </c>
      <c r="T93" s="130">
        <f>I93-S93</f>
        <v/>
      </c>
      <c r="U93" s="105">
        <f>IFERROR(T93/I93,0)</f>
        <v/>
      </c>
    </row>
    <row r="94" ht="14.25" customHeight="1" s="83">
      <c r="A94" s="125" t="n"/>
      <c r="B94" s="103" t="n"/>
      <c r="C94" s="170">
        <f>IFERROR(_xlfn.XLOOKUP(B94,DormRegistry[Dorm Name],DormRegistry[Ownership Type]),"")</f>
        <v/>
      </c>
      <c r="D94" s="170">
        <f>IFERROR(_xlfn.XLOOKUP(B94,DormRegistry[Dorm Name],DormRegistry[Bed Capacity]),0)</f>
        <v/>
      </c>
      <c r="E94" s="130">
        <f>IF(A94="","",$B$6*(1+$B$8)^(YEAR(A94)-YEAR(StartDate)))</f>
        <v/>
      </c>
      <c r="F94" s="105">
        <f>$B$7</f>
        <v/>
      </c>
      <c r="G94" s="105">
        <f>$B$8</f>
        <v/>
      </c>
      <c r="H94" s="130">
        <f>IFERROR(D94*E94,0)</f>
        <v/>
      </c>
      <c r="I94" s="130" t="n"/>
      <c r="J94" s="130">
        <f>IFERROR(D94*F94*E94,0)</f>
        <v/>
      </c>
      <c r="K94" s="104" t="n"/>
      <c r="L94" s="104" t="n"/>
      <c r="M94" s="104" t="n"/>
      <c r="N94" s="104" t="n"/>
      <c r="O94" s="104" t="n"/>
      <c r="P94" s="104" t="n"/>
      <c r="Q94" s="104" t="n"/>
      <c r="R94" s="130">
        <f>IF(C94="Owned",0,IF(B94&lt;&gt;"",2500,0))</f>
        <v/>
      </c>
      <c r="S94" s="130">
        <f>SUM(K94:R94)</f>
        <v/>
      </c>
      <c r="T94" s="130">
        <f>I94-S94</f>
        <v/>
      </c>
      <c r="U94" s="105">
        <f>IFERROR(T94/I94,0)</f>
        <v/>
      </c>
    </row>
    <row r="95" ht="14.25" customHeight="1" s="83">
      <c r="A95" s="125" t="n"/>
      <c r="B95" s="103" t="n"/>
      <c r="C95" s="170">
        <f>IFERROR(_xlfn.XLOOKUP(B95,DormRegistry[Dorm Name],DormRegistry[Ownership Type]),"")</f>
        <v/>
      </c>
      <c r="D95" s="170">
        <f>IFERROR(_xlfn.XLOOKUP(B95,DormRegistry[Dorm Name],DormRegistry[Bed Capacity]),0)</f>
        <v/>
      </c>
      <c r="E95" s="130">
        <f>IF(A95="","",$B$6*(1+$B$8)^(YEAR(A95)-YEAR(StartDate)))</f>
        <v/>
      </c>
      <c r="F95" s="105">
        <f>$B$7</f>
        <v/>
      </c>
      <c r="G95" s="105">
        <f>$B$8</f>
        <v/>
      </c>
      <c r="H95" s="130">
        <f>IFERROR(D95*E95,0)</f>
        <v/>
      </c>
      <c r="I95" s="130" t="n"/>
      <c r="J95" s="130">
        <f>IFERROR(D95*F95*E95,0)</f>
        <v/>
      </c>
      <c r="K95" s="104" t="n"/>
      <c r="L95" s="104" t="n"/>
      <c r="M95" s="104" t="n"/>
      <c r="N95" s="104" t="n"/>
      <c r="O95" s="104" t="n"/>
      <c r="P95" s="104" t="n"/>
      <c r="Q95" s="104" t="n"/>
      <c r="R95" s="130">
        <f>IF(C95="Owned",0,IF(B95&lt;&gt;"",2500,0))</f>
        <v/>
      </c>
      <c r="S95" s="130">
        <f>SUM(K95:R95)</f>
        <v/>
      </c>
      <c r="T95" s="130">
        <f>I95-S95</f>
        <v/>
      </c>
      <c r="U95" s="105">
        <f>IFERROR(T95/I95,0)</f>
        <v/>
      </c>
    </row>
    <row r="96" ht="14.25" customHeight="1" s="83">
      <c r="A96" s="125" t="n"/>
      <c r="B96" s="103" t="n"/>
      <c r="C96" s="170">
        <f>IFERROR(_xlfn.XLOOKUP(B96,DormRegistry[Dorm Name],DormRegistry[Ownership Type]),"")</f>
        <v/>
      </c>
      <c r="D96" s="170">
        <f>IFERROR(_xlfn.XLOOKUP(B96,DormRegistry[Dorm Name],DormRegistry[Bed Capacity]),0)</f>
        <v/>
      </c>
      <c r="E96" s="130">
        <f>IF(A96="","",$B$6*(1+$B$8)^(YEAR(A96)-YEAR(StartDate)))</f>
        <v/>
      </c>
      <c r="F96" s="105">
        <f>$B$7</f>
        <v/>
      </c>
      <c r="G96" s="105">
        <f>$B$8</f>
        <v/>
      </c>
      <c r="H96" s="130">
        <f>IFERROR(D96*E96,0)</f>
        <v/>
      </c>
      <c r="I96" s="130" t="n"/>
      <c r="J96" s="130">
        <f>IFERROR(D96*F96*E96,0)</f>
        <v/>
      </c>
      <c r="K96" s="104" t="n"/>
      <c r="L96" s="104" t="n"/>
      <c r="M96" s="104" t="n"/>
      <c r="N96" s="104" t="n"/>
      <c r="O96" s="104" t="n"/>
      <c r="P96" s="104" t="n"/>
      <c r="Q96" s="104" t="n"/>
      <c r="R96" s="130">
        <f>IF(C96="Owned",0,IF(B96&lt;&gt;"",2500,0))</f>
        <v/>
      </c>
      <c r="S96" s="130">
        <f>SUM(K96:R96)</f>
        <v/>
      </c>
      <c r="T96" s="130">
        <f>I96-S96</f>
        <v/>
      </c>
      <c r="U96" s="105">
        <f>IFERROR(T96/I96,0)</f>
        <v/>
      </c>
    </row>
    <row r="97" ht="14.25" customHeight="1" s="83">
      <c r="A97" s="125" t="n"/>
      <c r="B97" s="103" t="n"/>
      <c r="C97" s="170">
        <f>IFERROR(_xlfn.XLOOKUP(B97,DormRegistry[Dorm Name],DormRegistry[Ownership Type]),"")</f>
        <v/>
      </c>
      <c r="D97" s="170">
        <f>IFERROR(_xlfn.XLOOKUP(B97,DormRegistry[Dorm Name],DormRegistry[Bed Capacity]),0)</f>
        <v/>
      </c>
      <c r="E97" s="130">
        <f>IF(A97="","",$B$6*(1+$B$8)^(YEAR(A97)-YEAR(StartDate)))</f>
        <v/>
      </c>
      <c r="F97" s="105">
        <f>$B$7</f>
        <v/>
      </c>
      <c r="G97" s="105">
        <f>$B$8</f>
        <v/>
      </c>
      <c r="H97" s="130">
        <f>IFERROR(D97*E97,0)</f>
        <v/>
      </c>
      <c r="I97" s="130" t="n"/>
      <c r="J97" s="130">
        <f>IFERROR(D97*F97*E97,0)</f>
        <v/>
      </c>
      <c r="K97" s="104" t="n"/>
      <c r="L97" s="104" t="n"/>
      <c r="M97" s="104" t="n"/>
      <c r="N97" s="104" t="n"/>
      <c r="O97" s="104" t="n"/>
      <c r="P97" s="104" t="n"/>
      <c r="Q97" s="104" t="n"/>
      <c r="R97" s="130">
        <f>IF(C97="Owned",0,IF(B97&lt;&gt;"",2500,0))</f>
        <v/>
      </c>
      <c r="S97" s="130">
        <f>SUM(K97:R97)</f>
        <v/>
      </c>
      <c r="T97" s="130">
        <f>I97-S97</f>
        <v/>
      </c>
      <c r="U97" s="105">
        <f>IFERROR(T97/I97,0)</f>
        <v/>
      </c>
    </row>
    <row r="98" ht="14.25" customHeight="1" s="83">
      <c r="A98" s="125" t="n"/>
      <c r="B98" s="103" t="n"/>
      <c r="C98" s="170">
        <f>IFERROR(_xlfn.XLOOKUP(B98,DormRegistry[Dorm Name],DormRegistry[Ownership Type]),"")</f>
        <v/>
      </c>
      <c r="D98" s="170">
        <f>IFERROR(_xlfn.XLOOKUP(B98,DormRegistry[Dorm Name],DormRegistry[Bed Capacity]),0)</f>
        <v/>
      </c>
      <c r="E98" s="130">
        <f>IF(A98="","",$B$6*(1+$B$8)^(YEAR(A98)-YEAR(StartDate)))</f>
        <v/>
      </c>
      <c r="F98" s="105">
        <f>$B$7</f>
        <v/>
      </c>
      <c r="G98" s="105">
        <f>$B$8</f>
        <v/>
      </c>
      <c r="H98" s="130">
        <f>IFERROR(D98*E98,0)</f>
        <v/>
      </c>
      <c r="I98" s="130" t="n"/>
      <c r="J98" s="130">
        <f>IFERROR(D98*F98*E98,0)</f>
        <v/>
      </c>
      <c r="K98" s="104" t="n"/>
      <c r="L98" s="104" t="n"/>
      <c r="M98" s="104" t="n"/>
      <c r="N98" s="104" t="n"/>
      <c r="O98" s="104" t="n"/>
      <c r="P98" s="104" t="n"/>
      <c r="Q98" s="104" t="n"/>
      <c r="R98" s="130">
        <f>IF(C98="Owned",0,IF(B98&lt;&gt;"",2500,0))</f>
        <v/>
      </c>
      <c r="S98" s="130">
        <f>SUM(K98:R98)</f>
        <v/>
      </c>
      <c r="T98" s="130">
        <f>I98-S98</f>
        <v/>
      </c>
      <c r="U98" s="105">
        <f>IFERROR(T98/I98,0)</f>
        <v/>
      </c>
    </row>
    <row r="99" ht="14.25" customHeight="1" s="83">
      <c r="A99" s="125" t="n"/>
      <c r="B99" s="103" t="n"/>
      <c r="C99" s="170">
        <f>IFERROR(_xlfn.XLOOKUP(B99,DormRegistry[Dorm Name],DormRegistry[Ownership Type]),"")</f>
        <v/>
      </c>
      <c r="D99" s="170">
        <f>IFERROR(_xlfn.XLOOKUP(B99,DormRegistry[Dorm Name],DormRegistry[Bed Capacity]),0)</f>
        <v/>
      </c>
      <c r="E99" s="130">
        <f>IF(A99="","",$B$6*(1+$B$8)^(YEAR(A99)-YEAR(StartDate)))</f>
        <v/>
      </c>
      <c r="F99" s="105">
        <f>$B$7</f>
        <v/>
      </c>
      <c r="G99" s="105">
        <f>$B$8</f>
        <v/>
      </c>
      <c r="H99" s="130">
        <f>IFERROR(D99*E99,0)</f>
        <v/>
      </c>
      <c r="I99" s="130" t="n"/>
      <c r="J99" s="130">
        <f>IFERROR(D99*F99*E99,0)</f>
        <v/>
      </c>
      <c r="K99" s="104" t="n"/>
      <c r="L99" s="104" t="n"/>
      <c r="M99" s="104" t="n"/>
      <c r="N99" s="104" t="n"/>
      <c r="O99" s="104" t="n"/>
      <c r="P99" s="104" t="n"/>
      <c r="Q99" s="104" t="n"/>
      <c r="R99" s="130">
        <f>IF(C99="Owned",0,IF(B99&lt;&gt;"",2500,0))</f>
        <v/>
      </c>
      <c r="S99" s="130">
        <f>SUM(K99:R99)</f>
        <v/>
      </c>
      <c r="T99" s="130">
        <f>I99-S99</f>
        <v/>
      </c>
      <c r="U99" s="105">
        <f>IFERROR(T99/I99,0)</f>
        <v/>
      </c>
    </row>
    <row r="100" ht="14.25" customHeight="1" s="83">
      <c r="A100" s="125" t="n"/>
      <c r="B100" s="103" t="n"/>
      <c r="C100" s="170">
        <f>IFERROR(_xlfn.XLOOKUP(B100,DormRegistry[Dorm Name],DormRegistry[Ownership Type]),"")</f>
        <v/>
      </c>
      <c r="D100" s="170">
        <f>IFERROR(_xlfn.XLOOKUP(B100,DormRegistry[Dorm Name],DormRegistry[Bed Capacity]),0)</f>
        <v/>
      </c>
      <c r="E100" s="130">
        <f>IF(A100="","",$B$6*(1+$B$8)^(YEAR(A100)-YEAR(StartDate)))</f>
        <v/>
      </c>
      <c r="F100" s="105">
        <f>$B$7</f>
        <v/>
      </c>
      <c r="G100" s="105">
        <f>$B$8</f>
        <v/>
      </c>
      <c r="H100" s="130">
        <f>IFERROR(D100*E100,0)</f>
        <v/>
      </c>
      <c r="I100" s="130" t="n"/>
      <c r="J100" s="130">
        <f>IFERROR(D100*F100*E100,0)</f>
        <v/>
      </c>
      <c r="K100" s="104" t="n"/>
      <c r="L100" s="104" t="n"/>
      <c r="M100" s="104" t="n"/>
      <c r="N100" s="104" t="n"/>
      <c r="O100" s="104" t="n"/>
      <c r="P100" s="104" t="n"/>
      <c r="Q100" s="104" t="n"/>
      <c r="R100" s="130">
        <f>IF(C100="Owned",0,IF(B100&lt;&gt;"",2500,0))</f>
        <v/>
      </c>
      <c r="S100" s="130">
        <f>SUM(K100:R100)</f>
        <v/>
      </c>
      <c r="T100" s="130">
        <f>I100-S100</f>
        <v/>
      </c>
      <c r="U100" s="105">
        <f>IFERROR(T100/I100,0)</f>
        <v/>
      </c>
    </row>
    <row r="101" ht="14.25" customHeight="1" s="83">
      <c r="A101" s="125" t="n"/>
      <c r="B101" s="103" t="n"/>
      <c r="C101" s="170">
        <f>IFERROR(_xlfn.XLOOKUP(B101,DormRegistry[Dorm Name],DormRegistry[Ownership Type]),"")</f>
        <v/>
      </c>
      <c r="D101" s="170">
        <f>IFERROR(_xlfn.XLOOKUP(B101,DormRegistry[Dorm Name],DormRegistry[Bed Capacity]),0)</f>
        <v/>
      </c>
      <c r="E101" s="130">
        <f>IF(A101="","",$B$6*(1+$B$8)^(YEAR(A101)-YEAR(StartDate)))</f>
        <v/>
      </c>
      <c r="F101" s="105">
        <f>$B$7</f>
        <v/>
      </c>
      <c r="G101" s="105">
        <f>$B$8</f>
        <v/>
      </c>
      <c r="H101" s="130">
        <f>IFERROR(D101*E101,0)</f>
        <v/>
      </c>
      <c r="I101" s="130" t="n"/>
      <c r="J101" s="130">
        <f>IFERROR(D101*F101*E101,0)</f>
        <v/>
      </c>
      <c r="K101" s="104" t="n"/>
      <c r="L101" s="104" t="n"/>
      <c r="M101" s="104" t="n"/>
      <c r="N101" s="104" t="n"/>
      <c r="O101" s="104" t="n"/>
      <c r="P101" s="104" t="n"/>
      <c r="Q101" s="104" t="n"/>
      <c r="R101" s="130">
        <f>IF(C101="Owned",0,IF(B101&lt;&gt;"",2500,0))</f>
        <v/>
      </c>
      <c r="S101" s="130">
        <f>SUM(K101:R101)</f>
        <v/>
      </c>
      <c r="T101" s="130">
        <f>I101-S101</f>
        <v/>
      </c>
      <c r="U101" s="105">
        <f>IFERROR(T101/I101,0)</f>
        <v/>
      </c>
    </row>
    <row r="102" ht="14.25" customHeight="1" s="83">
      <c r="A102" s="125" t="n"/>
      <c r="B102" s="103" t="n"/>
      <c r="C102" s="170">
        <f>IFERROR(_xlfn.XLOOKUP(B102,DormRegistry[Dorm Name],DormRegistry[Ownership Type]),"")</f>
        <v/>
      </c>
      <c r="D102" s="170">
        <f>IFERROR(_xlfn.XLOOKUP(B102,DormRegistry[Dorm Name],DormRegistry[Bed Capacity]),0)</f>
        <v/>
      </c>
      <c r="E102" s="130">
        <f>IF(A102="","",$B$6*(1+$B$8)^(YEAR(A102)-YEAR(StartDate)))</f>
        <v/>
      </c>
      <c r="F102" s="105">
        <f>$B$7</f>
        <v/>
      </c>
      <c r="G102" s="105">
        <f>$B$8</f>
        <v/>
      </c>
      <c r="H102" s="130">
        <f>IFERROR(D102*E102,0)</f>
        <v/>
      </c>
      <c r="I102" s="130" t="n"/>
      <c r="J102" s="130">
        <f>IFERROR(D102*F102*E102,0)</f>
        <v/>
      </c>
      <c r="K102" s="104" t="n"/>
      <c r="L102" s="104" t="n"/>
      <c r="M102" s="104" t="n"/>
      <c r="N102" s="104" t="n"/>
      <c r="O102" s="104" t="n"/>
      <c r="P102" s="104" t="n"/>
      <c r="Q102" s="104" t="n"/>
      <c r="R102" s="130">
        <f>IF(C102="Owned",0,IF(B102&lt;&gt;"",2500,0))</f>
        <v/>
      </c>
      <c r="S102" s="130">
        <f>SUM(K102:R102)</f>
        <v/>
      </c>
      <c r="T102" s="130">
        <f>I102-S102</f>
        <v/>
      </c>
      <c r="U102" s="105">
        <f>IFERROR(T102/I102,0)</f>
        <v/>
      </c>
    </row>
    <row r="103" ht="14.25" customHeight="1" s="83">
      <c r="A103" s="125" t="n"/>
      <c r="B103" s="103" t="n"/>
      <c r="C103" s="170">
        <f>IFERROR(_xlfn.XLOOKUP(B103,DormRegistry[Dorm Name],DormRegistry[Ownership Type]),"")</f>
        <v/>
      </c>
      <c r="D103" s="170">
        <f>IFERROR(_xlfn.XLOOKUP(B103,DormRegistry[Dorm Name],DormRegistry[Bed Capacity]),0)</f>
        <v/>
      </c>
      <c r="E103" s="130">
        <f>IF(A103="","",$B$6*(1+$B$8)^(YEAR(A103)-YEAR(StartDate)))</f>
        <v/>
      </c>
      <c r="F103" s="105">
        <f>$B$7</f>
        <v/>
      </c>
      <c r="G103" s="105">
        <f>$B$8</f>
        <v/>
      </c>
      <c r="H103" s="130">
        <f>IFERROR(D103*E103,0)</f>
        <v/>
      </c>
      <c r="I103" s="130" t="n"/>
      <c r="J103" s="130">
        <f>IFERROR(D103*F103*E103,0)</f>
        <v/>
      </c>
      <c r="K103" s="104" t="n"/>
      <c r="L103" s="104" t="n"/>
      <c r="M103" s="104" t="n"/>
      <c r="N103" s="104" t="n"/>
      <c r="O103" s="104" t="n"/>
      <c r="P103" s="104" t="n"/>
      <c r="Q103" s="104" t="n"/>
      <c r="R103" s="130">
        <f>IF(C103="Owned",0,IF(B103&lt;&gt;"",2500,0))</f>
        <v/>
      </c>
      <c r="S103" s="130">
        <f>SUM(K103:R103)</f>
        <v/>
      </c>
      <c r="T103" s="130">
        <f>I103-S103</f>
        <v/>
      </c>
      <c r="U103" s="105">
        <f>IFERROR(T103/I103,0)</f>
        <v/>
      </c>
    </row>
    <row r="104" ht="14.25" customHeight="1" s="83">
      <c r="A104" s="125" t="n"/>
      <c r="B104" s="103" t="n"/>
      <c r="C104" s="170">
        <f>IFERROR(_xlfn.XLOOKUP(B104,DormRegistry[Dorm Name],DormRegistry[Ownership Type]),"")</f>
        <v/>
      </c>
      <c r="D104" s="170">
        <f>IFERROR(_xlfn.XLOOKUP(B104,DormRegistry[Dorm Name],DormRegistry[Bed Capacity]),0)</f>
        <v/>
      </c>
      <c r="E104" s="130">
        <f>IF(A104="","",$B$6*(1+$B$8)^(YEAR(A104)-YEAR(StartDate)))</f>
        <v/>
      </c>
      <c r="F104" s="105">
        <f>$B$7</f>
        <v/>
      </c>
      <c r="G104" s="105">
        <f>$B$8</f>
        <v/>
      </c>
      <c r="H104" s="130">
        <f>IFERROR(D104*E104,0)</f>
        <v/>
      </c>
      <c r="I104" s="130" t="n"/>
      <c r="J104" s="130">
        <f>IFERROR(D104*F104*E104,0)</f>
        <v/>
      </c>
      <c r="K104" s="104" t="n"/>
      <c r="L104" s="104" t="n"/>
      <c r="M104" s="104" t="n"/>
      <c r="N104" s="104" t="n"/>
      <c r="O104" s="104" t="n"/>
      <c r="P104" s="104" t="n"/>
      <c r="Q104" s="104" t="n"/>
      <c r="R104" s="130">
        <f>IF(C104="Owned",0,IF(B104&lt;&gt;"",2500,0))</f>
        <v/>
      </c>
      <c r="S104" s="130">
        <f>SUM(K104:R104)</f>
        <v/>
      </c>
      <c r="T104" s="130">
        <f>I104-S104</f>
        <v/>
      </c>
      <c r="U104" s="105">
        <f>IFERROR(T104/I104,0)</f>
        <v/>
      </c>
    </row>
    <row r="105" ht="14.25" customHeight="1" s="83">
      <c r="A105" s="125" t="n"/>
      <c r="B105" s="103" t="n"/>
      <c r="C105" s="170">
        <f>IFERROR(_xlfn.XLOOKUP(B105,DormRegistry[Dorm Name],DormRegistry[Ownership Type]),"")</f>
        <v/>
      </c>
      <c r="D105" s="170">
        <f>IFERROR(_xlfn.XLOOKUP(B105,DormRegistry[Dorm Name],DormRegistry[Bed Capacity]),0)</f>
        <v/>
      </c>
      <c r="E105" s="130">
        <f>IF(A105="","",$B$6*(1+$B$8)^(YEAR(A105)-YEAR(StartDate)))</f>
        <v/>
      </c>
      <c r="F105" s="105">
        <f>$B$7</f>
        <v/>
      </c>
      <c r="G105" s="105">
        <f>$B$8</f>
        <v/>
      </c>
      <c r="H105" s="130">
        <f>IFERROR(D105*E105,0)</f>
        <v/>
      </c>
      <c r="I105" s="130" t="n"/>
      <c r="J105" s="130">
        <f>IFERROR(D105*F105*E105,0)</f>
        <v/>
      </c>
      <c r="K105" s="104" t="n"/>
      <c r="L105" s="104" t="n"/>
      <c r="M105" s="104" t="n"/>
      <c r="N105" s="104" t="n"/>
      <c r="O105" s="104" t="n"/>
      <c r="P105" s="104" t="n"/>
      <c r="Q105" s="104" t="n"/>
      <c r="R105" s="130">
        <f>IF(C105="Owned",0,IF(B105&lt;&gt;"",2500,0))</f>
        <v/>
      </c>
      <c r="S105" s="130">
        <f>SUM(K105:R105)</f>
        <v/>
      </c>
      <c r="T105" s="130">
        <f>I105-S105</f>
        <v/>
      </c>
      <c r="U105" s="105">
        <f>IFERROR(T105/I105,0)</f>
        <v/>
      </c>
    </row>
    <row r="106" ht="14.25" customHeight="1" s="83">
      <c r="A106" s="125" t="n"/>
      <c r="B106" s="103" t="n"/>
      <c r="C106" s="170">
        <f>IFERROR(_xlfn.XLOOKUP(B106,DormRegistry[Dorm Name],DormRegistry[Ownership Type]),"")</f>
        <v/>
      </c>
      <c r="D106" s="170">
        <f>IFERROR(_xlfn.XLOOKUP(B106,DormRegistry[Dorm Name],DormRegistry[Bed Capacity]),0)</f>
        <v/>
      </c>
      <c r="E106" s="130">
        <f>IF(A106="","",$B$6*(1+$B$8)^(YEAR(A106)-YEAR(StartDate)))</f>
        <v/>
      </c>
      <c r="F106" s="105">
        <f>$B$7</f>
        <v/>
      </c>
      <c r="G106" s="105">
        <f>$B$8</f>
        <v/>
      </c>
      <c r="H106" s="130">
        <f>IFERROR(D106*E106,0)</f>
        <v/>
      </c>
      <c r="I106" s="130" t="n"/>
      <c r="J106" s="130">
        <f>IFERROR(D106*F106*E106,0)</f>
        <v/>
      </c>
      <c r="K106" s="104" t="n"/>
      <c r="L106" s="104" t="n"/>
      <c r="M106" s="104" t="n"/>
      <c r="N106" s="104" t="n"/>
      <c r="O106" s="104" t="n"/>
      <c r="P106" s="104" t="n"/>
      <c r="Q106" s="104" t="n"/>
      <c r="R106" s="130">
        <f>IF(C106="Owned",0,IF(B106&lt;&gt;"",2500,0))</f>
        <v/>
      </c>
      <c r="S106" s="130">
        <f>SUM(K106:R106)</f>
        <v/>
      </c>
      <c r="T106" s="130">
        <f>I106-S106</f>
        <v/>
      </c>
      <c r="U106" s="105">
        <f>IFERROR(T106/I106,0)</f>
        <v/>
      </c>
    </row>
    <row r="107" ht="14.25" customHeight="1" s="83">
      <c r="A107" s="125" t="n"/>
      <c r="B107" s="103" t="n"/>
      <c r="C107" s="170">
        <f>IFERROR(_xlfn.XLOOKUP(B107,DormRegistry[Dorm Name],DormRegistry[Ownership Type]),"")</f>
        <v/>
      </c>
      <c r="D107" s="170">
        <f>IFERROR(_xlfn.XLOOKUP(B107,DormRegistry[Dorm Name],DormRegistry[Bed Capacity]),0)</f>
        <v/>
      </c>
      <c r="E107" s="130">
        <f>IF(A107="","",$B$6*(1+$B$8)^(YEAR(A107)-YEAR(StartDate)))</f>
        <v/>
      </c>
      <c r="F107" s="105">
        <f>$B$7</f>
        <v/>
      </c>
      <c r="G107" s="105">
        <f>$B$8</f>
        <v/>
      </c>
      <c r="H107" s="130">
        <f>IFERROR(D107*E107,0)</f>
        <v/>
      </c>
      <c r="I107" s="130" t="n"/>
      <c r="J107" s="130">
        <f>IFERROR(D107*F107*E107,0)</f>
        <v/>
      </c>
      <c r="K107" s="104" t="n"/>
      <c r="L107" s="104" t="n"/>
      <c r="M107" s="104" t="n"/>
      <c r="N107" s="104" t="n"/>
      <c r="O107" s="104" t="n"/>
      <c r="P107" s="104" t="n"/>
      <c r="Q107" s="104" t="n"/>
      <c r="R107" s="130">
        <f>IF(C107="Owned",0,IF(B107&lt;&gt;"",2500,0))</f>
        <v/>
      </c>
      <c r="S107" s="130">
        <f>SUM(K107:R107)</f>
        <v/>
      </c>
      <c r="T107" s="130">
        <f>I107-S107</f>
        <v/>
      </c>
      <c r="U107" s="105">
        <f>IFERROR(T107/I107,0)</f>
        <v/>
      </c>
    </row>
    <row r="108" ht="14.25" customHeight="1" s="83">
      <c r="A108" s="125" t="n"/>
      <c r="B108" s="103" t="n"/>
      <c r="C108" s="170">
        <f>IFERROR(_xlfn.XLOOKUP(B108,DormRegistry[Dorm Name],DormRegistry[Ownership Type]),"")</f>
        <v/>
      </c>
      <c r="D108" s="170">
        <f>IFERROR(_xlfn.XLOOKUP(B108,DormRegistry[Dorm Name],DormRegistry[Bed Capacity]),0)</f>
        <v/>
      </c>
      <c r="E108" s="130">
        <f>IF(A108="","",$B$6*(1+$B$8)^(YEAR(A108)-YEAR(StartDate)))</f>
        <v/>
      </c>
      <c r="F108" s="105">
        <f>$B$7</f>
        <v/>
      </c>
      <c r="G108" s="105">
        <f>$B$8</f>
        <v/>
      </c>
      <c r="H108" s="130">
        <f>IFERROR(D108*E108,0)</f>
        <v/>
      </c>
      <c r="I108" s="130" t="n"/>
      <c r="J108" s="130">
        <f>IFERROR(D108*F108*E108,0)</f>
        <v/>
      </c>
      <c r="K108" s="104" t="n"/>
      <c r="L108" s="104" t="n"/>
      <c r="M108" s="104" t="n"/>
      <c r="N108" s="104" t="n"/>
      <c r="O108" s="104" t="n"/>
      <c r="P108" s="104" t="n"/>
      <c r="Q108" s="104" t="n"/>
      <c r="R108" s="130">
        <f>IF(C108="Owned",0,IF(B108&lt;&gt;"",2500,0))</f>
        <v/>
      </c>
      <c r="S108" s="130">
        <f>SUM(K108:R108)</f>
        <v/>
      </c>
      <c r="T108" s="130">
        <f>I108-S108</f>
        <v/>
      </c>
      <c r="U108" s="105">
        <f>IFERROR(T108/I108,0)</f>
        <v/>
      </c>
    </row>
    <row r="109" ht="14.25" customHeight="1" s="83">
      <c r="A109" s="125" t="n"/>
      <c r="B109" s="103" t="n"/>
      <c r="C109" s="170">
        <f>IFERROR(_xlfn.XLOOKUP(B109,DormRegistry[Dorm Name],DormRegistry[Ownership Type]),"")</f>
        <v/>
      </c>
      <c r="D109" s="170">
        <f>IFERROR(_xlfn.XLOOKUP(B109,DormRegistry[Dorm Name],DormRegistry[Bed Capacity]),0)</f>
        <v/>
      </c>
      <c r="E109" s="130">
        <f>IF(A109="","",$B$6*(1+$B$8)^(YEAR(A109)-YEAR(StartDate)))</f>
        <v/>
      </c>
      <c r="F109" s="105">
        <f>$B$7</f>
        <v/>
      </c>
      <c r="G109" s="105">
        <f>$B$8</f>
        <v/>
      </c>
      <c r="H109" s="130">
        <f>IFERROR(D109*E109,0)</f>
        <v/>
      </c>
      <c r="I109" s="130" t="n"/>
      <c r="J109" s="130">
        <f>IFERROR(D109*F109*E109,0)</f>
        <v/>
      </c>
      <c r="K109" s="104" t="n"/>
      <c r="L109" s="104" t="n"/>
      <c r="M109" s="104" t="n"/>
      <c r="N109" s="104" t="n"/>
      <c r="O109" s="104" t="n"/>
      <c r="P109" s="104" t="n"/>
      <c r="Q109" s="104" t="n"/>
      <c r="R109" s="130">
        <f>IF(C109="Owned",0,IF(B109&lt;&gt;"",2500,0))</f>
        <v/>
      </c>
      <c r="S109" s="130">
        <f>SUM(K109:R109)</f>
        <v/>
      </c>
      <c r="T109" s="130">
        <f>I109-S109</f>
        <v/>
      </c>
      <c r="U109" s="105">
        <f>IFERROR(T109/I109,0)</f>
        <v/>
      </c>
    </row>
    <row r="110" ht="14.25" customHeight="1" s="83">
      <c r="A110" s="125" t="n"/>
      <c r="B110" s="103" t="n"/>
      <c r="C110" s="170">
        <f>IFERROR(_xlfn.XLOOKUP(B110,DormRegistry[Dorm Name],DormRegistry[Ownership Type]),"")</f>
        <v/>
      </c>
      <c r="D110" s="170">
        <f>IFERROR(_xlfn.XLOOKUP(B110,DormRegistry[Dorm Name],DormRegistry[Bed Capacity]),0)</f>
        <v/>
      </c>
      <c r="E110" s="130">
        <f>IF(A110="","",$B$6*(1+$B$8)^(YEAR(A110)-YEAR(StartDate)))</f>
        <v/>
      </c>
      <c r="F110" s="105">
        <f>$B$7</f>
        <v/>
      </c>
      <c r="G110" s="105">
        <f>$B$8</f>
        <v/>
      </c>
      <c r="H110" s="130">
        <f>IFERROR(D110*E110,0)</f>
        <v/>
      </c>
      <c r="I110" s="130" t="n"/>
      <c r="J110" s="130">
        <f>IFERROR(D110*F110*E110,0)</f>
        <v/>
      </c>
      <c r="K110" s="104" t="n"/>
      <c r="L110" s="104" t="n"/>
      <c r="M110" s="104" t="n"/>
      <c r="N110" s="104" t="n"/>
      <c r="O110" s="104" t="n"/>
      <c r="P110" s="104" t="n"/>
      <c r="Q110" s="104" t="n"/>
      <c r="R110" s="130">
        <f>IF(C110="Owned",0,IF(B110&lt;&gt;"",2500,0))</f>
        <v/>
      </c>
      <c r="S110" s="130">
        <f>SUM(K110:R110)</f>
        <v/>
      </c>
      <c r="T110" s="130">
        <f>I110-S110</f>
        <v/>
      </c>
      <c r="U110" s="105">
        <f>IFERROR(T110/I110,0)</f>
        <v/>
      </c>
    </row>
    <row r="111" ht="14.25" customHeight="1" s="83">
      <c r="A111" s="125" t="n"/>
      <c r="B111" s="103" t="n"/>
      <c r="C111" s="170">
        <f>IFERROR(_xlfn.XLOOKUP(B111,DormRegistry[Dorm Name],DormRegistry[Ownership Type]),"")</f>
        <v/>
      </c>
      <c r="D111" s="170">
        <f>IFERROR(_xlfn.XLOOKUP(B111,DormRegistry[Dorm Name],DormRegistry[Bed Capacity]),0)</f>
        <v/>
      </c>
      <c r="E111" s="130">
        <f>IF(A111="","",$B$6*(1+$B$8)^(YEAR(A111)-YEAR(StartDate)))</f>
        <v/>
      </c>
      <c r="F111" s="105">
        <f>$B$7</f>
        <v/>
      </c>
      <c r="G111" s="105">
        <f>$B$8</f>
        <v/>
      </c>
      <c r="H111" s="130">
        <f>IFERROR(D111*E111,0)</f>
        <v/>
      </c>
      <c r="I111" s="130" t="n"/>
      <c r="J111" s="130">
        <f>IFERROR(D111*F111*E111,0)</f>
        <v/>
      </c>
      <c r="K111" s="104" t="n"/>
      <c r="L111" s="104" t="n"/>
      <c r="M111" s="104" t="n"/>
      <c r="N111" s="104" t="n"/>
      <c r="O111" s="104" t="n"/>
      <c r="P111" s="104" t="n"/>
      <c r="Q111" s="104" t="n"/>
      <c r="R111" s="130">
        <f>IF(C111="Owned",0,IF(B111&lt;&gt;"",2500,0))</f>
        <v/>
      </c>
      <c r="S111" s="130">
        <f>SUM(K111:R111)</f>
        <v/>
      </c>
      <c r="T111" s="130">
        <f>I111-S111</f>
        <v/>
      </c>
      <c r="U111" s="105">
        <f>IFERROR(T111/I111,0)</f>
        <v/>
      </c>
    </row>
    <row r="112" ht="14.25" customHeight="1" s="83">
      <c r="A112" s="125" t="n"/>
      <c r="B112" s="103" t="n"/>
      <c r="C112" s="170">
        <f>IFERROR(_xlfn.XLOOKUP(B112,DormRegistry[Dorm Name],DormRegistry[Ownership Type]),"")</f>
        <v/>
      </c>
      <c r="D112" s="170">
        <f>IFERROR(_xlfn.XLOOKUP(B112,DormRegistry[Dorm Name],DormRegistry[Bed Capacity]),0)</f>
        <v/>
      </c>
      <c r="E112" s="130">
        <f>IF(A112="","",$B$6*(1+$B$8)^(YEAR(A112)-YEAR(StartDate)))</f>
        <v/>
      </c>
      <c r="F112" s="105">
        <f>$B$7</f>
        <v/>
      </c>
      <c r="G112" s="105">
        <f>$B$8</f>
        <v/>
      </c>
      <c r="H112" s="130">
        <f>IFERROR(D112*E112,0)</f>
        <v/>
      </c>
      <c r="I112" s="130" t="n"/>
      <c r="J112" s="130">
        <f>IFERROR(D112*F112*E112,0)</f>
        <v/>
      </c>
      <c r="K112" s="104" t="n"/>
      <c r="L112" s="104" t="n"/>
      <c r="M112" s="104" t="n"/>
      <c r="N112" s="104" t="n"/>
      <c r="O112" s="104" t="n"/>
      <c r="P112" s="104" t="n"/>
      <c r="Q112" s="104" t="n"/>
      <c r="R112" s="130">
        <f>IF(C112="Owned",0,IF(B112&lt;&gt;"",2500,0))</f>
        <v/>
      </c>
      <c r="S112" s="130">
        <f>SUM(K112:R112)</f>
        <v/>
      </c>
      <c r="T112" s="130">
        <f>I112-S112</f>
        <v/>
      </c>
      <c r="U112" s="105">
        <f>IFERROR(T112/I112,0)</f>
        <v/>
      </c>
    </row>
    <row r="113" ht="14.25" customHeight="1" s="83">
      <c r="A113" s="125" t="n"/>
      <c r="B113" s="103" t="n"/>
      <c r="C113" s="170">
        <f>IFERROR(_xlfn.XLOOKUP(B113,DormRegistry[Dorm Name],DormRegistry[Ownership Type]),"")</f>
        <v/>
      </c>
      <c r="D113" s="170">
        <f>IFERROR(_xlfn.XLOOKUP(B113,DormRegistry[Dorm Name],DormRegistry[Bed Capacity]),0)</f>
        <v/>
      </c>
      <c r="E113" s="130">
        <f>IF(A113="","",$B$6*(1+$B$8)^(YEAR(A113)-YEAR(StartDate)))</f>
        <v/>
      </c>
      <c r="F113" s="105">
        <f>$B$7</f>
        <v/>
      </c>
      <c r="G113" s="105">
        <f>$B$8</f>
        <v/>
      </c>
      <c r="H113" s="130">
        <f>IFERROR(D113*E113,0)</f>
        <v/>
      </c>
      <c r="I113" s="130" t="n"/>
      <c r="J113" s="130">
        <f>IFERROR(D113*F113*E113,0)</f>
        <v/>
      </c>
      <c r="K113" s="104" t="n"/>
      <c r="L113" s="104" t="n"/>
      <c r="M113" s="104" t="n"/>
      <c r="N113" s="104" t="n"/>
      <c r="O113" s="104" t="n"/>
      <c r="P113" s="104" t="n"/>
      <c r="Q113" s="104" t="n"/>
      <c r="R113" s="130">
        <f>IF(C113="Owned",0,IF(B113&lt;&gt;"",2500,0))</f>
        <v/>
      </c>
      <c r="S113" s="130">
        <f>SUM(K113:R113)</f>
        <v/>
      </c>
      <c r="T113" s="130">
        <f>I113-S113</f>
        <v/>
      </c>
      <c r="U113" s="105">
        <f>IFERROR(T113/I113,0)</f>
        <v/>
      </c>
    </row>
    <row r="114" ht="14.25" customHeight="1" s="83">
      <c r="A114" s="125" t="n"/>
      <c r="B114" s="103" t="n"/>
      <c r="C114" s="170">
        <f>IFERROR(_xlfn.XLOOKUP(B114,DormRegistry[Dorm Name],DormRegistry[Ownership Type]),"")</f>
        <v/>
      </c>
      <c r="D114" s="170">
        <f>IFERROR(_xlfn.XLOOKUP(B114,DormRegistry[Dorm Name],DormRegistry[Bed Capacity]),0)</f>
        <v/>
      </c>
      <c r="E114" s="130">
        <f>IF(A114="","",$B$6*(1+$B$8)^(YEAR(A114)-YEAR(StartDate)))</f>
        <v/>
      </c>
      <c r="F114" s="105">
        <f>$B$7</f>
        <v/>
      </c>
      <c r="G114" s="105">
        <f>$B$8</f>
        <v/>
      </c>
      <c r="H114" s="130">
        <f>IFERROR(D114*E114,0)</f>
        <v/>
      </c>
      <c r="I114" s="130" t="n"/>
      <c r="J114" s="130">
        <f>IFERROR(D114*F114*E114,0)</f>
        <v/>
      </c>
      <c r="K114" s="104" t="n"/>
      <c r="L114" s="104" t="n"/>
      <c r="M114" s="104" t="n"/>
      <c r="N114" s="104" t="n"/>
      <c r="O114" s="104" t="n"/>
      <c r="P114" s="104" t="n"/>
      <c r="Q114" s="104" t="n"/>
      <c r="R114" s="130">
        <f>IF(C114="Owned",0,IF(B114&lt;&gt;"",2500,0))</f>
        <v/>
      </c>
      <c r="S114" s="130">
        <f>SUM(K114:R114)</f>
        <v/>
      </c>
      <c r="T114" s="130">
        <f>I114-S114</f>
        <v/>
      </c>
      <c r="U114" s="105">
        <f>IFERROR(T114/I114,0)</f>
        <v/>
      </c>
    </row>
    <row r="115" ht="14.25" customHeight="1" s="83">
      <c r="A115" s="125" t="n"/>
      <c r="B115" s="103" t="n"/>
      <c r="C115" s="170">
        <f>IFERROR(_xlfn.XLOOKUP(B115,DormRegistry[Dorm Name],DormRegistry[Ownership Type]),"")</f>
        <v/>
      </c>
      <c r="D115" s="170">
        <f>IFERROR(_xlfn.XLOOKUP(B115,DormRegistry[Dorm Name],DormRegistry[Bed Capacity]),0)</f>
        <v/>
      </c>
      <c r="E115" s="130">
        <f>IF(A115="","",$B$6*(1+$B$8)^(YEAR(A115)-YEAR(StartDate)))</f>
        <v/>
      </c>
      <c r="F115" s="105">
        <f>$B$7</f>
        <v/>
      </c>
      <c r="G115" s="105">
        <f>$B$8</f>
        <v/>
      </c>
      <c r="H115" s="130">
        <f>IFERROR(D115*E115,0)</f>
        <v/>
      </c>
      <c r="I115" s="130" t="n"/>
      <c r="J115" s="130">
        <f>IFERROR(D115*F115*E115,0)</f>
        <v/>
      </c>
      <c r="K115" s="104" t="n"/>
      <c r="L115" s="104" t="n"/>
      <c r="M115" s="104" t="n"/>
      <c r="N115" s="104" t="n"/>
      <c r="O115" s="104" t="n"/>
      <c r="P115" s="104" t="n"/>
      <c r="Q115" s="104" t="n"/>
      <c r="R115" s="130">
        <f>IF(C115="Owned",0,IF(B115&lt;&gt;"",2500,0))</f>
        <v/>
      </c>
      <c r="S115" s="130">
        <f>SUM(K115:R115)</f>
        <v/>
      </c>
      <c r="T115" s="130">
        <f>I115-S115</f>
        <v/>
      </c>
      <c r="U115" s="105">
        <f>IFERROR(T115/I115,0)</f>
        <v/>
      </c>
    </row>
    <row r="116" ht="14.25" customHeight="1" s="83">
      <c r="A116" s="125" t="n"/>
      <c r="B116" s="103" t="n"/>
      <c r="C116" s="170">
        <f>IFERROR(_xlfn.XLOOKUP(B116,DormRegistry[Dorm Name],DormRegistry[Ownership Type]),"")</f>
        <v/>
      </c>
      <c r="D116" s="170">
        <f>IFERROR(_xlfn.XLOOKUP(B116,DormRegistry[Dorm Name],DormRegistry[Bed Capacity]),0)</f>
        <v/>
      </c>
      <c r="E116" s="130">
        <f>IF(A116="","",$B$6*(1+$B$8)^(YEAR(A116)-YEAR(StartDate)))</f>
        <v/>
      </c>
      <c r="F116" s="105">
        <f>$B$7</f>
        <v/>
      </c>
      <c r="G116" s="105">
        <f>$B$8</f>
        <v/>
      </c>
      <c r="H116" s="130">
        <f>IFERROR(D116*E116,0)</f>
        <v/>
      </c>
      <c r="I116" s="130" t="n"/>
      <c r="J116" s="130">
        <f>IFERROR(D116*F116*E116,0)</f>
        <v/>
      </c>
      <c r="K116" s="104" t="n"/>
      <c r="L116" s="104" t="n"/>
      <c r="M116" s="104" t="n"/>
      <c r="N116" s="104" t="n"/>
      <c r="O116" s="104" t="n"/>
      <c r="P116" s="104" t="n"/>
      <c r="Q116" s="104" t="n"/>
      <c r="R116" s="130">
        <f>IF(C116="Owned",0,IF(B116&lt;&gt;"",2500,0))</f>
        <v/>
      </c>
      <c r="S116" s="130">
        <f>SUM(K116:R116)</f>
        <v/>
      </c>
      <c r="T116" s="130">
        <f>I116-S116</f>
        <v/>
      </c>
      <c r="U116" s="105">
        <f>IFERROR(T116/I116,0)</f>
        <v/>
      </c>
    </row>
    <row r="117" ht="14.25" customHeight="1" s="83">
      <c r="A117" s="125" t="n"/>
      <c r="B117" s="103" t="n"/>
      <c r="C117" s="170">
        <f>IFERROR(_xlfn.XLOOKUP(B117,DormRegistry[Dorm Name],DormRegistry[Ownership Type]),"")</f>
        <v/>
      </c>
      <c r="D117" s="170">
        <f>IFERROR(_xlfn.XLOOKUP(B117,DormRegistry[Dorm Name],DormRegistry[Bed Capacity]),0)</f>
        <v/>
      </c>
      <c r="E117" s="130">
        <f>IF(A117="","",$B$6*(1+$B$8)^(YEAR(A117)-YEAR(StartDate)))</f>
        <v/>
      </c>
      <c r="F117" s="105">
        <f>$B$7</f>
        <v/>
      </c>
      <c r="G117" s="105">
        <f>$B$8</f>
        <v/>
      </c>
      <c r="H117" s="130">
        <f>IFERROR(D117*E117,0)</f>
        <v/>
      </c>
      <c r="I117" s="130" t="n"/>
      <c r="J117" s="130">
        <f>IFERROR(D117*F117*E117,0)</f>
        <v/>
      </c>
      <c r="K117" s="104" t="n"/>
      <c r="L117" s="104" t="n"/>
      <c r="M117" s="104" t="n"/>
      <c r="N117" s="104" t="n"/>
      <c r="O117" s="104" t="n"/>
      <c r="P117" s="104" t="n"/>
      <c r="Q117" s="104" t="n"/>
      <c r="R117" s="130">
        <f>IF(C117="Owned",0,IF(B117&lt;&gt;"",2500,0))</f>
        <v/>
      </c>
      <c r="S117" s="130">
        <f>SUM(K117:R117)</f>
        <v/>
      </c>
      <c r="T117" s="130">
        <f>I117-S117</f>
        <v/>
      </c>
      <c r="U117" s="105">
        <f>IFERROR(T117/I117,0)</f>
        <v/>
      </c>
    </row>
    <row r="118" ht="14.25" customHeight="1" s="83">
      <c r="A118" s="125" t="n"/>
      <c r="B118" s="103" t="n"/>
      <c r="C118" s="170">
        <f>IFERROR(_xlfn.XLOOKUP(B118,DormRegistry[Dorm Name],DormRegistry[Ownership Type]),"")</f>
        <v/>
      </c>
      <c r="D118" s="170">
        <f>IFERROR(_xlfn.XLOOKUP(B118,DormRegistry[Dorm Name],DormRegistry[Bed Capacity]),0)</f>
        <v/>
      </c>
      <c r="E118" s="130">
        <f>IF(A118="","",$B$6*(1+$B$8)^(YEAR(A118)-YEAR(StartDate)))</f>
        <v/>
      </c>
      <c r="F118" s="105">
        <f>$B$7</f>
        <v/>
      </c>
      <c r="G118" s="105">
        <f>$B$8</f>
        <v/>
      </c>
      <c r="H118" s="130">
        <f>IFERROR(D118*E118,0)</f>
        <v/>
      </c>
      <c r="I118" s="130" t="n"/>
      <c r="J118" s="130">
        <f>IFERROR(D118*F118*E118,0)</f>
        <v/>
      </c>
      <c r="K118" s="104" t="n"/>
      <c r="L118" s="104" t="n"/>
      <c r="M118" s="104" t="n"/>
      <c r="N118" s="104" t="n"/>
      <c r="O118" s="104" t="n"/>
      <c r="P118" s="104" t="n"/>
      <c r="Q118" s="104" t="n"/>
      <c r="R118" s="130">
        <f>IF(C118="Owned",0,IF(B118&lt;&gt;"",2500,0))</f>
        <v/>
      </c>
      <c r="S118" s="130">
        <f>SUM(K118:R118)</f>
        <v/>
      </c>
      <c r="T118" s="130">
        <f>I118-S118</f>
        <v/>
      </c>
      <c r="U118" s="105">
        <f>IFERROR(T118/I118,0)</f>
        <v/>
      </c>
    </row>
    <row r="119" ht="14.25" customHeight="1" s="83">
      <c r="A119" s="125" t="n"/>
      <c r="B119" s="103" t="n"/>
      <c r="C119" s="170">
        <f>IFERROR(_xlfn.XLOOKUP(B119,DormRegistry[Dorm Name],DormRegistry[Ownership Type]),"")</f>
        <v/>
      </c>
      <c r="D119" s="170">
        <f>IFERROR(_xlfn.XLOOKUP(B119,DormRegistry[Dorm Name],DormRegistry[Bed Capacity]),0)</f>
        <v/>
      </c>
      <c r="E119" s="130">
        <f>IF(A119="","",$B$6*(1+$B$8)^(YEAR(A119)-YEAR(StartDate)))</f>
        <v/>
      </c>
      <c r="F119" s="105">
        <f>$B$7</f>
        <v/>
      </c>
      <c r="G119" s="105">
        <f>$B$8</f>
        <v/>
      </c>
      <c r="H119" s="130">
        <f>IFERROR(D119*E119,0)</f>
        <v/>
      </c>
      <c r="I119" s="130" t="n"/>
      <c r="J119" s="130">
        <f>IFERROR(D119*F119*E119,0)</f>
        <v/>
      </c>
      <c r="K119" s="104" t="n"/>
      <c r="L119" s="104" t="n"/>
      <c r="M119" s="104" t="n"/>
      <c r="N119" s="104" t="n"/>
      <c r="O119" s="104" t="n"/>
      <c r="P119" s="104" t="n"/>
      <c r="Q119" s="104" t="n"/>
      <c r="R119" s="130">
        <f>IF(C119="Owned",0,IF(B119&lt;&gt;"",2500,0))</f>
        <v/>
      </c>
      <c r="S119" s="130">
        <f>SUM(K119:R119)</f>
        <v/>
      </c>
      <c r="T119" s="130">
        <f>I119-S119</f>
        <v/>
      </c>
      <c r="U119" s="105">
        <f>IFERROR(T119/I119,0)</f>
        <v/>
      </c>
    </row>
    <row r="120" ht="14.25" customHeight="1" s="83">
      <c r="A120" s="125" t="n"/>
      <c r="B120" s="103" t="n"/>
      <c r="C120" s="170">
        <f>IFERROR(_xlfn.XLOOKUP(B120,DormRegistry[Dorm Name],DormRegistry[Ownership Type]),"")</f>
        <v/>
      </c>
      <c r="D120" s="170">
        <f>IFERROR(_xlfn.XLOOKUP(B120,DormRegistry[Dorm Name],DormRegistry[Bed Capacity]),0)</f>
        <v/>
      </c>
      <c r="E120" s="130">
        <f>IF(A120="","",$B$6*(1+$B$8)^(YEAR(A120)-YEAR(StartDate)))</f>
        <v/>
      </c>
      <c r="F120" s="105">
        <f>$B$7</f>
        <v/>
      </c>
      <c r="G120" s="105">
        <f>$B$8</f>
        <v/>
      </c>
      <c r="H120" s="130">
        <f>IFERROR(D120*E120,0)</f>
        <v/>
      </c>
      <c r="I120" s="130" t="n"/>
      <c r="J120" s="130">
        <f>IFERROR(D120*F120*E120,0)</f>
        <v/>
      </c>
      <c r="K120" s="104" t="n"/>
      <c r="L120" s="104" t="n"/>
      <c r="M120" s="104" t="n"/>
      <c r="N120" s="104" t="n"/>
      <c r="O120" s="104" t="n"/>
      <c r="P120" s="104" t="n"/>
      <c r="Q120" s="104" t="n"/>
      <c r="R120" s="130">
        <f>IF(C120="Owned",0,IF(B120&lt;&gt;"",2500,0))</f>
        <v/>
      </c>
      <c r="S120" s="130">
        <f>SUM(K120:R120)</f>
        <v/>
      </c>
      <c r="T120" s="130">
        <f>I120-S120</f>
        <v/>
      </c>
      <c r="U120" s="105">
        <f>IFERROR(T120/I120,0)</f>
        <v/>
      </c>
    </row>
    <row r="121" ht="14.25" customHeight="1" s="83">
      <c r="A121" s="125" t="n"/>
      <c r="B121" s="103" t="n"/>
      <c r="C121" s="170">
        <f>IFERROR(_xlfn.XLOOKUP(B121,DormRegistry[Dorm Name],DormRegistry[Ownership Type]),"")</f>
        <v/>
      </c>
      <c r="D121" s="170">
        <f>IFERROR(_xlfn.XLOOKUP(B121,DormRegistry[Dorm Name],DormRegistry[Bed Capacity]),0)</f>
        <v/>
      </c>
      <c r="E121" s="130">
        <f>IF(A121="","",$B$6*(1+$B$8)^(YEAR(A121)-YEAR(StartDate)))</f>
        <v/>
      </c>
      <c r="F121" s="105">
        <f>$B$7</f>
        <v/>
      </c>
      <c r="G121" s="105">
        <f>$B$8</f>
        <v/>
      </c>
      <c r="H121" s="130">
        <f>IFERROR(D121*E121,0)</f>
        <v/>
      </c>
      <c r="I121" s="130" t="n"/>
      <c r="J121" s="130">
        <f>IFERROR(D121*F121*E121,0)</f>
        <v/>
      </c>
      <c r="K121" s="104" t="n"/>
      <c r="L121" s="104" t="n"/>
      <c r="M121" s="104" t="n"/>
      <c r="N121" s="104" t="n"/>
      <c r="O121" s="104" t="n"/>
      <c r="P121" s="104" t="n"/>
      <c r="Q121" s="104" t="n"/>
      <c r="R121" s="130">
        <f>IF(C121="Owned",0,IF(B121&lt;&gt;"",2500,0))</f>
        <v/>
      </c>
      <c r="S121" s="130">
        <f>SUM(K121:R121)</f>
        <v/>
      </c>
      <c r="T121" s="130">
        <f>I121-S121</f>
        <v/>
      </c>
      <c r="U121" s="105">
        <f>IFERROR(T121/I121,0)</f>
        <v/>
      </c>
    </row>
    <row r="122" ht="14.25" customHeight="1" s="83">
      <c r="A122" s="125" t="n"/>
      <c r="B122" s="103" t="n"/>
      <c r="C122" s="170">
        <f>IFERROR(_xlfn.XLOOKUP(B122,DormRegistry[Dorm Name],DormRegistry[Ownership Type]),"")</f>
        <v/>
      </c>
      <c r="D122" s="170">
        <f>IFERROR(_xlfn.XLOOKUP(B122,DormRegistry[Dorm Name],DormRegistry[Bed Capacity]),0)</f>
        <v/>
      </c>
      <c r="E122" s="130">
        <f>IF(A122="","",$B$6*(1+$B$8)^(YEAR(A122)-YEAR(StartDate)))</f>
        <v/>
      </c>
      <c r="F122" s="105">
        <f>$B$7</f>
        <v/>
      </c>
      <c r="G122" s="105">
        <f>$B$8</f>
        <v/>
      </c>
      <c r="H122" s="130">
        <f>IFERROR(D122*E122,0)</f>
        <v/>
      </c>
      <c r="I122" s="130" t="n"/>
      <c r="J122" s="130">
        <f>IFERROR(D122*F122*E122,0)</f>
        <v/>
      </c>
      <c r="K122" s="104" t="n"/>
      <c r="L122" s="104" t="n"/>
      <c r="M122" s="104" t="n"/>
      <c r="N122" s="104" t="n"/>
      <c r="O122" s="104" t="n"/>
      <c r="P122" s="104" t="n"/>
      <c r="Q122" s="104" t="n"/>
      <c r="R122" s="130">
        <f>IF(C122="Owned",0,IF(B122&lt;&gt;"",2500,0))</f>
        <v/>
      </c>
      <c r="S122" s="130">
        <f>SUM(K122:R122)</f>
        <v/>
      </c>
      <c r="T122" s="130">
        <f>I122-S122</f>
        <v/>
      </c>
      <c r="U122" s="105">
        <f>IFERROR(T122/I122,0)</f>
        <v/>
      </c>
    </row>
    <row r="123" ht="14.25" customHeight="1" s="83">
      <c r="A123" s="125" t="n"/>
      <c r="B123" s="103" t="n"/>
      <c r="C123" s="170">
        <f>IFERROR(_xlfn.XLOOKUP(B123,DormRegistry[Dorm Name],DormRegistry[Ownership Type]),"")</f>
        <v/>
      </c>
      <c r="D123" s="170">
        <f>IFERROR(_xlfn.XLOOKUP(B123,DormRegistry[Dorm Name],DormRegistry[Bed Capacity]),0)</f>
        <v/>
      </c>
      <c r="E123" s="130">
        <f>IF(A123="","",$B$6*(1+$B$8)^(YEAR(A123)-YEAR(StartDate)))</f>
        <v/>
      </c>
      <c r="F123" s="105">
        <f>$B$7</f>
        <v/>
      </c>
      <c r="G123" s="105">
        <f>$B$8</f>
        <v/>
      </c>
      <c r="H123" s="130">
        <f>IFERROR(D123*E123,0)</f>
        <v/>
      </c>
      <c r="I123" s="130" t="n"/>
      <c r="J123" s="130">
        <f>IFERROR(D123*F123*E123,0)</f>
        <v/>
      </c>
      <c r="K123" s="104" t="n"/>
      <c r="L123" s="104" t="n"/>
      <c r="M123" s="104" t="n"/>
      <c r="N123" s="104" t="n"/>
      <c r="O123" s="104" t="n"/>
      <c r="P123" s="104" t="n"/>
      <c r="Q123" s="104" t="n"/>
      <c r="R123" s="130">
        <f>IF(C123="Owned",0,IF(B123&lt;&gt;"",2500,0))</f>
        <v/>
      </c>
      <c r="S123" s="130">
        <f>SUM(K123:R123)</f>
        <v/>
      </c>
      <c r="T123" s="130">
        <f>I123-S123</f>
        <v/>
      </c>
      <c r="U123" s="105">
        <f>IFERROR(T123/I123,0)</f>
        <v/>
      </c>
    </row>
    <row r="124" ht="14.25" customHeight="1" s="83">
      <c r="A124" s="125" t="n"/>
      <c r="B124" s="103" t="n"/>
      <c r="C124" s="170">
        <f>IFERROR(_xlfn.XLOOKUP(B124,DormRegistry[Dorm Name],DormRegistry[Ownership Type]),"")</f>
        <v/>
      </c>
      <c r="D124" s="170">
        <f>IFERROR(_xlfn.XLOOKUP(B124,DormRegistry[Dorm Name],DormRegistry[Bed Capacity]),0)</f>
        <v/>
      </c>
      <c r="E124" s="130">
        <f>IF(A124="","",$B$6*(1+$B$8)^(YEAR(A124)-YEAR(StartDate)))</f>
        <v/>
      </c>
      <c r="F124" s="105">
        <f>$B$7</f>
        <v/>
      </c>
      <c r="G124" s="105">
        <f>$B$8</f>
        <v/>
      </c>
      <c r="H124" s="130">
        <f>IFERROR(D124*E124,0)</f>
        <v/>
      </c>
      <c r="I124" s="130" t="n"/>
      <c r="J124" s="130">
        <f>IFERROR(D124*F124*E124,0)</f>
        <v/>
      </c>
      <c r="K124" s="104" t="n"/>
      <c r="L124" s="104" t="n"/>
      <c r="M124" s="104" t="n"/>
      <c r="N124" s="104" t="n"/>
      <c r="O124" s="104" t="n"/>
      <c r="P124" s="104" t="n"/>
      <c r="Q124" s="104" t="n"/>
      <c r="R124" s="130">
        <f>IF(C124="Owned",0,IF(B124&lt;&gt;"",2500,0))</f>
        <v/>
      </c>
      <c r="S124" s="130">
        <f>SUM(K124:R124)</f>
        <v/>
      </c>
      <c r="T124" s="130">
        <f>I124-S124</f>
        <v/>
      </c>
      <c r="U124" s="105">
        <f>IFERROR(T124/I124,0)</f>
        <v/>
      </c>
    </row>
    <row r="125" ht="14.25" customHeight="1" s="83">
      <c r="A125" s="125" t="n"/>
      <c r="B125" s="103" t="n"/>
      <c r="C125" s="170">
        <f>IFERROR(_xlfn.XLOOKUP(B125,DormRegistry[Dorm Name],DormRegistry[Ownership Type]),"")</f>
        <v/>
      </c>
      <c r="D125" s="170">
        <f>IFERROR(_xlfn.XLOOKUP(B125,DormRegistry[Dorm Name],DormRegistry[Bed Capacity]),0)</f>
        <v/>
      </c>
      <c r="E125" s="130">
        <f>IF(A125="","",$B$6*(1+$B$8)^(YEAR(A125)-YEAR(StartDate)))</f>
        <v/>
      </c>
      <c r="F125" s="105">
        <f>$B$7</f>
        <v/>
      </c>
      <c r="G125" s="105">
        <f>$B$8</f>
        <v/>
      </c>
      <c r="H125" s="130">
        <f>IFERROR(D125*E125,0)</f>
        <v/>
      </c>
      <c r="I125" s="130" t="n"/>
      <c r="J125" s="130">
        <f>IFERROR(D125*F125*E125,0)</f>
        <v/>
      </c>
      <c r="K125" s="104" t="n"/>
      <c r="L125" s="104" t="n"/>
      <c r="M125" s="104" t="n"/>
      <c r="N125" s="104" t="n"/>
      <c r="O125" s="104" t="n"/>
      <c r="P125" s="104" t="n"/>
      <c r="Q125" s="104" t="n"/>
      <c r="R125" s="130">
        <f>IF(C125="Owned",0,IF(B125&lt;&gt;"",2500,0))</f>
        <v/>
      </c>
      <c r="S125" s="130">
        <f>SUM(K125:R125)</f>
        <v/>
      </c>
      <c r="T125" s="130">
        <f>I125-S125</f>
        <v/>
      </c>
      <c r="U125" s="105">
        <f>IFERROR(T125/I125,0)</f>
        <v/>
      </c>
    </row>
    <row r="126" ht="14.25" customHeight="1" s="83">
      <c r="A126" s="125" t="n"/>
      <c r="B126" s="103" t="n"/>
      <c r="C126" s="170">
        <f>IFERROR(_xlfn.XLOOKUP(B126,DormRegistry[Dorm Name],DormRegistry[Ownership Type]),"")</f>
        <v/>
      </c>
      <c r="D126" s="170">
        <f>IFERROR(_xlfn.XLOOKUP(B126,DormRegistry[Dorm Name],DormRegistry[Bed Capacity]),0)</f>
        <v/>
      </c>
      <c r="E126" s="130">
        <f>IF(A126="","",$B$6*(1+$B$8)^(YEAR(A126)-YEAR(StartDate)))</f>
        <v/>
      </c>
      <c r="F126" s="105">
        <f>$B$7</f>
        <v/>
      </c>
      <c r="G126" s="105">
        <f>$B$8</f>
        <v/>
      </c>
      <c r="H126" s="130">
        <f>IFERROR(D126*E126,0)</f>
        <v/>
      </c>
      <c r="I126" s="130" t="n"/>
      <c r="J126" s="130">
        <f>IFERROR(D126*F126*E126,0)</f>
        <v/>
      </c>
      <c r="K126" s="104" t="n"/>
      <c r="L126" s="104" t="n"/>
      <c r="M126" s="104" t="n"/>
      <c r="N126" s="104" t="n"/>
      <c r="O126" s="104" t="n"/>
      <c r="P126" s="104" t="n"/>
      <c r="Q126" s="104" t="n"/>
      <c r="R126" s="130">
        <f>IF(C126="Owned",0,IF(B126&lt;&gt;"",2500,0))</f>
        <v/>
      </c>
      <c r="S126" s="130">
        <f>SUM(K126:R126)</f>
        <v/>
      </c>
      <c r="T126" s="130">
        <f>I126-S126</f>
        <v/>
      </c>
      <c r="U126" s="105">
        <f>IFERROR(T126/I126,0)</f>
        <v/>
      </c>
    </row>
    <row r="127" ht="14.25" customHeight="1" s="83">
      <c r="A127" s="125" t="n"/>
      <c r="B127" s="103" t="n"/>
      <c r="C127" s="170">
        <f>IFERROR(_xlfn.XLOOKUP(B127,DormRegistry[Dorm Name],DormRegistry[Ownership Type]),"")</f>
        <v/>
      </c>
      <c r="D127" s="170">
        <f>IFERROR(_xlfn.XLOOKUP(B127,DormRegistry[Dorm Name],DormRegistry[Bed Capacity]),0)</f>
        <v/>
      </c>
      <c r="E127" s="130">
        <f>IF(A127="","",$B$6*(1+$B$8)^(YEAR(A127)-YEAR(StartDate)))</f>
        <v/>
      </c>
      <c r="F127" s="105">
        <f>$B$7</f>
        <v/>
      </c>
      <c r="G127" s="105">
        <f>$B$8</f>
        <v/>
      </c>
      <c r="H127" s="130">
        <f>IFERROR(D127*E127,0)</f>
        <v/>
      </c>
      <c r="I127" s="130" t="n"/>
      <c r="J127" s="130">
        <f>IFERROR(D127*F127*E127,0)</f>
        <v/>
      </c>
      <c r="K127" s="104" t="n"/>
      <c r="L127" s="104" t="n"/>
      <c r="M127" s="104" t="n"/>
      <c r="N127" s="104" t="n"/>
      <c r="O127" s="104" t="n"/>
      <c r="P127" s="104" t="n"/>
      <c r="Q127" s="104" t="n"/>
      <c r="R127" s="130">
        <f>IF(C127="Owned",0,IF(B127&lt;&gt;"",2500,0))</f>
        <v/>
      </c>
      <c r="S127" s="130">
        <f>SUM(K127:R127)</f>
        <v/>
      </c>
      <c r="T127" s="130">
        <f>I127-S127</f>
        <v/>
      </c>
      <c r="U127" s="105">
        <f>IFERROR(T127/I127,0)</f>
        <v/>
      </c>
    </row>
    <row r="128" ht="14.25" customHeight="1" s="83">
      <c r="A128" s="125" t="n"/>
      <c r="B128" s="103" t="n"/>
      <c r="C128" s="170">
        <f>IFERROR(_xlfn.XLOOKUP(B128,DormRegistry[Dorm Name],DormRegistry[Ownership Type]),"")</f>
        <v/>
      </c>
      <c r="D128" s="170">
        <f>IFERROR(_xlfn.XLOOKUP(B128,DormRegistry[Dorm Name],DormRegistry[Bed Capacity]),0)</f>
        <v/>
      </c>
      <c r="E128" s="130">
        <f>IF(A128="","",$B$6*(1+$B$8)^(YEAR(A128)-YEAR(StartDate)))</f>
        <v/>
      </c>
      <c r="F128" s="105">
        <f>$B$7</f>
        <v/>
      </c>
      <c r="G128" s="105">
        <f>$B$8</f>
        <v/>
      </c>
      <c r="H128" s="130">
        <f>IFERROR(D128*E128,0)</f>
        <v/>
      </c>
      <c r="I128" s="130" t="n"/>
      <c r="J128" s="130">
        <f>IFERROR(D128*F128*E128,0)</f>
        <v/>
      </c>
      <c r="K128" s="104" t="n"/>
      <c r="L128" s="104" t="n"/>
      <c r="M128" s="104" t="n"/>
      <c r="N128" s="104" t="n"/>
      <c r="O128" s="104" t="n"/>
      <c r="P128" s="104" t="n"/>
      <c r="Q128" s="104" t="n"/>
      <c r="R128" s="130">
        <f>IF(C128="Owned",0,IF(B128&lt;&gt;"",2500,0))</f>
        <v/>
      </c>
      <c r="S128" s="130">
        <f>SUM(K128:R128)</f>
        <v/>
      </c>
      <c r="T128" s="130">
        <f>I128-S128</f>
        <v/>
      </c>
      <c r="U128" s="105">
        <f>IFERROR(T128/I128,0)</f>
        <v/>
      </c>
    </row>
    <row r="129" ht="14.25" customHeight="1" s="83">
      <c r="A129" s="125" t="n"/>
      <c r="B129" s="103" t="n"/>
      <c r="C129" s="170">
        <f>IFERROR(_xlfn.XLOOKUP(B129,DormRegistry[Dorm Name],DormRegistry[Ownership Type]),"")</f>
        <v/>
      </c>
      <c r="D129" s="170">
        <f>IFERROR(_xlfn.XLOOKUP(B129,DormRegistry[Dorm Name],DormRegistry[Bed Capacity]),0)</f>
        <v/>
      </c>
      <c r="E129" s="130">
        <f>IF(A129="","",$B$6*(1+$B$8)^(YEAR(A129)-YEAR(StartDate)))</f>
        <v/>
      </c>
      <c r="F129" s="105">
        <f>$B$7</f>
        <v/>
      </c>
      <c r="G129" s="105">
        <f>$B$8</f>
        <v/>
      </c>
      <c r="H129" s="130">
        <f>IFERROR(D129*E129,0)</f>
        <v/>
      </c>
      <c r="I129" s="130" t="n"/>
      <c r="J129" s="130">
        <f>IFERROR(D129*F129*E129,0)</f>
        <v/>
      </c>
      <c r="K129" s="104" t="n"/>
      <c r="L129" s="104" t="n"/>
      <c r="M129" s="104" t="n"/>
      <c r="N129" s="104" t="n"/>
      <c r="O129" s="104" t="n"/>
      <c r="P129" s="104" t="n"/>
      <c r="Q129" s="104" t="n"/>
      <c r="R129" s="130">
        <f>IF(C129="Owned",0,IF(B129&lt;&gt;"",2500,0))</f>
        <v/>
      </c>
      <c r="S129" s="130">
        <f>SUM(K129:R129)</f>
        <v/>
      </c>
      <c r="T129" s="130">
        <f>I129-S129</f>
        <v/>
      </c>
      <c r="U129" s="105">
        <f>IFERROR(T129/I129,0)</f>
        <v/>
      </c>
    </row>
    <row r="130" ht="14.25" customHeight="1" s="83">
      <c r="A130" s="125" t="n"/>
      <c r="B130" s="103" t="n"/>
      <c r="C130" s="170">
        <f>IFERROR(_xlfn.XLOOKUP(B130,DormRegistry[Dorm Name],DormRegistry[Ownership Type]),"")</f>
        <v/>
      </c>
      <c r="D130" s="170">
        <f>IFERROR(_xlfn.XLOOKUP(B130,DormRegistry[Dorm Name],DormRegistry[Bed Capacity]),0)</f>
        <v/>
      </c>
      <c r="E130" s="130">
        <f>IF(A130="","",$B$6*(1+$B$8)^(YEAR(A130)-YEAR(StartDate)))</f>
        <v/>
      </c>
      <c r="F130" s="105">
        <f>$B$7</f>
        <v/>
      </c>
      <c r="G130" s="105">
        <f>$B$8</f>
        <v/>
      </c>
      <c r="H130" s="130">
        <f>IFERROR(D130*E130,0)</f>
        <v/>
      </c>
      <c r="I130" s="130" t="n"/>
      <c r="J130" s="130">
        <f>IFERROR(D130*F130*E130,0)</f>
        <v/>
      </c>
      <c r="K130" s="104" t="n"/>
      <c r="L130" s="104" t="n"/>
      <c r="M130" s="104" t="n"/>
      <c r="N130" s="104" t="n"/>
      <c r="O130" s="104" t="n"/>
      <c r="P130" s="104" t="n"/>
      <c r="Q130" s="104" t="n"/>
      <c r="R130" s="130">
        <f>IF(C130="Owned",0,IF(B130&lt;&gt;"",2500,0))</f>
        <v/>
      </c>
      <c r="S130" s="130">
        <f>SUM(K130:R130)</f>
        <v/>
      </c>
      <c r="T130" s="130">
        <f>I130-S130</f>
        <v/>
      </c>
      <c r="U130" s="105">
        <f>IFERROR(T130/I130,0)</f>
        <v/>
      </c>
    </row>
    <row r="131" ht="14.25" customHeight="1" s="83">
      <c r="A131" s="125" t="n"/>
      <c r="B131" s="103" t="n"/>
      <c r="C131" s="170">
        <f>IFERROR(_xlfn.XLOOKUP(B131,DormRegistry[Dorm Name],DormRegistry[Ownership Type]),"")</f>
        <v/>
      </c>
      <c r="D131" s="170">
        <f>IFERROR(_xlfn.XLOOKUP(B131,DormRegistry[Dorm Name],DormRegistry[Bed Capacity]),0)</f>
        <v/>
      </c>
      <c r="E131" s="130">
        <f>IF(A131="","",$B$6*(1+$B$8)^(YEAR(A131)-YEAR(StartDate)))</f>
        <v/>
      </c>
      <c r="F131" s="105">
        <f>$B$7</f>
        <v/>
      </c>
      <c r="G131" s="105">
        <f>$B$8</f>
        <v/>
      </c>
      <c r="H131" s="130">
        <f>IFERROR(D131*E131,0)</f>
        <v/>
      </c>
      <c r="I131" s="130" t="n"/>
      <c r="J131" s="130">
        <f>IFERROR(D131*F131*E131,0)</f>
        <v/>
      </c>
      <c r="K131" s="104" t="n"/>
      <c r="L131" s="104" t="n"/>
      <c r="M131" s="104" t="n"/>
      <c r="N131" s="104" t="n"/>
      <c r="O131" s="104" t="n"/>
      <c r="P131" s="104" t="n"/>
      <c r="Q131" s="104" t="n"/>
      <c r="R131" s="130">
        <f>IF(C131="Owned",0,IF(B131&lt;&gt;"",2500,0))</f>
        <v/>
      </c>
      <c r="S131" s="130">
        <f>SUM(K131:R131)</f>
        <v/>
      </c>
      <c r="T131" s="130">
        <f>I131-S131</f>
        <v/>
      </c>
      <c r="U131" s="105">
        <f>IFERROR(T131/I131,0)</f>
        <v/>
      </c>
    </row>
    <row r="132" ht="14.25" customHeight="1" s="83">
      <c r="A132" s="125" t="n"/>
      <c r="B132" s="103" t="n"/>
      <c r="C132" s="170">
        <f>IFERROR(_xlfn.XLOOKUP(B132,DormRegistry[Dorm Name],DormRegistry[Ownership Type]),"")</f>
        <v/>
      </c>
      <c r="D132" s="170">
        <f>IFERROR(_xlfn.XLOOKUP(B132,DormRegistry[Dorm Name],DormRegistry[Bed Capacity]),0)</f>
        <v/>
      </c>
      <c r="E132" s="130">
        <f>IF(A132="","",$B$6*(1+$B$8)^(YEAR(A132)-YEAR(StartDate)))</f>
        <v/>
      </c>
      <c r="F132" s="105">
        <f>$B$7</f>
        <v/>
      </c>
      <c r="G132" s="105">
        <f>$B$8</f>
        <v/>
      </c>
      <c r="H132" s="130">
        <f>IFERROR(D132*E132,0)</f>
        <v/>
      </c>
      <c r="I132" s="130" t="n"/>
      <c r="J132" s="130">
        <f>IFERROR(D132*F132*E132,0)</f>
        <v/>
      </c>
      <c r="K132" s="104" t="n"/>
      <c r="L132" s="104" t="n"/>
      <c r="M132" s="104" t="n"/>
      <c r="N132" s="104" t="n"/>
      <c r="O132" s="104" t="n"/>
      <c r="P132" s="104" t="n"/>
      <c r="Q132" s="104" t="n"/>
      <c r="R132" s="130">
        <f>IF(C132="Owned",0,IF(B132&lt;&gt;"",2500,0))</f>
        <v/>
      </c>
      <c r="S132" s="130">
        <f>SUM(K132:R132)</f>
        <v/>
      </c>
      <c r="T132" s="130">
        <f>I132-S132</f>
        <v/>
      </c>
      <c r="U132" s="105">
        <f>IFERROR(T132/I132,0)</f>
        <v/>
      </c>
    </row>
    <row r="133" ht="14.25" customHeight="1" s="83">
      <c r="A133" s="125" t="n"/>
      <c r="B133" s="103" t="n"/>
      <c r="C133" s="170">
        <f>IFERROR(_xlfn.XLOOKUP(B133,DormRegistry[Dorm Name],DormRegistry[Ownership Type]),"")</f>
        <v/>
      </c>
      <c r="D133" s="170">
        <f>IFERROR(_xlfn.XLOOKUP(B133,DormRegistry[Dorm Name],DormRegistry[Bed Capacity]),0)</f>
        <v/>
      </c>
      <c r="E133" s="130">
        <f>IF(A133="","",$B$6*(1+$B$8)^(YEAR(A133)-YEAR(StartDate)))</f>
        <v/>
      </c>
      <c r="F133" s="105">
        <f>$B$7</f>
        <v/>
      </c>
      <c r="G133" s="105">
        <f>$B$8</f>
        <v/>
      </c>
      <c r="H133" s="130">
        <f>IFERROR(D133*E133,0)</f>
        <v/>
      </c>
      <c r="I133" s="130" t="n"/>
      <c r="J133" s="130">
        <f>IFERROR(D133*F133*E133,0)</f>
        <v/>
      </c>
      <c r="K133" s="104" t="n"/>
      <c r="L133" s="104" t="n"/>
      <c r="M133" s="104" t="n"/>
      <c r="N133" s="104" t="n"/>
      <c r="O133" s="104" t="n"/>
      <c r="P133" s="104" t="n"/>
      <c r="Q133" s="104" t="n"/>
      <c r="R133" s="130">
        <f>IF(C133="Owned",0,IF(B133&lt;&gt;"",2500,0))</f>
        <v/>
      </c>
      <c r="S133" s="130">
        <f>SUM(K133:R133)</f>
        <v/>
      </c>
      <c r="T133" s="130">
        <f>I133-S133</f>
        <v/>
      </c>
      <c r="U133" s="105">
        <f>IFERROR(T133/I133,0)</f>
        <v/>
      </c>
    </row>
    <row r="134" ht="14.25" customHeight="1" s="83">
      <c r="A134" s="125" t="n"/>
      <c r="B134" s="103" t="n"/>
      <c r="C134" s="170">
        <f>IFERROR(_xlfn.XLOOKUP(B134,DormRegistry[Dorm Name],DormRegistry[Ownership Type]),"")</f>
        <v/>
      </c>
      <c r="D134" s="170">
        <f>IFERROR(_xlfn.XLOOKUP(B134,DormRegistry[Dorm Name],DormRegistry[Bed Capacity]),0)</f>
        <v/>
      </c>
      <c r="E134" s="130">
        <f>IF(A134="","",$B$6*(1+$B$8)^(YEAR(A134)-YEAR(StartDate)))</f>
        <v/>
      </c>
      <c r="F134" s="105">
        <f>$B$7</f>
        <v/>
      </c>
      <c r="G134" s="105">
        <f>$B$8</f>
        <v/>
      </c>
      <c r="H134" s="130">
        <f>IFERROR(D134*E134,0)</f>
        <v/>
      </c>
      <c r="I134" s="130" t="n"/>
      <c r="J134" s="130">
        <f>IFERROR(D134*F134*E134,0)</f>
        <v/>
      </c>
      <c r="K134" s="104" t="n"/>
      <c r="L134" s="104" t="n"/>
      <c r="M134" s="104" t="n"/>
      <c r="N134" s="104" t="n"/>
      <c r="O134" s="104" t="n"/>
      <c r="P134" s="104" t="n"/>
      <c r="Q134" s="104" t="n"/>
      <c r="R134" s="130">
        <f>IF(C134="Owned",0,IF(B134&lt;&gt;"",2500,0))</f>
        <v/>
      </c>
      <c r="S134" s="130">
        <f>SUM(K134:R134)</f>
        <v/>
      </c>
      <c r="T134" s="130">
        <f>I134-S134</f>
        <v/>
      </c>
      <c r="U134" s="105">
        <f>IFERROR(T134/I134,0)</f>
        <v/>
      </c>
    </row>
    <row r="135" ht="14.25" customHeight="1" s="83">
      <c r="A135" s="125" t="n"/>
      <c r="B135" s="103" t="n"/>
      <c r="C135" s="170">
        <f>IFERROR(_xlfn.XLOOKUP(B135,DormRegistry[Dorm Name],DormRegistry[Ownership Type]),"")</f>
        <v/>
      </c>
      <c r="D135" s="170">
        <f>IFERROR(_xlfn.XLOOKUP(B135,DormRegistry[Dorm Name],DormRegistry[Bed Capacity]),0)</f>
        <v/>
      </c>
      <c r="E135" s="130">
        <f>IF(A135="","",$B$6*(1+$B$8)^(YEAR(A135)-YEAR(StartDate)))</f>
        <v/>
      </c>
      <c r="F135" s="105">
        <f>$B$7</f>
        <v/>
      </c>
      <c r="G135" s="105">
        <f>$B$8</f>
        <v/>
      </c>
      <c r="H135" s="130">
        <f>IFERROR(D135*E135,0)</f>
        <v/>
      </c>
      <c r="I135" s="130" t="n"/>
      <c r="J135" s="130">
        <f>IFERROR(D135*F135*E135,0)</f>
        <v/>
      </c>
      <c r="K135" s="104" t="n"/>
      <c r="L135" s="104" t="n"/>
      <c r="M135" s="104" t="n"/>
      <c r="N135" s="104" t="n"/>
      <c r="O135" s="104" t="n"/>
      <c r="P135" s="104" t="n"/>
      <c r="Q135" s="104" t="n"/>
      <c r="R135" s="130">
        <f>IF(C135="Owned",0,IF(B135&lt;&gt;"",2500,0))</f>
        <v/>
      </c>
      <c r="S135" s="130">
        <f>SUM(K135:R135)</f>
        <v/>
      </c>
      <c r="T135" s="130">
        <f>I135-S135</f>
        <v/>
      </c>
      <c r="U135" s="105">
        <f>IFERROR(T135/I135,0)</f>
        <v/>
      </c>
    </row>
    <row r="136" ht="14.25" customHeight="1" s="83">
      <c r="A136" s="125" t="n"/>
      <c r="B136" s="103" t="n"/>
      <c r="C136" s="170">
        <f>IFERROR(_xlfn.XLOOKUP(B136,DormRegistry[Dorm Name],DormRegistry[Ownership Type]),"")</f>
        <v/>
      </c>
      <c r="D136" s="170">
        <f>IFERROR(_xlfn.XLOOKUP(B136,DormRegistry[Dorm Name],DormRegistry[Bed Capacity]),0)</f>
        <v/>
      </c>
      <c r="E136" s="130">
        <f>IF(A136="","",$B$6*(1+$B$8)^(YEAR(A136)-YEAR(StartDate)))</f>
        <v/>
      </c>
      <c r="F136" s="105">
        <f>$B$7</f>
        <v/>
      </c>
      <c r="G136" s="105">
        <f>$B$8</f>
        <v/>
      </c>
      <c r="H136" s="130">
        <f>IFERROR(D136*E136,0)</f>
        <v/>
      </c>
      <c r="I136" s="130" t="n"/>
      <c r="J136" s="130">
        <f>IFERROR(D136*F136*E136,0)</f>
        <v/>
      </c>
      <c r="K136" s="104" t="n"/>
      <c r="L136" s="104" t="n"/>
      <c r="M136" s="104" t="n"/>
      <c r="N136" s="104" t="n"/>
      <c r="O136" s="104" t="n"/>
      <c r="P136" s="104" t="n"/>
      <c r="Q136" s="104" t="n"/>
      <c r="R136" s="130">
        <f>IF(C136="Owned",0,IF(B136&lt;&gt;"",2500,0))</f>
        <v/>
      </c>
      <c r="S136" s="130">
        <f>SUM(K136:R136)</f>
        <v/>
      </c>
      <c r="T136" s="130">
        <f>I136-S136</f>
        <v/>
      </c>
      <c r="U136" s="105">
        <f>IFERROR(T136/I136,0)</f>
        <v/>
      </c>
    </row>
    <row r="137" ht="14.25" customHeight="1" s="83">
      <c r="A137" s="125" t="n"/>
      <c r="B137" s="103" t="n"/>
      <c r="C137" s="170">
        <f>IFERROR(_xlfn.XLOOKUP(B137,DormRegistry[Dorm Name],DormRegistry[Ownership Type]),"")</f>
        <v/>
      </c>
      <c r="D137" s="170">
        <f>IFERROR(_xlfn.XLOOKUP(B137,DormRegistry[Dorm Name],DormRegistry[Bed Capacity]),0)</f>
        <v/>
      </c>
      <c r="E137" s="130">
        <f>IF(A137="","",$B$6*(1+$B$8)^(YEAR(A137)-YEAR(StartDate)))</f>
        <v/>
      </c>
      <c r="F137" s="105">
        <f>$B$7</f>
        <v/>
      </c>
      <c r="G137" s="105">
        <f>$B$8</f>
        <v/>
      </c>
      <c r="H137" s="130">
        <f>IFERROR(D137*E137,0)</f>
        <v/>
      </c>
      <c r="I137" s="130" t="n"/>
      <c r="J137" s="130">
        <f>IFERROR(D137*F137*E137,0)</f>
        <v/>
      </c>
      <c r="K137" s="104" t="n"/>
      <c r="L137" s="104" t="n"/>
      <c r="M137" s="104" t="n"/>
      <c r="N137" s="104" t="n"/>
      <c r="O137" s="104" t="n"/>
      <c r="P137" s="104" t="n"/>
      <c r="Q137" s="104" t="n"/>
      <c r="R137" s="130">
        <f>IF(C137="Owned",0,IF(B137&lt;&gt;"",2500,0))</f>
        <v/>
      </c>
      <c r="S137" s="130">
        <f>SUM(K137:R137)</f>
        <v/>
      </c>
      <c r="T137" s="130">
        <f>I137-S137</f>
        <v/>
      </c>
      <c r="U137" s="105">
        <f>IFERROR(T137/I137,0)</f>
        <v/>
      </c>
    </row>
    <row r="138" ht="14.25" customHeight="1" s="83">
      <c r="A138" s="125" t="n"/>
      <c r="B138" s="103" t="n"/>
      <c r="C138" s="170">
        <f>IFERROR(_xlfn.XLOOKUP(B138,DormRegistry[Dorm Name],DormRegistry[Ownership Type]),"")</f>
        <v/>
      </c>
      <c r="D138" s="170">
        <f>IFERROR(_xlfn.XLOOKUP(B138,DormRegistry[Dorm Name],DormRegistry[Bed Capacity]),0)</f>
        <v/>
      </c>
      <c r="E138" s="130">
        <f>IF(A138="","",$B$6*(1+$B$8)^(YEAR(A138)-YEAR(StartDate)))</f>
        <v/>
      </c>
      <c r="F138" s="105">
        <f>$B$7</f>
        <v/>
      </c>
      <c r="G138" s="105">
        <f>$B$8</f>
        <v/>
      </c>
      <c r="H138" s="130">
        <f>IFERROR(D138*E138,0)</f>
        <v/>
      </c>
      <c r="I138" s="130" t="n"/>
      <c r="J138" s="130">
        <f>IFERROR(D138*F138*E138,0)</f>
        <v/>
      </c>
      <c r="K138" s="104" t="n"/>
      <c r="L138" s="104" t="n"/>
      <c r="M138" s="104" t="n"/>
      <c r="N138" s="104" t="n"/>
      <c r="O138" s="104" t="n"/>
      <c r="P138" s="104" t="n"/>
      <c r="Q138" s="104" t="n"/>
      <c r="R138" s="130">
        <f>IF(C138="Owned",0,IF(B138&lt;&gt;"",2500,0))</f>
        <v/>
      </c>
      <c r="S138" s="130">
        <f>SUM(K138:R138)</f>
        <v/>
      </c>
      <c r="T138" s="130">
        <f>I138-S138</f>
        <v/>
      </c>
      <c r="U138" s="105">
        <f>IFERROR(T138/I138,0)</f>
        <v/>
      </c>
    </row>
    <row r="139" ht="14.25" customHeight="1" s="83">
      <c r="A139" s="125" t="n"/>
      <c r="B139" s="103" t="n"/>
      <c r="C139" s="170">
        <f>IFERROR(_xlfn.XLOOKUP(B139,DormRegistry[Dorm Name],DormRegistry[Ownership Type]),"")</f>
        <v/>
      </c>
      <c r="D139" s="170">
        <f>IFERROR(_xlfn.XLOOKUP(B139,DormRegistry[Dorm Name],DormRegistry[Bed Capacity]),0)</f>
        <v/>
      </c>
      <c r="E139" s="130">
        <f>IF(A139="","",$B$6*(1+$B$8)^(YEAR(A139)-YEAR(StartDate)))</f>
        <v/>
      </c>
      <c r="F139" s="105">
        <f>$B$7</f>
        <v/>
      </c>
      <c r="G139" s="105">
        <f>$B$8</f>
        <v/>
      </c>
      <c r="H139" s="130">
        <f>IFERROR(D139*E139,0)</f>
        <v/>
      </c>
      <c r="I139" s="130" t="n"/>
      <c r="J139" s="130">
        <f>IFERROR(D139*F139*E139,0)</f>
        <v/>
      </c>
      <c r="K139" s="104" t="n"/>
      <c r="L139" s="104" t="n"/>
      <c r="M139" s="104" t="n"/>
      <c r="N139" s="104" t="n"/>
      <c r="O139" s="104" t="n"/>
      <c r="P139" s="104" t="n"/>
      <c r="Q139" s="104" t="n"/>
      <c r="R139" s="130">
        <f>IF(C139="Owned",0,IF(B139&lt;&gt;"",2500,0))</f>
        <v/>
      </c>
      <c r="S139" s="130">
        <f>SUM(K139:R139)</f>
        <v/>
      </c>
      <c r="T139" s="130">
        <f>I139-S139</f>
        <v/>
      </c>
      <c r="U139" s="105">
        <f>IFERROR(T139/I139,0)</f>
        <v/>
      </c>
    </row>
    <row r="140" ht="14.25" customHeight="1" s="83">
      <c r="A140" s="125" t="n"/>
      <c r="B140" s="103" t="n"/>
      <c r="C140" s="170">
        <f>IFERROR(_xlfn.XLOOKUP(B140,DormRegistry[Dorm Name],DormRegistry[Ownership Type]),"")</f>
        <v/>
      </c>
      <c r="D140" s="170">
        <f>IFERROR(_xlfn.XLOOKUP(B140,DormRegistry[Dorm Name],DormRegistry[Bed Capacity]),0)</f>
        <v/>
      </c>
      <c r="E140" s="130">
        <f>IF(A140="","",$B$6*(1+$B$8)^(YEAR(A140)-YEAR(StartDate)))</f>
        <v/>
      </c>
      <c r="F140" s="105">
        <f>$B$7</f>
        <v/>
      </c>
      <c r="G140" s="105">
        <f>$B$8</f>
        <v/>
      </c>
      <c r="H140" s="130">
        <f>IFERROR(D140*E140,0)</f>
        <v/>
      </c>
      <c r="I140" s="130" t="n"/>
      <c r="J140" s="130">
        <f>IFERROR(D140*F140*E140,0)</f>
        <v/>
      </c>
      <c r="K140" s="104" t="n"/>
      <c r="L140" s="104" t="n"/>
      <c r="M140" s="104" t="n"/>
      <c r="N140" s="104" t="n"/>
      <c r="O140" s="104" t="n"/>
      <c r="P140" s="104" t="n"/>
      <c r="Q140" s="104" t="n"/>
      <c r="R140" s="130">
        <f>IF(C140="Owned",0,IF(B140&lt;&gt;"",2500,0))</f>
        <v/>
      </c>
      <c r="S140" s="130">
        <f>SUM(K140:R140)</f>
        <v/>
      </c>
      <c r="T140" s="130">
        <f>I140-S140</f>
        <v/>
      </c>
      <c r="U140" s="105">
        <f>IFERROR(T140/I140,0)</f>
        <v/>
      </c>
    </row>
    <row r="141" ht="14.25" customHeight="1" s="83">
      <c r="A141" s="125" t="n"/>
      <c r="B141" s="103" t="n"/>
      <c r="C141" s="170">
        <f>IFERROR(_xlfn.XLOOKUP(B141,DormRegistry[Dorm Name],DormRegistry[Ownership Type]),"")</f>
        <v/>
      </c>
      <c r="D141" s="170">
        <f>IFERROR(_xlfn.XLOOKUP(B141,DormRegistry[Dorm Name],DormRegistry[Bed Capacity]),0)</f>
        <v/>
      </c>
      <c r="E141" s="130">
        <f>IF(A141="","",$B$6*(1+$B$8)^(YEAR(A141)-YEAR(StartDate)))</f>
        <v/>
      </c>
      <c r="F141" s="105">
        <f>$B$7</f>
        <v/>
      </c>
      <c r="G141" s="105">
        <f>$B$8</f>
        <v/>
      </c>
      <c r="H141" s="130">
        <f>IFERROR(D141*E141,0)</f>
        <v/>
      </c>
      <c r="I141" s="130" t="n"/>
      <c r="J141" s="130">
        <f>IFERROR(D141*F141*E141,0)</f>
        <v/>
      </c>
      <c r="K141" s="104" t="n"/>
      <c r="L141" s="104" t="n"/>
      <c r="M141" s="104" t="n"/>
      <c r="N141" s="104" t="n"/>
      <c r="O141" s="104" t="n"/>
      <c r="P141" s="104" t="n"/>
      <c r="Q141" s="104" t="n"/>
      <c r="R141" s="130">
        <f>IF(C141="Owned",0,IF(B141&lt;&gt;"",2500,0))</f>
        <v/>
      </c>
      <c r="S141" s="130">
        <f>SUM(K141:R141)</f>
        <v/>
      </c>
      <c r="T141" s="130">
        <f>I141-S141</f>
        <v/>
      </c>
      <c r="U141" s="105">
        <f>IFERROR(T141/I141,0)</f>
        <v/>
      </c>
    </row>
    <row r="142" ht="14.25" customHeight="1" s="83">
      <c r="A142" s="125" t="n"/>
      <c r="B142" s="103" t="n"/>
      <c r="C142" s="170">
        <f>IFERROR(_xlfn.XLOOKUP(B142,DormRegistry[Dorm Name],DormRegistry[Ownership Type]),"")</f>
        <v/>
      </c>
      <c r="D142" s="170">
        <f>IFERROR(_xlfn.XLOOKUP(B142,DormRegistry[Dorm Name],DormRegistry[Bed Capacity]),0)</f>
        <v/>
      </c>
      <c r="E142" s="130">
        <f>IF(A142="","",$B$6*(1+$B$8)^(YEAR(A142)-YEAR(StartDate)))</f>
        <v/>
      </c>
      <c r="F142" s="105">
        <f>$B$7</f>
        <v/>
      </c>
      <c r="G142" s="105">
        <f>$B$8</f>
        <v/>
      </c>
      <c r="H142" s="130">
        <f>IFERROR(D142*E142,0)</f>
        <v/>
      </c>
      <c r="I142" s="130" t="n"/>
      <c r="J142" s="130">
        <f>IFERROR(D142*F142*E142,0)</f>
        <v/>
      </c>
      <c r="K142" s="104" t="n"/>
      <c r="L142" s="104" t="n"/>
      <c r="M142" s="104" t="n"/>
      <c r="N142" s="104" t="n"/>
      <c r="O142" s="104" t="n"/>
      <c r="P142" s="104" t="n"/>
      <c r="Q142" s="104" t="n"/>
      <c r="R142" s="130">
        <f>IF(C142="Owned",0,IF(B142&lt;&gt;"",2500,0))</f>
        <v/>
      </c>
      <c r="S142" s="130">
        <f>SUM(K142:R142)</f>
        <v/>
      </c>
      <c r="T142" s="130">
        <f>I142-S142</f>
        <v/>
      </c>
      <c r="U142" s="105">
        <f>IFERROR(T142/I142,0)</f>
        <v/>
      </c>
    </row>
    <row r="143" ht="14.25" customHeight="1" s="83">
      <c r="A143" s="125" t="n"/>
      <c r="B143" s="103" t="n"/>
      <c r="C143" s="170">
        <f>IFERROR(_xlfn.XLOOKUP(B143,DormRegistry[Dorm Name],DormRegistry[Ownership Type]),"")</f>
        <v/>
      </c>
      <c r="D143" s="170">
        <f>IFERROR(_xlfn.XLOOKUP(B143,DormRegistry[Dorm Name],DormRegistry[Bed Capacity]),0)</f>
        <v/>
      </c>
      <c r="E143" s="130">
        <f>IF(A143="","",$B$6*(1+$B$8)^(YEAR(A143)-YEAR(StartDate)))</f>
        <v/>
      </c>
      <c r="F143" s="105">
        <f>$B$7</f>
        <v/>
      </c>
      <c r="G143" s="105">
        <f>$B$8</f>
        <v/>
      </c>
      <c r="H143" s="130">
        <f>IFERROR(D143*E143,0)</f>
        <v/>
      </c>
      <c r="I143" s="130" t="n"/>
      <c r="J143" s="130">
        <f>IFERROR(D143*F143*E143,0)</f>
        <v/>
      </c>
      <c r="K143" s="104" t="n"/>
      <c r="L143" s="104" t="n"/>
      <c r="M143" s="104" t="n"/>
      <c r="N143" s="104" t="n"/>
      <c r="O143" s="104" t="n"/>
      <c r="P143" s="104" t="n"/>
      <c r="Q143" s="104" t="n"/>
      <c r="R143" s="130">
        <f>IF(C143="Owned",0,IF(B143&lt;&gt;"",2500,0))</f>
        <v/>
      </c>
      <c r="S143" s="130">
        <f>SUM(K143:R143)</f>
        <v/>
      </c>
      <c r="T143" s="130">
        <f>I143-S143</f>
        <v/>
      </c>
      <c r="U143" s="105">
        <f>IFERROR(T143/I143,0)</f>
        <v/>
      </c>
    </row>
    <row r="144" ht="14.25" customHeight="1" s="83">
      <c r="A144" s="125" t="n"/>
      <c r="B144" s="103" t="n"/>
      <c r="C144" s="170">
        <f>IFERROR(_xlfn.XLOOKUP(B144,DormRegistry[Dorm Name],DormRegistry[Ownership Type]),"")</f>
        <v/>
      </c>
      <c r="D144" s="170">
        <f>IFERROR(_xlfn.XLOOKUP(B144,DormRegistry[Dorm Name],DormRegistry[Bed Capacity]),0)</f>
        <v/>
      </c>
      <c r="E144" s="130">
        <f>IF(A144="","",$B$6*(1+$B$8)^(YEAR(A144)-YEAR(StartDate)))</f>
        <v/>
      </c>
      <c r="F144" s="105">
        <f>$B$7</f>
        <v/>
      </c>
      <c r="G144" s="105">
        <f>$B$8</f>
        <v/>
      </c>
      <c r="H144" s="130">
        <f>IFERROR(D144*E144,0)</f>
        <v/>
      </c>
      <c r="I144" s="130" t="n"/>
      <c r="J144" s="130">
        <f>IFERROR(D144*F144*E144,0)</f>
        <v/>
      </c>
      <c r="K144" s="104" t="n"/>
      <c r="L144" s="104" t="n"/>
      <c r="M144" s="104" t="n"/>
      <c r="N144" s="104" t="n"/>
      <c r="O144" s="104" t="n"/>
      <c r="P144" s="104" t="n"/>
      <c r="Q144" s="104" t="n"/>
      <c r="R144" s="130">
        <f>IF(C144="Owned",0,IF(B144&lt;&gt;"",2500,0))</f>
        <v/>
      </c>
      <c r="S144" s="130">
        <f>SUM(K144:R144)</f>
        <v/>
      </c>
      <c r="T144" s="130">
        <f>I144-S144</f>
        <v/>
      </c>
      <c r="U144" s="105">
        <f>IFERROR(T144/I144,0)</f>
        <v/>
      </c>
    </row>
    <row r="145" ht="14.25" customHeight="1" s="83">
      <c r="A145" s="125" t="n"/>
      <c r="B145" s="103" t="n"/>
      <c r="C145" s="170">
        <f>IFERROR(_xlfn.XLOOKUP(B145,DormRegistry[Dorm Name],DormRegistry[Ownership Type]),"")</f>
        <v/>
      </c>
      <c r="D145" s="170">
        <f>IFERROR(_xlfn.XLOOKUP(B145,DormRegistry[Dorm Name],DormRegistry[Bed Capacity]),0)</f>
        <v/>
      </c>
      <c r="E145" s="130">
        <f>IF(A145="","",$B$6*(1+$B$8)^(YEAR(A145)-YEAR(StartDate)))</f>
        <v/>
      </c>
      <c r="F145" s="105">
        <f>$B$7</f>
        <v/>
      </c>
      <c r="G145" s="105">
        <f>$B$8</f>
        <v/>
      </c>
      <c r="H145" s="130">
        <f>IFERROR(D145*E145,0)</f>
        <v/>
      </c>
      <c r="I145" s="130" t="n"/>
      <c r="J145" s="130">
        <f>IFERROR(D145*F145*E145,0)</f>
        <v/>
      </c>
      <c r="K145" s="104" t="n"/>
      <c r="L145" s="104" t="n"/>
      <c r="M145" s="104" t="n"/>
      <c r="N145" s="104" t="n"/>
      <c r="O145" s="104" t="n"/>
      <c r="P145" s="104" t="n"/>
      <c r="Q145" s="104" t="n"/>
      <c r="R145" s="130">
        <f>IF(C145="Owned",0,IF(B145&lt;&gt;"",2500,0))</f>
        <v/>
      </c>
      <c r="S145" s="130">
        <f>SUM(K145:R145)</f>
        <v/>
      </c>
      <c r="T145" s="130">
        <f>I145-S145</f>
        <v/>
      </c>
      <c r="U145" s="105">
        <f>IFERROR(T145/I145,0)</f>
        <v/>
      </c>
    </row>
    <row r="146" ht="14.25" customHeight="1" s="83">
      <c r="A146" s="125" t="n"/>
      <c r="B146" s="103" t="n"/>
      <c r="C146" s="170">
        <f>IFERROR(_xlfn.XLOOKUP(B146,DormRegistry[Dorm Name],DormRegistry[Ownership Type]),"")</f>
        <v/>
      </c>
      <c r="D146" s="170">
        <f>IFERROR(_xlfn.XLOOKUP(B146,DormRegistry[Dorm Name],DormRegistry[Bed Capacity]),0)</f>
        <v/>
      </c>
      <c r="E146" s="130">
        <f>IF(A146="","",$B$6*(1+$B$8)^(YEAR(A146)-YEAR(StartDate)))</f>
        <v/>
      </c>
      <c r="F146" s="105">
        <f>$B$7</f>
        <v/>
      </c>
      <c r="G146" s="105">
        <f>$B$8</f>
        <v/>
      </c>
      <c r="H146" s="130">
        <f>IFERROR(D146*E146,0)</f>
        <v/>
      </c>
      <c r="I146" s="130" t="n"/>
      <c r="J146" s="130">
        <f>IFERROR(D146*F146*E146,0)</f>
        <v/>
      </c>
      <c r="K146" s="104" t="n"/>
      <c r="L146" s="104" t="n"/>
      <c r="M146" s="104" t="n"/>
      <c r="N146" s="104" t="n"/>
      <c r="O146" s="104" t="n"/>
      <c r="P146" s="104" t="n"/>
      <c r="Q146" s="104" t="n"/>
      <c r="R146" s="130">
        <f>IF(C146="Owned",0,IF(B146&lt;&gt;"",2500,0))</f>
        <v/>
      </c>
      <c r="S146" s="130">
        <f>SUM(K146:R146)</f>
        <v/>
      </c>
      <c r="T146" s="130">
        <f>I146-S146</f>
        <v/>
      </c>
      <c r="U146" s="105">
        <f>IFERROR(T146/I146,0)</f>
        <v/>
      </c>
    </row>
    <row r="147" ht="14.25" customHeight="1" s="83">
      <c r="A147" s="125" t="n"/>
      <c r="B147" s="103" t="n"/>
      <c r="C147" s="170">
        <f>IFERROR(_xlfn.XLOOKUP(B147,DormRegistry[Dorm Name],DormRegistry[Ownership Type]),"")</f>
        <v/>
      </c>
      <c r="D147" s="170">
        <f>IFERROR(_xlfn.XLOOKUP(B147,DormRegistry[Dorm Name],DormRegistry[Bed Capacity]),0)</f>
        <v/>
      </c>
      <c r="E147" s="130">
        <f>IF(A147="","",$B$6*(1+$B$8)^(YEAR(A147)-YEAR(StartDate)))</f>
        <v/>
      </c>
      <c r="F147" s="105">
        <f>$B$7</f>
        <v/>
      </c>
      <c r="G147" s="105">
        <f>$B$8</f>
        <v/>
      </c>
      <c r="H147" s="130">
        <f>IFERROR(D147*E147,0)</f>
        <v/>
      </c>
      <c r="I147" s="130" t="n"/>
      <c r="J147" s="130">
        <f>IFERROR(D147*F147*E147,0)</f>
        <v/>
      </c>
      <c r="K147" s="104" t="n"/>
      <c r="L147" s="104" t="n"/>
      <c r="M147" s="104" t="n"/>
      <c r="N147" s="104" t="n"/>
      <c r="O147" s="104" t="n"/>
      <c r="P147" s="104" t="n"/>
      <c r="Q147" s="104" t="n"/>
      <c r="R147" s="130">
        <f>IF(C147="Owned",0,IF(B147&lt;&gt;"",2500,0))</f>
        <v/>
      </c>
      <c r="S147" s="130">
        <f>SUM(K147:R147)</f>
        <v/>
      </c>
      <c r="T147" s="130">
        <f>I147-S147</f>
        <v/>
      </c>
      <c r="U147" s="105">
        <f>IFERROR(T147/I147,0)</f>
        <v/>
      </c>
    </row>
    <row r="148" ht="14.25" customHeight="1" s="83">
      <c r="A148" s="125" t="n"/>
      <c r="B148" s="103" t="n"/>
      <c r="C148" s="170">
        <f>IFERROR(_xlfn.XLOOKUP(B148,DormRegistry[Dorm Name],DormRegistry[Ownership Type]),"")</f>
        <v/>
      </c>
      <c r="D148" s="170">
        <f>IFERROR(_xlfn.XLOOKUP(B148,DormRegistry[Dorm Name],DormRegistry[Bed Capacity]),0)</f>
        <v/>
      </c>
      <c r="E148" s="130">
        <f>IF(A148="","",$B$6*(1+$B$8)^(YEAR(A148)-YEAR(StartDate)))</f>
        <v/>
      </c>
      <c r="F148" s="105">
        <f>$B$7</f>
        <v/>
      </c>
      <c r="G148" s="105">
        <f>$B$8</f>
        <v/>
      </c>
      <c r="H148" s="130">
        <f>IFERROR(D148*E148,0)</f>
        <v/>
      </c>
      <c r="I148" s="130" t="n"/>
      <c r="J148" s="130">
        <f>IFERROR(D148*F148*E148,0)</f>
        <v/>
      </c>
      <c r="K148" s="104" t="n"/>
      <c r="L148" s="104" t="n"/>
      <c r="M148" s="104" t="n"/>
      <c r="N148" s="104" t="n"/>
      <c r="O148" s="104" t="n"/>
      <c r="P148" s="104" t="n"/>
      <c r="Q148" s="104" t="n"/>
      <c r="R148" s="130">
        <f>IF(C148="Owned",0,IF(B148&lt;&gt;"",2500,0))</f>
        <v/>
      </c>
      <c r="S148" s="130">
        <f>SUM(K148:R148)</f>
        <v/>
      </c>
      <c r="T148" s="130">
        <f>I148-S148</f>
        <v/>
      </c>
      <c r="U148" s="105">
        <f>IFERROR(T148/I148,0)</f>
        <v/>
      </c>
    </row>
    <row r="149" ht="14.25" customHeight="1" s="83">
      <c r="A149" s="125" t="n"/>
      <c r="B149" s="103" t="n"/>
      <c r="C149" s="170">
        <f>IFERROR(_xlfn.XLOOKUP(B149,DormRegistry[Dorm Name],DormRegistry[Ownership Type]),"")</f>
        <v/>
      </c>
      <c r="D149" s="170">
        <f>IFERROR(_xlfn.XLOOKUP(B149,DormRegistry[Dorm Name],DormRegistry[Bed Capacity]),0)</f>
        <v/>
      </c>
      <c r="E149" s="130">
        <f>IF(A149="","",$B$6*(1+$B$8)^(YEAR(A149)-YEAR(StartDate)))</f>
        <v/>
      </c>
      <c r="F149" s="105">
        <f>$B$7</f>
        <v/>
      </c>
      <c r="G149" s="105">
        <f>$B$8</f>
        <v/>
      </c>
      <c r="H149" s="130">
        <f>IFERROR(D149*E149,0)</f>
        <v/>
      </c>
      <c r="I149" s="130" t="n"/>
      <c r="J149" s="130">
        <f>IFERROR(D149*F149*E149,0)</f>
        <v/>
      </c>
      <c r="K149" s="104" t="n"/>
      <c r="L149" s="104" t="n"/>
      <c r="M149" s="104" t="n"/>
      <c r="N149" s="104" t="n"/>
      <c r="O149" s="104" t="n"/>
      <c r="P149" s="104" t="n"/>
      <c r="Q149" s="104" t="n"/>
      <c r="R149" s="130">
        <f>IF(C149="Owned",0,IF(B149&lt;&gt;"",2500,0))</f>
        <v/>
      </c>
      <c r="S149" s="130">
        <f>SUM(K149:R149)</f>
        <v/>
      </c>
      <c r="T149" s="130">
        <f>I149-S149</f>
        <v/>
      </c>
      <c r="U149" s="105">
        <f>IFERROR(T149/I149,0)</f>
        <v/>
      </c>
    </row>
    <row r="150" ht="14.25" customHeight="1" s="83">
      <c r="A150" s="125" t="n"/>
      <c r="B150" s="103" t="n"/>
      <c r="C150" s="170">
        <f>IFERROR(_xlfn.XLOOKUP(B150,DormRegistry[Dorm Name],DormRegistry[Ownership Type]),"")</f>
        <v/>
      </c>
      <c r="D150" s="170">
        <f>IFERROR(_xlfn.XLOOKUP(B150,DormRegistry[Dorm Name],DormRegistry[Bed Capacity]),0)</f>
        <v/>
      </c>
      <c r="E150" s="130">
        <f>IF(A150="","",$B$6*(1+$B$8)^(YEAR(A150)-YEAR(StartDate)))</f>
        <v/>
      </c>
      <c r="F150" s="105">
        <f>$B$7</f>
        <v/>
      </c>
      <c r="G150" s="105">
        <f>$B$8</f>
        <v/>
      </c>
      <c r="H150" s="130">
        <f>IFERROR(D150*E150,0)</f>
        <v/>
      </c>
      <c r="I150" s="130" t="n"/>
      <c r="J150" s="130">
        <f>IFERROR(D150*F150*E150,0)</f>
        <v/>
      </c>
      <c r="K150" s="104" t="n"/>
      <c r="L150" s="104" t="n"/>
      <c r="M150" s="104" t="n"/>
      <c r="N150" s="104" t="n"/>
      <c r="O150" s="104" t="n"/>
      <c r="P150" s="104" t="n"/>
      <c r="Q150" s="104" t="n"/>
      <c r="R150" s="130">
        <f>IF(C150="Owned",0,IF(B150&lt;&gt;"",2500,0))</f>
        <v/>
      </c>
      <c r="S150" s="130">
        <f>SUM(K150:R150)</f>
        <v/>
      </c>
      <c r="T150" s="130">
        <f>I150-S150</f>
        <v/>
      </c>
      <c r="U150" s="105">
        <f>IFERROR(T150/I150,0)</f>
        <v/>
      </c>
    </row>
    <row r="151" ht="14.25" customHeight="1" s="83">
      <c r="A151" s="125" t="n"/>
      <c r="B151" s="103" t="n"/>
      <c r="C151" s="170">
        <f>IFERROR(_xlfn.XLOOKUP(B151,DormRegistry[Dorm Name],DormRegistry[Ownership Type]),"")</f>
        <v/>
      </c>
      <c r="D151" s="170">
        <f>IFERROR(_xlfn.XLOOKUP(B151,DormRegistry[Dorm Name],DormRegistry[Bed Capacity]),0)</f>
        <v/>
      </c>
      <c r="E151" s="130">
        <f>IF(A151="","",$B$6*(1+$B$8)^(YEAR(A151)-YEAR(StartDate)))</f>
        <v/>
      </c>
      <c r="F151" s="105">
        <f>$B$7</f>
        <v/>
      </c>
      <c r="G151" s="105">
        <f>$B$8</f>
        <v/>
      </c>
      <c r="H151" s="130">
        <f>IFERROR(D151*E151,0)</f>
        <v/>
      </c>
      <c r="I151" s="130" t="n"/>
      <c r="J151" s="130">
        <f>IFERROR(D151*F151*E151,0)</f>
        <v/>
      </c>
      <c r="K151" s="104" t="n"/>
      <c r="L151" s="104" t="n"/>
      <c r="M151" s="104" t="n"/>
      <c r="N151" s="104" t="n"/>
      <c r="O151" s="104" t="n"/>
      <c r="P151" s="104" t="n"/>
      <c r="Q151" s="104" t="n"/>
      <c r="R151" s="130">
        <f>IF(C151="Owned",0,IF(B151&lt;&gt;"",2500,0))</f>
        <v/>
      </c>
      <c r="S151" s="130">
        <f>SUM(K151:R151)</f>
        <v/>
      </c>
      <c r="T151" s="130">
        <f>I151-S151</f>
        <v/>
      </c>
      <c r="U151" s="105">
        <f>IFERROR(T151/I151,0)</f>
        <v/>
      </c>
    </row>
    <row r="152" ht="14.25" customHeight="1" s="83">
      <c r="A152" s="125" t="n"/>
      <c r="B152" s="103" t="n"/>
      <c r="C152" s="170">
        <f>IFERROR(_xlfn.XLOOKUP(B152,DormRegistry[Dorm Name],DormRegistry[Ownership Type]),"")</f>
        <v/>
      </c>
      <c r="D152" s="170">
        <f>IFERROR(_xlfn.XLOOKUP(B152,DormRegistry[Dorm Name],DormRegistry[Bed Capacity]),0)</f>
        <v/>
      </c>
      <c r="E152" s="130">
        <f>IF(A152="","",$B$6*(1+$B$8)^(YEAR(A152)-YEAR(StartDate)))</f>
        <v/>
      </c>
      <c r="F152" s="105">
        <f>$B$7</f>
        <v/>
      </c>
      <c r="G152" s="105">
        <f>$B$8</f>
        <v/>
      </c>
      <c r="H152" s="130">
        <f>IFERROR(D152*E152,0)</f>
        <v/>
      </c>
      <c r="I152" s="130" t="n"/>
      <c r="J152" s="130">
        <f>IFERROR(D152*F152*E152,0)</f>
        <v/>
      </c>
      <c r="K152" s="104" t="n"/>
      <c r="L152" s="104" t="n"/>
      <c r="M152" s="104" t="n"/>
      <c r="N152" s="104" t="n"/>
      <c r="O152" s="104" t="n"/>
      <c r="P152" s="104" t="n"/>
      <c r="Q152" s="104" t="n"/>
      <c r="R152" s="130">
        <f>IF(C152="Owned",0,IF(B152&lt;&gt;"",2500,0))</f>
        <v/>
      </c>
      <c r="S152" s="130">
        <f>SUM(K152:R152)</f>
        <v/>
      </c>
      <c r="T152" s="130">
        <f>I152-S152</f>
        <v/>
      </c>
      <c r="U152" s="105">
        <f>IFERROR(T152/I152,0)</f>
        <v/>
      </c>
    </row>
    <row r="153" ht="14.25" customHeight="1" s="83">
      <c r="A153" s="125" t="n"/>
      <c r="B153" s="103" t="n"/>
      <c r="C153" s="170">
        <f>IFERROR(_xlfn.XLOOKUP(B153,DormRegistry[Dorm Name],DormRegistry[Ownership Type]),"")</f>
        <v/>
      </c>
      <c r="D153" s="170">
        <f>IFERROR(_xlfn.XLOOKUP(B153,DormRegistry[Dorm Name],DormRegistry[Bed Capacity]),0)</f>
        <v/>
      </c>
      <c r="E153" s="130">
        <f>IF(A153="","",$B$6*(1+$B$8)^(YEAR(A153)-YEAR(StartDate)))</f>
        <v/>
      </c>
      <c r="F153" s="105">
        <f>$B$7</f>
        <v/>
      </c>
      <c r="G153" s="105">
        <f>$B$8</f>
        <v/>
      </c>
      <c r="H153" s="130">
        <f>IFERROR(D153*E153,0)</f>
        <v/>
      </c>
      <c r="I153" s="130" t="n"/>
      <c r="J153" s="130">
        <f>IFERROR(D153*F153*E153,0)</f>
        <v/>
      </c>
      <c r="K153" s="104" t="n"/>
      <c r="L153" s="104" t="n"/>
      <c r="M153" s="104" t="n"/>
      <c r="N153" s="104" t="n"/>
      <c r="O153" s="104" t="n"/>
      <c r="P153" s="104" t="n"/>
      <c r="Q153" s="104" t="n"/>
      <c r="R153" s="130">
        <f>IF(C153="Owned",0,IF(B153&lt;&gt;"",2500,0))</f>
        <v/>
      </c>
      <c r="S153" s="130">
        <f>SUM(K153:R153)</f>
        <v/>
      </c>
      <c r="T153" s="130">
        <f>I153-S153</f>
        <v/>
      </c>
      <c r="U153" s="105">
        <f>IFERROR(T153/I153,0)</f>
        <v/>
      </c>
    </row>
    <row r="154" ht="14.25" customHeight="1" s="83">
      <c r="A154" s="125" t="n"/>
      <c r="B154" s="103" t="n"/>
      <c r="C154" s="170">
        <f>IFERROR(_xlfn.XLOOKUP(B154,DormRegistry[Dorm Name],DormRegistry[Ownership Type]),"")</f>
        <v/>
      </c>
      <c r="D154" s="170">
        <f>IFERROR(_xlfn.XLOOKUP(B154,DormRegistry[Dorm Name],DormRegistry[Bed Capacity]),0)</f>
        <v/>
      </c>
      <c r="E154" s="130">
        <f>IF(A154="","",$B$6*(1+$B$8)^(YEAR(A154)-YEAR(StartDate)))</f>
        <v/>
      </c>
      <c r="F154" s="105">
        <f>$B$7</f>
        <v/>
      </c>
      <c r="G154" s="105">
        <f>$B$8</f>
        <v/>
      </c>
      <c r="H154" s="130">
        <f>IFERROR(D154*E154,0)</f>
        <v/>
      </c>
      <c r="I154" s="130" t="n"/>
      <c r="J154" s="130">
        <f>IFERROR(D154*F154*E154,0)</f>
        <v/>
      </c>
      <c r="K154" s="104" t="n"/>
      <c r="L154" s="104" t="n"/>
      <c r="M154" s="104" t="n"/>
      <c r="N154" s="104" t="n"/>
      <c r="O154" s="104" t="n"/>
      <c r="P154" s="104" t="n"/>
      <c r="Q154" s="104" t="n"/>
      <c r="R154" s="130">
        <f>IF(C154="Owned",0,IF(B154&lt;&gt;"",2500,0))</f>
        <v/>
      </c>
      <c r="S154" s="130">
        <f>SUM(K154:R154)</f>
        <v/>
      </c>
      <c r="T154" s="130">
        <f>I154-S154</f>
        <v/>
      </c>
      <c r="U154" s="105">
        <f>IFERROR(T154/I154,0)</f>
        <v/>
      </c>
    </row>
    <row r="155" ht="14.25" customHeight="1" s="83">
      <c r="A155" s="125" t="n"/>
      <c r="B155" s="103" t="n"/>
      <c r="C155" s="170">
        <f>IFERROR(_xlfn.XLOOKUP(B155,DormRegistry[Dorm Name],DormRegistry[Ownership Type]),"")</f>
        <v/>
      </c>
      <c r="D155" s="170">
        <f>IFERROR(_xlfn.XLOOKUP(B155,DormRegistry[Dorm Name],DormRegistry[Bed Capacity]),0)</f>
        <v/>
      </c>
      <c r="E155" s="130">
        <f>IF(A155="","",$B$6*(1+$B$8)^(YEAR(A155)-YEAR(StartDate)))</f>
        <v/>
      </c>
      <c r="F155" s="105">
        <f>$B$7</f>
        <v/>
      </c>
      <c r="G155" s="105">
        <f>$B$8</f>
        <v/>
      </c>
      <c r="H155" s="130">
        <f>IFERROR(D155*E155,0)</f>
        <v/>
      </c>
      <c r="I155" s="130" t="n"/>
      <c r="J155" s="130">
        <f>IFERROR(D155*F155*E155,0)</f>
        <v/>
      </c>
      <c r="K155" s="104" t="n"/>
      <c r="L155" s="104" t="n"/>
      <c r="M155" s="104" t="n"/>
      <c r="N155" s="104" t="n"/>
      <c r="O155" s="104" t="n"/>
      <c r="P155" s="104" t="n"/>
      <c r="Q155" s="104" t="n"/>
      <c r="R155" s="130">
        <f>IF(C155="Owned",0,IF(B155&lt;&gt;"",2500,0))</f>
        <v/>
      </c>
      <c r="S155" s="130">
        <f>SUM(K155:R155)</f>
        <v/>
      </c>
      <c r="T155" s="130">
        <f>I155-S155</f>
        <v/>
      </c>
      <c r="U155" s="105">
        <f>IFERROR(T155/I155,0)</f>
        <v/>
      </c>
    </row>
    <row r="156" ht="14.25" customHeight="1" s="83">
      <c r="A156" s="125" t="n"/>
      <c r="B156" s="103" t="n"/>
      <c r="C156" s="170">
        <f>IFERROR(_xlfn.XLOOKUP(B156,DormRegistry[Dorm Name],DormRegistry[Ownership Type]),"")</f>
        <v/>
      </c>
      <c r="D156" s="170">
        <f>IFERROR(_xlfn.XLOOKUP(B156,DormRegistry[Dorm Name],DormRegistry[Bed Capacity]),0)</f>
        <v/>
      </c>
      <c r="E156" s="130">
        <f>IF(A156="","",$B$6*(1+$B$8)^(YEAR(A156)-YEAR(StartDate)))</f>
        <v/>
      </c>
      <c r="F156" s="105">
        <f>$B$7</f>
        <v/>
      </c>
      <c r="G156" s="105">
        <f>$B$8</f>
        <v/>
      </c>
      <c r="H156" s="130">
        <f>IFERROR(D156*E156,0)</f>
        <v/>
      </c>
      <c r="I156" s="130" t="n"/>
      <c r="J156" s="130">
        <f>IFERROR(D156*F156*E156,0)</f>
        <v/>
      </c>
      <c r="K156" s="104" t="n"/>
      <c r="L156" s="104" t="n"/>
      <c r="M156" s="104" t="n"/>
      <c r="N156" s="104" t="n"/>
      <c r="O156" s="104" t="n"/>
      <c r="P156" s="104" t="n"/>
      <c r="Q156" s="104" t="n"/>
      <c r="R156" s="130">
        <f>IF(C156="Owned",0,IF(B156&lt;&gt;"",2500,0))</f>
        <v/>
      </c>
      <c r="S156" s="130">
        <f>SUM(K156:R156)</f>
        <v/>
      </c>
      <c r="T156" s="130">
        <f>I156-S156</f>
        <v/>
      </c>
      <c r="U156" s="105">
        <f>IFERROR(T156/I156,0)</f>
        <v/>
      </c>
    </row>
    <row r="157" ht="14.25" customHeight="1" s="83">
      <c r="A157" s="125" t="n"/>
      <c r="B157" s="103" t="n"/>
      <c r="C157" s="170">
        <f>IFERROR(_xlfn.XLOOKUP(B157,DormRegistry[Dorm Name],DormRegistry[Ownership Type]),"")</f>
        <v/>
      </c>
      <c r="D157" s="170">
        <f>IFERROR(_xlfn.XLOOKUP(B157,DormRegistry[Dorm Name],DormRegistry[Bed Capacity]),0)</f>
        <v/>
      </c>
      <c r="E157" s="130">
        <f>IF(A157="","",$B$6*(1+$B$8)^(YEAR(A157)-YEAR(StartDate)))</f>
        <v/>
      </c>
      <c r="F157" s="105">
        <f>$B$7</f>
        <v/>
      </c>
      <c r="G157" s="105">
        <f>$B$8</f>
        <v/>
      </c>
      <c r="H157" s="130">
        <f>IFERROR(D157*E157,0)</f>
        <v/>
      </c>
      <c r="I157" s="130" t="n"/>
      <c r="J157" s="130">
        <f>IFERROR(D157*F157*E157,0)</f>
        <v/>
      </c>
      <c r="K157" s="104" t="n"/>
      <c r="L157" s="104" t="n"/>
      <c r="M157" s="104" t="n"/>
      <c r="N157" s="104" t="n"/>
      <c r="O157" s="104" t="n"/>
      <c r="P157" s="104" t="n"/>
      <c r="Q157" s="104" t="n"/>
      <c r="R157" s="130">
        <f>IF(C157="Owned",0,IF(B157&lt;&gt;"",2500,0))</f>
        <v/>
      </c>
      <c r="S157" s="130">
        <f>SUM(K157:R157)</f>
        <v/>
      </c>
      <c r="T157" s="130">
        <f>I157-S157</f>
        <v/>
      </c>
      <c r="U157" s="105">
        <f>IFERROR(T157/I157,0)</f>
        <v/>
      </c>
    </row>
    <row r="158" ht="14.25" customHeight="1" s="83">
      <c r="A158" s="125" t="n"/>
      <c r="B158" s="103" t="n"/>
      <c r="C158" s="170">
        <f>IFERROR(_xlfn.XLOOKUP(B158,DormRegistry[Dorm Name],DormRegistry[Ownership Type]),"")</f>
        <v/>
      </c>
      <c r="D158" s="170">
        <f>IFERROR(_xlfn.XLOOKUP(B158,DormRegistry[Dorm Name],DormRegistry[Bed Capacity]),0)</f>
        <v/>
      </c>
      <c r="E158" s="130">
        <f>IF(A158="","",$B$6*(1+$B$8)^(YEAR(A158)-YEAR(StartDate)))</f>
        <v/>
      </c>
      <c r="F158" s="105">
        <f>$B$7</f>
        <v/>
      </c>
      <c r="G158" s="105">
        <f>$B$8</f>
        <v/>
      </c>
      <c r="H158" s="130">
        <f>IFERROR(D158*E158,0)</f>
        <v/>
      </c>
      <c r="I158" s="130" t="n"/>
      <c r="J158" s="130">
        <f>IFERROR(D158*F158*E158,0)</f>
        <v/>
      </c>
      <c r="K158" s="104" t="n"/>
      <c r="L158" s="104" t="n"/>
      <c r="M158" s="104" t="n"/>
      <c r="N158" s="104" t="n"/>
      <c r="O158" s="104" t="n"/>
      <c r="P158" s="104" t="n"/>
      <c r="Q158" s="104" t="n"/>
      <c r="R158" s="130">
        <f>IF(C158="Owned",0,IF(B158&lt;&gt;"",2500,0))</f>
        <v/>
      </c>
      <c r="S158" s="130">
        <f>SUM(K158:R158)</f>
        <v/>
      </c>
      <c r="T158" s="130">
        <f>I158-S158</f>
        <v/>
      </c>
      <c r="U158" s="105">
        <f>IFERROR(T158/I158,0)</f>
        <v/>
      </c>
    </row>
    <row r="159" ht="14.25" customHeight="1" s="83">
      <c r="A159" s="125" t="n"/>
      <c r="B159" s="103" t="n"/>
      <c r="C159" s="170">
        <f>IFERROR(_xlfn.XLOOKUP(B159,DormRegistry[Dorm Name],DormRegistry[Ownership Type]),"")</f>
        <v/>
      </c>
      <c r="D159" s="170">
        <f>IFERROR(_xlfn.XLOOKUP(B159,DormRegistry[Dorm Name],DormRegistry[Bed Capacity]),0)</f>
        <v/>
      </c>
      <c r="E159" s="130">
        <f>IF(A159="","",$B$6*(1+$B$8)^(YEAR(A159)-YEAR(StartDate)))</f>
        <v/>
      </c>
      <c r="F159" s="105">
        <f>$B$7</f>
        <v/>
      </c>
      <c r="G159" s="105">
        <f>$B$8</f>
        <v/>
      </c>
      <c r="H159" s="130">
        <f>IFERROR(D159*E159,0)</f>
        <v/>
      </c>
      <c r="I159" s="130" t="n"/>
      <c r="J159" s="130">
        <f>IFERROR(D159*F159*E159,0)</f>
        <v/>
      </c>
      <c r="K159" s="104" t="n"/>
      <c r="L159" s="104" t="n"/>
      <c r="M159" s="104" t="n"/>
      <c r="N159" s="104" t="n"/>
      <c r="O159" s="104" t="n"/>
      <c r="P159" s="104" t="n"/>
      <c r="Q159" s="104" t="n"/>
      <c r="R159" s="130">
        <f>IF(C159="Owned",0,IF(B159&lt;&gt;"",2500,0))</f>
        <v/>
      </c>
      <c r="S159" s="130">
        <f>SUM(K159:R159)</f>
        <v/>
      </c>
      <c r="T159" s="130">
        <f>I159-S159</f>
        <v/>
      </c>
      <c r="U159" s="105">
        <f>IFERROR(T159/I159,0)</f>
        <v/>
      </c>
    </row>
    <row r="160" ht="14.25" customHeight="1" s="83">
      <c r="A160" s="125" t="n"/>
      <c r="B160" s="103" t="n"/>
      <c r="C160" s="170">
        <f>IFERROR(_xlfn.XLOOKUP(B160,DormRegistry[Dorm Name],DormRegistry[Ownership Type]),"")</f>
        <v/>
      </c>
      <c r="D160" s="170">
        <f>IFERROR(_xlfn.XLOOKUP(B160,DormRegistry[Dorm Name],DormRegistry[Bed Capacity]),0)</f>
        <v/>
      </c>
      <c r="E160" s="130">
        <f>IF(A160="","",$B$6*(1+$B$8)^(YEAR(A160)-YEAR(StartDate)))</f>
        <v/>
      </c>
      <c r="F160" s="105">
        <f>$B$7</f>
        <v/>
      </c>
      <c r="G160" s="105">
        <f>$B$8</f>
        <v/>
      </c>
      <c r="H160" s="130">
        <f>IFERROR(D160*E160,0)</f>
        <v/>
      </c>
      <c r="I160" s="130" t="n"/>
      <c r="J160" s="130">
        <f>IFERROR(D160*F160*E160,0)</f>
        <v/>
      </c>
      <c r="K160" s="104" t="n"/>
      <c r="L160" s="104" t="n"/>
      <c r="M160" s="104" t="n"/>
      <c r="N160" s="104" t="n"/>
      <c r="O160" s="104" t="n"/>
      <c r="P160" s="104" t="n"/>
      <c r="Q160" s="104" t="n"/>
      <c r="R160" s="130">
        <f>IF(C160="Owned",0,IF(B160&lt;&gt;"",2500,0))</f>
        <v/>
      </c>
      <c r="S160" s="130">
        <f>SUM(K160:R160)</f>
        <v/>
      </c>
      <c r="T160" s="130">
        <f>I160-S160</f>
        <v/>
      </c>
      <c r="U160" s="105">
        <f>IFERROR(T160/I160,0)</f>
        <v/>
      </c>
    </row>
    <row r="161" ht="14.25" customHeight="1" s="83">
      <c r="A161" s="125" t="n"/>
      <c r="B161" s="103" t="n"/>
      <c r="C161" s="170">
        <f>IFERROR(_xlfn.XLOOKUP(B161,DormRegistry[Dorm Name],DormRegistry[Ownership Type]),"")</f>
        <v/>
      </c>
      <c r="D161" s="170">
        <f>IFERROR(_xlfn.XLOOKUP(B161,DormRegistry[Dorm Name],DormRegistry[Bed Capacity]),0)</f>
        <v/>
      </c>
      <c r="E161" s="130">
        <f>IF(A161="","",$B$6*(1+$B$8)^(YEAR(A161)-YEAR(StartDate)))</f>
        <v/>
      </c>
      <c r="F161" s="105">
        <f>$B$7</f>
        <v/>
      </c>
      <c r="G161" s="105">
        <f>$B$8</f>
        <v/>
      </c>
      <c r="H161" s="130">
        <f>IFERROR(D161*E161,0)</f>
        <v/>
      </c>
      <c r="I161" s="130" t="n"/>
      <c r="J161" s="130">
        <f>IFERROR(D161*F161*E161,0)</f>
        <v/>
      </c>
      <c r="K161" s="104" t="n"/>
      <c r="L161" s="104" t="n"/>
      <c r="M161" s="104" t="n"/>
      <c r="N161" s="104" t="n"/>
      <c r="O161" s="104" t="n"/>
      <c r="P161" s="104" t="n"/>
      <c r="Q161" s="104" t="n"/>
      <c r="R161" s="130">
        <f>IF(C161="Owned",0,IF(B161&lt;&gt;"",2500,0))</f>
        <v/>
      </c>
      <c r="S161" s="130">
        <f>SUM(K161:R161)</f>
        <v/>
      </c>
      <c r="T161" s="130">
        <f>I161-S161</f>
        <v/>
      </c>
      <c r="U161" s="105">
        <f>IFERROR(T161/I161,0)</f>
        <v/>
      </c>
    </row>
    <row r="162" ht="14.25" customHeight="1" s="83">
      <c r="A162" s="125" t="n"/>
      <c r="B162" s="103" t="n"/>
      <c r="C162" s="170">
        <f>IFERROR(_xlfn.XLOOKUP(B162,DormRegistry[Dorm Name],DormRegistry[Ownership Type]),"")</f>
        <v/>
      </c>
      <c r="D162" s="170">
        <f>IFERROR(_xlfn.XLOOKUP(B162,DormRegistry[Dorm Name],DormRegistry[Bed Capacity]),0)</f>
        <v/>
      </c>
      <c r="E162" s="130">
        <f>IF(A162="","",$B$6*(1+$B$8)^(YEAR(A162)-YEAR(StartDate)))</f>
        <v/>
      </c>
      <c r="F162" s="105">
        <f>$B$7</f>
        <v/>
      </c>
      <c r="G162" s="105">
        <f>$B$8</f>
        <v/>
      </c>
      <c r="H162" s="130">
        <f>IFERROR(D162*E162,0)</f>
        <v/>
      </c>
      <c r="I162" s="130" t="n"/>
      <c r="J162" s="130">
        <f>IFERROR(D162*F162*E162,0)</f>
        <v/>
      </c>
      <c r="K162" s="104" t="n"/>
      <c r="L162" s="104" t="n"/>
      <c r="M162" s="104" t="n"/>
      <c r="N162" s="104" t="n"/>
      <c r="O162" s="104" t="n"/>
      <c r="P162" s="104" t="n"/>
      <c r="Q162" s="104" t="n"/>
      <c r="R162" s="130">
        <f>IF(C162="Owned",0,IF(B162&lt;&gt;"",2500,0))</f>
        <v/>
      </c>
      <c r="S162" s="130">
        <f>SUM(K162:R162)</f>
        <v/>
      </c>
      <c r="T162" s="130">
        <f>I162-S162</f>
        <v/>
      </c>
      <c r="U162" s="105">
        <f>IFERROR(T162/I162,0)</f>
        <v/>
      </c>
    </row>
    <row r="163" ht="14.25" customHeight="1" s="83">
      <c r="A163" s="125" t="n"/>
      <c r="B163" s="103" t="n"/>
      <c r="C163" s="170">
        <f>IFERROR(_xlfn.XLOOKUP(B163,DormRegistry[Dorm Name],DormRegistry[Ownership Type]),"")</f>
        <v/>
      </c>
      <c r="D163" s="170">
        <f>IFERROR(_xlfn.XLOOKUP(B163,DormRegistry[Dorm Name],DormRegistry[Bed Capacity]),0)</f>
        <v/>
      </c>
      <c r="E163" s="130">
        <f>IF(A163="","",$B$6*(1+$B$8)^(YEAR(A163)-YEAR(StartDate)))</f>
        <v/>
      </c>
      <c r="F163" s="105">
        <f>$B$7</f>
        <v/>
      </c>
      <c r="G163" s="105">
        <f>$B$8</f>
        <v/>
      </c>
      <c r="H163" s="130">
        <f>IFERROR(D163*E163,0)</f>
        <v/>
      </c>
      <c r="I163" s="130" t="n"/>
      <c r="J163" s="130">
        <f>IFERROR(D163*F163*E163,0)</f>
        <v/>
      </c>
      <c r="K163" s="104" t="n"/>
      <c r="L163" s="104" t="n"/>
      <c r="M163" s="104" t="n"/>
      <c r="N163" s="104" t="n"/>
      <c r="O163" s="104" t="n"/>
      <c r="P163" s="104" t="n"/>
      <c r="Q163" s="104" t="n"/>
      <c r="R163" s="130">
        <f>IF(C163="Owned",0,IF(B163&lt;&gt;"",2500,0))</f>
        <v/>
      </c>
      <c r="S163" s="130">
        <f>SUM(K163:R163)</f>
        <v/>
      </c>
      <c r="T163" s="130">
        <f>I163-S163</f>
        <v/>
      </c>
      <c r="U163" s="105">
        <f>IFERROR(T163/I163,0)</f>
        <v/>
      </c>
    </row>
    <row r="164" ht="14.25" customHeight="1" s="83">
      <c r="A164" s="125" t="n"/>
      <c r="B164" s="103" t="n"/>
      <c r="C164" s="170">
        <f>IFERROR(_xlfn.XLOOKUP(B164,DormRegistry[Dorm Name],DormRegistry[Ownership Type]),"")</f>
        <v/>
      </c>
      <c r="D164" s="170">
        <f>IFERROR(_xlfn.XLOOKUP(B164,DormRegistry[Dorm Name],DormRegistry[Bed Capacity]),0)</f>
        <v/>
      </c>
      <c r="E164" s="130">
        <f>IF(A164="","",$B$6*(1+$B$8)^(YEAR(A164)-YEAR(StartDate)))</f>
        <v/>
      </c>
      <c r="F164" s="105">
        <f>$B$7</f>
        <v/>
      </c>
      <c r="G164" s="105">
        <f>$B$8</f>
        <v/>
      </c>
      <c r="H164" s="130">
        <f>IFERROR(D164*E164,0)</f>
        <v/>
      </c>
      <c r="I164" s="130" t="n"/>
      <c r="J164" s="130">
        <f>IFERROR(D164*F164*E164,0)</f>
        <v/>
      </c>
      <c r="K164" s="104" t="n"/>
      <c r="L164" s="104" t="n"/>
      <c r="M164" s="104" t="n"/>
      <c r="N164" s="104" t="n"/>
      <c r="O164" s="104" t="n"/>
      <c r="P164" s="104" t="n"/>
      <c r="Q164" s="104" t="n"/>
      <c r="R164" s="130">
        <f>IF(C164="Owned",0,IF(B164&lt;&gt;"",2500,0))</f>
        <v/>
      </c>
      <c r="S164" s="130">
        <f>SUM(K164:R164)</f>
        <v/>
      </c>
      <c r="T164" s="130">
        <f>I164-S164</f>
        <v/>
      </c>
      <c r="U164" s="105">
        <f>IFERROR(T164/I164,0)</f>
        <v/>
      </c>
    </row>
    <row r="165" ht="14.25" customHeight="1" s="83">
      <c r="A165" s="125" t="n"/>
      <c r="B165" s="103" t="n"/>
      <c r="C165" s="170">
        <f>IFERROR(_xlfn.XLOOKUP(B165,DormRegistry[Dorm Name],DormRegistry[Ownership Type]),"")</f>
        <v/>
      </c>
      <c r="D165" s="170">
        <f>IFERROR(_xlfn.XLOOKUP(B165,DormRegistry[Dorm Name],DormRegistry[Bed Capacity]),0)</f>
        <v/>
      </c>
      <c r="E165" s="130">
        <f>IF(A165="","",$B$6*(1+$B$8)^(YEAR(A165)-YEAR(StartDate)))</f>
        <v/>
      </c>
      <c r="F165" s="105">
        <f>$B$7</f>
        <v/>
      </c>
      <c r="G165" s="105">
        <f>$B$8</f>
        <v/>
      </c>
      <c r="H165" s="130">
        <f>IFERROR(D165*E165,0)</f>
        <v/>
      </c>
      <c r="I165" s="130" t="n"/>
      <c r="J165" s="130">
        <f>IFERROR(D165*F165*E165,0)</f>
        <v/>
      </c>
      <c r="K165" s="104" t="n"/>
      <c r="L165" s="104" t="n"/>
      <c r="M165" s="104" t="n"/>
      <c r="N165" s="104" t="n"/>
      <c r="O165" s="104" t="n"/>
      <c r="P165" s="104" t="n"/>
      <c r="Q165" s="104" t="n"/>
      <c r="R165" s="130">
        <f>IF(C165="Owned",0,IF(B165&lt;&gt;"",2500,0))</f>
        <v/>
      </c>
      <c r="S165" s="130">
        <f>SUM(K165:R165)</f>
        <v/>
      </c>
      <c r="T165" s="130">
        <f>I165-S165</f>
        <v/>
      </c>
      <c r="U165" s="105">
        <f>IFERROR(T165/I165,0)</f>
        <v/>
      </c>
    </row>
    <row r="166" ht="14.25" customHeight="1" s="83">
      <c r="A166" s="125" t="n"/>
      <c r="B166" s="103" t="n"/>
      <c r="C166" s="170">
        <f>IFERROR(_xlfn.XLOOKUP(B166,DormRegistry[Dorm Name],DormRegistry[Ownership Type]),"")</f>
        <v/>
      </c>
      <c r="D166" s="170">
        <f>IFERROR(_xlfn.XLOOKUP(B166,DormRegistry[Dorm Name],DormRegistry[Bed Capacity]),0)</f>
        <v/>
      </c>
      <c r="E166" s="130">
        <f>IF(A166="","",$B$6*(1+$B$8)^(YEAR(A166)-YEAR(StartDate)))</f>
        <v/>
      </c>
      <c r="F166" s="105">
        <f>$B$7</f>
        <v/>
      </c>
      <c r="G166" s="105">
        <f>$B$8</f>
        <v/>
      </c>
      <c r="H166" s="130">
        <f>IFERROR(D166*E166,0)</f>
        <v/>
      </c>
      <c r="I166" s="130" t="n"/>
      <c r="J166" s="130">
        <f>IFERROR(D166*F166*E166,0)</f>
        <v/>
      </c>
      <c r="K166" s="104" t="n"/>
      <c r="L166" s="104" t="n"/>
      <c r="M166" s="104" t="n"/>
      <c r="N166" s="104" t="n"/>
      <c r="O166" s="104" t="n"/>
      <c r="P166" s="104" t="n"/>
      <c r="Q166" s="104" t="n"/>
      <c r="R166" s="130">
        <f>IF(C166="Owned",0,IF(B166&lt;&gt;"",2500,0))</f>
        <v/>
      </c>
      <c r="S166" s="130">
        <f>SUM(K166:R166)</f>
        <v/>
      </c>
      <c r="T166" s="130">
        <f>I166-S166</f>
        <v/>
      </c>
      <c r="U166" s="105">
        <f>IFERROR(T166/I166,0)</f>
        <v/>
      </c>
    </row>
    <row r="167" ht="14.25" customHeight="1" s="83">
      <c r="A167" s="125" t="n"/>
      <c r="B167" s="103" t="n"/>
      <c r="C167" s="170">
        <f>IFERROR(_xlfn.XLOOKUP(B167,DormRegistry[Dorm Name],DormRegistry[Ownership Type]),"")</f>
        <v/>
      </c>
      <c r="D167" s="170">
        <f>IFERROR(_xlfn.XLOOKUP(B167,DormRegistry[Dorm Name],DormRegistry[Bed Capacity]),0)</f>
        <v/>
      </c>
      <c r="E167" s="130">
        <f>IF(A167="","",$B$6*(1+$B$8)^(YEAR(A167)-YEAR(StartDate)))</f>
        <v/>
      </c>
      <c r="F167" s="105">
        <f>$B$7</f>
        <v/>
      </c>
      <c r="G167" s="105">
        <f>$B$8</f>
        <v/>
      </c>
      <c r="H167" s="130">
        <f>IFERROR(D167*E167,0)</f>
        <v/>
      </c>
      <c r="I167" s="130" t="n"/>
      <c r="J167" s="130">
        <f>IFERROR(D167*F167*E167,0)</f>
        <v/>
      </c>
      <c r="K167" s="104" t="n"/>
      <c r="L167" s="104" t="n"/>
      <c r="M167" s="104" t="n"/>
      <c r="N167" s="104" t="n"/>
      <c r="O167" s="104" t="n"/>
      <c r="P167" s="104" t="n"/>
      <c r="Q167" s="104" t="n"/>
      <c r="R167" s="130">
        <f>IF(C167="Owned",0,IF(B167&lt;&gt;"",2500,0))</f>
        <v/>
      </c>
      <c r="S167" s="130">
        <f>SUM(K167:R167)</f>
        <v/>
      </c>
      <c r="T167" s="130">
        <f>I167-S167</f>
        <v/>
      </c>
      <c r="U167" s="105">
        <f>IFERROR(T167/I167,0)</f>
        <v/>
      </c>
    </row>
    <row r="168" ht="14.25" customHeight="1" s="83">
      <c r="A168" s="125" t="n"/>
      <c r="B168" s="103" t="n"/>
      <c r="C168" s="170">
        <f>IFERROR(_xlfn.XLOOKUP(B168,DormRegistry[Dorm Name],DormRegistry[Ownership Type]),"")</f>
        <v/>
      </c>
      <c r="D168" s="170">
        <f>IFERROR(_xlfn.XLOOKUP(B168,DormRegistry[Dorm Name],DormRegistry[Bed Capacity]),0)</f>
        <v/>
      </c>
      <c r="E168" s="130">
        <f>IF(A168="","",$B$6*(1+$B$8)^(YEAR(A168)-YEAR(StartDate)))</f>
        <v/>
      </c>
      <c r="F168" s="105">
        <f>$B$7</f>
        <v/>
      </c>
      <c r="G168" s="105">
        <f>$B$8</f>
        <v/>
      </c>
      <c r="H168" s="130">
        <f>IFERROR(D168*E168,0)</f>
        <v/>
      </c>
      <c r="I168" s="130" t="n"/>
      <c r="J168" s="130">
        <f>IFERROR(D168*F168*E168,0)</f>
        <v/>
      </c>
      <c r="K168" s="104" t="n"/>
      <c r="L168" s="104" t="n"/>
      <c r="M168" s="104" t="n"/>
      <c r="N168" s="104" t="n"/>
      <c r="O168" s="104" t="n"/>
      <c r="P168" s="104" t="n"/>
      <c r="Q168" s="104" t="n"/>
      <c r="R168" s="130">
        <f>IF(C168="Owned",0,IF(B168&lt;&gt;"",2500,0))</f>
        <v/>
      </c>
      <c r="S168" s="130">
        <f>SUM(K168:R168)</f>
        <v/>
      </c>
      <c r="T168" s="130">
        <f>I168-S168</f>
        <v/>
      </c>
      <c r="U168" s="105">
        <f>IFERROR(T168/I168,0)</f>
        <v/>
      </c>
    </row>
    <row r="169" ht="14.25" customHeight="1" s="83">
      <c r="A169" s="125" t="n"/>
      <c r="B169" s="103" t="n"/>
      <c r="C169" s="170">
        <f>IFERROR(_xlfn.XLOOKUP(B169,DormRegistry[Dorm Name],DormRegistry[Ownership Type]),"")</f>
        <v/>
      </c>
      <c r="D169" s="170">
        <f>IFERROR(_xlfn.XLOOKUP(B169,DormRegistry[Dorm Name],DormRegistry[Bed Capacity]),0)</f>
        <v/>
      </c>
      <c r="E169" s="130">
        <f>IF(A169="","",$B$6*(1+$B$8)^(YEAR(A169)-YEAR(StartDate)))</f>
        <v/>
      </c>
      <c r="F169" s="105">
        <f>$B$7</f>
        <v/>
      </c>
      <c r="G169" s="105">
        <f>$B$8</f>
        <v/>
      </c>
      <c r="H169" s="130">
        <f>IFERROR(D169*E169,0)</f>
        <v/>
      </c>
      <c r="I169" s="130" t="n"/>
      <c r="J169" s="130">
        <f>IFERROR(D169*F169*E169,0)</f>
        <v/>
      </c>
      <c r="K169" s="104" t="n"/>
      <c r="L169" s="104" t="n"/>
      <c r="M169" s="104" t="n"/>
      <c r="N169" s="104" t="n"/>
      <c r="O169" s="104" t="n"/>
      <c r="P169" s="104" t="n"/>
      <c r="Q169" s="104" t="n"/>
      <c r="R169" s="130">
        <f>IF(C169="Owned",0,IF(B169&lt;&gt;"",2500,0))</f>
        <v/>
      </c>
      <c r="S169" s="130">
        <f>SUM(K169:R169)</f>
        <v/>
      </c>
      <c r="T169" s="130">
        <f>I169-S169</f>
        <v/>
      </c>
      <c r="U169" s="105">
        <f>IFERROR(T169/I169,0)</f>
        <v/>
      </c>
    </row>
    <row r="170" ht="14.25" customHeight="1" s="83">
      <c r="A170" s="125" t="n"/>
      <c r="B170" s="103" t="n"/>
      <c r="C170" s="170">
        <f>IFERROR(_xlfn.XLOOKUP(B170,DormRegistry[Dorm Name],DormRegistry[Ownership Type]),"")</f>
        <v/>
      </c>
      <c r="D170" s="170">
        <f>IFERROR(_xlfn.XLOOKUP(B170,DormRegistry[Dorm Name],DormRegistry[Bed Capacity]),0)</f>
        <v/>
      </c>
      <c r="E170" s="130">
        <f>IF(A170="","",$B$6*(1+$B$8)^(YEAR(A170)-YEAR(StartDate)))</f>
        <v/>
      </c>
      <c r="F170" s="105">
        <f>$B$7</f>
        <v/>
      </c>
      <c r="G170" s="105">
        <f>$B$8</f>
        <v/>
      </c>
      <c r="H170" s="130">
        <f>IFERROR(D170*E170,0)</f>
        <v/>
      </c>
      <c r="I170" s="130" t="n"/>
      <c r="J170" s="130">
        <f>IFERROR(D170*F170*E170,0)</f>
        <v/>
      </c>
      <c r="K170" s="104" t="n"/>
      <c r="L170" s="104" t="n"/>
      <c r="M170" s="104" t="n"/>
      <c r="N170" s="104" t="n"/>
      <c r="O170" s="104" t="n"/>
      <c r="P170" s="104" t="n"/>
      <c r="Q170" s="104" t="n"/>
      <c r="R170" s="130">
        <f>IF(C170="Owned",0,IF(B170&lt;&gt;"",2500,0))</f>
        <v/>
      </c>
      <c r="S170" s="130">
        <f>SUM(K170:R170)</f>
        <v/>
      </c>
      <c r="T170" s="130">
        <f>I170-S170</f>
        <v/>
      </c>
      <c r="U170" s="105">
        <f>IFERROR(T170/I170,0)</f>
        <v/>
      </c>
    </row>
    <row r="171" ht="14.25" customHeight="1" s="83">
      <c r="A171" s="125" t="n"/>
      <c r="B171" s="103" t="n"/>
      <c r="C171" s="170">
        <f>IFERROR(_xlfn.XLOOKUP(B171,DormRegistry[Dorm Name],DormRegistry[Ownership Type]),"")</f>
        <v/>
      </c>
      <c r="D171" s="170">
        <f>IFERROR(_xlfn.XLOOKUP(B171,DormRegistry[Dorm Name],DormRegistry[Bed Capacity]),0)</f>
        <v/>
      </c>
      <c r="E171" s="130">
        <f>IF(A171="","",$B$6*(1+$B$8)^(YEAR(A171)-YEAR(StartDate)))</f>
        <v/>
      </c>
      <c r="F171" s="105">
        <f>$B$7</f>
        <v/>
      </c>
      <c r="G171" s="105">
        <f>$B$8</f>
        <v/>
      </c>
      <c r="H171" s="130">
        <f>IFERROR(D171*E171,0)</f>
        <v/>
      </c>
      <c r="I171" s="130" t="n"/>
      <c r="J171" s="130">
        <f>IFERROR(D171*F171*E171,0)</f>
        <v/>
      </c>
      <c r="K171" s="104" t="n"/>
      <c r="L171" s="104" t="n"/>
      <c r="M171" s="104" t="n"/>
      <c r="N171" s="104" t="n"/>
      <c r="O171" s="104" t="n"/>
      <c r="P171" s="104" t="n"/>
      <c r="Q171" s="104" t="n"/>
      <c r="R171" s="130">
        <f>IF(C171="Owned",0,IF(B171&lt;&gt;"",2500,0))</f>
        <v/>
      </c>
      <c r="S171" s="130">
        <f>SUM(K171:R171)</f>
        <v/>
      </c>
      <c r="T171" s="130">
        <f>I171-S171</f>
        <v/>
      </c>
      <c r="U171" s="105">
        <f>IFERROR(T171/I171,0)</f>
        <v/>
      </c>
    </row>
    <row r="172" ht="14.25" customHeight="1" s="83">
      <c r="A172" s="125" t="n"/>
      <c r="B172" s="103" t="n"/>
      <c r="C172" s="170">
        <f>IFERROR(_xlfn.XLOOKUP(B172,DormRegistry[Dorm Name],DormRegistry[Ownership Type]),"")</f>
        <v/>
      </c>
      <c r="D172" s="170">
        <f>IFERROR(_xlfn.XLOOKUP(B172,DormRegistry[Dorm Name],DormRegistry[Bed Capacity]),0)</f>
        <v/>
      </c>
      <c r="E172" s="130">
        <f>IF(A172="","",$B$6*(1+$B$8)^(YEAR(A172)-YEAR(StartDate)))</f>
        <v/>
      </c>
      <c r="F172" s="105">
        <f>$B$7</f>
        <v/>
      </c>
      <c r="G172" s="105">
        <f>$B$8</f>
        <v/>
      </c>
      <c r="H172" s="130">
        <f>IFERROR(D172*E172,0)</f>
        <v/>
      </c>
      <c r="I172" s="130" t="n"/>
      <c r="J172" s="130">
        <f>IFERROR(D172*F172*E172,0)</f>
        <v/>
      </c>
      <c r="K172" s="104" t="n"/>
      <c r="L172" s="104" t="n"/>
      <c r="M172" s="104" t="n"/>
      <c r="N172" s="104" t="n"/>
      <c r="O172" s="104" t="n"/>
      <c r="P172" s="104" t="n"/>
      <c r="Q172" s="104" t="n"/>
      <c r="R172" s="130">
        <f>IF(C172="Owned",0,IF(B172&lt;&gt;"",2500,0))</f>
        <v/>
      </c>
      <c r="S172" s="130">
        <f>SUM(K172:R172)</f>
        <v/>
      </c>
      <c r="T172" s="130">
        <f>I172-S172</f>
        <v/>
      </c>
      <c r="U172" s="105">
        <f>IFERROR(T172/I172,0)</f>
        <v/>
      </c>
    </row>
    <row r="173" ht="14.25" customHeight="1" s="83">
      <c r="A173" s="125" t="n"/>
      <c r="B173" s="103" t="n"/>
      <c r="C173" s="170">
        <f>IFERROR(_xlfn.XLOOKUP(B173,DormRegistry[Dorm Name],DormRegistry[Ownership Type]),"")</f>
        <v/>
      </c>
      <c r="D173" s="170">
        <f>IFERROR(_xlfn.XLOOKUP(B173,DormRegistry[Dorm Name],DormRegistry[Bed Capacity]),0)</f>
        <v/>
      </c>
      <c r="E173" s="130">
        <f>IF(A173="","",$B$6*(1+$B$8)^(YEAR(A173)-YEAR(StartDate)))</f>
        <v/>
      </c>
      <c r="F173" s="105">
        <f>$B$7</f>
        <v/>
      </c>
      <c r="G173" s="105">
        <f>$B$8</f>
        <v/>
      </c>
      <c r="H173" s="130">
        <f>IFERROR(D173*E173,0)</f>
        <v/>
      </c>
      <c r="I173" s="130" t="n"/>
      <c r="J173" s="130">
        <f>IFERROR(D173*F173*E173,0)</f>
        <v/>
      </c>
      <c r="K173" s="104" t="n"/>
      <c r="L173" s="104" t="n"/>
      <c r="M173" s="104" t="n"/>
      <c r="N173" s="104" t="n"/>
      <c r="O173" s="104" t="n"/>
      <c r="P173" s="104" t="n"/>
      <c r="Q173" s="104" t="n"/>
      <c r="R173" s="130">
        <f>IF(C173="Owned",0,IF(B173&lt;&gt;"",2500,0))</f>
        <v/>
      </c>
      <c r="S173" s="130">
        <f>SUM(K173:R173)</f>
        <v/>
      </c>
      <c r="T173" s="130">
        <f>I173-S173</f>
        <v/>
      </c>
      <c r="U173" s="105">
        <f>IFERROR(T173/I173,0)</f>
        <v/>
      </c>
    </row>
    <row r="174" ht="14.25" customHeight="1" s="83">
      <c r="A174" s="125" t="n"/>
      <c r="B174" s="103" t="n"/>
      <c r="C174" s="170">
        <f>IFERROR(_xlfn.XLOOKUP(B174,DormRegistry[Dorm Name],DormRegistry[Ownership Type]),"")</f>
        <v/>
      </c>
      <c r="D174" s="170">
        <f>IFERROR(_xlfn.XLOOKUP(B174,DormRegistry[Dorm Name],DormRegistry[Bed Capacity]),0)</f>
        <v/>
      </c>
      <c r="E174" s="130">
        <f>IF(A174="","",$B$6*(1+$B$8)^(YEAR(A174)-YEAR(StartDate)))</f>
        <v/>
      </c>
      <c r="F174" s="105">
        <f>$B$7</f>
        <v/>
      </c>
      <c r="G174" s="105">
        <f>$B$8</f>
        <v/>
      </c>
      <c r="H174" s="130">
        <f>IFERROR(D174*E174,0)</f>
        <v/>
      </c>
      <c r="I174" s="130" t="n"/>
      <c r="J174" s="130">
        <f>IFERROR(D174*F174*E174,0)</f>
        <v/>
      </c>
      <c r="K174" s="104" t="n"/>
      <c r="L174" s="104" t="n"/>
      <c r="M174" s="104" t="n"/>
      <c r="N174" s="104" t="n"/>
      <c r="O174" s="104" t="n"/>
      <c r="P174" s="104" t="n"/>
      <c r="Q174" s="104" t="n"/>
      <c r="R174" s="130">
        <f>IF(C174="Owned",0,IF(B174&lt;&gt;"",2500,0))</f>
        <v/>
      </c>
      <c r="S174" s="130">
        <f>SUM(K174:R174)</f>
        <v/>
      </c>
      <c r="T174" s="130">
        <f>I174-S174</f>
        <v/>
      </c>
      <c r="U174" s="105">
        <f>IFERROR(T174/I174,0)</f>
        <v/>
      </c>
    </row>
    <row r="175" ht="14.25" customHeight="1" s="83">
      <c r="A175" s="125" t="n"/>
      <c r="B175" s="103" t="n"/>
      <c r="C175" s="170">
        <f>IFERROR(_xlfn.XLOOKUP(B175,DormRegistry[Dorm Name],DormRegistry[Ownership Type]),"")</f>
        <v/>
      </c>
      <c r="D175" s="170">
        <f>IFERROR(_xlfn.XLOOKUP(B175,DormRegistry[Dorm Name],DormRegistry[Bed Capacity]),0)</f>
        <v/>
      </c>
      <c r="E175" s="130">
        <f>IF(A175="","",$B$6*(1+$B$8)^(YEAR(A175)-YEAR(StartDate)))</f>
        <v/>
      </c>
      <c r="F175" s="105">
        <f>$B$7</f>
        <v/>
      </c>
      <c r="G175" s="105">
        <f>$B$8</f>
        <v/>
      </c>
      <c r="H175" s="130">
        <f>IFERROR(D175*E175,0)</f>
        <v/>
      </c>
      <c r="I175" s="130" t="n"/>
      <c r="J175" s="130">
        <f>IFERROR(D175*F175*E175,0)</f>
        <v/>
      </c>
      <c r="K175" s="104" t="n"/>
      <c r="L175" s="104" t="n"/>
      <c r="M175" s="104" t="n"/>
      <c r="N175" s="104" t="n"/>
      <c r="O175" s="104" t="n"/>
      <c r="P175" s="104" t="n"/>
      <c r="Q175" s="104" t="n"/>
      <c r="R175" s="130">
        <f>IF(C175="Owned",0,IF(B175&lt;&gt;"",2500,0))</f>
        <v/>
      </c>
      <c r="S175" s="130">
        <f>SUM(K175:R175)</f>
        <v/>
      </c>
      <c r="T175" s="130">
        <f>I175-S175</f>
        <v/>
      </c>
      <c r="U175" s="105">
        <f>IFERROR(T175/I175,0)</f>
        <v/>
      </c>
    </row>
    <row r="176" ht="14.25" customHeight="1" s="83">
      <c r="A176" s="125" t="n"/>
      <c r="B176" s="103" t="n"/>
      <c r="C176" s="170">
        <f>IFERROR(_xlfn.XLOOKUP(B176,DormRegistry[Dorm Name],DormRegistry[Ownership Type]),"")</f>
        <v/>
      </c>
      <c r="D176" s="170">
        <f>IFERROR(_xlfn.XLOOKUP(B176,DormRegistry[Dorm Name],DormRegistry[Bed Capacity]),0)</f>
        <v/>
      </c>
      <c r="E176" s="130">
        <f>IF(A176="","",$B$6*(1+$B$8)^(YEAR(A176)-YEAR(StartDate)))</f>
        <v/>
      </c>
      <c r="F176" s="105">
        <f>$B$7</f>
        <v/>
      </c>
      <c r="G176" s="105">
        <f>$B$8</f>
        <v/>
      </c>
      <c r="H176" s="130">
        <f>IFERROR(D176*E176,0)</f>
        <v/>
      </c>
      <c r="I176" s="130" t="n"/>
      <c r="J176" s="130">
        <f>IFERROR(D176*F176*E176,0)</f>
        <v/>
      </c>
      <c r="K176" s="104" t="n"/>
      <c r="L176" s="104" t="n"/>
      <c r="M176" s="104" t="n"/>
      <c r="N176" s="104" t="n"/>
      <c r="O176" s="104" t="n"/>
      <c r="P176" s="104" t="n"/>
      <c r="Q176" s="104" t="n"/>
      <c r="R176" s="130">
        <f>IF(C176="Owned",0,IF(B176&lt;&gt;"",2500,0))</f>
        <v/>
      </c>
      <c r="S176" s="130">
        <f>SUM(K176:R176)</f>
        <v/>
      </c>
      <c r="T176" s="130">
        <f>I176-S176</f>
        <v/>
      </c>
      <c r="U176" s="105">
        <f>IFERROR(T176/I176,0)</f>
        <v/>
      </c>
    </row>
    <row r="177" ht="14.25" customHeight="1" s="83">
      <c r="A177" s="125" t="n"/>
      <c r="B177" s="103" t="n"/>
      <c r="C177" s="170">
        <f>IFERROR(_xlfn.XLOOKUP(B177,DormRegistry[Dorm Name],DormRegistry[Ownership Type]),"")</f>
        <v/>
      </c>
      <c r="D177" s="170">
        <f>IFERROR(_xlfn.XLOOKUP(B177,DormRegistry[Dorm Name],DormRegistry[Bed Capacity]),0)</f>
        <v/>
      </c>
      <c r="E177" s="130">
        <f>IF(A177="","",$B$6*(1+$B$8)^(YEAR(A177)-YEAR(StartDate)))</f>
        <v/>
      </c>
      <c r="F177" s="105">
        <f>$B$7</f>
        <v/>
      </c>
      <c r="G177" s="105">
        <f>$B$8</f>
        <v/>
      </c>
      <c r="H177" s="130">
        <f>IFERROR(D177*E177,0)</f>
        <v/>
      </c>
      <c r="I177" s="130" t="n"/>
      <c r="J177" s="130">
        <f>IFERROR(D177*F177*E177,0)</f>
        <v/>
      </c>
      <c r="K177" s="104" t="n"/>
      <c r="L177" s="104" t="n"/>
      <c r="M177" s="104" t="n"/>
      <c r="N177" s="104" t="n"/>
      <c r="O177" s="104" t="n"/>
      <c r="P177" s="104" t="n"/>
      <c r="Q177" s="104" t="n"/>
      <c r="R177" s="130">
        <f>IF(C177="Owned",0,IF(B177&lt;&gt;"",2500,0))</f>
        <v/>
      </c>
      <c r="S177" s="130">
        <f>SUM(K177:R177)</f>
        <v/>
      </c>
      <c r="T177" s="130">
        <f>I177-S177</f>
        <v/>
      </c>
      <c r="U177" s="105">
        <f>IFERROR(T177/I177,0)</f>
        <v/>
      </c>
    </row>
    <row r="178" ht="14.25" customHeight="1" s="83">
      <c r="A178" s="125" t="n"/>
      <c r="B178" s="103" t="n"/>
      <c r="C178" s="170">
        <f>IFERROR(_xlfn.XLOOKUP(B178,DormRegistry[Dorm Name],DormRegistry[Ownership Type]),"")</f>
        <v/>
      </c>
      <c r="D178" s="170">
        <f>IFERROR(_xlfn.XLOOKUP(B178,DormRegistry[Dorm Name],DormRegistry[Bed Capacity]),0)</f>
        <v/>
      </c>
      <c r="E178" s="130">
        <f>IF(A178="","",$B$6*(1+$B$8)^(YEAR(A178)-YEAR(StartDate)))</f>
        <v/>
      </c>
      <c r="F178" s="105">
        <f>$B$7</f>
        <v/>
      </c>
      <c r="G178" s="105">
        <f>$B$8</f>
        <v/>
      </c>
      <c r="H178" s="130">
        <f>IFERROR(D178*E178,0)</f>
        <v/>
      </c>
      <c r="I178" s="130" t="n"/>
      <c r="J178" s="130">
        <f>IFERROR(D178*F178*E178,0)</f>
        <v/>
      </c>
      <c r="K178" s="104" t="n"/>
      <c r="L178" s="104" t="n"/>
      <c r="M178" s="104" t="n"/>
      <c r="N178" s="104" t="n"/>
      <c r="O178" s="104" t="n"/>
      <c r="P178" s="104" t="n"/>
      <c r="Q178" s="104" t="n"/>
      <c r="R178" s="130">
        <f>IF(C178="Owned",0,IF(B178&lt;&gt;"",2500,0))</f>
        <v/>
      </c>
      <c r="S178" s="130">
        <f>SUM(K178:R178)</f>
        <v/>
      </c>
      <c r="T178" s="130">
        <f>I178-S178</f>
        <v/>
      </c>
      <c r="U178" s="105">
        <f>IFERROR(T178/I178,0)</f>
        <v/>
      </c>
    </row>
    <row r="179" ht="14.25" customHeight="1" s="83">
      <c r="A179" s="125" t="n"/>
      <c r="B179" s="103" t="n"/>
      <c r="C179" s="170">
        <f>IFERROR(_xlfn.XLOOKUP(B179,DormRegistry[Dorm Name],DormRegistry[Ownership Type]),"")</f>
        <v/>
      </c>
      <c r="D179" s="170">
        <f>IFERROR(_xlfn.XLOOKUP(B179,DormRegistry[Dorm Name],DormRegistry[Bed Capacity]),0)</f>
        <v/>
      </c>
      <c r="E179" s="130">
        <f>IF(A179="","",$B$6*(1+$B$8)^(YEAR(A179)-YEAR(StartDate)))</f>
        <v/>
      </c>
      <c r="F179" s="105">
        <f>$B$7</f>
        <v/>
      </c>
      <c r="G179" s="105">
        <f>$B$8</f>
        <v/>
      </c>
      <c r="H179" s="130">
        <f>IFERROR(D179*E179,0)</f>
        <v/>
      </c>
      <c r="I179" s="130" t="n"/>
      <c r="J179" s="130">
        <f>IFERROR(D179*F179*E179,0)</f>
        <v/>
      </c>
      <c r="K179" s="104" t="n"/>
      <c r="L179" s="104" t="n"/>
      <c r="M179" s="104" t="n"/>
      <c r="N179" s="104" t="n"/>
      <c r="O179" s="104" t="n"/>
      <c r="P179" s="104" t="n"/>
      <c r="Q179" s="104" t="n"/>
      <c r="R179" s="130">
        <f>IF(C179="Owned",0,IF(B179&lt;&gt;"",2500,0))</f>
        <v/>
      </c>
      <c r="S179" s="130">
        <f>SUM(K179:R179)</f>
        <v/>
      </c>
      <c r="T179" s="130">
        <f>I179-S179</f>
        <v/>
      </c>
      <c r="U179" s="105">
        <f>IFERROR(T179/I179,0)</f>
        <v/>
      </c>
    </row>
    <row r="180" ht="14.25" customHeight="1" s="83">
      <c r="A180" s="125" t="n"/>
      <c r="B180" s="103" t="n"/>
      <c r="C180" s="170">
        <f>IFERROR(_xlfn.XLOOKUP(B180,DormRegistry[Dorm Name],DormRegistry[Ownership Type]),"")</f>
        <v/>
      </c>
      <c r="D180" s="170">
        <f>IFERROR(_xlfn.XLOOKUP(B180,DormRegistry[Dorm Name],DormRegistry[Bed Capacity]),0)</f>
        <v/>
      </c>
      <c r="E180" s="130">
        <f>IF(A180="","",$B$6*(1+$B$8)^(YEAR(A180)-YEAR(StartDate)))</f>
        <v/>
      </c>
      <c r="F180" s="105">
        <f>$B$7</f>
        <v/>
      </c>
      <c r="G180" s="105">
        <f>$B$8</f>
        <v/>
      </c>
      <c r="H180" s="130">
        <f>IFERROR(D180*E180,0)</f>
        <v/>
      </c>
      <c r="I180" s="130" t="n"/>
      <c r="J180" s="130">
        <f>IFERROR(D180*F180*E180,0)</f>
        <v/>
      </c>
      <c r="K180" s="104" t="n"/>
      <c r="L180" s="104" t="n"/>
      <c r="M180" s="104" t="n"/>
      <c r="N180" s="104" t="n"/>
      <c r="O180" s="104" t="n"/>
      <c r="P180" s="104" t="n"/>
      <c r="Q180" s="104" t="n"/>
      <c r="R180" s="130">
        <f>IF(C180="Owned",0,IF(B180&lt;&gt;"",2500,0))</f>
        <v/>
      </c>
      <c r="S180" s="130">
        <f>SUM(K180:R180)</f>
        <v/>
      </c>
      <c r="T180" s="130">
        <f>I180-S180</f>
        <v/>
      </c>
      <c r="U180" s="105">
        <f>IFERROR(T180/I180,0)</f>
        <v/>
      </c>
    </row>
    <row r="181" ht="14.25" customHeight="1" s="83">
      <c r="A181" s="125" t="n"/>
      <c r="B181" s="103" t="n"/>
      <c r="C181" s="170">
        <f>IFERROR(_xlfn.XLOOKUP(B181,DormRegistry[Dorm Name],DormRegistry[Ownership Type]),"")</f>
        <v/>
      </c>
      <c r="D181" s="170">
        <f>IFERROR(_xlfn.XLOOKUP(B181,DormRegistry[Dorm Name],DormRegistry[Bed Capacity]),0)</f>
        <v/>
      </c>
      <c r="E181" s="130">
        <f>IF(A181="","",$B$6*(1+$B$8)^(YEAR(A181)-YEAR(StartDate)))</f>
        <v/>
      </c>
      <c r="F181" s="105">
        <f>$B$7</f>
        <v/>
      </c>
      <c r="G181" s="105">
        <f>$B$8</f>
        <v/>
      </c>
      <c r="H181" s="130">
        <f>IFERROR(D181*E181,0)</f>
        <v/>
      </c>
      <c r="I181" s="130" t="n"/>
      <c r="J181" s="130">
        <f>IFERROR(D181*F181*E181,0)</f>
        <v/>
      </c>
      <c r="K181" s="104" t="n"/>
      <c r="L181" s="104" t="n"/>
      <c r="M181" s="104" t="n"/>
      <c r="N181" s="104" t="n"/>
      <c r="O181" s="104" t="n"/>
      <c r="P181" s="104" t="n"/>
      <c r="Q181" s="104" t="n"/>
      <c r="R181" s="130">
        <f>IF(C181="Owned",0,IF(B181&lt;&gt;"",2500,0))</f>
        <v/>
      </c>
      <c r="S181" s="130">
        <f>SUM(K181:R181)</f>
        <v/>
      </c>
      <c r="T181" s="130">
        <f>I181-S181</f>
        <v/>
      </c>
      <c r="U181" s="105">
        <f>IFERROR(T181/I181,0)</f>
        <v/>
      </c>
    </row>
    <row r="182" ht="14.25" customHeight="1" s="83">
      <c r="A182" s="125" t="n"/>
      <c r="B182" s="103" t="n"/>
      <c r="C182" s="170">
        <f>IFERROR(_xlfn.XLOOKUP(B182,DormRegistry[Dorm Name],DormRegistry[Ownership Type]),"")</f>
        <v/>
      </c>
      <c r="D182" s="170">
        <f>IFERROR(_xlfn.XLOOKUP(B182,DormRegistry[Dorm Name],DormRegistry[Bed Capacity]),0)</f>
        <v/>
      </c>
      <c r="E182" s="130">
        <f>IF(A182="","",$B$6*(1+$B$8)^(YEAR(A182)-YEAR(StartDate)))</f>
        <v/>
      </c>
      <c r="F182" s="105">
        <f>$B$7</f>
        <v/>
      </c>
      <c r="G182" s="105">
        <f>$B$8</f>
        <v/>
      </c>
      <c r="H182" s="130">
        <f>IFERROR(D182*E182,0)</f>
        <v/>
      </c>
      <c r="I182" s="130" t="n"/>
      <c r="J182" s="130">
        <f>IFERROR(D182*F182*E182,0)</f>
        <v/>
      </c>
      <c r="K182" s="104" t="n"/>
      <c r="L182" s="104" t="n"/>
      <c r="M182" s="104" t="n"/>
      <c r="N182" s="104" t="n"/>
      <c r="O182" s="104" t="n"/>
      <c r="P182" s="104" t="n"/>
      <c r="Q182" s="104" t="n"/>
      <c r="R182" s="130">
        <f>IF(C182="Owned",0,IF(B182&lt;&gt;"",2500,0))</f>
        <v/>
      </c>
      <c r="S182" s="130">
        <f>SUM(K182:R182)</f>
        <v/>
      </c>
      <c r="T182" s="130">
        <f>I182-S182</f>
        <v/>
      </c>
      <c r="U182" s="105">
        <f>IFERROR(T182/I182,0)</f>
        <v/>
      </c>
    </row>
    <row r="183" ht="14.25" customHeight="1" s="83">
      <c r="A183" s="125" t="n"/>
      <c r="B183" s="103" t="n"/>
      <c r="C183" s="170">
        <f>IFERROR(_xlfn.XLOOKUP(B183,DormRegistry[Dorm Name],DormRegistry[Ownership Type]),"")</f>
        <v/>
      </c>
      <c r="D183" s="170">
        <f>IFERROR(_xlfn.XLOOKUP(B183,DormRegistry[Dorm Name],DormRegistry[Bed Capacity]),0)</f>
        <v/>
      </c>
      <c r="E183" s="130">
        <f>IF(A183="","",$B$6*(1+$B$8)^(YEAR(A183)-YEAR(StartDate)))</f>
        <v/>
      </c>
      <c r="F183" s="105">
        <f>$B$7</f>
        <v/>
      </c>
      <c r="G183" s="105">
        <f>$B$8</f>
        <v/>
      </c>
      <c r="H183" s="130">
        <f>IFERROR(D183*E183,0)</f>
        <v/>
      </c>
      <c r="I183" s="130" t="n"/>
      <c r="J183" s="130">
        <f>IFERROR(D183*F183*E183,0)</f>
        <v/>
      </c>
      <c r="K183" s="104" t="n"/>
      <c r="L183" s="104" t="n"/>
      <c r="M183" s="104" t="n"/>
      <c r="N183" s="104" t="n"/>
      <c r="O183" s="104" t="n"/>
      <c r="P183" s="104" t="n"/>
      <c r="Q183" s="104" t="n"/>
      <c r="R183" s="130">
        <f>IF(C183="Owned",0,IF(B183&lt;&gt;"",2500,0))</f>
        <v/>
      </c>
      <c r="S183" s="130">
        <f>SUM(K183:R183)</f>
        <v/>
      </c>
      <c r="T183" s="130">
        <f>I183-S183</f>
        <v/>
      </c>
      <c r="U183" s="105">
        <f>IFERROR(T183/I183,0)</f>
        <v/>
      </c>
    </row>
    <row r="184" ht="14.25" customHeight="1" s="83">
      <c r="A184" s="125" t="n"/>
      <c r="B184" s="103" t="n"/>
      <c r="C184" s="170">
        <f>IFERROR(_xlfn.XLOOKUP(B184,DormRegistry[Dorm Name],DormRegistry[Ownership Type]),"")</f>
        <v/>
      </c>
      <c r="D184" s="170">
        <f>IFERROR(_xlfn.XLOOKUP(B184,DormRegistry[Dorm Name],DormRegistry[Bed Capacity]),0)</f>
        <v/>
      </c>
      <c r="E184" s="130">
        <f>IF(A184="","",$B$6*(1+$B$8)^(YEAR(A184)-YEAR(StartDate)))</f>
        <v/>
      </c>
      <c r="F184" s="105">
        <f>$B$7</f>
        <v/>
      </c>
      <c r="G184" s="105">
        <f>$B$8</f>
        <v/>
      </c>
      <c r="H184" s="130">
        <f>IFERROR(D184*E184,0)</f>
        <v/>
      </c>
      <c r="I184" s="130" t="n"/>
      <c r="J184" s="130">
        <f>IFERROR(D184*F184*E184,0)</f>
        <v/>
      </c>
      <c r="K184" s="104" t="n"/>
      <c r="L184" s="104" t="n"/>
      <c r="M184" s="104" t="n"/>
      <c r="N184" s="104" t="n"/>
      <c r="O184" s="104" t="n"/>
      <c r="P184" s="104" t="n"/>
      <c r="Q184" s="104" t="n"/>
      <c r="R184" s="130">
        <f>IF(C184="Owned",0,IF(B184&lt;&gt;"",2500,0))</f>
        <v/>
      </c>
      <c r="S184" s="130">
        <f>SUM(K184:R184)</f>
        <v/>
      </c>
      <c r="T184" s="130">
        <f>I184-S184</f>
        <v/>
      </c>
      <c r="U184" s="105">
        <f>IFERROR(T184/I184,0)</f>
        <v/>
      </c>
    </row>
    <row r="185" ht="14.25" customHeight="1" s="83">
      <c r="A185" s="125" t="n"/>
      <c r="B185" s="103" t="n"/>
      <c r="C185" s="170">
        <f>IFERROR(_xlfn.XLOOKUP(B185,DormRegistry[Dorm Name],DormRegistry[Ownership Type]),"")</f>
        <v/>
      </c>
      <c r="D185" s="170">
        <f>IFERROR(_xlfn.XLOOKUP(B185,DormRegistry[Dorm Name],DormRegistry[Bed Capacity]),0)</f>
        <v/>
      </c>
      <c r="E185" s="130">
        <f>IF(A185="","",$B$6*(1+$B$8)^(YEAR(A185)-YEAR(StartDate)))</f>
        <v/>
      </c>
      <c r="F185" s="105">
        <f>$B$7</f>
        <v/>
      </c>
      <c r="G185" s="105">
        <f>$B$8</f>
        <v/>
      </c>
      <c r="H185" s="130">
        <f>IFERROR(D185*E185,0)</f>
        <v/>
      </c>
      <c r="I185" s="130" t="n"/>
      <c r="J185" s="130">
        <f>IFERROR(D185*F185*E185,0)</f>
        <v/>
      </c>
      <c r="K185" s="104" t="n"/>
      <c r="L185" s="104" t="n"/>
      <c r="M185" s="104" t="n"/>
      <c r="N185" s="104" t="n"/>
      <c r="O185" s="104" t="n"/>
      <c r="P185" s="104" t="n"/>
      <c r="Q185" s="104" t="n"/>
      <c r="R185" s="130">
        <f>IF(C185="Owned",0,IF(B185&lt;&gt;"",2500,0))</f>
        <v/>
      </c>
      <c r="S185" s="130">
        <f>SUM(K185:R185)</f>
        <v/>
      </c>
      <c r="T185" s="130">
        <f>I185-S185</f>
        <v/>
      </c>
      <c r="U185" s="105">
        <f>IFERROR(T185/I185,0)</f>
        <v/>
      </c>
    </row>
    <row r="186" ht="14.25" customHeight="1" s="83">
      <c r="A186" s="125" t="n"/>
      <c r="B186" s="103" t="n"/>
      <c r="C186" s="170">
        <f>IFERROR(_xlfn.XLOOKUP(B186,DormRegistry[Dorm Name],DormRegistry[Ownership Type]),"")</f>
        <v/>
      </c>
      <c r="D186" s="170">
        <f>IFERROR(_xlfn.XLOOKUP(B186,DormRegistry[Dorm Name],DormRegistry[Bed Capacity]),0)</f>
        <v/>
      </c>
      <c r="E186" s="130">
        <f>IF(A186="","",$B$6*(1+$B$8)^(YEAR(A186)-YEAR(StartDate)))</f>
        <v/>
      </c>
      <c r="F186" s="105">
        <f>$B$7</f>
        <v/>
      </c>
      <c r="G186" s="105">
        <f>$B$8</f>
        <v/>
      </c>
      <c r="H186" s="130">
        <f>IFERROR(D186*E186,0)</f>
        <v/>
      </c>
      <c r="I186" s="130" t="n"/>
      <c r="J186" s="130">
        <f>IFERROR(D186*F186*E186,0)</f>
        <v/>
      </c>
      <c r="K186" s="104" t="n"/>
      <c r="L186" s="104" t="n"/>
      <c r="M186" s="104" t="n"/>
      <c r="N186" s="104" t="n"/>
      <c r="O186" s="104" t="n"/>
      <c r="P186" s="104" t="n"/>
      <c r="Q186" s="104" t="n"/>
      <c r="R186" s="130">
        <f>IF(C186="Owned",0,IF(B186&lt;&gt;"",2500,0))</f>
        <v/>
      </c>
      <c r="S186" s="130">
        <f>SUM(K186:R186)</f>
        <v/>
      </c>
      <c r="T186" s="130">
        <f>I186-S186</f>
        <v/>
      </c>
      <c r="U186" s="105">
        <f>IFERROR(T186/I186,0)</f>
        <v/>
      </c>
    </row>
    <row r="187" ht="14.25" customHeight="1" s="83">
      <c r="A187" s="125" t="n"/>
      <c r="B187" s="103" t="n"/>
      <c r="C187" s="170">
        <f>IFERROR(_xlfn.XLOOKUP(B187,DormRegistry[Dorm Name],DormRegistry[Ownership Type]),"")</f>
        <v/>
      </c>
      <c r="D187" s="170">
        <f>IFERROR(_xlfn.XLOOKUP(B187,DormRegistry[Dorm Name],DormRegistry[Bed Capacity]),0)</f>
        <v/>
      </c>
      <c r="E187" s="130">
        <f>IF(A187="","",$B$6*(1+$B$8)^(YEAR(A187)-YEAR(StartDate)))</f>
        <v/>
      </c>
      <c r="F187" s="105">
        <f>$B$7</f>
        <v/>
      </c>
      <c r="G187" s="105">
        <f>$B$8</f>
        <v/>
      </c>
      <c r="H187" s="130">
        <f>IFERROR(D187*E187,0)</f>
        <v/>
      </c>
      <c r="I187" s="130" t="n"/>
      <c r="J187" s="130">
        <f>IFERROR(D187*F187*E187,0)</f>
        <v/>
      </c>
      <c r="K187" s="104" t="n"/>
      <c r="L187" s="104" t="n"/>
      <c r="M187" s="104" t="n"/>
      <c r="N187" s="104" t="n"/>
      <c r="O187" s="104" t="n"/>
      <c r="P187" s="104" t="n"/>
      <c r="Q187" s="104" t="n"/>
      <c r="R187" s="130">
        <f>IF(C187="Owned",0,IF(B187&lt;&gt;"",2500,0))</f>
        <v/>
      </c>
      <c r="S187" s="130">
        <f>SUM(K187:R187)</f>
        <v/>
      </c>
      <c r="T187" s="130">
        <f>I187-S187</f>
        <v/>
      </c>
      <c r="U187" s="105">
        <f>IFERROR(T187/I187,0)</f>
        <v/>
      </c>
    </row>
    <row r="188" ht="14.25" customHeight="1" s="83">
      <c r="A188" s="125" t="n"/>
      <c r="B188" s="103" t="n"/>
      <c r="C188" s="170">
        <f>IFERROR(_xlfn.XLOOKUP(B188,DormRegistry[Dorm Name],DormRegistry[Ownership Type]),"")</f>
        <v/>
      </c>
      <c r="D188" s="170">
        <f>IFERROR(_xlfn.XLOOKUP(B188,DormRegistry[Dorm Name],DormRegistry[Bed Capacity]),0)</f>
        <v/>
      </c>
      <c r="E188" s="130">
        <f>IF(A188="","",$B$6*(1+$B$8)^(YEAR(A188)-YEAR(StartDate)))</f>
        <v/>
      </c>
      <c r="F188" s="105">
        <f>$B$7</f>
        <v/>
      </c>
      <c r="G188" s="105">
        <f>$B$8</f>
        <v/>
      </c>
      <c r="H188" s="130">
        <f>IFERROR(D188*E188,0)</f>
        <v/>
      </c>
      <c r="I188" s="130" t="n"/>
      <c r="J188" s="130">
        <f>IFERROR(D188*F188*E188,0)</f>
        <v/>
      </c>
      <c r="K188" s="104" t="n"/>
      <c r="L188" s="104" t="n"/>
      <c r="M188" s="104" t="n"/>
      <c r="N188" s="104" t="n"/>
      <c r="O188" s="104" t="n"/>
      <c r="P188" s="104" t="n"/>
      <c r="Q188" s="104" t="n"/>
      <c r="R188" s="130">
        <f>IF(C188="Owned",0,IF(B188&lt;&gt;"",2500,0))</f>
        <v/>
      </c>
      <c r="S188" s="130">
        <f>SUM(K188:R188)</f>
        <v/>
      </c>
      <c r="T188" s="130">
        <f>I188-S188</f>
        <v/>
      </c>
      <c r="U188" s="105">
        <f>IFERROR(T188/I188,0)</f>
        <v/>
      </c>
    </row>
    <row r="189" ht="14.25" customHeight="1" s="83">
      <c r="A189" s="125" t="n"/>
      <c r="B189" s="103" t="n"/>
      <c r="C189" s="170">
        <f>IFERROR(_xlfn.XLOOKUP(B189,DormRegistry[Dorm Name],DormRegistry[Ownership Type]),"")</f>
        <v/>
      </c>
      <c r="D189" s="170">
        <f>IFERROR(_xlfn.XLOOKUP(B189,DormRegistry[Dorm Name],DormRegistry[Bed Capacity]),0)</f>
        <v/>
      </c>
      <c r="E189" s="130">
        <f>IF(A189="","",$B$6*(1+$B$8)^(YEAR(A189)-YEAR(StartDate)))</f>
        <v/>
      </c>
      <c r="F189" s="105">
        <f>$B$7</f>
        <v/>
      </c>
      <c r="G189" s="105">
        <f>$B$8</f>
        <v/>
      </c>
      <c r="H189" s="130">
        <f>IFERROR(D189*E189,0)</f>
        <v/>
      </c>
      <c r="I189" s="130" t="n"/>
      <c r="J189" s="130">
        <f>IFERROR(D189*F189*E189,0)</f>
        <v/>
      </c>
      <c r="K189" s="104" t="n"/>
      <c r="L189" s="104" t="n"/>
      <c r="M189" s="104" t="n"/>
      <c r="N189" s="104" t="n"/>
      <c r="O189" s="104" t="n"/>
      <c r="P189" s="104" t="n"/>
      <c r="Q189" s="104" t="n"/>
      <c r="R189" s="130">
        <f>IF(C189="Owned",0,IF(B189&lt;&gt;"",2500,0))</f>
        <v/>
      </c>
      <c r="S189" s="130">
        <f>SUM(K189:R189)</f>
        <v/>
      </c>
      <c r="T189" s="130">
        <f>I189-S189</f>
        <v/>
      </c>
      <c r="U189" s="105">
        <f>IFERROR(T189/I189,0)</f>
        <v/>
      </c>
    </row>
    <row r="190" ht="14.25" customHeight="1" s="83">
      <c r="A190" s="125" t="n"/>
      <c r="B190" s="103" t="n"/>
      <c r="C190" s="170">
        <f>IFERROR(_xlfn.XLOOKUP(B190,DormRegistry[Dorm Name],DormRegistry[Ownership Type]),"")</f>
        <v/>
      </c>
      <c r="D190" s="170">
        <f>IFERROR(_xlfn.XLOOKUP(B190,DormRegistry[Dorm Name],DormRegistry[Bed Capacity]),0)</f>
        <v/>
      </c>
      <c r="E190" s="130">
        <f>IF(A190="","",$B$6*(1+$B$8)^(YEAR(A190)-YEAR(StartDate)))</f>
        <v/>
      </c>
      <c r="F190" s="105">
        <f>$B$7</f>
        <v/>
      </c>
      <c r="G190" s="105">
        <f>$B$8</f>
        <v/>
      </c>
      <c r="H190" s="130">
        <f>IFERROR(D190*E190,0)</f>
        <v/>
      </c>
      <c r="I190" s="130" t="n"/>
      <c r="J190" s="130">
        <f>IFERROR(D190*F190*E190,0)</f>
        <v/>
      </c>
      <c r="K190" s="104" t="n"/>
      <c r="L190" s="104" t="n"/>
      <c r="M190" s="104" t="n"/>
      <c r="N190" s="104" t="n"/>
      <c r="O190" s="104" t="n"/>
      <c r="P190" s="104" t="n"/>
      <c r="Q190" s="104" t="n"/>
      <c r="R190" s="130">
        <f>IF(C190="Owned",0,IF(B190&lt;&gt;"",2500,0))</f>
        <v/>
      </c>
      <c r="S190" s="130">
        <f>SUM(K190:R190)</f>
        <v/>
      </c>
      <c r="T190" s="130">
        <f>I190-S190</f>
        <v/>
      </c>
      <c r="U190" s="105">
        <f>IFERROR(T190/I190,0)</f>
        <v/>
      </c>
    </row>
    <row r="191" ht="14.25" customHeight="1" s="83">
      <c r="A191" s="125" t="n"/>
      <c r="B191" s="103" t="n"/>
      <c r="C191" s="170">
        <f>IFERROR(_xlfn.XLOOKUP(B191,DormRegistry[Dorm Name],DormRegistry[Ownership Type]),"")</f>
        <v/>
      </c>
      <c r="D191" s="170">
        <f>IFERROR(_xlfn.XLOOKUP(B191,DormRegistry[Dorm Name],DormRegistry[Bed Capacity]),0)</f>
        <v/>
      </c>
      <c r="E191" s="130">
        <f>IF(A191="","",$B$6*(1+$B$8)^(YEAR(A191)-YEAR(StartDate)))</f>
        <v/>
      </c>
      <c r="F191" s="105">
        <f>$B$7</f>
        <v/>
      </c>
      <c r="G191" s="105">
        <f>$B$8</f>
        <v/>
      </c>
      <c r="H191" s="130">
        <f>IFERROR(D191*E191,0)</f>
        <v/>
      </c>
      <c r="I191" s="130" t="n"/>
      <c r="J191" s="130">
        <f>IFERROR(D191*F191*E191,0)</f>
        <v/>
      </c>
      <c r="K191" s="104" t="n"/>
      <c r="L191" s="104" t="n"/>
      <c r="M191" s="104" t="n"/>
      <c r="N191" s="104" t="n"/>
      <c r="O191" s="104" t="n"/>
      <c r="P191" s="104" t="n"/>
      <c r="Q191" s="104" t="n"/>
      <c r="R191" s="130">
        <f>IF(C191="Owned",0,IF(B191&lt;&gt;"",2500,0))</f>
        <v/>
      </c>
      <c r="S191" s="130">
        <f>SUM(K191:R191)</f>
        <v/>
      </c>
      <c r="T191" s="130">
        <f>I191-S191</f>
        <v/>
      </c>
      <c r="U191" s="105">
        <f>IFERROR(T191/I191,0)</f>
        <v/>
      </c>
    </row>
    <row r="192" ht="14.25" customHeight="1" s="83">
      <c r="A192" s="125" t="n"/>
      <c r="B192" s="103" t="n"/>
      <c r="C192" s="170">
        <f>IFERROR(_xlfn.XLOOKUP(B192,DormRegistry[Dorm Name],DormRegistry[Ownership Type]),"")</f>
        <v/>
      </c>
      <c r="D192" s="170">
        <f>IFERROR(_xlfn.XLOOKUP(B192,DormRegistry[Dorm Name],DormRegistry[Bed Capacity]),0)</f>
        <v/>
      </c>
      <c r="E192" s="130">
        <f>IF(A192="","",$B$6*(1+$B$8)^(YEAR(A192)-YEAR(StartDate)))</f>
        <v/>
      </c>
      <c r="F192" s="105">
        <f>$B$7</f>
        <v/>
      </c>
      <c r="G192" s="105">
        <f>$B$8</f>
        <v/>
      </c>
      <c r="H192" s="130">
        <f>IFERROR(D192*E192,0)</f>
        <v/>
      </c>
      <c r="I192" s="130" t="n"/>
      <c r="J192" s="130">
        <f>IFERROR(D192*F192*E192,0)</f>
        <v/>
      </c>
      <c r="K192" s="104" t="n"/>
      <c r="L192" s="104" t="n"/>
      <c r="M192" s="104" t="n"/>
      <c r="N192" s="104" t="n"/>
      <c r="O192" s="104" t="n"/>
      <c r="P192" s="104" t="n"/>
      <c r="Q192" s="104" t="n"/>
      <c r="R192" s="130">
        <f>IF(C192="Owned",0,IF(B192&lt;&gt;"",2500,0))</f>
        <v/>
      </c>
      <c r="S192" s="130">
        <f>SUM(K192:R192)</f>
        <v/>
      </c>
      <c r="T192" s="130">
        <f>I192-S192</f>
        <v/>
      </c>
      <c r="U192" s="105">
        <f>IFERROR(T192/I192,0)</f>
        <v/>
      </c>
    </row>
    <row r="193" ht="14.25" customHeight="1" s="83">
      <c r="A193" s="125" t="n"/>
      <c r="B193" s="103" t="n"/>
      <c r="C193" s="170">
        <f>IFERROR(_xlfn.XLOOKUP(B193,DormRegistry[Dorm Name],DormRegistry[Ownership Type]),"")</f>
        <v/>
      </c>
      <c r="D193" s="170">
        <f>IFERROR(_xlfn.XLOOKUP(B193,DormRegistry[Dorm Name],DormRegistry[Bed Capacity]),0)</f>
        <v/>
      </c>
      <c r="E193" s="130">
        <f>IF(A193="","",$B$6*(1+$B$8)^(YEAR(A193)-YEAR(StartDate)))</f>
        <v/>
      </c>
      <c r="F193" s="105">
        <f>$B$7</f>
        <v/>
      </c>
      <c r="G193" s="105">
        <f>$B$8</f>
        <v/>
      </c>
      <c r="H193" s="130">
        <f>IFERROR(D193*E193,0)</f>
        <v/>
      </c>
      <c r="I193" s="130" t="n"/>
      <c r="J193" s="130">
        <f>IFERROR(D193*F193*E193,0)</f>
        <v/>
      </c>
      <c r="K193" s="104" t="n"/>
      <c r="L193" s="104" t="n"/>
      <c r="M193" s="104" t="n"/>
      <c r="N193" s="104" t="n"/>
      <c r="O193" s="104" t="n"/>
      <c r="P193" s="104" t="n"/>
      <c r="Q193" s="104" t="n"/>
      <c r="R193" s="130">
        <f>IF(C193="Owned",0,IF(B193&lt;&gt;"",2500,0))</f>
        <v/>
      </c>
      <c r="S193" s="130">
        <f>SUM(K193:R193)</f>
        <v/>
      </c>
      <c r="T193" s="130">
        <f>I193-S193</f>
        <v/>
      </c>
      <c r="U193" s="105">
        <f>IFERROR(T193/I193,0)</f>
        <v/>
      </c>
    </row>
    <row r="194" ht="14.25" customHeight="1" s="83">
      <c r="A194" s="125" t="n"/>
      <c r="B194" s="103" t="n"/>
      <c r="C194" s="170">
        <f>IFERROR(_xlfn.XLOOKUP(B194,DormRegistry[Dorm Name],DormRegistry[Ownership Type]),"")</f>
        <v/>
      </c>
      <c r="D194" s="170">
        <f>IFERROR(_xlfn.XLOOKUP(B194,DormRegistry[Dorm Name],DormRegistry[Bed Capacity]),0)</f>
        <v/>
      </c>
      <c r="E194" s="130">
        <f>IF(A194="","",$B$6*(1+$B$8)^(YEAR(A194)-YEAR(StartDate)))</f>
        <v/>
      </c>
      <c r="F194" s="105">
        <f>$B$7</f>
        <v/>
      </c>
      <c r="G194" s="105">
        <f>$B$8</f>
        <v/>
      </c>
      <c r="H194" s="130">
        <f>IFERROR(D194*E194,0)</f>
        <v/>
      </c>
      <c r="I194" s="130" t="n"/>
      <c r="J194" s="130">
        <f>IFERROR(D194*F194*E194,0)</f>
        <v/>
      </c>
      <c r="K194" s="104" t="n"/>
      <c r="L194" s="104" t="n"/>
      <c r="M194" s="104" t="n"/>
      <c r="N194" s="104" t="n"/>
      <c r="O194" s="104" t="n"/>
      <c r="P194" s="104" t="n"/>
      <c r="Q194" s="104" t="n"/>
      <c r="R194" s="130">
        <f>IF(C194="Owned",0,IF(B194&lt;&gt;"",2500,0))</f>
        <v/>
      </c>
      <c r="S194" s="130">
        <f>SUM(K194:R194)</f>
        <v/>
      </c>
      <c r="T194" s="130">
        <f>I194-S194</f>
        <v/>
      </c>
      <c r="U194" s="105">
        <f>IFERROR(T194/I194,0)</f>
        <v/>
      </c>
    </row>
    <row r="195" ht="14.25" customHeight="1" s="83">
      <c r="A195" s="125" t="n"/>
      <c r="B195" s="103" t="n"/>
      <c r="C195" s="170">
        <f>IFERROR(_xlfn.XLOOKUP(B195,DormRegistry[Dorm Name],DormRegistry[Ownership Type]),"")</f>
        <v/>
      </c>
      <c r="D195" s="170">
        <f>IFERROR(_xlfn.XLOOKUP(B195,DormRegistry[Dorm Name],DormRegistry[Bed Capacity]),0)</f>
        <v/>
      </c>
      <c r="E195" s="130">
        <f>IF(A195="","",$B$6*(1+$B$8)^(YEAR(A195)-YEAR(StartDate)))</f>
        <v/>
      </c>
      <c r="F195" s="105">
        <f>$B$7</f>
        <v/>
      </c>
      <c r="G195" s="105">
        <f>$B$8</f>
        <v/>
      </c>
      <c r="H195" s="130">
        <f>IFERROR(D195*E195,0)</f>
        <v/>
      </c>
      <c r="I195" s="130" t="n"/>
      <c r="J195" s="130">
        <f>IFERROR(D195*F195*E195,0)</f>
        <v/>
      </c>
      <c r="K195" s="104" t="n"/>
      <c r="L195" s="104" t="n"/>
      <c r="M195" s="104" t="n"/>
      <c r="N195" s="104" t="n"/>
      <c r="O195" s="104" t="n"/>
      <c r="P195" s="104" t="n"/>
      <c r="Q195" s="104" t="n"/>
      <c r="R195" s="130">
        <f>IF(C195="Owned",0,IF(B195&lt;&gt;"",2500,0))</f>
        <v/>
      </c>
      <c r="S195" s="130">
        <f>SUM(K195:R195)</f>
        <v/>
      </c>
      <c r="T195" s="130">
        <f>I195-S195</f>
        <v/>
      </c>
      <c r="U195" s="105">
        <f>IFERROR(T195/I195,0)</f>
        <v/>
      </c>
    </row>
    <row r="196" ht="14.25" customHeight="1" s="83">
      <c r="A196" s="125" t="n"/>
      <c r="B196" s="103" t="n"/>
      <c r="C196" s="170">
        <f>IFERROR(_xlfn.XLOOKUP(B196,DormRegistry[Dorm Name],DormRegistry[Ownership Type]),"")</f>
        <v/>
      </c>
      <c r="D196" s="170">
        <f>IFERROR(_xlfn.XLOOKUP(B196,DormRegistry[Dorm Name],DormRegistry[Bed Capacity]),0)</f>
        <v/>
      </c>
      <c r="E196" s="130">
        <f>IF(A196="","",$B$6*(1+$B$8)^(YEAR(A196)-YEAR(StartDate)))</f>
        <v/>
      </c>
      <c r="F196" s="105">
        <f>$B$7</f>
        <v/>
      </c>
      <c r="G196" s="105">
        <f>$B$8</f>
        <v/>
      </c>
      <c r="H196" s="130">
        <f>IFERROR(D196*E196,0)</f>
        <v/>
      </c>
      <c r="I196" s="130" t="n"/>
      <c r="J196" s="130">
        <f>IFERROR(D196*F196*E196,0)</f>
        <v/>
      </c>
      <c r="K196" s="104" t="n"/>
      <c r="L196" s="104" t="n"/>
      <c r="M196" s="104" t="n"/>
      <c r="N196" s="104" t="n"/>
      <c r="O196" s="104" t="n"/>
      <c r="P196" s="104" t="n"/>
      <c r="Q196" s="104" t="n"/>
      <c r="R196" s="130">
        <f>IF(C196="Owned",0,IF(B196&lt;&gt;"",2500,0))</f>
        <v/>
      </c>
      <c r="S196" s="130">
        <f>SUM(K196:R196)</f>
        <v/>
      </c>
      <c r="T196" s="130">
        <f>I196-S196</f>
        <v/>
      </c>
      <c r="U196" s="105">
        <f>IFERROR(T196/I196,0)</f>
        <v/>
      </c>
    </row>
    <row r="197" ht="14.25" customHeight="1" s="83">
      <c r="A197" s="125" t="n"/>
      <c r="B197" s="103" t="n"/>
      <c r="C197" s="170">
        <f>IFERROR(_xlfn.XLOOKUP(B197,DormRegistry[Dorm Name],DormRegistry[Ownership Type]),"")</f>
        <v/>
      </c>
      <c r="D197" s="170">
        <f>IFERROR(_xlfn.XLOOKUP(B197,DormRegistry[Dorm Name],DormRegistry[Bed Capacity]),0)</f>
        <v/>
      </c>
      <c r="E197" s="130">
        <f>IF(A197="","",$B$6*(1+$B$8)^(YEAR(A197)-YEAR(StartDate)))</f>
        <v/>
      </c>
      <c r="F197" s="105">
        <f>$B$7</f>
        <v/>
      </c>
      <c r="G197" s="105">
        <f>$B$8</f>
        <v/>
      </c>
      <c r="H197" s="130">
        <f>IFERROR(D197*E197,0)</f>
        <v/>
      </c>
      <c r="I197" s="130" t="n"/>
      <c r="J197" s="130">
        <f>IFERROR(D197*F197*E197,0)</f>
        <v/>
      </c>
      <c r="K197" s="104" t="n"/>
      <c r="L197" s="104" t="n"/>
      <c r="M197" s="104" t="n"/>
      <c r="N197" s="104" t="n"/>
      <c r="O197" s="104" t="n"/>
      <c r="P197" s="104" t="n"/>
      <c r="Q197" s="104" t="n"/>
      <c r="R197" s="130">
        <f>IF(C197="Owned",0,IF(B197&lt;&gt;"",2500,0))</f>
        <v/>
      </c>
      <c r="S197" s="130">
        <f>SUM(K197:R197)</f>
        <v/>
      </c>
      <c r="T197" s="130">
        <f>I197-S197</f>
        <v/>
      </c>
      <c r="U197" s="105">
        <f>IFERROR(T197/I197,0)</f>
        <v/>
      </c>
    </row>
    <row r="198" ht="14.25" customHeight="1" s="83">
      <c r="A198" s="125" t="n"/>
      <c r="B198" s="103" t="n"/>
      <c r="C198" s="170">
        <f>IFERROR(_xlfn.XLOOKUP(B198,DormRegistry[Dorm Name],DormRegistry[Ownership Type]),"")</f>
        <v/>
      </c>
      <c r="D198" s="170">
        <f>IFERROR(_xlfn.XLOOKUP(B198,DormRegistry[Dorm Name],DormRegistry[Bed Capacity]),0)</f>
        <v/>
      </c>
      <c r="E198" s="130">
        <f>IF(A198="","",$B$6*(1+$B$8)^(YEAR(A198)-YEAR(StartDate)))</f>
        <v/>
      </c>
      <c r="F198" s="105">
        <f>$B$7</f>
        <v/>
      </c>
      <c r="G198" s="105">
        <f>$B$8</f>
        <v/>
      </c>
      <c r="H198" s="130">
        <f>IFERROR(D198*E198,0)</f>
        <v/>
      </c>
      <c r="I198" s="130" t="n"/>
      <c r="J198" s="130">
        <f>IFERROR(D198*F198*E198,0)</f>
        <v/>
      </c>
      <c r="K198" s="104" t="n"/>
      <c r="L198" s="104" t="n"/>
      <c r="M198" s="104" t="n"/>
      <c r="N198" s="104" t="n"/>
      <c r="O198" s="104" t="n"/>
      <c r="P198" s="104" t="n"/>
      <c r="Q198" s="104" t="n"/>
      <c r="R198" s="130">
        <f>IF(C198="Owned",0,IF(B198&lt;&gt;"",2500,0))</f>
        <v/>
      </c>
      <c r="S198" s="130">
        <f>SUM(K198:R198)</f>
        <v/>
      </c>
      <c r="T198" s="130">
        <f>I198-S198</f>
        <v/>
      </c>
      <c r="U198" s="105">
        <f>IFERROR(T198/I198,0)</f>
        <v/>
      </c>
    </row>
    <row r="199" ht="14.25" customHeight="1" s="83">
      <c r="A199" s="125" t="n"/>
      <c r="B199" s="103" t="n"/>
      <c r="C199" s="170">
        <f>IFERROR(_xlfn.XLOOKUP(B199,DormRegistry[Dorm Name],DormRegistry[Ownership Type]),"")</f>
        <v/>
      </c>
      <c r="D199" s="170">
        <f>IFERROR(_xlfn.XLOOKUP(B199,DormRegistry[Dorm Name],DormRegistry[Bed Capacity]),0)</f>
        <v/>
      </c>
      <c r="E199" s="130">
        <f>IF(A199="","",$B$6*(1+$B$8)^(YEAR(A199)-YEAR(StartDate)))</f>
        <v/>
      </c>
      <c r="F199" s="105">
        <f>$B$7</f>
        <v/>
      </c>
      <c r="G199" s="105">
        <f>$B$8</f>
        <v/>
      </c>
      <c r="H199" s="130">
        <f>IFERROR(D199*E199,0)</f>
        <v/>
      </c>
      <c r="I199" s="130" t="n"/>
      <c r="J199" s="130">
        <f>IFERROR(D199*F199*E199,0)</f>
        <v/>
      </c>
      <c r="K199" s="104" t="n"/>
      <c r="L199" s="104" t="n"/>
      <c r="M199" s="104" t="n"/>
      <c r="N199" s="104" t="n"/>
      <c r="O199" s="104" t="n"/>
      <c r="P199" s="104" t="n"/>
      <c r="Q199" s="104" t="n"/>
      <c r="R199" s="130">
        <f>IF(C199="Owned",0,IF(B199&lt;&gt;"",2500,0))</f>
        <v/>
      </c>
      <c r="S199" s="130">
        <f>SUM(K199:R199)</f>
        <v/>
      </c>
      <c r="T199" s="130">
        <f>I199-S199</f>
        <v/>
      </c>
      <c r="U199" s="105">
        <f>IFERROR(T199/I199,0)</f>
        <v/>
      </c>
    </row>
    <row r="200" ht="14.25" customHeight="1" s="83">
      <c r="A200" s="125" t="n"/>
      <c r="B200" s="103" t="n"/>
      <c r="C200" s="170">
        <f>IFERROR(_xlfn.XLOOKUP(B200,DormRegistry[Dorm Name],DormRegistry[Ownership Type]),"")</f>
        <v/>
      </c>
      <c r="D200" s="170">
        <f>IFERROR(_xlfn.XLOOKUP(B200,DormRegistry[Dorm Name],DormRegistry[Bed Capacity]),0)</f>
        <v/>
      </c>
      <c r="E200" s="130">
        <f>IF(A200="","",$B$6*(1+$B$8)^(YEAR(A200)-YEAR(StartDate)))</f>
        <v/>
      </c>
      <c r="F200" s="105">
        <f>$B$7</f>
        <v/>
      </c>
      <c r="G200" s="105">
        <f>$B$8</f>
        <v/>
      </c>
      <c r="H200" s="130">
        <f>IFERROR(D200*E200,0)</f>
        <v/>
      </c>
      <c r="I200" s="130" t="n"/>
      <c r="J200" s="130">
        <f>IFERROR(D200*F200*E200,0)</f>
        <v/>
      </c>
      <c r="K200" s="104" t="n"/>
      <c r="L200" s="104" t="n"/>
      <c r="M200" s="104" t="n"/>
      <c r="N200" s="104" t="n"/>
      <c r="O200" s="104" t="n"/>
      <c r="P200" s="104" t="n"/>
      <c r="Q200" s="104" t="n"/>
      <c r="R200" s="130">
        <f>IF(C200="Owned",0,IF(B200&lt;&gt;"",2500,0))</f>
        <v/>
      </c>
      <c r="S200" s="130">
        <f>SUM(K200:R200)</f>
        <v/>
      </c>
      <c r="T200" s="130">
        <f>I200-S200</f>
        <v/>
      </c>
      <c r="U200" s="105">
        <f>IFERROR(T200/I200,0)</f>
        <v/>
      </c>
    </row>
    <row r="201" ht="14.25" customHeight="1" s="83">
      <c r="A201" s="125" t="n"/>
      <c r="B201" s="103" t="n"/>
      <c r="C201" s="170">
        <f>IFERROR(_xlfn.XLOOKUP(B201,DormRegistry[Dorm Name],DormRegistry[Ownership Type]),"")</f>
        <v/>
      </c>
      <c r="D201" s="170">
        <f>IFERROR(_xlfn.XLOOKUP(B201,DormRegistry[Dorm Name],DormRegistry[Bed Capacity]),0)</f>
        <v/>
      </c>
      <c r="E201" s="130">
        <f>IF(A201="","",$B$6*(1+$B$8)^(YEAR(A201)-YEAR(StartDate)))</f>
        <v/>
      </c>
      <c r="F201" s="105">
        <f>$B$7</f>
        <v/>
      </c>
      <c r="G201" s="105">
        <f>$B$8</f>
        <v/>
      </c>
      <c r="H201" s="130">
        <f>IFERROR(D201*E201,0)</f>
        <v/>
      </c>
      <c r="I201" s="130" t="n"/>
      <c r="J201" s="130">
        <f>IFERROR(D201*F201*E201,0)</f>
        <v/>
      </c>
      <c r="K201" s="104" t="n"/>
      <c r="L201" s="104" t="n"/>
      <c r="M201" s="104" t="n"/>
      <c r="N201" s="104" t="n"/>
      <c r="O201" s="104" t="n"/>
      <c r="P201" s="104" t="n"/>
      <c r="Q201" s="104" t="n"/>
      <c r="R201" s="130">
        <f>IF(C201="Owned",0,IF(B201&lt;&gt;"",2500,0))</f>
        <v/>
      </c>
      <c r="S201" s="130">
        <f>SUM(K201:R201)</f>
        <v/>
      </c>
      <c r="T201" s="130">
        <f>I201-S201</f>
        <v/>
      </c>
      <c r="U201" s="105">
        <f>IFERROR(T201/I201,0)</f>
        <v/>
      </c>
    </row>
    <row r="202" ht="14.25" customHeight="1" s="83">
      <c r="A202" s="125" t="n"/>
      <c r="B202" s="103" t="n"/>
      <c r="C202" s="170">
        <f>IFERROR(_xlfn.XLOOKUP(B202,DormRegistry[Dorm Name],DormRegistry[Ownership Type]),"")</f>
        <v/>
      </c>
      <c r="D202" s="170">
        <f>IFERROR(_xlfn.XLOOKUP(B202,DormRegistry[Dorm Name],DormRegistry[Bed Capacity]),0)</f>
        <v/>
      </c>
      <c r="E202" s="130">
        <f>IF(A202="","",$B$6*(1+$B$8)^(YEAR(A202)-YEAR(StartDate)))</f>
        <v/>
      </c>
      <c r="F202" s="105">
        <f>$B$7</f>
        <v/>
      </c>
      <c r="G202" s="105">
        <f>$B$8</f>
        <v/>
      </c>
      <c r="H202" s="130">
        <f>IFERROR(D202*E202,0)</f>
        <v/>
      </c>
      <c r="I202" s="130" t="n"/>
      <c r="J202" s="130">
        <f>IFERROR(D202*F202*E202,0)</f>
        <v/>
      </c>
      <c r="K202" s="104" t="n"/>
      <c r="L202" s="104" t="n"/>
      <c r="M202" s="104" t="n"/>
      <c r="N202" s="104" t="n"/>
      <c r="O202" s="104" t="n"/>
      <c r="P202" s="104" t="n"/>
      <c r="Q202" s="104" t="n"/>
      <c r="R202" s="130">
        <f>IF(C202="Owned",0,IF(B202&lt;&gt;"",2500,0))</f>
        <v/>
      </c>
      <c r="S202" s="130">
        <f>SUM(K202:R202)</f>
        <v/>
      </c>
      <c r="T202" s="130">
        <f>I202-S202</f>
        <v/>
      </c>
      <c r="U202" s="105">
        <f>IFERROR(T202/I202,0)</f>
        <v/>
      </c>
    </row>
    <row r="203" ht="14.25" customHeight="1" s="83">
      <c r="A203" s="125" t="n"/>
      <c r="B203" s="103" t="n"/>
      <c r="C203" s="170">
        <f>IFERROR(_xlfn.XLOOKUP(B203,DormRegistry[Dorm Name],DormRegistry[Ownership Type]),"")</f>
        <v/>
      </c>
      <c r="D203" s="170">
        <f>IFERROR(_xlfn.XLOOKUP(B203,DormRegistry[Dorm Name],DormRegistry[Bed Capacity]),0)</f>
        <v/>
      </c>
      <c r="E203" s="130">
        <f>IF(A203="","",$B$6*(1+$B$8)^(YEAR(A203)-YEAR(StartDate)))</f>
        <v/>
      </c>
      <c r="F203" s="105">
        <f>$B$7</f>
        <v/>
      </c>
      <c r="G203" s="105">
        <f>$B$8</f>
        <v/>
      </c>
      <c r="H203" s="130">
        <f>IFERROR(D203*E203,0)</f>
        <v/>
      </c>
      <c r="I203" s="130" t="n"/>
      <c r="J203" s="130">
        <f>IFERROR(D203*F203*E203,0)</f>
        <v/>
      </c>
      <c r="K203" s="104" t="n"/>
      <c r="L203" s="104" t="n"/>
      <c r="M203" s="104" t="n"/>
      <c r="N203" s="104" t="n"/>
      <c r="O203" s="104" t="n"/>
      <c r="P203" s="104" t="n"/>
      <c r="Q203" s="104" t="n"/>
      <c r="R203" s="130">
        <f>IF(C203="Owned",0,IF(B203&lt;&gt;"",2500,0))</f>
        <v/>
      </c>
      <c r="S203" s="130">
        <f>SUM(K203:R203)</f>
        <v/>
      </c>
      <c r="T203" s="130">
        <f>I203-S203</f>
        <v/>
      </c>
      <c r="U203" s="105">
        <f>IFERROR(T203/I203,0)</f>
        <v/>
      </c>
    </row>
    <row r="204" ht="14.25" customHeight="1" s="83">
      <c r="A204" s="125" t="n"/>
      <c r="B204" s="103" t="n"/>
      <c r="C204" s="170">
        <f>IFERROR(_xlfn.XLOOKUP(B204,DormRegistry[Dorm Name],DormRegistry[Ownership Type]),"")</f>
        <v/>
      </c>
      <c r="D204" s="170">
        <f>IFERROR(_xlfn.XLOOKUP(B204,DormRegistry[Dorm Name],DormRegistry[Bed Capacity]),0)</f>
        <v/>
      </c>
      <c r="E204" s="130">
        <f>IF(A204="","",$B$6*(1+$B$8)^(YEAR(A204)-YEAR(StartDate)))</f>
        <v/>
      </c>
      <c r="F204" s="105">
        <f>$B$7</f>
        <v/>
      </c>
      <c r="G204" s="105">
        <f>$B$8</f>
        <v/>
      </c>
      <c r="H204" s="130">
        <f>IFERROR(D204*E204,0)</f>
        <v/>
      </c>
      <c r="I204" s="130" t="n"/>
      <c r="J204" s="130">
        <f>IFERROR(D204*F204*E204,0)</f>
        <v/>
      </c>
      <c r="K204" s="104" t="n"/>
      <c r="L204" s="104" t="n"/>
      <c r="M204" s="104" t="n"/>
      <c r="N204" s="104" t="n"/>
      <c r="O204" s="104" t="n"/>
      <c r="P204" s="104" t="n"/>
      <c r="Q204" s="104" t="n"/>
      <c r="R204" s="130">
        <f>IF(C204="Owned",0,IF(B204&lt;&gt;"",2500,0))</f>
        <v/>
      </c>
      <c r="S204" s="130">
        <f>SUM(K204:R204)</f>
        <v/>
      </c>
      <c r="T204" s="130">
        <f>I204-S204</f>
        <v/>
      </c>
      <c r="U204" s="105">
        <f>IFERROR(T204/I204,0)</f>
        <v/>
      </c>
    </row>
    <row r="205" ht="14.25" customHeight="1" s="83">
      <c r="A205" s="125" t="n"/>
      <c r="B205" s="103" t="n"/>
      <c r="C205" s="170">
        <f>IFERROR(_xlfn.XLOOKUP(B205,DormRegistry[Dorm Name],DormRegistry[Ownership Type]),"")</f>
        <v/>
      </c>
      <c r="D205" s="170">
        <f>IFERROR(_xlfn.XLOOKUP(B205,DormRegistry[Dorm Name],DormRegistry[Bed Capacity]),0)</f>
        <v/>
      </c>
      <c r="E205" s="130">
        <f>IF(A205="","",$B$6*(1+$B$8)^(YEAR(A205)-YEAR(StartDate)))</f>
        <v/>
      </c>
      <c r="F205" s="105">
        <f>$B$7</f>
        <v/>
      </c>
      <c r="G205" s="105">
        <f>$B$8</f>
        <v/>
      </c>
      <c r="H205" s="130">
        <f>IFERROR(D205*E205,0)</f>
        <v/>
      </c>
      <c r="I205" s="130" t="n"/>
      <c r="J205" s="130">
        <f>IFERROR(D205*F205*E205,0)</f>
        <v/>
      </c>
      <c r="K205" s="104" t="n"/>
      <c r="L205" s="104" t="n"/>
      <c r="M205" s="104" t="n"/>
      <c r="N205" s="104" t="n"/>
      <c r="O205" s="104" t="n"/>
      <c r="P205" s="104" t="n"/>
      <c r="Q205" s="104" t="n"/>
      <c r="R205" s="130">
        <f>IF(C205="Owned",0,IF(B205&lt;&gt;"",2500,0))</f>
        <v/>
      </c>
      <c r="S205" s="130">
        <f>SUM(K205:R205)</f>
        <v/>
      </c>
      <c r="T205" s="130">
        <f>I205-S205</f>
        <v/>
      </c>
      <c r="U205" s="105">
        <f>IFERROR(T205/I205,0)</f>
        <v/>
      </c>
    </row>
    <row r="206" ht="14.25" customHeight="1" s="83">
      <c r="A206" s="125" t="n"/>
      <c r="B206" s="103" t="n"/>
      <c r="C206" s="170">
        <f>IFERROR(_xlfn.XLOOKUP(B206,DormRegistry[Dorm Name],DormRegistry[Ownership Type]),"")</f>
        <v/>
      </c>
      <c r="D206" s="170">
        <f>IFERROR(_xlfn.XLOOKUP(B206,DormRegistry[Dorm Name],DormRegistry[Bed Capacity]),0)</f>
        <v/>
      </c>
      <c r="E206" s="130">
        <f>IF(A206="","",$B$6*(1+$B$8)^(YEAR(A206)-YEAR(StartDate)))</f>
        <v/>
      </c>
      <c r="F206" s="105">
        <f>$B$7</f>
        <v/>
      </c>
      <c r="G206" s="105">
        <f>$B$8</f>
        <v/>
      </c>
      <c r="H206" s="130">
        <f>IFERROR(D206*E206,0)</f>
        <v/>
      </c>
      <c r="I206" s="130" t="n"/>
      <c r="J206" s="130">
        <f>IFERROR(D206*F206*E206,0)</f>
        <v/>
      </c>
      <c r="K206" s="104" t="n"/>
      <c r="L206" s="104" t="n"/>
      <c r="M206" s="104" t="n"/>
      <c r="N206" s="104" t="n"/>
      <c r="O206" s="104" t="n"/>
      <c r="P206" s="104" t="n"/>
      <c r="Q206" s="104" t="n"/>
      <c r="R206" s="130">
        <f>IF(C206="Owned",0,IF(B206&lt;&gt;"",2500,0))</f>
        <v/>
      </c>
      <c r="S206" s="130">
        <f>SUM(K206:R206)</f>
        <v/>
      </c>
      <c r="T206" s="130">
        <f>I206-S206</f>
        <v/>
      </c>
      <c r="U206" s="105">
        <f>IFERROR(T206/I206,0)</f>
        <v/>
      </c>
    </row>
    <row r="207" ht="14.25" customHeight="1" s="83">
      <c r="A207" s="125" t="n"/>
      <c r="B207" s="103" t="n"/>
      <c r="C207" s="170">
        <f>IFERROR(_xlfn.XLOOKUP(B207,DormRegistry[Dorm Name],DormRegistry[Ownership Type]),"")</f>
        <v/>
      </c>
      <c r="D207" s="170">
        <f>IFERROR(_xlfn.XLOOKUP(B207,DormRegistry[Dorm Name],DormRegistry[Bed Capacity]),0)</f>
        <v/>
      </c>
      <c r="E207" s="130">
        <f>IF(A207="","",$B$6*(1+$B$8)^(YEAR(A207)-YEAR(StartDate)))</f>
        <v/>
      </c>
      <c r="F207" s="105">
        <f>$B$7</f>
        <v/>
      </c>
      <c r="G207" s="105">
        <f>$B$8</f>
        <v/>
      </c>
      <c r="H207" s="130">
        <f>IFERROR(D207*E207,0)</f>
        <v/>
      </c>
      <c r="I207" s="130" t="n"/>
      <c r="J207" s="130">
        <f>IFERROR(D207*F207*E207,0)</f>
        <v/>
      </c>
      <c r="K207" s="104" t="n"/>
      <c r="L207" s="104" t="n"/>
      <c r="M207" s="104" t="n"/>
      <c r="N207" s="104" t="n"/>
      <c r="O207" s="104" t="n"/>
      <c r="P207" s="104" t="n"/>
      <c r="Q207" s="104" t="n"/>
      <c r="R207" s="130">
        <f>IF(C207="Owned",0,IF(B207&lt;&gt;"",2500,0))</f>
        <v/>
      </c>
      <c r="S207" s="130">
        <f>SUM(K207:R207)</f>
        <v/>
      </c>
      <c r="T207" s="130">
        <f>I207-S207</f>
        <v/>
      </c>
      <c r="U207" s="105">
        <f>IFERROR(T207/I207,0)</f>
        <v/>
      </c>
    </row>
    <row r="208" ht="14.25" customHeight="1" s="83">
      <c r="A208" s="125" t="n"/>
      <c r="B208" s="103" t="n"/>
      <c r="C208" s="170">
        <f>IFERROR(_xlfn.XLOOKUP(B208,DormRegistry[Dorm Name],DormRegistry[Ownership Type]),"")</f>
        <v/>
      </c>
      <c r="D208" s="170">
        <f>IFERROR(_xlfn.XLOOKUP(B208,DormRegistry[Dorm Name],DormRegistry[Bed Capacity]),0)</f>
        <v/>
      </c>
      <c r="E208" s="130">
        <f>IF(A208="","",$B$6*(1+$B$8)^(YEAR(A208)-YEAR(StartDate)))</f>
        <v/>
      </c>
      <c r="F208" s="105">
        <f>$B$7</f>
        <v/>
      </c>
      <c r="G208" s="105">
        <f>$B$8</f>
        <v/>
      </c>
      <c r="H208" s="130">
        <f>IFERROR(D208*E208,0)</f>
        <v/>
      </c>
      <c r="I208" s="130" t="n"/>
      <c r="J208" s="130">
        <f>IFERROR(D208*F208*E208,0)</f>
        <v/>
      </c>
      <c r="K208" s="104" t="n"/>
      <c r="L208" s="104" t="n"/>
      <c r="M208" s="104" t="n"/>
      <c r="N208" s="104" t="n"/>
      <c r="O208" s="104" t="n"/>
      <c r="P208" s="104" t="n"/>
      <c r="Q208" s="104" t="n"/>
      <c r="R208" s="130">
        <f>IF(C208="Owned",0,IF(B208&lt;&gt;"",2500,0))</f>
        <v/>
      </c>
      <c r="S208" s="130">
        <f>SUM(K208:R208)</f>
        <v/>
      </c>
      <c r="T208" s="130">
        <f>I208-S208</f>
        <v/>
      </c>
      <c r="U208" s="105">
        <f>IFERROR(T208/I208,0)</f>
        <v/>
      </c>
    </row>
    <row r="209" ht="14.25" customHeight="1" s="83">
      <c r="A209" s="125" t="n"/>
      <c r="B209" s="103" t="n"/>
      <c r="C209" s="170">
        <f>IFERROR(_xlfn.XLOOKUP(B209,DormRegistry[Dorm Name],DormRegistry[Ownership Type]),"")</f>
        <v/>
      </c>
      <c r="D209" s="170">
        <f>IFERROR(_xlfn.XLOOKUP(B209,DormRegistry[Dorm Name],DormRegistry[Bed Capacity]),0)</f>
        <v/>
      </c>
      <c r="E209" s="130">
        <f>IF(A209="","",$B$6*(1+$B$8)^(YEAR(A209)-YEAR(StartDate)))</f>
        <v/>
      </c>
      <c r="F209" s="105">
        <f>$B$7</f>
        <v/>
      </c>
      <c r="G209" s="105">
        <f>$B$8</f>
        <v/>
      </c>
      <c r="H209" s="130">
        <f>IFERROR(D209*E209,0)</f>
        <v/>
      </c>
      <c r="I209" s="130" t="n"/>
      <c r="J209" s="130">
        <f>IFERROR(D209*F209*E209,0)</f>
        <v/>
      </c>
      <c r="K209" s="104" t="n"/>
      <c r="L209" s="104" t="n"/>
      <c r="M209" s="104" t="n"/>
      <c r="N209" s="104" t="n"/>
      <c r="O209" s="104" t="n"/>
      <c r="P209" s="104" t="n"/>
      <c r="Q209" s="104" t="n"/>
      <c r="R209" s="130">
        <f>IF(C209="Owned",0,IF(B209&lt;&gt;"",2500,0))</f>
        <v/>
      </c>
      <c r="S209" s="130">
        <f>SUM(K209:R209)</f>
        <v/>
      </c>
      <c r="T209" s="130">
        <f>I209-S209</f>
        <v/>
      </c>
      <c r="U209" s="105">
        <f>IFERROR(T209/I209,0)</f>
        <v/>
      </c>
    </row>
    <row r="210" ht="14.25" customHeight="1" s="83">
      <c r="A210" s="125" t="n"/>
      <c r="B210" s="103" t="n"/>
      <c r="C210" s="170">
        <f>IFERROR(_xlfn.XLOOKUP(B210,DormRegistry[Dorm Name],DormRegistry[Ownership Type]),"")</f>
        <v/>
      </c>
      <c r="D210" s="170">
        <f>IFERROR(_xlfn.XLOOKUP(B210,DormRegistry[Dorm Name],DormRegistry[Bed Capacity]),0)</f>
        <v/>
      </c>
      <c r="E210" s="130">
        <f>IF(A210="","",$B$6*(1+$B$8)^(YEAR(A210)-YEAR(StartDate)))</f>
        <v/>
      </c>
      <c r="F210" s="105">
        <f>$B$7</f>
        <v/>
      </c>
      <c r="G210" s="105">
        <f>$B$8</f>
        <v/>
      </c>
      <c r="H210" s="130">
        <f>IFERROR(D210*E210,0)</f>
        <v/>
      </c>
      <c r="I210" s="130" t="n"/>
      <c r="J210" s="130">
        <f>IFERROR(D210*F210*E210,0)</f>
        <v/>
      </c>
      <c r="K210" s="104" t="n"/>
      <c r="L210" s="104" t="n"/>
      <c r="M210" s="104" t="n"/>
      <c r="N210" s="104" t="n"/>
      <c r="O210" s="104" t="n"/>
      <c r="P210" s="104" t="n"/>
      <c r="Q210" s="104" t="n"/>
      <c r="R210" s="130">
        <f>IF(C210="Owned",0,IF(B210&lt;&gt;"",2500,0))</f>
        <v/>
      </c>
      <c r="S210" s="130">
        <f>SUM(K210:R210)</f>
        <v/>
      </c>
      <c r="T210" s="130">
        <f>I210-S210</f>
        <v/>
      </c>
      <c r="U210" s="105">
        <f>IFERROR(T210/I210,0)</f>
        <v/>
      </c>
    </row>
    <row r="211" ht="14.25" customHeight="1" s="83">
      <c r="A211" s="125" t="n"/>
      <c r="B211" s="103" t="n"/>
      <c r="C211" s="170">
        <f>IFERROR(_xlfn.XLOOKUP(B211,DormRegistry[Dorm Name],DormRegistry[Ownership Type]),"")</f>
        <v/>
      </c>
      <c r="D211" s="170">
        <f>IFERROR(_xlfn.XLOOKUP(B211,DormRegistry[Dorm Name],DormRegistry[Bed Capacity]),0)</f>
        <v/>
      </c>
      <c r="E211" s="130">
        <f>IF(A211="","",$B$6*(1+$B$8)^(YEAR(A211)-YEAR(StartDate)))</f>
        <v/>
      </c>
      <c r="F211" s="105">
        <f>$B$7</f>
        <v/>
      </c>
      <c r="G211" s="105">
        <f>$B$8</f>
        <v/>
      </c>
      <c r="H211" s="130">
        <f>IFERROR(D211*E211,0)</f>
        <v/>
      </c>
      <c r="I211" s="130" t="n"/>
      <c r="J211" s="130">
        <f>IFERROR(D211*F211*E211,0)</f>
        <v/>
      </c>
      <c r="K211" s="104" t="n"/>
      <c r="L211" s="104" t="n"/>
      <c r="M211" s="104" t="n"/>
      <c r="N211" s="104" t="n"/>
      <c r="O211" s="104" t="n"/>
      <c r="P211" s="104" t="n"/>
      <c r="Q211" s="104" t="n"/>
      <c r="R211" s="130">
        <f>IF(C211="Owned",0,IF(B211&lt;&gt;"",2500,0))</f>
        <v/>
      </c>
      <c r="S211" s="130">
        <f>SUM(K211:R211)</f>
        <v/>
      </c>
      <c r="T211" s="130">
        <f>I211-S211</f>
        <v/>
      </c>
      <c r="U211" s="105">
        <f>IFERROR(T211/I211,0)</f>
        <v/>
      </c>
    </row>
    <row r="212" ht="14.25" customHeight="1" s="83">
      <c r="A212" s="125" t="n"/>
      <c r="B212" s="103" t="n"/>
      <c r="C212" s="170">
        <f>IFERROR(_xlfn.XLOOKUP(B212,DormRegistry[Dorm Name],DormRegistry[Ownership Type]),"")</f>
        <v/>
      </c>
      <c r="D212" s="170">
        <f>IFERROR(_xlfn.XLOOKUP(B212,DormRegistry[Dorm Name],DormRegistry[Bed Capacity]),0)</f>
        <v/>
      </c>
      <c r="E212" s="130">
        <f>IF(A212="","",$B$6*(1+$B$8)^(YEAR(A212)-YEAR(StartDate)))</f>
        <v/>
      </c>
      <c r="F212" s="105">
        <f>$B$7</f>
        <v/>
      </c>
      <c r="G212" s="105">
        <f>$B$8</f>
        <v/>
      </c>
      <c r="H212" s="130">
        <f>IFERROR(D212*E212,0)</f>
        <v/>
      </c>
      <c r="I212" s="130" t="n"/>
      <c r="J212" s="130">
        <f>IFERROR(D212*F212*E212,0)</f>
        <v/>
      </c>
      <c r="K212" s="104" t="n"/>
      <c r="L212" s="104" t="n"/>
      <c r="M212" s="104" t="n"/>
      <c r="N212" s="104" t="n"/>
      <c r="O212" s="104" t="n"/>
      <c r="P212" s="104" t="n"/>
      <c r="Q212" s="104" t="n"/>
      <c r="R212" s="130">
        <f>IF(C212="Owned",0,IF(B212&lt;&gt;"",2500,0))</f>
        <v/>
      </c>
      <c r="S212" s="130">
        <f>SUM(K212:R212)</f>
        <v/>
      </c>
      <c r="T212" s="130">
        <f>I212-S212</f>
        <v/>
      </c>
      <c r="U212" s="105">
        <f>IFERROR(T212/I212,0)</f>
        <v/>
      </c>
    </row>
    <row r="213" ht="14.25" customHeight="1" s="83">
      <c r="A213" s="125" t="n"/>
      <c r="B213" s="103" t="n"/>
      <c r="C213" s="170">
        <f>IFERROR(_xlfn.XLOOKUP(B213,DormRegistry[Dorm Name],DormRegistry[Ownership Type]),"")</f>
        <v/>
      </c>
      <c r="D213" s="170">
        <f>IFERROR(_xlfn.XLOOKUP(B213,DormRegistry[Dorm Name],DormRegistry[Bed Capacity]),0)</f>
        <v/>
      </c>
      <c r="E213" s="130">
        <f>IF(A213="","",$B$6*(1+$B$8)^(YEAR(A213)-YEAR(StartDate)))</f>
        <v/>
      </c>
      <c r="F213" s="105">
        <f>$B$7</f>
        <v/>
      </c>
      <c r="G213" s="105">
        <f>$B$8</f>
        <v/>
      </c>
      <c r="H213" s="130">
        <f>IFERROR(D213*E213,0)</f>
        <v/>
      </c>
      <c r="I213" s="130" t="n"/>
      <c r="J213" s="130">
        <f>IFERROR(D213*F213*E213,0)</f>
        <v/>
      </c>
      <c r="K213" s="104" t="n"/>
      <c r="L213" s="104" t="n"/>
      <c r="M213" s="104" t="n"/>
      <c r="N213" s="104" t="n"/>
      <c r="O213" s="104" t="n"/>
      <c r="P213" s="104" t="n"/>
      <c r="Q213" s="104" t="n"/>
      <c r="R213" s="130">
        <f>IF(C213="Owned",0,IF(B213&lt;&gt;"",2500,0))</f>
        <v/>
      </c>
      <c r="S213" s="130">
        <f>SUM(K213:R213)</f>
        <v/>
      </c>
      <c r="T213" s="130">
        <f>I213-S213</f>
        <v/>
      </c>
      <c r="U213" s="105">
        <f>IFERROR(T213/I213,0)</f>
        <v/>
      </c>
    </row>
    <row r="214" ht="14.25" customHeight="1" s="83">
      <c r="A214" s="125" t="n"/>
      <c r="B214" s="103" t="n"/>
      <c r="C214" s="170">
        <f>IFERROR(_xlfn.XLOOKUP(B214,DormRegistry[Dorm Name],DormRegistry[Ownership Type]),"")</f>
        <v/>
      </c>
      <c r="D214" s="170">
        <f>IFERROR(_xlfn.XLOOKUP(B214,DormRegistry[Dorm Name],DormRegistry[Bed Capacity]),0)</f>
        <v/>
      </c>
      <c r="E214" s="130">
        <f>IF(A214="","",$B$6*(1+$B$8)^(YEAR(A214)-YEAR(StartDate)))</f>
        <v/>
      </c>
      <c r="F214" s="105">
        <f>$B$7</f>
        <v/>
      </c>
      <c r="G214" s="105">
        <f>$B$8</f>
        <v/>
      </c>
      <c r="H214" s="130">
        <f>IFERROR(D214*E214,0)</f>
        <v/>
      </c>
      <c r="I214" s="130" t="n"/>
      <c r="J214" s="130">
        <f>IFERROR(D214*F214*E214,0)</f>
        <v/>
      </c>
      <c r="K214" s="104" t="n"/>
      <c r="L214" s="104" t="n"/>
      <c r="M214" s="104" t="n"/>
      <c r="N214" s="104" t="n"/>
      <c r="O214" s="104" t="n"/>
      <c r="P214" s="104" t="n"/>
      <c r="Q214" s="104" t="n"/>
      <c r="R214" s="130">
        <f>IF(C214="Owned",0,IF(B214&lt;&gt;"",2500,0))</f>
        <v/>
      </c>
      <c r="S214" s="130">
        <f>SUM(K214:R214)</f>
        <v/>
      </c>
      <c r="T214" s="130">
        <f>I214-S214</f>
        <v/>
      </c>
      <c r="U214" s="105">
        <f>IFERROR(T214/I214,0)</f>
        <v/>
      </c>
    </row>
    <row r="215" ht="14.25" customHeight="1" s="83">
      <c r="A215" s="125" t="n"/>
      <c r="B215" s="103" t="n"/>
      <c r="C215" s="170">
        <f>IFERROR(_xlfn.XLOOKUP(B215,DormRegistry[Dorm Name],DormRegistry[Ownership Type]),"")</f>
        <v/>
      </c>
      <c r="D215" s="170">
        <f>IFERROR(_xlfn.XLOOKUP(B215,DormRegistry[Dorm Name],DormRegistry[Bed Capacity]),0)</f>
        <v/>
      </c>
      <c r="E215" s="130">
        <f>IF(A215="","",$B$6*(1+$B$8)^(YEAR(A215)-YEAR(StartDate)))</f>
        <v/>
      </c>
      <c r="F215" s="105">
        <f>$B$7</f>
        <v/>
      </c>
      <c r="G215" s="105">
        <f>$B$8</f>
        <v/>
      </c>
      <c r="H215" s="130">
        <f>IFERROR(D215*E215,0)</f>
        <v/>
      </c>
      <c r="I215" s="130" t="n"/>
      <c r="J215" s="130">
        <f>IFERROR(D215*F215*E215,0)</f>
        <v/>
      </c>
      <c r="K215" s="104" t="n"/>
      <c r="L215" s="104" t="n"/>
      <c r="M215" s="104" t="n"/>
      <c r="N215" s="104" t="n"/>
      <c r="O215" s="104" t="n"/>
      <c r="P215" s="104" t="n"/>
      <c r="Q215" s="104" t="n"/>
      <c r="R215" s="130">
        <f>IF(C215="Owned",0,IF(B215&lt;&gt;"",2500,0))</f>
        <v/>
      </c>
      <c r="S215" s="130">
        <f>SUM(K215:R215)</f>
        <v/>
      </c>
      <c r="T215" s="130">
        <f>I215-S215</f>
        <v/>
      </c>
      <c r="U215" s="105">
        <f>IFERROR(T215/I215,0)</f>
        <v/>
      </c>
    </row>
    <row r="216" ht="14.25" customHeight="1" s="83">
      <c r="A216" s="125" t="n"/>
      <c r="B216" s="103" t="n"/>
      <c r="C216" s="170">
        <f>IFERROR(_xlfn.XLOOKUP(B216,DormRegistry[Dorm Name],DormRegistry[Ownership Type]),"")</f>
        <v/>
      </c>
      <c r="D216" s="170">
        <f>IFERROR(_xlfn.XLOOKUP(B216,DormRegistry[Dorm Name],DormRegistry[Bed Capacity]),0)</f>
        <v/>
      </c>
      <c r="E216" s="130">
        <f>IF(A216="","",$B$6*(1+$B$8)^(YEAR(A216)-YEAR(StartDate)))</f>
        <v/>
      </c>
      <c r="F216" s="105">
        <f>$B$7</f>
        <v/>
      </c>
      <c r="G216" s="105">
        <f>$B$8</f>
        <v/>
      </c>
      <c r="H216" s="130">
        <f>IFERROR(D216*E216,0)</f>
        <v/>
      </c>
      <c r="I216" s="130" t="n"/>
      <c r="J216" s="130">
        <f>IFERROR(D216*F216*E216,0)</f>
        <v/>
      </c>
      <c r="K216" s="104" t="n"/>
      <c r="L216" s="104" t="n"/>
      <c r="M216" s="104" t="n"/>
      <c r="N216" s="104" t="n"/>
      <c r="O216" s="104" t="n"/>
      <c r="P216" s="104" t="n"/>
      <c r="Q216" s="104" t="n"/>
      <c r="R216" s="130">
        <f>IF(C216="Owned",0,IF(B216&lt;&gt;"",2500,0))</f>
        <v/>
      </c>
      <c r="S216" s="130">
        <f>SUM(K216:R216)</f>
        <v/>
      </c>
      <c r="T216" s="130">
        <f>I216-S216</f>
        <v/>
      </c>
      <c r="U216" s="105">
        <f>IFERROR(T216/I216,0)</f>
        <v/>
      </c>
    </row>
    <row r="217" ht="14.25" customHeight="1" s="83">
      <c r="A217" s="125" t="n"/>
      <c r="B217" s="103" t="n"/>
      <c r="C217" s="170">
        <f>IFERROR(_xlfn.XLOOKUP(B217,DormRegistry[Dorm Name],DormRegistry[Ownership Type]),"")</f>
        <v/>
      </c>
      <c r="D217" s="170">
        <f>IFERROR(_xlfn.XLOOKUP(B217,DormRegistry[Dorm Name],DormRegistry[Bed Capacity]),0)</f>
        <v/>
      </c>
      <c r="E217" s="130">
        <f>IF(A217="","",$B$6*(1+$B$8)^(YEAR(A217)-YEAR(StartDate)))</f>
        <v/>
      </c>
      <c r="F217" s="105">
        <f>$B$7</f>
        <v/>
      </c>
      <c r="G217" s="105">
        <f>$B$8</f>
        <v/>
      </c>
      <c r="H217" s="130">
        <f>IFERROR(D217*E217,0)</f>
        <v/>
      </c>
      <c r="I217" s="130" t="n"/>
      <c r="J217" s="130">
        <f>IFERROR(D217*F217*E217,0)</f>
        <v/>
      </c>
      <c r="K217" s="104" t="n"/>
      <c r="L217" s="104" t="n"/>
      <c r="M217" s="104" t="n"/>
      <c r="N217" s="104" t="n"/>
      <c r="O217" s="104" t="n"/>
      <c r="P217" s="104" t="n"/>
      <c r="Q217" s="104" t="n"/>
      <c r="R217" s="130">
        <f>IF(C217="Owned",0,IF(B217&lt;&gt;"",2500,0))</f>
        <v/>
      </c>
      <c r="S217" s="130">
        <f>SUM(K217:R217)</f>
        <v/>
      </c>
      <c r="T217" s="130">
        <f>I217-S217</f>
        <v/>
      </c>
      <c r="U217" s="105">
        <f>IFERROR(T217/I217,0)</f>
        <v/>
      </c>
    </row>
    <row r="218" ht="14.25" customHeight="1" s="83">
      <c r="A218" s="125" t="n"/>
      <c r="B218" s="103" t="n"/>
      <c r="C218" s="170">
        <f>IFERROR(_xlfn.XLOOKUP(B218,DormRegistry[Dorm Name],DormRegistry[Ownership Type]),"")</f>
        <v/>
      </c>
      <c r="D218" s="170">
        <f>IFERROR(_xlfn.XLOOKUP(B218,DormRegistry[Dorm Name],DormRegistry[Bed Capacity]),0)</f>
        <v/>
      </c>
      <c r="E218" s="130">
        <f>IF(A218="","",$B$6*(1+$B$8)^(YEAR(A218)-YEAR(StartDate)))</f>
        <v/>
      </c>
      <c r="F218" s="105">
        <f>$B$7</f>
        <v/>
      </c>
      <c r="G218" s="105">
        <f>$B$8</f>
        <v/>
      </c>
      <c r="H218" s="130">
        <f>IFERROR(D218*E218,0)</f>
        <v/>
      </c>
      <c r="I218" s="130" t="n"/>
      <c r="J218" s="130">
        <f>IFERROR(D218*F218*E218,0)</f>
        <v/>
      </c>
      <c r="K218" s="104" t="n"/>
      <c r="L218" s="104" t="n"/>
      <c r="M218" s="104" t="n"/>
      <c r="N218" s="104" t="n"/>
      <c r="O218" s="104" t="n"/>
      <c r="P218" s="104" t="n"/>
      <c r="Q218" s="104" t="n"/>
      <c r="R218" s="130">
        <f>IF(C218="Owned",0,IF(B218&lt;&gt;"",2500,0))</f>
        <v/>
      </c>
      <c r="S218" s="130">
        <f>SUM(K218:R218)</f>
        <v/>
      </c>
      <c r="T218" s="130">
        <f>I218-S218</f>
        <v/>
      </c>
      <c r="U218" s="105">
        <f>IFERROR(T218/I218,0)</f>
        <v/>
      </c>
    </row>
    <row r="219" ht="14.25" customHeight="1" s="83">
      <c r="A219" s="125" t="n"/>
      <c r="B219" s="103" t="n"/>
      <c r="C219" s="170">
        <f>IFERROR(_xlfn.XLOOKUP(B219,DormRegistry[Dorm Name],DormRegistry[Ownership Type]),"")</f>
        <v/>
      </c>
      <c r="D219" s="170">
        <f>IFERROR(_xlfn.XLOOKUP(B219,DormRegistry[Dorm Name],DormRegistry[Bed Capacity]),0)</f>
        <v/>
      </c>
      <c r="E219" s="130">
        <f>IF(A219="","",$B$6*(1+$B$8)^(YEAR(A219)-YEAR(StartDate)))</f>
        <v/>
      </c>
      <c r="F219" s="105">
        <f>$B$7</f>
        <v/>
      </c>
      <c r="G219" s="105">
        <f>$B$8</f>
        <v/>
      </c>
      <c r="H219" s="130">
        <f>IFERROR(D219*E219,0)</f>
        <v/>
      </c>
      <c r="I219" s="130" t="n"/>
      <c r="J219" s="130">
        <f>IFERROR(D219*F219*E219,0)</f>
        <v/>
      </c>
      <c r="K219" s="104" t="n"/>
      <c r="L219" s="104" t="n"/>
      <c r="M219" s="104" t="n"/>
      <c r="N219" s="104" t="n"/>
      <c r="O219" s="104" t="n"/>
      <c r="P219" s="104" t="n"/>
      <c r="Q219" s="104" t="n"/>
      <c r="R219" s="130">
        <f>IF(C219="Owned",0,IF(B219&lt;&gt;"",2500,0))</f>
        <v/>
      </c>
      <c r="S219" s="130">
        <f>SUM(K219:R219)</f>
        <v/>
      </c>
      <c r="T219" s="130">
        <f>I219-S219</f>
        <v/>
      </c>
      <c r="U219" s="105">
        <f>IFERROR(T219/I219,0)</f>
        <v/>
      </c>
    </row>
    <row r="220" ht="14.25" customHeight="1" s="83">
      <c r="A220" s="125" t="n"/>
      <c r="B220" s="103" t="n"/>
      <c r="C220" s="170">
        <f>IFERROR(_xlfn.XLOOKUP(B220,DormRegistry[Dorm Name],DormRegistry[Ownership Type]),"")</f>
        <v/>
      </c>
      <c r="D220" s="170">
        <f>IFERROR(_xlfn.XLOOKUP(B220,DormRegistry[Dorm Name],DormRegistry[Bed Capacity]),0)</f>
        <v/>
      </c>
      <c r="E220" s="130">
        <f>IF(A220="","",$B$6*(1+$B$8)^(YEAR(A220)-YEAR(StartDate)))</f>
        <v/>
      </c>
      <c r="F220" s="105">
        <f>$B$7</f>
        <v/>
      </c>
      <c r="G220" s="105">
        <f>$B$8</f>
        <v/>
      </c>
      <c r="H220" s="130">
        <f>IFERROR(D220*E220,0)</f>
        <v/>
      </c>
      <c r="I220" s="130" t="n"/>
      <c r="J220" s="130">
        <f>IFERROR(D220*F220*E220,0)</f>
        <v/>
      </c>
      <c r="K220" s="104" t="n"/>
      <c r="L220" s="104" t="n"/>
      <c r="M220" s="104" t="n"/>
      <c r="N220" s="104" t="n"/>
      <c r="O220" s="104" t="n"/>
      <c r="P220" s="104" t="n"/>
      <c r="Q220" s="104" t="n"/>
      <c r="R220" s="130">
        <f>IF(C220="Owned",0,IF(B220&lt;&gt;"",2500,0))</f>
        <v/>
      </c>
      <c r="S220" s="130">
        <f>SUM(K220:R220)</f>
        <v/>
      </c>
      <c r="T220" s="130">
        <f>I220-S220</f>
        <v/>
      </c>
      <c r="U220" s="105">
        <f>IFERROR(T220/I220,0)</f>
        <v/>
      </c>
    </row>
    <row r="221" ht="14.25" customHeight="1" s="83">
      <c r="A221" s="125" t="n"/>
      <c r="B221" s="103" t="n"/>
      <c r="C221" s="170">
        <f>IFERROR(_xlfn.XLOOKUP(B221,DormRegistry[Dorm Name],DormRegistry[Ownership Type]),"")</f>
        <v/>
      </c>
      <c r="D221" s="170">
        <f>IFERROR(_xlfn.XLOOKUP(B221,DormRegistry[Dorm Name],DormRegistry[Bed Capacity]),0)</f>
        <v/>
      </c>
      <c r="E221" s="130">
        <f>IF(A221="","",$B$6*(1+$B$8)^(YEAR(A221)-YEAR(StartDate)))</f>
        <v/>
      </c>
      <c r="F221" s="105">
        <f>$B$7</f>
        <v/>
      </c>
      <c r="G221" s="105">
        <f>$B$8</f>
        <v/>
      </c>
      <c r="H221" s="130">
        <f>IFERROR(D221*E221,0)</f>
        <v/>
      </c>
      <c r="I221" s="130" t="n"/>
      <c r="J221" s="130">
        <f>IFERROR(D221*F221*E221,0)</f>
        <v/>
      </c>
      <c r="K221" s="104" t="n"/>
      <c r="L221" s="104" t="n"/>
      <c r="M221" s="104" t="n"/>
      <c r="N221" s="104" t="n"/>
      <c r="O221" s="104" t="n"/>
      <c r="P221" s="104" t="n"/>
      <c r="Q221" s="104" t="n"/>
      <c r="R221" s="130">
        <f>IF(C221="Owned",0,IF(B221&lt;&gt;"",2500,0))</f>
        <v/>
      </c>
      <c r="S221" s="130">
        <f>SUM(K221:R221)</f>
        <v/>
      </c>
      <c r="T221" s="130">
        <f>I221-S221</f>
        <v/>
      </c>
      <c r="U221" s="105">
        <f>IFERROR(T221/I221,0)</f>
        <v/>
      </c>
    </row>
    <row r="222" ht="14.25" customHeight="1" s="83">
      <c r="A222" s="125" t="n"/>
      <c r="B222" s="103" t="n"/>
      <c r="C222" s="170">
        <f>IFERROR(_xlfn.XLOOKUP(B222,DormRegistry[Dorm Name],DormRegistry[Ownership Type]),"")</f>
        <v/>
      </c>
      <c r="D222" s="170">
        <f>IFERROR(_xlfn.XLOOKUP(B222,DormRegistry[Dorm Name],DormRegistry[Bed Capacity]),0)</f>
        <v/>
      </c>
      <c r="E222" s="130">
        <f>IF(A222="","",$B$6*(1+$B$8)^(YEAR(A222)-YEAR(StartDate)))</f>
        <v/>
      </c>
      <c r="F222" s="105">
        <f>$B$7</f>
        <v/>
      </c>
      <c r="G222" s="105">
        <f>$B$8</f>
        <v/>
      </c>
      <c r="H222" s="130">
        <f>IFERROR(D222*E222,0)</f>
        <v/>
      </c>
      <c r="I222" s="130" t="n"/>
      <c r="J222" s="130">
        <f>IFERROR(D222*F222*E222,0)</f>
        <v/>
      </c>
      <c r="K222" s="104" t="n"/>
      <c r="L222" s="104" t="n"/>
      <c r="M222" s="104" t="n"/>
      <c r="N222" s="104" t="n"/>
      <c r="O222" s="104" t="n"/>
      <c r="P222" s="104" t="n"/>
      <c r="Q222" s="104" t="n"/>
      <c r="R222" s="130">
        <f>IF(C222="Owned",0,IF(B222&lt;&gt;"",2500,0))</f>
        <v/>
      </c>
      <c r="S222" s="130">
        <f>SUM(K222:R222)</f>
        <v/>
      </c>
      <c r="T222" s="130">
        <f>I222-S222</f>
        <v/>
      </c>
      <c r="U222" s="105">
        <f>IFERROR(T222/I222,0)</f>
        <v/>
      </c>
    </row>
    <row r="223" ht="14.25" customHeight="1" s="83">
      <c r="A223" s="125" t="n"/>
      <c r="B223" s="103" t="n"/>
      <c r="C223" s="170">
        <f>IFERROR(_xlfn.XLOOKUP(B223,DormRegistry[Dorm Name],DormRegistry[Ownership Type]),"")</f>
        <v/>
      </c>
      <c r="D223" s="170">
        <f>IFERROR(_xlfn.XLOOKUP(B223,DormRegistry[Dorm Name],DormRegistry[Bed Capacity]),0)</f>
        <v/>
      </c>
      <c r="E223" s="130">
        <f>IF(A223="","",$B$6*(1+$B$8)^(YEAR(A223)-YEAR(StartDate)))</f>
        <v/>
      </c>
      <c r="F223" s="105">
        <f>$B$7</f>
        <v/>
      </c>
      <c r="G223" s="105">
        <f>$B$8</f>
        <v/>
      </c>
      <c r="H223" s="130">
        <f>IFERROR(D223*E223,0)</f>
        <v/>
      </c>
      <c r="I223" s="130" t="n"/>
      <c r="J223" s="130">
        <f>IFERROR(D223*F223*E223,0)</f>
        <v/>
      </c>
      <c r="K223" s="104" t="n"/>
      <c r="L223" s="104" t="n"/>
      <c r="M223" s="104" t="n"/>
      <c r="N223" s="104" t="n"/>
      <c r="O223" s="104" t="n"/>
      <c r="P223" s="104" t="n"/>
      <c r="Q223" s="104" t="n"/>
      <c r="R223" s="130">
        <f>IF(C223="Owned",0,IF(B223&lt;&gt;"",2500,0))</f>
        <v/>
      </c>
      <c r="S223" s="130">
        <f>SUM(K223:R223)</f>
        <v/>
      </c>
      <c r="T223" s="130">
        <f>I223-S223</f>
        <v/>
      </c>
      <c r="U223" s="105">
        <f>IFERROR(T223/I223,0)</f>
        <v/>
      </c>
    </row>
    <row r="224" ht="14.25" customHeight="1" s="83">
      <c r="A224" s="125" t="n"/>
      <c r="B224" s="103" t="n"/>
      <c r="C224" s="170">
        <f>IFERROR(_xlfn.XLOOKUP(B224,DormRegistry[Dorm Name],DormRegistry[Ownership Type]),"")</f>
        <v/>
      </c>
      <c r="D224" s="170">
        <f>IFERROR(_xlfn.XLOOKUP(B224,DormRegistry[Dorm Name],DormRegistry[Bed Capacity]),0)</f>
        <v/>
      </c>
      <c r="E224" s="130">
        <f>IF(A224="","",$B$6*(1+$B$8)^(YEAR(A224)-YEAR(StartDate)))</f>
        <v/>
      </c>
      <c r="F224" s="105">
        <f>$B$7</f>
        <v/>
      </c>
      <c r="G224" s="105">
        <f>$B$8</f>
        <v/>
      </c>
      <c r="H224" s="130">
        <f>IFERROR(D224*E224,0)</f>
        <v/>
      </c>
      <c r="I224" s="130" t="n"/>
      <c r="J224" s="130">
        <f>IFERROR(D224*F224*E224,0)</f>
        <v/>
      </c>
      <c r="K224" s="104" t="n"/>
      <c r="L224" s="104" t="n"/>
      <c r="M224" s="104" t="n"/>
      <c r="N224" s="104" t="n"/>
      <c r="O224" s="104" t="n"/>
      <c r="P224" s="104" t="n"/>
      <c r="Q224" s="104" t="n"/>
      <c r="R224" s="130">
        <f>IF(C224="Owned",0,IF(B224&lt;&gt;"",2500,0))</f>
        <v/>
      </c>
      <c r="S224" s="130">
        <f>SUM(K224:R224)</f>
        <v/>
      </c>
      <c r="T224" s="130">
        <f>I224-S224</f>
        <v/>
      </c>
      <c r="U224" s="105">
        <f>IFERROR(T224/I224,0)</f>
        <v/>
      </c>
    </row>
    <row r="225" ht="14.25" customHeight="1" s="83">
      <c r="A225" s="125" t="n"/>
      <c r="B225" s="103" t="n"/>
      <c r="C225" s="170">
        <f>IFERROR(_xlfn.XLOOKUP(B225,DormRegistry[Dorm Name],DormRegistry[Ownership Type]),"")</f>
        <v/>
      </c>
      <c r="D225" s="170">
        <f>IFERROR(_xlfn.XLOOKUP(B225,DormRegistry[Dorm Name],DormRegistry[Bed Capacity]),0)</f>
        <v/>
      </c>
      <c r="E225" s="130">
        <f>IF(A225="","",$B$6*(1+$B$8)^(YEAR(A225)-YEAR(StartDate)))</f>
        <v/>
      </c>
      <c r="F225" s="105">
        <f>$B$7</f>
        <v/>
      </c>
      <c r="G225" s="105">
        <f>$B$8</f>
        <v/>
      </c>
      <c r="H225" s="130">
        <f>IFERROR(D225*E225,0)</f>
        <v/>
      </c>
      <c r="I225" s="130" t="n"/>
      <c r="J225" s="130">
        <f>IFERROR(D225*F225*E225,0)</f>
        <v/>
      </c>
      <c r="K225" s="104" t="n"/>
      <c r="L225" s="104" t="n"/>
      <c r="M225" s="104" t="n"/>
      <c r="N225" s="104" t="n"/>
      <c r="O225" s="104" t="n"/>
      <c r="P225" s="104" t="n"/>
      <c r="Q225" s="104" t="n"/>
      <c r="R225" s="130">
        <f>IF(C225="Owned",0,IF(B225&lt;&gt;"",2500,0))</f>
        <v/>
      </c>
      <c r="S225" s="130">
        <f>SUM(K225:R225)</f>
        <v/>
      </c>
      <c r="T225" s="130">
        <f>I225-S225</f>
        <v/>
      </c>
      <c r="U225" s="105">
        <f>IFERROR(T225/I225,0)</f>
        <v/>
      </c>
    </row>
    <row r="226" ht="14.25" customHeight="1" s="83">
      <c r="A226" s="125" t="n"/>
      <c r="B226" s="103" t="n"/>
      <c r="C226" s="170">
        <f>IFERROR(_xlfn.XLOOKUP(B226,DormRegistry[Dorm Name],DormRegistry[Ownership Type]),"")</f>
        <v/>
      </c>
      <c r="D226" s="170">
        <f>IFERROR(_xlfn.XLOOKUP(B226,DormRegistry[Dorm Name],DormRegistry[Bed Capacity]),0)</f>
        <v/>
      </c>
      <c r="E226" s="130">
        <f>IF(A226="","",$B$6*(1+$B$8)^(YEAR(A226)-YEAR(StartDate)))</f>
        <v/>
      </c>
      <c r="F226" s="105">
        <f>$B$7</f>
        <v/>
      </c>
      <c r="G226" s="105">
        <f>$B$8</f>
        <v/>
      </c>
      <c r="H226" s="130">
        <f>IFERROR(D226*E226,0)</f>
        <v/>
      </c>
      <c r="I226" s="130" t="n"/>
      <c r="J226" s="130">
        <f>IFERROR(D226*F226*E226,0)</f>
        <v/>
      </c>
      <c r="K226" s="104" t="n"/>
      <c r="L226" s="104" t="n"/>
      <c r="M226" s="104" t="n"/>
      <c r="N226" s="104" t="n"/>
      <c r="O226" s="104" t="n"/>
      <c r="P226" s="104" t="n"/>
      <c r="Q226" s="104" t="n"/>
      <c r="R226" s="130">
        <f>IF(C226="Owned",0,IF(B226&lt;&gt;"",2500,0))</f>
        <v/>
      </c>
      <c r="S226" s="130">
        <f>SUM(K226:R226)</f>
        <v/>
      </c>
      <c r="T226" s="130">
        <f>I226-S226</f>
        <v/>
      </c>
      <c r="U226" s="105">
        <f>IFERROR(T226/I226,0)</f>
        <v/>
      </c>
    </row>
    <row r="227" ht="14.25" customHeight="1" s="83">
      <c r="A227" s="125" t="n"/>
      <c r="B227" s="103" t="n"/>
      <c r="C227" s="170">
        <f>IFERROR(_xlfn.XLOOKUP(B227,DormRegistry[Dorm Name],DormRegistry[Ownership Type]),"")</f>
        <v/>
      </c>
      <c r="D227" s="170">
        <f>IFERROR(_xlfn.XLOOKUP(B227,DormRegistry[Dorm Name],DormRegistry[Bed Capacity]),0)</f>
        <v/>
      </c>
      <c r="E227" s="130">
        <f>IF(A227="","",$B$6*(1+$B$8)^(YEAR(A227)-YEAR(StartDate)))</f>
        <v/>
      </c>
      <c r="F227" s="105">
        <f>$B$7</f>
        <v/>
      </c>
      <c r="G227" s="105">
        <f>$B$8</f>
        <v/>
      </c>
      <c r="H227" s="130">
        <f>IFERROR(D227*E227,0)</f>
        <v/>
      </c>
      <c r="I227" s="130" t="n"/>
      <c r="J227" s="130">
        <f>IFERROR(D227*F227*E227,0)</f>
        <v/>
      </c>
      <c r="K227" s="104" t="n"/>
      <c r="L227" s="104" t="n"/>
      <c r="M227" s="104" t="n"/>
      <c r="N227" s="104" t="n"/>
      <c r="O227" s="104" t="n"/>
      <c r="P227" s="104" t="n"/>
      <c r="Q227" s="104" t="n"/>
      <c r="R227" s="130">
        <f>IF(C227="Owned",0,IF(B227&lt;&gt;"",2500,0))</f>
        <v/>
      </c>
      <c r="S227" s="130">
        <f>SUM(K227:R227)</f>
        <v/>
      </c>
      <c r="T227" s="130">
        <f>I227-S227</f>
        <v/>
      </c>
      <c r="U227" s="105">
        <f>IFERROR(T227/I227,0)</f>
        <v/>
      </c>
    </row>
    <row r="228" ht="14.25" customHeight="1" s="83">
      <c r="A228" s="125" t="n"/>
      <c r="B228" s="103" t="n"/>
      <c r="C228" s="170">
        <f>IFERROR(_xlfn.XLOOKUP(B228,DormRegistry[Dorm Name],DormRegistry[Ownership Type]),"")</f>
        <v/>
      </c>
      <c r="D228" s="170">
        <f>IFERROR(_xlfn.XLOOKUP(B228,DormRegistry[Dorm Name],DormRegistry[Bed Capacity]),0)</f>
        <v/>
      </c>
      <c r="E228" s="130">
        <f>IF(A228="","",$B$6*(1+$B$8)^(YEAR(A228)-YEAR(StartDate)))</f>
        <v/>
      </c>
      <c r="F228" s="105">
        <f>$B$7</f>
        <v/>
      </c>
      <c r="G228" s="105">
        <f>$B$8</f>
        <v/>
      </c>
      <c r="H228" s="130">
        <f>IFERROR(D228*E228,0)</f>
        <v/>
      </c>
      <c r="I228" s="130" t="n"/>
      <c r="J228" s="130">
        <f>IFERROR(D228*F228*E228,0)</f>
        <v/>
      </c>
      <c r="K228" s="104" t="n"/>
      <c r="L228" s="104" t="n"/>
      <c r="M228" s="104" t="n"/>
      <c r="N228" s="104" t="n"/>
      <c r="O228" s="104" t="n"/>
      <c r="P228" s="104" t="n"/>
      <c r="Q228" s="104" t="n"/>
      <c r="R228" s="130">
        <f>IF(C228="Owned",0,IF(B228&lt;&gt;"",2500,0))</f>
        <v/>
      </c>
      <c r="S228" s="130">
        <f>SUM(K228:R228)</f>
        <v/>
      </c>
      <c r="T228" s="130">
        <f>I228-S228</f>
        <v/>
      </c>
      <c r="U228" s="105">
        <f>IFERROR(T228/I228,0)</f>
        <v/>
      </c>
    </row>
    <row r="229" ht="14.25" customHeight="1" s="83">
      <c r="A229" s="125" t="n"/>
      <c r="B229" s="103" t="n"/>
      <c r="C229" s="170">
        <f>IFERROR(_xlfn.XLOOKUP(B229,DormRegistry[Dorm Name],DormRegistry[Ownership Type]),"")</f>
        <v/>
      </c>
      <c r="D229" s="170">
        <f>IFERROR(_xlfn.XLOOKUP(B229,DormRegistry[Dorm Name],DormRegistry[Bed Capacity]),0)</f>
        <v/>
      </c>
      <c r="E229" s="130">
        <f>IF(A229="","",$B$6*(1+$B$8)^(YEAR(A229)-YEAR(StartDate)))</f>
        <v/>
      </c>
      <c r="F229" s="105">
        <f>$B$7</f>
        <v/>
      </c>
      <c r="G229" s="105">
        <f>$B$8</f>
        <v/>
      </c>
      <c r="H229" s="130">
        <f>IFERROR(D229*E229,0)</f>
        <v/>
      </c>
      <c r="I229" s="130" t="n"/>
      <c r="J229" s="130">
        <f>IFERROR(D229*F229*E229,0)</f>
        <v/>
      </c>
      <c r="K229" s="104" t="n"/>
      <c r="L229" s="104" t="n"/>
      <c r="M229" s="104" t="n"/>
      <c r="N229" s="104" t="n"/>
      <c r="O229" s="104" t="n"/>
      <c r="P229" s="104" t="n"/>
      <c r="Q229" s="104" t="n"/>
      <c r="R229" s="130">
        <f>IF(C229="Owned",0,IF(B229&lt;&gt;"",2500,0))</f>
        <v/>
      </c>
      <c r="S229" s="130">
        <f>SUM(K229:R229)</f>
        <v/>
      </c>
      <c r="T229" s="130">
        <f>I229-S229</f>
        <v/>
      </c>
      <c r="U229" s="105">
        <f>IFERROR(T229/I229,0)</f>
        <v/>
      </c>
    </row>
    <row r="230" ht="14.25" customHeight="1" s="83">
      <c r="A230" s="125" t="n"/>
      <c r="B230" s="103" t="n"/>
      <c r="C230" s="170">
        <f>IFERROR(_xlfn.XLOOKUP(B230,DormRegistry[Dorm Name],DormRegistry[Ownership Type]),"")</f>
        <v/>
      </c>
      <c r="D230" s="170">
        <f>IFERROR(_xlfn.XLOOKUP(B230,DormRegistry[Dorm Name],DormRegistry[Bed Capacity]),0)</f>
        <v/>
      </c>
      <c r="E230" s="130">
        <f>IF(A230="","",$B$6*(1+$B$8)^(YEAR(A230)-YEAR(StartDate)))</f>
        <v/>
      </c>
      <c r="F230" s="105">
        <f>$B$7</f>
        <v/>
      </c>
      <c r="G230" s="105">
        <f>$B$8</f>
        <v/>
      </c>
      <c r="H230" s="130">
        <f>IFERROR(D230*E230,0)</f>
        <v/>
      </c>
      <c r="I230" s="130" t="n"/>
      <c r="J230" s="130">
        <f>IFERROR(D230*F230*E230,0)</f>
        <v/>
      </c>
      <c r="K230" s="104" t="n"/>
      <c r="L230" s="104" t="n"/>
      <c r="M230" s="104" t="n"/>
      <c r="N230" s="104" t="n"/>
      <c r="O230" s="104" t="n"/>
      <c r="P230" s="104" t="n"/>
      <c r="Q230" s="104" t="n"/>
      <c r="R230" s="130">
        <f>IF(C230="Owned",0,IF(B230&lt;&gt;"",2500,0))</f>
        <v/>
      </c>
      <c r="S230" s="130">
        <f>SUM(K230:R230)</f>
        <v/>
      </c>
      <c r="T230" s="130">
        <f>I230-S230</f>
        <v/>
      </c>
      <c r="U230" s="105">
        <f>IFERROR(T230/I230,0)</f>
        <v/>
      </c>
    </row>
    <row r="231" ht="14.25" customHeight="1" s="83">
      <c r="A231" s="125" t="n"/>
      <c r="B231" s="103" t="n"/>
      <c r="C231" s="170">
        <f>IFERROR(_xlfn.XLOOKUP(B231,DormRegistry[Dorm Name],DormRegistry[Ownership Type]),"")</f>
        <v/>
      </c>
      <c r="D231" s="170">
        <f>IFERROR(_xlfn.XLOOKUP(B231,DormRegistry[Dorm Name],DormRegistry[Bed Capacity]),0)</f>
        <v/>
      </c>
      <c r="E231" s="130">
        <f>IF(A231="","",$B$6*(1+$B$8)^(YEAR(A231)-YEAR(StartDate)))</f>
        <v/>
      </c>
      <c r="F231" s="105">
        <f>$B$7</f>
        <v/>
      </c>
      <c r="G231" s="105">
        <f>$B$8</f>
        <v/>
      </c>
      <c r="H231" s="130">
        <f>IFERROR(D231*E231,0)</f>
        <v/>
      </c>
      <c r="I231" s="130" t="n"/>
      <c r="J231" s="130">
        <f>IFERROR(D231*F231*E231,0)</f>
        <v/>
      </c>
      <c r="K231" s="104" t="n"/>
      <c r="L231" s="104" t="n"/>
      <c r="M231" s="104" t="n"/>
      <c r="N231" s="104" t="n"/>
      <c r="O231" s="104" t="n"/>
      <c r="P231" s="104" t="n"/>
      <c r="Q231" s="104" t="n"/>
      <c r="R231" s="130">
        <f>IF(C231="Owned",0,IF(B231&lt;&gt;"",2500,0))</f>
        <v/>
      </c>
      <c r="S231" s="130">
        <f>SUM(K231:R231)</f>
        <v/>
      </c>
      <c r="T231" s="130">
        <f>I231-S231</f>
        <v/>
      </c>
      <c r="U231" s="105">
        <f>IFERROR(T231/I231,0)</f>
        <v/>
      </c>
    </row>
    <row r="232" ht="14.25" customHeight="1" s="83">
      <c r="A232" s="125" t="n"/>
      <c r="B232" s="103" t="n"/>
      <c r="C232" s="170">
        <f>IFERROR(_xlfn.XLOOKUP(B232,DormRegistry[Dorm Name],DormRegistry[Ownership Type]),"")</f>
        <v/>
      </c>
      <c r="D232" s="170">
        <f>IFERROR(_xlfn.XLOOKUP(B232,DormRegistry[Dorm Name],DormRegistry[Bed Capacity]),0)</f>
        <v/>
      </c>
      <c r="E232" s="130">
        <f>IF(A232="","",$B$6*(1+$B$8)^(YEAR(A232)-YEAR(StartDate)))</f>
        <v/>
      </c>
      <c r="F232" s="105">
        <f>$B$7</f>
        <v/>
      </c>
      <c r="G232" s="105">
        <f>$B$8</f>
        <v/>
      </c>
      <c r="H232" s="130">
        <f>IFERROR(D232*E232,0)</f>
        <v/>
      </c>
      <c r="I232" s="130" t="n"/>
      <c r="J232" s="130">
        <f>IFERROR(D232*F232*E232,0)</f>
        <v/>
      </c>
      <c r="K232" s="104" t="n"/>
      <c r="L232" s="104" t="n"/>
      <c r="M232" s="104" t="n"/>
      <c r="N232" s="104" t="n"/>
      <c r="O232" s="104" t="n"/>
      <c r="P232" s="104" t="n"/>
      <c r="Q232" s="104" t="n"/>
      <c r="R232" s="130">
        <f>IF(C232="Owned",0,IF(B232&lt;&gt;"",2500,0))</f>
        <v/>
      </c>
      <c r="S232" s="130">
        <f>SUM(K232:R232)</f>
        <v/>
      </c>
      <c r="T232" s="130">
        <f>I232-S232</f>
        <v/>
      </c>
      <c r="U232" s="105">
        <f>IFERROR(T232/I232,0)</f>
        <v/>
      </c>
    </row>
    <row r="233" ht="14.25" customHeight="1" s="83">
      <c r="A233" s="125" t="n"/>
      <c r="B233" s="103" t="n"/>
      <c r="C233" s="170">
        <f>IFERROR(_xlfn.XLOOKUP(B233,DormRegistry[Dorm Name],DormRegistry[Ownership Type]),"")</f>
        <v/>
      </c>
      <c r="D233" s="170">
        <f>IFERROR(_xlfn.XLOOKUP(B233,DormRegistry[Dorm Name],DormRegistry[Bed Capacity]),0)</f>
        <v/>
      </c>
      <c r="E233" s="130">
        <f>IF(A233="","",$B$6*(1+$B$8)^(YEAR(A233)-YEAR(StartDate)))</f>
        <v/>
      </c>
      <c r="F233" s="105">
        <f>$B$7</f>
        <v/>
      </c>
      <c r="G233" s="105">
        <f>$B$8</f>
        <v/>
      </c>
      <c r="H233" s="130">
        <f>IFERROR(D233*E233,0)</f>
        <v/>
      </c>
      <c r="I233" s="130" t="n"/>
      <c r="J233" s="130">
        <f>IFERROR(D233*F233*E233,0)</f>
        <v/>
      </c>
      <c r="K233" s="104" t="n"/>
      <c r="L233" s="104" t="n"/>
      <c r="M233" s="104" t="n"/>
      <c r="N233" s="104" t="n"/>
      <c r="O233" s="104" t="n"/>
      <c r="P233" s="104" t="n"/>
      <c r="Q233" s="104" t="n"/>
      <c r="R233" s="130">
        <f>IF(C233="Owned",0,IF(B233&lt;&gt;"",2500,0))</f>
        <v/>
      </c>
      <c r="S233" s="130">
        <f>SUM(K233:R233)</f>
        <v/>
      </c>
      <c r="T233" s="130">
        <f>I233-S233</f>
        <v/>
      </c>
      <c r="U233" s="105">
        <f>IFERROR(T233/I233,0)</f>
        <v/>
      </c>
    </row>
    <row r="234" ht="14.25" customHeight="1" s="83">
      <c r="A234" s="125" t="n"/>
      <c r="B234" s="103" t="n"/>
      <c r="C234" s="170">
        <f>IFERROR(_xlfn.XLOOKUP(B234,DormRegistry[Dorm Name],DormRegistry[Ownership Type]),"")</f>
        <v/>
      </c>
      <c r="D234" s="170">
        <f>IFERROR(_xlfn.XLOOKUP(B234,DormRegistry[Dorm Name],DormRegistry[Bed Capacity]),0)</f>
        <v/>
      </c>
      <c r="E234" s="130">
        <f>IF(A234="","",$B$6*(1+$B$8)^(YEAR(A234)-YEAR(StartDate)))</f>
        <v/>
      </c>
      <c r="F234" s="105">
        <f>$B$7</f>
        <v/>
      </c>
      <c r="G234" s="105">
        <f>$B$8</f>
        <v/>
      </c>
      <c r="H234" s="130">
        <f>IFERROR(D234*E234,0)</f>
        <v/>
      </c>
      <c r="I234" s="130" t="n"/>
      <c r="J234" s="130">
        <f>IFERROR(D234*F234*E234,0)</f>
        <v/>
      </c>
      <c r="K234" s="104" t="n"/>
      <c r="L234" s="104" t="n"/>
      <c r="M234" s="104" t="n"/>
      <c r="N234" s="104" t="n"/>
      <c r="O234" s="104" t="n"/>
      <c r="P234" s="104" t="n"/>
      <c r="Q234" s="104" t="n"/>
      <c r="R234" s="130">
        <f>IF(C234="Owned",0,IF(B234&lt;&gt;"",2500,0))</f>
        <v/>
      </c>
      <c r="S234" s="130">
        <f>SUM(K234:R234)</f>
        <v/>
      </c>
      <c r="T234" s="130">
        <f>I234-S234</f>
        <v/>
      </c>
      <c r="U234" s="105">
        <f>IFERROR(T234/I234,0)</f>
        <v/>
      </c>
    </row>
    <row r="235" ht="14.25" customHeight="1" s="83">
      <c r="A235" s="125" t="n"/>
      <c r="B235" s="103" t="n"/>
      <c r="C235" s="170">
        <f>IFERROR(_xlfn.XLOOKUP(B235,DormRegistry[Dorm Name],DormRegistry[Ownership Type]),"")</f>
        <v/>
      </c>
      <c r="D235" s="170">
        <f>IFERROR(_xlfn.XLOOKUP(B235,DormRegistry[Dorm Name],DormRegistry[Bed Capacity]),0)</f>
        <v/>
      </c>
      <c r="E235" s="130">
        <f>IF(A235="","",$B$6*(1+$B$8)^(YEAR(A235)-YEAR(StartDate)))</f>
        <v/>
      </c>
      <c r="F235" s="105">
        <f>$B$7</f>
        <v/>
      </c>
      <c r="G235" s="105">
        <f>$B$8</f>
        <v/>
      </c>
      <c r="H235" s="130">
        <f>IFERROR(D235*E235,0)</f>
        <v/>
      </c>
      <c r="I235" s="130" t="n"/>
      <c r="J235" s="130">
        <f>IFERROR(D235*F235*E235,0)</f>
        <v/>
      </c>
      <c r="K235" s="104" t="n"/>
      <c r="L235" s="104" t="n"/>
      <c r="M235" s="104" t="n"/>
      <c r="N235" s="104" t="n"/>
      <c r="O235" s="104" t="n"/>
      <c r="P235" s="104" t="n"/>
      <c r="Q235" s="104" t="n"/>
      <c r="R235" s="130">
        <f>IF(C235="Owned",0,IF(B235&lt;&gt;"",2500,0))</f>
        <v/>
      </c>
      <c r="S235" s="130">
        <f>SUM(K235:R235)</f>
        <v/>
      </c>
      <c r="T235" s="130">
        <f>I235-S235</f>
        <v/>
      </c>
      <c r="U235" s="105">
        <f>IFERROR(T235/I235,0)</f>
        <v/>
      </c>
    </row>
    <row r="236" ht="14.25" customHeight="1" s="83">
      <c r="A236" s="125" t="n"/>
      <c r="B236" s="103" t="n"/>
      <c r="C236" s="170">
        <f>IFERROR(_xlfn.XLOOKUP(B236,DormRegistry[Dorm Name],DormRegistry[Ownership Type]),"")</f>
        <v/>
      </c>
      <c r="D236" s="170">
        <f>IFERROR(_xlfn.XLOOKUP(B236,DormRegistry[Dorm Name],DormRegistry[Bed Capacity]),0)</f>
        <v/>
      </c>
      <c r="E236" s="130">
        <f>IF(A236="","",$B$6*(1+$B$8)^(YEAR(A236)-YEAR(StartDate)))</f>
        <v/>
      </c>
      <c r="F236" s="105">
        <f>$B$7</f>
        <v/>
      </c>
      <c r="G236" s="105">
        <f>$B$8</f>
        <v/>
      </c>
      <c r="H236" s="130">
        <f>IFERROR(D236*E236,0)</f>
        <v/>
      </c>
      <c r="I236" s="130" t="n"/>
      <c r="J236" s="130">
        <f>IFERROR(D236*F236*E236,0)</f>
        <v/>
      </c>
      <c r="K236" s="104" t="n"/>
      <c r="L236" s="104" t="n"/>
      <c r="M236" s="104" t="n"/>
      <c r="N236" s="104" t="n"/>
      <c r="O236" s="104" t="n"/>
      <c r="P236" s="104" t="n"/>
      <c r="Q236" s="104" t="n"/>
      <c r="R236" s="130">
        <f>IF(C236="Owned",0,IF(B236&lt;&gt;"",2500,0))</f>
        <v/>
      </c>
      <c r="S236" s="130">
        <f>SUM(K236:R236)</f>
        <v/>
      </c>
      <c r="T236" s="130">
        <f>I236-S236</f>
        <v/>
      </c>
      <c r="U236" s="105">
        <f>IFERROR(T236/I236,0)</f>
        <v/>
      </c>
    </row>
    <row r="237" ht="14.25" customHeight="1" s="83">
      <c r="A237" s="125" t="n"/>
      <c r="B237" s="103" t="n"/>
      <c r="C237" s="170">
        <f>IFERROR(_xlfn.XLOOKUP(B237,DormRegistry[Dorm Name],DormRegistry[Ownership Type]),"")</f>
        <v/>
      </c>
      <c r="D237" s="170">
        <f>IFERROR(_xlfn.XLOOKUP(B237,DormRegistry[Dorm Name],DormRegistry[Bed Capacity]),0)</f>
        <v/>
      </c>
      <c r="E237" s="130">
        <f>IF(A237="","",$B$6*(1+$B$8)^(YEAR(A237)-YEAR(StartDate)))</f>
        <v/>
      </c>
      <c r="F237" s="105">
        <f>$B$7</f>
        <v/>
      </c>
      <c r="G237" s="105">
        <f>$B$8</f>
        <v/>
      </c>
      <c r="H237" s="130">
        <f>IFERROR(D237*E237,0)</f>
        <v/>
      </c>
      <c r="I237" s="130" t="n"/>
      <c r="J237" s="130">
        <f>IFERROR(D237*F237*E237,0)</f>
        <v/>
      </c>
      <c r="K237" s="104" t="n"/>
      <c r="L237" s="104" t="n"/>
      <c r="M237" s="104" t="n"/>
      <c r="N237" s="104" t="n"/>
      <c r="O237" s="104" t="n"/>
      <c r="P237" s="104" t="n"/>
      <c r="Q237" s="104" t="n"/>
      <c r="R237" s="130">
        <f>IF(C237="Owned",0,IF(B237&lt;&gt;"",2500,0))</f>
        <v/>
      </c>
      <c r="S237" s="130">
        <f>SUM(K237:R237)</f>
        <v/>
      </c>
      <c r="T237" s="130">
        <f>I237-S237</f>
        <v/>
      </c>
      <c r="U237" s="105">
        <f>IFERROR(T237/I237,0)</f>
        <v/>
      </c>
    </row>
    <row r="238" ht="14.25" customHeight="1" s="83">
      <c r="A238" s="125" t="n"/>
      <c r="B238" s="103" t="n"/>
      <c r="C238" s="170">
        <f>IFERROR(_xlfn.XLOOKUP(B238,DormRegistry[Dorm Name],DormRegistry[Ownership Type]),"")</f>
        <v/>
      </c>
      <c r="D238" s="170">
        <f>IFERROR(_xlfn.XLOOKUP(B238,DormRegistry[Dorm Name],DormRegistry[Bed Capacity]),0)</f>
        <v/>
      </c>
      <c r="E238" s="130">
        <f>IF(A238="","",$B$6*(1+$B$8)^(YEAR(A238)-YEAR(StartDate)))</f>
        <v/>
      </c>
      <c r="F238" s="105">
        <f>$B$7</f>
        <v/>
      </c>
      <c r="G238" s="105">
        <f>$B$8</f>
        <v/>
      </c>
      <c r="H238" s="130">
        <f>IFERROR(D238*E238,0)</f>
        <v/>
      </c>
      <c r="I238" s="130" t="n"/>
      <c r="J238" s="130">
        <f>IFERROR(D238*F238*E238,0)</f>
        <v/>
      </c>
      <c r="K238" s="104" t="n"/>
      <c r="L238" s="104" t="n"/>
      <c r="M238" s="104" t="n"/>
      <c r="N238" s="104" t="n"/>
      <c r="O238" s="104" t="n"/>
      <c r="P238" s="104" t="n"/>
      <c r="Q238" s="104" t="n"/>
      <c r="R238" s="130">
        <f>IF(C238="Owned",0,IF(B238&lt;&gt;"",2500,0))</f>
        <v/>
      </c>
      <c r="S238" s="130">
        <f>SUM(K238:R238)</f>
        <v/>
      </c>
      <c r="T238" s="130">
        <f>I238-S238</f>
        <v/>
      </c>
      <c r="U238" s="105">
        <f>IFERROR(T238/I238,0)</f>
        <v/>
      </c>
    </row>
    <row r="239" ht="14.25" customHeight="1" s="83">
      <c r="A239" s="125" t="n"/>
      <c r="B239" s="103" t="n"/>
      <c r="C239" s="170">
        <f>IFERROR(_xlfn.XLOOKUP(B239,DormRegistry[Dorm Name],DormRegistry[Ownership Type]),"")</f>
        <v/>
      </c>
      <c r="D239" s="170">
        <f>IFERROR(_xlfn.XLOOKUP(B239,DormRegistry[Dorm Name],DormRegistry[Bed Capacity]),0)</f>
        <v/>
      </c>
      <c r="E239" s="130">
        <f>IF(A239="","",$B$6*(1+$B$8)^(YEAR(A239)-YEAR(StartDate)))</f>
        <v/>
      </c>
      <c r="F239" s="105">
        <f>$B$7</f>
        <v/>
      </c>
      <c r="G239" s="105">
        <f>$B$8</f>
        <v/>
      </c>
      <c r="H239" s="130">
        <f>IFERROR(D239*E239,0)</f>
        <v/>
      </c>
      <c r="I239" s="130" t="n"/>
      <c r="J239" s="130">
        <f>IFERROR(D239*F239*E239,0)</f>
        <v/>
      </c>
      <c r="K239" s="104" t="n"/>
      <c r="L239" s="104" t="n"/>
      <c r="M239" s="104" t="n"/>
      <c r="N239" s="104" t="n"/>
      <c r="O239" s="104" t="n"/>
      <c r="P239" s="104" t="n"/>
      <c r="Q239" s="104" t="n"/>
      <c r="R239" s="130">
        <f>IF(C239="Owned",0,IF(B239&lt;&gt;"",2500,0))</f>
        <v/>
      </c>
      <c r="S239" s="130">
        <f>SUM(K239:R239)</f>
        <v/>
      </c>
      <c r="T239" s="130">
        <f>I239-S239</f>
        <v/>
      </c>
      <c r="U239" s="105">
        <f>IFERROR(T239/I239,0)</f>
        <v/>
      </c>
    </row>
    <row r="240" ht="14.25" customHeight="1" s="83">
      <c r="A240" s="125" t="n"/>
      <c r="B240" s="103" t="n"/>
      <c r="C240" s="170">
        <f>IFERROR(_xlfn.XLOOKUP(B240,DormRegistry[Dorm Name],DormRegistry[Ownership Type]),"")</f>
        <v/>
      </c>
      <c r="D240" s="170">
        <f>IFERROR(_xlfn.XLOOKUP(B240,DormRegistry[Dorm Name],DormRegistry[Bed Capacity]),0)</f>
        <v/>
      </c>
      <c r="E240" s="130">
        <f>IF(A240="","",$B$6*(1+$B$8)^(YEAR(A240)-YEAR(StartDate)))</f>
        <v/>
      </c>
      <c r="F240" s="105">
        <f>$B$7</f>
        <v/>
      </c>
      <c r="G240" s="105">
        <f>$B$8</f>
        <v/>
      </c>
      <c r="H240" s="130">
        <f>IFERROR(D240*E240,0)</f>
        <v/>
      </c>
      <c r="I240" s="130" t="n"/>
      <c r="J240" s="130">
        <f>IFERROR(D240*F240*E240,0)</f>
        <v/>
      </c>
      <c r="K240" s="104" t="n"/>
      <c r="L240" s="104" t="n"/>
      <c r="M240" s="104" t="n"/>
      <c r="N240" s="104" t="n"/>
      <c r="O240" s="104" t="n"/>
      <c r="P240" s="104" t="n"/>
      <c r="Q240" s="104" t="n"/>
      <c r="R240" s="130">
        <f>IF(C240="Owned",0,IF(B240&lt;&gt;"",2500,0))</f>
        <v/>
      </c>
      <c r="S240" s="130">
        <f>SUM(K240:R240)</f>
        <v/>
      </c>
      <c r="T240" s="130">
        <f>I240-S240</f>
        <v/>
      </c>
      <c r="U240" s="105">
        <f>IFERROR(T240/I240,0)</f>
        <v/>
      </c>
    </row>
    <row r="241" ht="14.25" customHeight="1" s="83">
      <c r="A241" s="125" t="n"/>
      <c r="B241" s="103" t="n"/>
      <c r="C241" s="170">
        <f>IFERROR(_xlfn.XLOOKUP(B241,DormRegistry[Dorm Name],DormRegistry[Ownership Type]),"")</f>
        <v/>
      </c>
      <c r="D241" s="170">
        <f>IFERROR(_xlfn.XLOOKUP(B241,DormRegistry[Dorm Name],DormRegistry[Bed Capacity]),0)</f>
        <v/>
      </c>
      <c r="E241" s="130">
        <f>IF(A241="","",$B$6*(1+$B$8)^(YEAR(A241)-YEAR(StartDate)))</f>
        <v/>
      </c>
      <c r="F241" s="105">
        <f>$B$7</f>
        <v/>
      </c>
      <c r="G241" s="105">
        <f>$B$8</f>
        <v/>
      </c>
      <c r="H241" s="130">
        <f>IFERROR(D241*E241,0)</f>
        <v/>
      </c>
      <c r="I241" s="130" t="n"/>
      <c r="J241" s="130">
        <f>IFERROR(D241*F241*E241,0)</f>
        <v/>
      </c>
      <c r="K241" s="104" t="n"/>
      <c r="L241" s="104" t="n"/>
      <c r="M241" s="104" t="n"/>
      <c r="N241" s="104" t="n"/>
      <c r="O241" s="104" t="n"/>
      <c r="P241" s="104" t="n"/>
      <c r="Q241" s="104" t="n"/>
      <c r="R241" s="130">
        <f>IF(C241="Owned",0,IF(B241&lt;&gt;"",2500,0))</f>
        <v/>
      </c>
      <c r="S241" s="130">
        <f>SUM(K241:R241)</f>
        <v/>
      </c>
      <c r="T241" s="130">
        <f>I241-S241</f>
        <v/>
      </c>
      <c r="U241" s="105">
        <f>IFERROR(T241/I241,0)</f>
        <v/>
      </c>
    </row>
    <row r="242" ht="14.25" customHeight="1" s="83">
      <c r="A242" s="125" t="n"/>
      <c r="B242" s="103" t="n"/>
      <c r="C242" s="170">
        <f>IFERROR(_xlfn.XLOOKUP(B242,DormRegistry[Dorm Name],DormRegistry[Ownership Type]),"")</f>
        <v/>
      </c>
      <c r="D242" s="170">
        <f>IFERROR(_xlfn.XLOOKUP(B242,DormRegistry[Dorm Name],DormRegistry[Bed Capacity]),0)</f>
        <v/>
      </c>
      <c r="E242" s="130">
        <f>IF(A242="","",$B$6*(1+$B$8)^(YEAR(A242)-YEAR(StartDate)))</f>
        <v/>
      </c>
      <c r="F242" s="105">
        <f>$B$7</f>
        <v/>
      </c>
      <c r="G242" s="105">
        <f>$B$8</f>
        <v/>
      </c>
      <c r="H242" s="130">
        <f>IFERROR(D242*E242,0)</f>
        <v/>
      </c>
      <c r="I242" s="130" t="n"/>
      <c r="J242" s="130">
        <f>IFERROR(D242*F242*E242,0)</f>
        <v/>
      </c>
      <c r="K242" s="104" t="n"/>
      <c r="L242" s="104" t="n"/>
      <c r="M242" s="104" t="n"/>
      <c r="N242" s="104" t="n"/>
      <c r="O242" s="104" t="n"/>
      <c r="P242" s="104" t="n"/>
      <c r="Q242" s="104" t="n"/>
      <c r="R242" s="130">
        <f>IF(C242="Owned",0,IF(B242&lt;&gt;"",2500,0))</f>
        <v/>
      </c>
      <c r="S242" s="130">
        <f>SUM(K242:R242)</f>
        <v/>
      </c>
      <c r="T242" s="130">
        <f>I242-S242</f>
        <v/>
      </c>
      <c r="U242" s="105">
        <f>IFERROR(T242/I242,0)</f>
        <v/>
      </c>
    </row>
    <row r="243" ht="14.25" customHeight="1" s="83">
      <c r="A243" s="125" t="n"/>
      <c r="B243" s="103" t="n"/>
      <c r="C243" s="170">
        <f>IFERROR(_xlfn.XLOOKUP(B243,DormRegistry[Dorm Name],DormRegistry[Ownership Type]),"")</f>
        <v/>
      </c>
      <c r="D243" s="170">
        <f>IFERROR(_xlfn.XLOOKUP(B243,DormRegistry[Dorm Name],DormRegistry[Bed Capacity]),0)</f>
        <v/>
      </c>
      <c r="E243" s="130">
        <f>IF(A243="","",$B$6*(1+$B$8)^(YEAR(A243)-YEAR(StartDate)))</f>
        <v/>
      </c>
      <c r="F243" s="105">
        <f>$B$7</f>
        <v/>
      </c>
      <c r="G243" s="105">
        <f>$B$8</f>
        <v/>
      </c>
      <c r="H243" s="130">
        <f>IFERROR(D243*E243,0)</f>
        <v/>
      </c>
      <c r="I243" s="130" t="n"/>
      <c r="J243" s="130">
        <f>IFERROR(D243*F243*E243,0)</f>
        <v/>
      </c>
      <c r="K243" s="104" t="n"/>
      <c r="L243" s="104" t="n"/>
      <c r="M243" s="104" t="n"/>
      <c r="N243" s="104" t="n"/>
      <c r="O243" s="104" t="n"/>
      <c r="P243" s="104" t="n"/>
      <c r="Q243" s="104" t="n"/>
      <c r="R243" s="130">
        <f>IF(C243="Owned",0,IF(B243&lt;&gt;"",2500,0))</f>
        <v/>
      </c>
      <c r="S243" s="130">
        <f>SUM(K243:R243)</f>
        <v/>
      </c>
      <c r="T243" s="130">
        <f>I243-S243</f>
        <v/>
      </c>
      <c r="U243" s="105">
        <f>IFERROR(T243/I243,0)</f>
        <v/>
      </c>
    </row>
    <row r="244" ht="14.25" customHeight="1" s="83">
      <c r="A244" s="125" t="n"/>
      <c r="B244" s="103" t="n"/>
      <c r="C244" s="170">
        <f>IFERROR(_xlfn.XLOOKUP(B244,DormRegistry[Dorm Name],DormRegistry[Ownership Type]),"")</f>
        <v/>
      </c>
      <c r="D244" s="170">
        <f>IFERROR(_xlfn.XLOOKUP(B244,DormRegistry[Dorm Name],DormRegistry[Bed Capacity]),0)</f>
        <v/>
      </c>
      <c r="E244" s="130">
        <f>IF(A244="","",$B$6*(1+$B$8)^(YEAR(A244)-YEAR(StartDate)))</f>
        <v/>
      </c>
      <c r="F244" s="105">
        <f>$B$7</f>
        <v/>
      </c>
      <c r="G244" s="105">
        <f>$B$8</f>
        <v/>
      </c>
      <c r="H244" s="130">
        <f>IFERROR(D244*E244,0)</f>
        <v/>
      </c>
      <c r="I244" s="130" t="n"/>
      <c r="J244" s="130">
        <f>IFERROR(D244*F244*E244,0)</f>
        <v/>
      </c>
      <c r="K244" s="104" t="n"/>
      <c r="L244" s="104" t="n"/>
      <c r="M244" s="104" t="n"/>
      <c r="N244" s="104" t="n"/>
      <c r="O244" s="104" t="n"/>
      <c r="P244" s="104" t="n"/>
      <c r="Q244" s="104" t="n"/>
      <c r="R244" s="130">
        <f>IF(C244="Owned",0,IF(B244&lt;&gt;"",2500,0))</f>
        <v/>
      </c>
      <c r="S244" s="130">
        <f>SUM(K244:R244)</f>
        <v/>
      </c>
      <c r="T244" s="130">
        <f>I244-S244</f>
        <v/>
      </c>
      <c r="U244" s="105">
        <f>IFERROR(T244/I244,0)</f>
        <v/>
      </c>
    </row>
    <row r="245" ht="14.25" customHeight="1" s="83">
      <c r="A245" s="125" t="n"/>
      <c r="B245" s="103" t="n"/>
      <c r="C245" s="170">
        <f>IFERROR(_xlfn.XLOOKUP(B245,DormRegistry[Dorm Name],DormRegistry[Ownership Type]),"")</f>
        <v/>
      </c>
      <c r="D245" s="170">
        <f>IFERROR(_xlfn.XLOOKUP(B245,DormRegistry[Dorm Name],DormRegistry[Bed Capacity]),0)</f>
        <v/>
      </c>
      <c r="E245" s="130">
        <f>IF(A245="","",$B$6*(1+$B$8)^(YEAR(A245)-YEAR(StartDate)))</f>
        <v/>
      </c>
      <c r="F245" s="105">
        <f>$B$7</f>
        <v/>
      </c>
      <c r="G245" s="105">
        <f>$B$8</f>
        <v/>
      </c>
      <c r="H245" s="130">
        <f>IFERROR(D245*E245,0)</f>
        <v/>
      </c>
      <c r="I245" s="130" t="n"/>
      <c r="J245" s="130">
        <f>IFERROR(D245*F245*E245,0)</f>
        <v/>
      </c>
      <c r="K245" s="104" t="n"/>
      <c r="L245" s="104" t="n"/>
      <c r="M245" s="104" t="n"/>
      <c r="N245" s="104" t="n"/>
      <c r="O245" s="104" t="n"/>
      <c r="P245" s="104" t="n"/>
      <c r="Q245" s="104" t="n"/>
      <c r="R245" s="130">
        <f>IF(C245="Owned",0,IF(B245&lt;&gt;"",2500,0))</f>
        <v/>
      </c>
      <c r="S245" s="130">
        <f>SUM(K245:R245)</f>
        <v/>
      </c>
      <c r="T245" s="130">
        <f>I245-S245</f>
        <v/>
      </c>
      <c r="U245" s="105">
        <f>IFERROR(T245/I245,0)</f>
        <v/>
      </c>
    </row>
    <row r="246" ht="14.25" customHeight="1" s="83">
      <c r="A246" s="125" t="n"/>
      <c r="B246" s="103" t="n"/>
      <c r="C246" s="170">
        <f>IFERROR(_xlfn.XLOOKUP(B246,DormRegistry[Dorm Name],DormRegistry[Ownership Type]),"")</f>
        <v/>
      </c>
      <c r="D246" s="170">
        <f>IFERROR(_xlfn.XLOOKUP(B246,DormRegistry[Dorm Name],DormRegistry[Bed Capacity]),0)</f>
        <v/>
      </c>
      <c r="E246" s="130">
        <f>IF(A246="","",$B$6*(1+$B$8)^(YEAR(A246)-YEAR(StartDate)))</f>
        <v/>
      </c>
      <c r="F246" s="105">
        <f>$B$7</f>
        <v/>
      </c>
      <c r="G246" s="105">
        <f>$B$8</f>
        <v/>
      </c>
      <c r="H246" s="130">
        <f>IFERROR(D246*E246,0)</f>
        <v/>
      </c>
      <c r="I246" s="130" t="n"/>
      <c r="J246" s="130">
        <f>IFERROR(D246*F246*E246,0)</f>
        <v/>
      </c>
      <c r="K246" s="104" t="n"/>
      <c r="L246" s="104" t="n"/>
      <c r="M246" s="104" t="n"/>
      <c r="N246" s="104" t="n"/>
      <c r="O246" s="104" t="n"/>
      <c r="P246" s="104" t="n"/>
      <c r="Q246" s="104" t="n"/>
      <c r="R246" s="130">
        <f>IF(C246="Owned",0,IF(B246&lt;&gt;"",2500,0))</f>
        <v/>
      </c>
      <c r="S246" s="130">
        <f>SUM(K246:R246)</f>
        <v/>
      </c>
      <c r="T246" s="130">
        <f>I246-S246</f>
        <v/>
      </c>
      <c r="U246" s="105">
        <f>IFERROR(T246/I246,0)</f>
        <v/>
      </c>
    </row>
    <row r="247" ht="14.25" customHeight="1" s="83">
      <c r="A247" s="125" t="n"/>
      <c r="B247" s="103" t="n"/>
      <c r="C247" s="170">
        <f>IFERROR(_xlfn.XLOOKUP(B247,DormRegistry[Dorm Name],DormRegistry[Ownership Type]),"")</f>
        <v/>
      </c>
      <c r="D247" s="170">
        <f>IFERROR(_xlfn.XLOOKUP(B247,DormRegistry[Dorm Name],DormRegistry[Bed Capacity]),0)</f>
        <v/>
      </c>
      <c r="E247" s="130">
        <f>IF(A247="","",$B$6*(1+$B$8)^(YEAR(A247)-YEAR(StartDate)))</f>
        <v/>
      </c>
      <c r="F247" s="105">
        <f>$B$7</f>
        <v/>
      </c>
      <c r="G247" s="105">
        <f>$B$8</f>
        <v/>
      </c>
      <c r="H247" s="130">
        <f>IFERROR(D247*E247,0)</f>
        <v/>
      </c>
      <c r="I247" s="130" t="n"/>
      <c r="J247" s="130">
        <f>IFERROR(D247*F247*E247,0)</f>
        <v/>
      </c>
      <c r="K247" s="104" t="n"/>
      <c r="L247" s="104" t="n"/>
      <c r="M247" s="104" t="n"/>
      <c r="N247" s="104" t="n"/>
      <c r="O247" s="104" t="n"/>
      <c r="P247" s="104" t="n"/>
      <c r="Q247" s="104" t="n"/>
      <c r="R247" s="130">
        <f>IF(C247="Owned",0,IF(B247&lt;&gt;"",2500,0))</f>
        <v/>
      </c>
      <c r="S247" s="130">
        <f>SUM(K247:R247)</f>
        <v/>
      </c>
      <c r="T247" s="130">
        <f>I247-S247</f>
        <v/>
      </c>
      <c r="U247" s="105">
        <f>IFERROR(T247/I247,0)</f>
        <v/>
      </c>
    </row>
    <row r="248" ht="14.25" customHeight="1" s="83">
      <c r="A248" s="125" t="n"/>
      <c r="B248" s="103" t="n"/>
      <c r="C248" s="170">
        <f>IFERROR(_xlfn.XLOOKUP(B248,DormRegistry[Dorm Name],DormRegistry[Ownership Type]),"")</f>
        <v/>
      </c>
      <c r="D248" s="170">
        <f>IFERROR(_xlfn.XLOOKUP(B248,DormRegistry[Dorm Name],DormRegistry[Bed Capacity]),0)</f>
        <v/>
      </c>
      <c r="E248" s="130">
        <f>IF(A248="","",$B$6*(1+$B$8)^(YEAR(A248)-YEAR(StartDate)))</f>
        <v/>
      </c>
      <c r="F248" s="105">
        <f>$B$7</f>
        <v/>
      </c>
      <c r="G248" s="105">
        <f>$B$8</f>
        <v/>
      </c>
      <c r="H248" s="130">
        <f>IFERROR(D248*E248,0)</f>
        <v/>
      </c>
      <c r="I248" s="130" t="n"/>
      <c r="J248" s="130">
        <f>IFERROR(D248*F248*E248,0)</f>
        <v/>
      </c>
      <c r="K248" s="104" t="n"/>
      <c r="L248" s="104" t="n"/>
      <c r="M248" s="104" t="n"/>
      <c r="N248" s="104" t="n"/>
      <c r="O248" s="104" t="n"/>
      <c r="P248" s="104" t="n"/>
      <c r="Q248" s="104" t="n"/>
      <c r="R248" s="130">
        <f>IF(C248="Owned",0,IF(B248&lt;&gt;"",2500,0))</f>
        <v/>
      </c>
      <c r="S248" s="130">
        <f>SUM(K248:R248)</f>
        <v/>
      </c>
      <c r="T248" s="130">
        <f>I248-S248</f>
        <v/>
      </c>
      <c r="U248" s="105">
        <f>IFERROR(T248/I248,0)</f>
        <v/>
      </c>
    </row>
    <row r="249" ht="14.25" customHeight="1" s="83">
      <c r="A249" s="125" t="n"/>
      <c r="B249" s="103" t="n"/>
      <c r="C249" s="170">
        <f>IFERROR(_xlfn.XLOOKUP(B249,DormRegistry[Dorm Name],DormRegistry[Ownership Type]),"")</f>
        <v/>
      </c>
      <c r="D249" s="170">
        <f>IFERROR(_xlfn.XLOOKUP(B249,DormRegistry[Dorm Name],DormRegistry[Bed Capacity]),0)</f>
        <v/>
      </c>
      <c r="E249" s="130">
        <f>IF(A249="","",$B$6*(1+$B$8)^(YEAR(A249)-YEAR(StartDate)))</f>
        <v/>
      </c>
      <c r="F249" s="105">
        <f>$B$7</f>
        <v/>
      </c>
      <c r="G249" s="105">
        <f>$B$8</f>
        <v/>
      </c>
      <c r="H249" s="130">
        <f>IFERROR(D249*E249,0)</f>
        <v/>
      </c>
      <c r="I249" s="130" t="n"/>
      <c r="J249" s="130">
        <f>IFERROR(D249*F249*E249,0)</f>
        <v/>
      </c>
      <c r="K249" s="104" t="n"/>
      <c r="L249" s="104" t="n"/>
      <c r="M249" s="104" t="n"/>
      <c r="N249" s="104" t="n"/>
      <c r="O249" s="104" t="n"/>
      <c r="P249" s="104" t="n"/>
      <c r="Q249" s="104" t="n"/>
      <c r="R249" s="130">
        <f>IF(C249="Owned",0,IF(B249&lt;&gt;"",2500,0))</f>
        <v/>
      </c>
      <c r="S249" s="130">
        <f>SUM(K249:R249)</f>
        <v/>
      </c>
      <c r="T249" s="130">
        <f>I249-S249</f>
        <v/>
      </c>
      <c r="U249" s="105">
        <f>IFERROR(T249/I249,0)</f>
        <v/>
      </c>
    </row>
    <row r="250" ht="14.25" customHeight="1" s="83">
      <c r="A250" s="125" t="n"/>
      <c r="B250" s="103" t="n"/>
      <c r="C250" s="170">
        <f>IFERROR(_xlfn.XLOOKUP(B250,DormRegistry[Dorm Name],DormRegistry[Ownership Type]),"")</f>
        <v/>
      </c>
      <c r="D250" s="170">
        <f>IFERROR(_xlfn.XLOOKUP(B250,DormRegistry[Dorm Name],DormRegistry[Bed Capacity]),0)</f>
        <v/>
      </c>
      <c r="E250" s="130">
        <f>IF(A250="","",$B$6*(1+$B$8)^(YEAR(A250)-YEAR(StartDate)))</f>
        <v/>
      </c>
      <c r="F250" s="105">
        <f>$B$7</f>
        <v/>
      </c>
      <c r="G250" s="105">
        <f>$B$8</f>
        <v/>
      </c>
      <c r="H250" s="130">
        <f>IFERROR(D250*E250,0)</f>
        <v/>
      </c>
      <c r="I250" s="130" t="n"/>
      <c r="J250" s="130">
        <f>IFERROR(D250*F250*E250,0)</f>
        <v/>
      </c>
      <c r="K250" s="104" t="n"/>
      <c r="L250" s="104" t="n"/>
      <c r="M250" s="104" t="n"/>
      <c r="N250" s="104" t="n"/>
      <c r="O250" s="104" t="n"/>
      <c r="P250" s="104" t="n"/>
      <c r="Q250" s="104" t="n"/>
      <c r="R250" s="130">
        <f>IF(C250="Owned",0,IF(B250&lt;&gt;"",2500,0))</f>
        <v/>
      </c>
      <c r="S250" s="130">
        <f>SUM(K250:R250)</f>
        <v/>
      </c>
      <c r="T250" s="130">
        <f>I250-S250</f>
        <v/>
      </c>
      <c r="U250" s="105">
        <f>IFERROR(T250/I250,0)</f>
        <v/>
      </c>
    </row>
    <row r="251" ht="14.25" customHeight="1" s="83">
      <c r="A251" s="125" t="n"/>
      <c r="B251" s="103" t="n"/>
      <c r="C251" s="170">
        <f>IFERROR(_xlfn.XLOOKUP(B251,DormRegistry[Dorm Name],DormRegistry[Ownership Type]),"")</f>
        <v/>
      </c>
      <c r="D251" s="170">
        <f>IFERROR(_xlfn.XLOOKUP(B251,DormRegistry[Dorm Name],DormRegistry[Bed Capacity]),0)</f>
        <v/>
      </c>
      <c r="E251" s="130">
        <f>IF(A251="","",$B$6*(1+$B$8)^(YEAR(A251)-YEAR(StartDate)))</f>
        <v/>
      </c>
      <c r="F251" s="105">
        <f>$B$7</f>
        <v/>
      </c>
      <c r="G251" s="105">
        <f>$B$8</f>
        <v/>
      </c>
      <c r="H251" s="130">
        <f>IFERROR(D251*E251,0)</f>
        <v/>
      </c>
      <c r="I251" s="130" t="n"/>
      <c r="J251" s="130">
        <f>IFERROR(D251*F251*E251,0)</f>
        <v/>
      </c>
      <c r="K251" s="104" t="n"/>
      <c r="L251" s="104" t="n"/>
      <c r="M251" s="104" t="n"/>
      <c r="N251" s="104" t="n"/>
      <c r="O251" s="104" t="n"/>
      <c r="P251" s="104" t="n"/>
      <c r="Q251" s="104" t="n"/>
      <c r="R251" s="130">
        <f>IF(C251="Owned",0,IF(B251&lt;&gt;"",2500,0))</f>
        <v/>
      </c>
      <c r="S251" s="130">
        <f>SUM(K251:R251)</f>
        <v/>
      </c>
      <c r="T251" s="130">
        <f>I251-S251</f>
        <v/>
      </c>
      <c r="U251" s="105">
        <f>IFERROR(T251/I251,0)</f>
        <v/>
      </c>
    </row>
    <row r="252" ht="14.25" customHeight="1" s="83">
      <c r="A252" s="125" t="n"/>
      <c r="B252" s="103" t="n"/>
      <c r="C252" s="170">
        <f>IFERROR(_xlfn.XLOOKUP(B252,DormRegistry[Dorm Name],DormRegistry[Ownership Type]),"")</f>
        <v/>
      </c>
      <c r="D252" s="170">
        <f>IFERROR(_xlfn.XLOOKUP(B252,DormRegistry[Dorm Name],DormRegistry[Bed Capacity]),0)</f>
        <v/>
      </c>
      <c r="E252" s="130">
        <f>IF(A252="","",$B$6*(1+$B$8)^(YEAR(A252)-YEAR(StartDate)))</f>
        <v/>
      </c>
      <c r="F252" s="105">
        <f>$B$7</f>
        <v/>
      </c>
      <c r="G252" s="105">
        <f>$B$8</f>
        <v/>
      </c>
      <c r="H252" s="130">
        <f>IFERROR(D252*E252,0)</f>
        <v/>
      </c>
      <c r="I252" s="130" t="n"/>
      <c r="J252" s="130">
        <f>IFERROR(D252*F252*E252,0)</f>
        <v/>
      </c>
      <c r="K252" s="104" t="n"/>
      <c r="L252" s="104" t="n"/>
      <c r="M252" s="104" t="n"/>
      <c r="N252" s="104" t="n"/>
      <c r="O252" s="104" t="n"/>
      <c r="P252" s="104" t="n"/>
      <c r="Q252" s="104" t="n"/>
      <c r="R252" s="130">
        <f>IF(C252="Owned",0,IF(B252&lt;&gt;"",2500,0))</f>
        <v/>
      </c>
      <c r="S252" s="130">
        <f>SUM(K252:R252)</f>
        <v/>
      </c>
      <c r="T252" s="130">
        <f>I252-S252</f>
        <v/>
      </c>
      <c r="U252" s="105">
        <f>IFERROR(T252/I252,0)</f>
        <v/>
      </c>
    </row>
    <row r="253" ht="14.25" customHeight="1" s="83">
      <c r="A253" s="125" t="n"/>
      <c r="B253" s="103" t="n"/>
      <c r="C253" s="170">
        <f>IFERROR(_xlfn.XLOOKUP(B253,DormRegistry[Dorm Name],DormRegistry[Ownership Type]),"")</f>
        <v/>
      </c>
      <c r="D253" s="170">
        <f>IFERROR(_xlfn.XLOOKUP(B253,DormRegistry[Dorm Name],DormRegistry[Bed Capacity]),0)</f>
        <v/>
      </c>
      <c r="E253" s="130">
        <f>IF(A253="","",$B$6*(1+$B$8)^(YEAR(A253)-YEAR(StartDate)))</f>
        <v/>
      </c>
      <c r="F253" s="105">
        <f>$B$7</f>
        <v/>
      </c>
      <c r="G253" s="105">
        <f>$B$8</f>
        <v/>
      </c>
      <c r="H253" s="130">
        <f>IFERROR(D253*E253,0)</f>
        <v/>
      </c>
      <c r="I253" s="130" t="n"/>
      <c r="J253" s="130">
        <f>IFERROR(D253*F253*E253,0)</f>
        <v/>
      </c>
      <c r="K253" s="104" t="n"/>
      <c r="L253" s="104" t="n"/>
      <c r="M253" s="104" t="n"/>
      <c r="N253" s="104" t="n"/>
      <c r="O253" s="104" t="n"/>
      <c r="P253" s="104" t="n"/>
      <c r="Q253" s="104" t="n"/>
      <c r="R253" s="130">
        <f>IF(C253="Owned",0,IF(B253&lt;&gt;"",2500,0))</f>
        <v/>
      </c>
      <c r="S253" s="130">
        <f>SUM(K253:R253)</f>
        <v/>
      </c>
      <c r="T253" s="130">
        <f>I253-S253</f>
        <v/>
      </c>
      <c r="U253" s="105">
        <f>IFERROR(T253/I253,0)</f>
        <v/>
      </c>
    </row>
    <row r="254" ht="14.25" customHeight="1" s="83">
      <c r="A254" s="125" t="n"/>
      <c r="B254" s="103" t="n"/>
      <c r="C254" s="170">
        <f>IFERROR(_xlfn.XLOOKUP(B254,DormRegistry[Dorm Name],DormRegistry[Ownership Type]),"")</f>
        <v/>
      </c>
      <c r="D254" s="170">
        <f>IFERROR(_xlfn.XLOOKUP(B254,DormRegistry[Dorm Name],DormRegistry[Bed Capacity]),0)</f>
        <v/>
      </c>
      <c r="E254" s="130">
        <f>IF(A254="","",$B$6*(1+$B$8)^(YEAR(A254)-YEAR(StartDate)))</f>
        <v/>
      </c>
      <c r="F254" s="105">
        <f>$B$7</f>
        <v/>
      </c>
      <c r="G254" s="105">
        <f>$B$8</f>
        <v/>
      </c>
      <c r="H254" s="130">
        <f>IFERROR(D254*E254,0)</f>
        <v/>
      </c>
      <c r="I254" s="130" t="n"/>
      <c r="J254" s="130">
        <f>IFERROR(D254*F254*E254,0)</f>
        <v/>
      </c>
      <c r="K254" s="104" t="n"/>
      <c r="L254" s="104" t="n"/>
      <c r="M254" s="104" t="n"/>
      <c r="N254" s="104" t="n"/>
      <c r="O254" s="104" t="n"/>
      <c r="P254" s="104" t="n"/>
      <c r="Q254" s="104" t="n"/>
      <c r="R254" s="130">
        <f>IF(C254="Owned",0,IF(B254&lt;&gt;"",2500,0))</f>
        <v/>
      </c>
      <c r="S254" s="130">
        <f>SUM(K254:R254)</f>
        <v/>
      </c>
      <c r="T254" s="130">
        <f>I254-S254</f>
        <v/>
      </c>
      <c r="U254" s="105">
        <f>IFERROR(T254/I254,0)</f>
        <v/>
      </c>
    </row>
    <row r="255" ht="14.25" customHeight="1" s="83">
      <c r="A255" s="125" t="n"/>
      <c r="B255" s="103" t="n"/>
      <c r="C255" s="170">
        <f>IFERROR(_xlfn.XLOOKUP(B255,DormRegistry[Dorm Name],DormRegistry[Ownership Type]),"")</f>
        <v/>
      </c>
      <c r="D255" s="170">
        <f>IFERROR(_xlfn.XLOOKUP(B255,DormRegistry[Dorm Name],DormRegistry[Bed Capacity]),0)</f>
        <v/>
      </c>
      <c r="E255" s="130">
        <f>IF(A255="","",$B$6*(1+$B$8)^(YEAR(A255)-YEAR(StartDate)))</f>
        <v/>
      </c>
      <c r="F255" s="105">
        <f>$B$7</f>
        <v/>
      </c>
      <c r="G255" s="105">
        <f>$B$8</f>
        <v/>
      </c>
      <c r="H255" s="130">
        <f>IFERROR(D255*E255,0)</f>
        <v/>
      </c>
      <c r="I255" s="130" t="n"/>
      <c r="J255" s="130">
        <f>IFERROR(D255*F255*E255,0)</f>
        <v/>
      </c>
      <c r="K255" s="104" t="n"/>
      <c r="L255" s="104" t="n"/>
      <c r="M255" s="104" t="n"/>
      <c r="N255" s="104" t="n"/>
      <c r="O255" s="104" t="n"/>
      <c r="P255" s="104" t="n"/>
      <c r="Q255" s="104" t="n"/>
      <c r="R255" s="130">
        <f>IF(C255="Owned",0,IF(B255&lt;&gt;"",2500,0))</f>
        <v/>
      </c>
      <c r="S255" s="130">
        <f>SUM(K255:R255)</f>
        <v/>
      </c>
      <c r="T255" s="130">
        <f>I255-S255</f>
        <v/>
      </c>
      <c r="U255" s="105">
        <f>IFERROR(T255/I255,0)</f>
        <v/>
      </c>
    </row>
    <row r="256" ht="14.25" customHeight="1" s="83">
      <c r="A256" s="125" t="n"/>
      <c r="B256" s="103" t="n"/>
      <c r="C256" s="170">
        <f>IFERROR(_xlfn.XLOOKUP(B256,DormRegistry[Dorm Name],DormRegistry[Ownership Type]),"")</f>
        <v/>
      </c>
      <c r="D256" s="170">
        <f>IFERROR(_xlfn.XLOOKUP(B256,DormRegistry[Dorm Name],DormRegistry[Bed Capacity]),0)</f>
        <v/>
      </c>
      <c r="E256" s="130">
        <f>IF(A256="","",$B$6*(1+$B$8)^(YEAR(A256)-YEAR(StartDate)))</f>
        <v/>
      </c>
      <c r="F256" s="105">
        <f>$B$7</f>
        <v/>
      </c>
      <c r="G256" s="105">
        <f>$B$8</f>
        <v/>
      </c>
      <c r="H256" s="130">
        <f>IFERROR(D256*E256,0)</f>
        <v/>
      </c>
      <c r="I256" s="130" t="n"/>
      <c r="J256" s="130">
        <f>IFERROR(D256*F256*E256,0)</f>
        <v/>
      </c>
      <c r="K256" s="104" t="n"/>
      <c r="L256" s="104" t="n"/>
      <c r="M256" s="104" t="n"/>
      <c r="N256" s="104" t="n"/>
      <c r="O256" s="104" t="n"/>
      <c r="P256" s="104" t="n"/>
      <c r="Q256" s="104" t="n"/>
      <c r="R256" s="130">
        <f>IF(C256="Owned",0,IF(B256&lt;&gt;"",2500,0))</f>
        <v/>
      </c>
      <c r="S256" s="130">
        <f>SUM(K256:R256)</f>
        <v/>
      </c>
      <c r="T256" s="130">
        <f>I256-S256</f>
        <v/>
      </c>
      <c r="U256" s="105">
        <f>IFERROR(T256/I256,0)</f>
        <v/>
      </c>
    </row>
    <row r="257" ht="14.25" customHeight="1" s="83">
      <c r="A257" s="125" t="n"/>
      <c r="B257" s="103" t="n"/>
      <c r="C257" s="170">
        <f>IFERROR(_xlfn.XLOOKUP(B257,DormRegistry[Dorm Name],DormRegistry[Ownership Type]),"")</f>
        <v/>
      </c>
      <c r="D257" s="170">
        <f>IFERROR(_xlfn.XLOOKUP(B257,DormRegistry[Dorm Name],DormRegistry[Bed Capacity]),0)</f>
        <v/>
      </c>
      <c r="E257" s="130">
        <f>IF(A257="","",$B$6*(1+$B$8)^(YEAR(A257)-YEAR(StartDate)))</f>
        <v/>
      </c>
      <c r="F257" s="105">
        <f>$B$7</f>
        <v/>
      </c>
      <c r="G257" s="105">
        <f>$B$8</f>
        <v/>
      </c>
      <c r="H257" s="130">
        <f>IFERROR(D257*E257,0)</f>
        <v/>
      </c>
      <c r="I257" s="130" t="n"/>
      <c r="J257" s="130">
        <f>IFERROR(D257*F257*E257,0)</f>
        <v/>
      </c>
      <c r="K257" s="104" t="n"/>
      <c r="L257" s="104" t="n"/>
      <c r="M257" s="104" t="n"/>
      <c r="N257" s="104" t="n"/>
      <c r="O257" s="104" t="n"/>
      <c r="P257" s="104" t="n"/>
      <c r="Q257" s="104" t="n"/>
      <c r="R257" s="130">
        <f>IF(C257="Owned",0,IF(B257&lt;&gt;"",2500,0))</f>
        <v/>
      </c>
      <c r="S257" s="130">
        <f>SUM(K257:R257)</f>
        <v/>
      </c>
      <c r="T257" s="130">
        <f>I257-S257</f>
        <v/>
      </c>
      <c r="U257" s="105">
        <f>IFERROR(T257/I257,0)</f>
        <v/>
      </c>
    </row>
    <row r="258" ht="14.25" customHeight="1" s="83">
      <c r="A258" s="125" t="n"/>
      <c r="B258" s="103" t="n"/>
      <c r="C258" s="170">
        <f>IFERROR(_xlfn.XLOOKUP(B258,DormRegistry[Dorm Name],DormRegistry[Ownership Type]),"")</f>
        <v/>
      </c>
      <c r="D258" s="170">
        <f>IFERROR(_xlfn.XLOOKUP(B258,DormRegistry[Dorm Name],DormRegistry[Bed Capacity]),0)</f>
        <v/>
      </c>
      <c r="E258" s="130">
        <f>IF(A258="","",$B$6*(1+$B$8)^(YEAR(A258)-YEAR(StartDate)))</f>
        <v/>
      </c>
      <c r="F258" s="105">
        <f>$B$7</f>
        <v/>
      </c>
      <c r="G258" s="105">
        <f>$B$8</f>
        <v/>
      </c>
      <c r="H258" s="130">
        <f>IFERROR(D258*E258,0)</f>
        <v/>
      </c>
      <c r="I258" s="130" t="n"/>
      <c r="J258" s="130">
        <f>IFERROR(D258*F258*E258,0)</f>
        <v/>
      </c>
      <c r="K258" s="104" t="n"/>
      <c r="L258" s="104" t="n"/>
      <c r="M258" s="104" t="n"/>
      <c r="N258" s="104" t="n"/>
      <c r="O258" s="104" t="n"/>
      <c r="P258" s="104" t="n"/>
      <c r="Q258" s="104" t="n"/>
      <c r="R258" s="130">
        <f>IF(C258="Owned",0,IF(B258&lt;&gt;"",2500,0))</f>
        <v/>
      </c>
      <c r="S258" s="130">
        <f>SUM(K258:R258)</f>
        <v/>
      </c>
      <c r="T258" s="130">
        <f>I258-S258</f>
        <v/>
      </c>
      <c r="U258" s="105">
        <f>IFERROR(T258/I258,0)</f>
        <v/>
      </c>
    </row>
    <row r="259" ht="14.25" customHeight="1" s="83">
      <c r="A259" s="125" t="n"/>
      <c r="B259" s="103" t="n"/>
      <c r="C259" s="170">
        <f>IFERROR(_xlfn.XLOOKUP(B259,DormRegistry[Dorm Name],DormRegistry[Ownership Type]),"")</f>
        <v/>
      </c>
      <c r="D259" s="170">
        <f>IFERROR(_xlfn.XLOOKUP(B259,DormRegistry[Dorm Name],DormRegistry[Bed Capacity]),0)</f>
        <v/>
      </c>
      <c r="E259" s="130">
        <f>IF(A259="","",$B$6*(1+$B$8)^(YEAR(A259)-YEAR(StartDate)))</f>
        <v/>
      </c>
      <c r="F259" s="105">
        <f>$B$7</f>
        <v/>
      </c>
      <c r="G259" s="105">
        <f>$B$8</f>
        <v/>
      </c>
      <c r="H259" s="130">
        <f>IFERROR(D259*E259,0)</f>
        <v/>
      </c>
      <c r="I259" s="130" t="n"/>
      <c r="J259" s="130">
        <f>IFERROR(D259*F259*E259,0)</f>
        <v/>
      </c>
      <c r="K259" s="104" t="n"/>
      <c r="L259" s="104" t="n"/>
      <c r="M259" s="104" t="n"/>
      <c r="N259" s="104" t="n"/>
      <c r="O259" s="104" t="n"/>
      <c r="P259" s="104" t="n"/>
      <c r="Q259" s="104" t="n"/>
      <c r="R259" s="130">
        <f>IF(C259="Owned",0,IF(B259&lt;&gt;"",2500,0))</f>
        <v/>
      </c>
      <c r="S259" s="130">
        <f>SUM(K259:R259)</f>
        <v/>
      </c>
      <c r="T259" s="130">
        <f>I259-S259</f>
        <v/>
      </c>
      <c r="U259" s="105">
        <f>IFERROR(T259/I259,0)</f>
        <v/>
      </c>
    </row>
    <row r="260" ht="14.25" customHeight="1" s="83">
      <c r="A260" s="125" t="n"/>
      <c r="B260" s="103" t="n"/>
      <c r="C260" s="170">
        <f>IFERROR(_xlfn.XLOOKUP(B260,DormRegistry[Dorm Name],DormRegistry[Ownership Type]),"")</f>
        <v/>
      </c>
      <c r="D260" s="170">
        <f>IFERROR(_xlfn.XLOOKUP(B260,DormRegistry[Dorm Name],DormRegistry[Bed Capacity]),0)</f>
        <v/>
      </c>
      <c r="E260" s="130">
        <f>IF(A260="","",$B$6*(1+$B$8)^(YEAR(A260)-YEAR(StartDate)))</f>
        <v/>
      </c>
      <c r="F260" s="105">
        <f>$B$7</f>
        <v/>
      </c>
      <c r="G260" s="105">
        <f>$B$8</f>
        <v/>
      </c>
      <c r="H260" s="130">
        <f>IFERROR(D260*E260,0)</f>
        <v/>
      </c>
      <c r="I260" s="130" t="n"/>
      <c r="J260" s="130">
        <f>IFERROR(D260*F260*E260,0)</f>
        <v/>
      </c>
      <c r="K260" s="104" t="n"/>
      <c r="L260" s="104" t="n"/>
      <c r="M260" s="104" t="n"/>
      <c r="N260" s="104" t="n"/>
      <c r="O260" s="104" t="n"/>
      <c r="P260" s="104" t="n"/>
      <c r="Q260" s="104" t="n"/>
      <c r="R260" s="130">
        <f>IF(C260="Owned",0,IF(B260&lt;&gt;"",2500,0))</f>
        <v/>
      </c>
      <c r="S260" s="130">
        <f>SUM(K260:R260)</f>
        <v/>
      </c>
      <c r="T260" s="130">
        <f>I260-S260</f>
        <v/>
      </c>
      <c r="U260" s="105">
        <f>IFERROR(T260/I260,0)</f>
        <v/>
      </c>
    </row>
    <row r="261" ht="14.25" customHeight="1" s="83">
      <c r="A261" s="125" t="n"/>
      <c r="B261" s="103" t="n"/>
      <c r="C261" s="170">
        <f>IFERROR(_xlfn.XLOOKUP(B261,DormRegistry[Dorm Name],DormRegistry[Ownership Type]),"")</f>
        <v/>
      </c>
      <c r="D261" s="170">
        <f>IFERROR(_xlfn.XLOOKUP(B261,DormRegistry[Dorm Name],DormRegistry[Bed Capacity]),0)</f>
        <v/>
      </c>
      <c r="E261" s="130">
        <f>IF(A261="","",$B$6*(1+$B$8)^(YEAR(A261)-YEAR(StartDate)))</f>
        <v/>
      </c>
      <c r="F261" s="105">
        <f>$B$7</f>
        <v/>
      </c>
      <c r="G261" s="105">
        <f>$B$8</f>
        <v/>
      </c>
      <c r="H261" s="130">
        <f>IFERROR(D261*E261,0)</f>
        <v/>
      </c>
      <c r="I261" s="130" t="n"/>
      <c r="J261" s="130">
        <f>IFERROR(D261*F261*E261,0)</f>
        <v/>
      </c>
      <c r="K261" s="104" t="n"/>
      <c r="L261" s="104" t="n"/>
      <c r="M261" s="104" t="n"/>
      <c r="N261" s="104" t="n"/>
      <c r="O261" s="104" t="n"/>
      <c r="P261" s="104" t="n"/>
      <c r="Q261" s="104" t="n"/>
      <c r="R261" s="130">
        <f>IF(C261="Owned",0,IF(B261&lt;&gt;"",2500,0))</f>
        <v/>
      </c>
      <c r="S261" s="130">
        <f>SUM(K261:R261)</f>
        <v/>
      </c>
      <c r="T261" s="130">
        <f>I261-S261</f>
        <v/>
      </c>
      <c r="U261" s="105">
        <f>IFERROR(T261/I261,0)</f>
        <v/>
      </c>
    </row>
    <row r="262" ht="14.25" customHeight="1" s="83">
      <c r="A262" s="125" t="n"/>
      <c r="B262" s="103" t="n"/>
      <c r="C262" s="170">
        <f>IFERROR(_xlfn.XLOOKUP(B262,DormRegistry[Dorm Name],DormRegistry[Ownership Type]),"")</f>
        <v/>
      </c>
      <c r="D262" s="170">
        <f>IFERROR(_xlfn.XLOOKUP(B262,DormRegistry[Dorm Name],DormRegistry[Bed Capacity]),0)</f>
        <v/>
      </c>
      <c r="E262" s="130">
        <f>IF(A262="","",$B$6*(1+$B$8)^(YEAR(A262)-YEAR(StartDate)))</f>
        <v/>
      </c>
      <c r="F262" s="105">
        <f>$B$7</f>
        <v/>
      </c>
      <c r="G262" s="105">
        <f>$B$8</f>
        <v/>
      </c>
      <c r="H262" s="130">
        <f>IFERROR(D262*E262,0)</f>
        <v/>
      </c>
      <c r="I262" s="130" t="n"/>
      <c r="J262" s="130">
        <f>IFERROR(D262*F262*E262,0)</f>
        <v/>
      </c>
      <c r="K262" s="104" t="n"/>
      <c r="L262" s="104" t="n"/>
      <c r="M262" s="104" t="n"/>
      <c r="N262" s="104" t="n"/>
      <c r="O262" s="104" t="n"/>
      <c r="P262" s="104" t="n"/>
      <c r="Q262" s="104" t="n"/>
      <c r="R262" s="130">
        <f>IF(C262="Owned",0,IF(B262&lt;&gt;"",2500,0))</f>
        <v/>
      </c>
      <c r="S262" s="130">
        <f>SUM(K262:R262)</f>
        <v/>
      </c>
      <c r="T262" s="130">
        <f>I262-S262</f>
        <v/>
      </c>
      <c r="U262" s="105">
        <f>IFERROR(T262/I262,0)</f>
        <v/>
      </c>
    </row>
    <row r="263" ht="14.25" customHeight="1" s="83">
      <c r="A263" s="125" t="n"/>
      <c r="B263" s="103" t="n"/>
      <c r="C263" s="170">
        <f>IFERROR(_xlfn.XLOOKUP(B263,DormRegistry[Dorm Name],DormRegistry[Ownership Type]),"")</f>
        <v/>
      </c>
      <c r="D263" s="170">
        <f>IFERROR(_xlfn.XLOOKUP(B263,DormRegistry[Dorm Name],DormRegistry[Bed Capacity]),0)</f>
        <v/>
      </c>
      <c r="E263" s="130">
        <f>IF(A263="","",$B$6*(1+$B$8)^(YEAR(A263)-YEAR(StartDate)))</f>
        <v/>
      </c>
      <c r="F263" s="105">
        <f>$B$7</f>
        <v/>
      </c>
      <c r="G263" s="105">
        <f>$B$8</f>
        <v/>
      </c>
      <c r="H263" s="130">
        <f>IFERROR(D263*E263,0)</f>
        <v/>
      </c>
      <c r="I263" s="130" t="n"/>
      <c r="J263" s="130">
        <f>IFERROR(D263*F263*E263,0)</f>
        <v/>
      </c>
      <c r="K263" s="104" t="n"/>
      <c r="L263" s="104" t="n"/>
      <c r="M263" s="104" t="n"/>
      <c r="N263" s="104" t="n"/>
      <c r="O263" s="104" t="n"/>
      <c r="P263" s="104" t="n"/>
      <c r="Q263" s="104" t="n"/>
      <c r="R263" s="130">
        <f>IF(C263="Owned",0,IF(B263&lt;&gt;"",2500,0))</f>
        <v/>
      </c>
      <c r="S263" s="130">
        <f>SUM(K263:R263)</f>
        <v/>
      </c>
      <c r="T263" s="130">
        <f>I263-S263</f>
        <v/>
      </c>
      <c r="U263" s="105">
        <f>IFERROR(T263/I263,0)</f>
        <v/>
      </c>
    </row>
    <row r="264" ht="14.25" customHeight="1" s="83">
      <c r="A264" s="125" t="n"/>
      <c r="B264" s="103" t="n"/>
      <c r="C264" s="170">
        <f>IFERROR(_xlfn.XLOOKUP(B264,DormRegistry[Dorm Name],DormRegistry[Ownership Type]),"")</f>
        <v/>
      </c>
      <c r="D264" s="170">
        <f>IFERROR(_xlfn.XLOOKUP(B264,DormRegistry[Dorm Name],DormRegistry[Bed Capacity]),0)</f>
        <v/>
      </c>
      <c r="E264" s="130">
        <f>IF(A264="","",$B$6*(1+$B$8)^(YEAR(A264)-YEAR(StartDate)))</f>
        <v/>
      </c>
      <c r="F264" s="105">
        <f>$B$7</f>
        <v/>
      </c>
      <c r="G264" s="105">
        <f>$B$8</f>
        <v/>
      </c>
      <c r="H264" s="130">
        <f>IFERROR(D264*E264,0)</f>
        <v/>
      </c>
      <c r="I264" s="130" t="n"/>
      <c r="J264" s="130">
        <f>IFERROR(D264*F264*E264,0)</f>
        <v/>
      </c>
      <c r="K264" s="104" t="n"/>
      <c r="L264" s="104" t="n"/>
      <c r="M264" s="104" t="n"/>
      <c r="N264" s="104" t="n"/>
      <c r="O264" s="104" t="n"/>
      <c r="P264" s="104" t="n"/>
      <c r="Q264" s="104" t="n"/>
      <c r="R264" s="130">
        <f>IF(C264="Owned",0,IF(B264&lt;&gt;"",2500,0))</f>
        <v/>
      </c>
      <c r="S264" s="130">
        <f>SUM(K264:R264)</f>
        <v/>
      </c>
      <c r="T264" s="130">
        <f>I264-S264</f>
        <v/>
      </c>
      <c r="U264" s="105">
        <f>IFERROR(T264/I264,0)</f>
        <v/>
      </c>
    </row>
    <row r="265" ht="14.25" customHeight="1" s="83">
      <c r="A265" s="125" t="n"/>
      <c r="B265" s="103" t="n"/>
      <c r="C265" s="170">
        <f>IFERROR(_xlfn.XLOOKUP(B265,DormRegistry[Dorm Name],DormRegistry[Ownership Type]),"")</f>
        <v/>
      </c>
      <c r="D265" s="170">
        <f>IFERROR(_xlfn.XLOOKUP(B265,DormRegistry[Dorm Name],DormRegistry[Bed Capacity]),0)</f>
        <v/>
      </c>
      <c r="E265" s="130">
        <f>IF(A265="","",$B$6*(1+$B$8)^(YEAR(A265)-YEAR(StartDate)))</f>
        <v/>
      </c>
      <c r="F265" s="105">
        <f>$B$7</f>
        <v/>
      </c>
      <c r="G265" s="105">
        <f>$B$8</f>
        <v/>
      </c>
      <c r="H265" s="130">
        <f>IFERROR(D265*E265,0)</f>
        <v/>
      </c>
      <c r="I265" s="130" t="n"/>
      <c r="J265" s="130">
        <f>IFERROR(D265*F265*E265,0)</f>
        <v/>
      </c>
      <c r="K265" s="104" t="n"/>
      <c r="L265" s="104" t="n"/>
      <c r="M265" s="104" t="n"/>
      <c r="N265" s="104" t="n"/>
      <c r="O265" s="104" t="n"/>
      <c r="P265" s="104" t="n"/>
      <c r="Q265" s="104" t="n"/>
      <c r="R265" s="130">
        <f>IF(C265="Owned",0,IF(B265&lt;&gt;"",2500,0))</f>
        <v/>
      </c>
      <c r="S265" s="130">
        <f>SUM(K265:R265)</f>
        <v/>
      </c>
      <c r="T265" s="130">
        <f>I265-S265</f>
        <v/>
      </c>
      <c r="U265" s="105">
        <f>IFERROR(T265/I265,0)</f>
        <v/>
      </c>
    </row>
    <row r="266" ht="14.25" customHeight="1" s="83">
      <c r="A266" s="125" t="n"/>
      <c r="B266" s="103" t="n"/>
      <c r="C266" s="170">
        <f>IFERROR(_xlfn.XLOOKUP(B266,DormRegistry[Dorm Name],DormRegistry[Ownership Type]),"")</f>
        <v/>
      </c>
      <c r="D266" s="170">
        <f>IFERROR(_xlfn.XLOOKUP(B266,DormRegistry[Dorm Name],DormRegistry[Bed Capacity]),0)</f>
        <v/>
      </c>
      <c r="E266" s="130">
        <f>IF(A266="","",$B$6*(1+$B$8)^(YEAR(A266)-YEAR(StartDate)))</f>
        <v/>
      </c>
      <c r="F266" s="105">
        <f>$B$7</f>
        <v/>
      </c>
      <c r="G266" s="105">
        <f>$B$8</f>
        <v/>
      </c>
      <c r="H266" s="130">
        <f>IFERROR(D266*E266,0)</f>
        <v/>
      </c>
      <c r="I266" s="130" t="n"/>
      <c r="J266" s="130">
        <f>IFERROR(D266*F266*E266,0)</f>
        <v/>
      </c>
      <c r="K266" s="104" t="n"/>
      <c r="L266" s="104" t="n"/>
      <c r="M266" s="104" t="n"/>
      <c r="N266" s="104" t="n"/>
      <c r="O266" s="104" t="n"/>
      <c r="P266" s="104" t="n"/>
      <c r="Q266" s="104" t="n"/>
      <c r="R266" s="130">
        <f>IF(C266="Owned",0,IF(B266&lt;&gt;"",2500,0))</f>
        <v/>
      </c>
      <c r="S266" s="130">
        <f>SUM(K266:R266)</f>
        <v/>
      </c>
      <c r="T266" s="130">
        <f>I266-S266</f>
        <v/>
      </c>
      <c r="U266" s="105">
        <f>IFERROR(T266/I266,0)</f>
        <v/>
      </c>
    </row>
    <row r="267" ht="14.25" customHeight="1" s="83">
      <c r="A267" s="125" t="n"/>
      <c r="B267" s="103" t="n"/>
      <c r="C267" s="170">
        <f>IFERROR(_xlfn.XLOOKUP(B267,DormRegistry[Dorm Name],DormRegistry[Ownership Type]),"")</f>
        <v/>
      </c>
      <c r="D267" s="170">
        <f>IFERROR(_xlfn.XLOOKUP(B267,DormRegistry[Dorm Name],DormRegistry[Bed Capacity]),0)</f>
        <v/>
      </c>
      <c r="E267" s="130">
        <f>IF(A267="","",$B$6*(1+$B$8)^(YEAR(A267)-YEAR(StartDate)))</f>
        <v/>
      </c>
      <c r="F267" s="105">
        <f>$B$7</f>
        <v/>
      </c>
      <c r="G267" s="105">
        <f>$B$8</f>
        <v/>
      </c>
      <c r="H267" s="130">
        <f>IFERROR(D267*E267,0)</f>
        <v/>
      </c>
      <c r="I267" s="130" t="n"/>
      <c r="J267" s="130">
        <f>IFERROR(D267*F267*E267,0)</f>
        <v/>
      </c>
      <c r="K267" s="104" t="n"/>
      <c r="L267" s="104" t="n"/>
      <c r="M267" s="104" t="n"/>
      <c r="N267" s="104" t="n"/>
      <c r="O267" s="104" t="n"/>
      <c r="P267" s="104" t="n"/>
      <c r="Q267" s="104" t="n"/>
      <c r="R267" s="130">
        <f>IF(C267="Owned",0,IF(B267&lt;&gt;"",2500,0))</f>
        <v/>
      </c>
      <c r="S267" s="130">
        <f>SUM(K267:R267)</f>
        <v/>
      </c>
      <c r="T267" s="130">
        <f>I267-S267</f>
        <v/>
      </c>
      <c r="U267" s="105">
        <f>IFERROR(T267/I267,0)</f>
        <v/>
      </c>
    </row>
    <row r="268" ht="14.25" customHeight="1" s="83">
      <c r="A268" s="125" t="n"/>
      <c r="B268" s="103" t="n"/>
      <c r="C268" s="170">
        <f>IFERROR(_xlfn.XLOOKUP(B268,DormRegistry[Dorm Name],DormRegistry[Ownership Type]),"")</f>
        <v/>
      </c>
      <c r="D268" s="170">
        <f>IFERROR(_xlfn.XLOOKUP(B268,DormRegistry[Dorm Name],DormRegistry[Bed Capacity]),0)</f>
        <v/>
      </c>
      <c r="E268" s="130">
        <f>IF(A268="","",$B$6*(1+$B$8)^(YEAR(A268)-YEAR(StartDate)))</f>
        <v/>
      </c>
      <c r="F268" s="105">
        <f>$B$7</f>
        <v/>
      </c>
      <c r="G268" s="105">
        <f>$B$8</f>
        <v/>
      </c>
      <c r="H268" s="130">
        <f>IFERROR(D268*E268,0)</f>
        <v/>
      </c>
      <c r="I268" s="130" t="n"/>
      <c r="J268" s="130">
        <f>IFERROR(D268*F268*E268,0)</f>
        <v/>
      </c>
      <c r="K268" s="104" t="n"/>
      <c r="L268" s="104" t="n"/>
      <c r="M268" s="104" t="n"/>
      <c r="N268" s="104" t="n"/>
      <c r="O268" s="104" t="n"/>
      <c r="P268" s="104" t="n"/>
      <c r="Q268" s="104" t="n"/>
      <c r="R268" s="130">
        <f>IF(C268="Owned",0,IF(B268&lt;&gt;"",2500,0))</f>
        <v/>
      </c>
      <c r="S268" s="130">
        <f>SUM(K268:R268)</f>
        <v/>
      </c>
      <c r="T268" s="130">
        <f>I268-S268</f>
        <v/>
      </c>
      <c r="U268" s="105">
        <f>IFERROR(T268/I268,0)</f>
        <v/>
      </c>
    </row>
    <row r="269" ht="14.25" customHeight="1" s="83">
      <c r="A269" s="125" t="n"/>
      <c r="B269" s="103" t="n"/>
      <c r="C269" s="170">
        <f>IFERROR(_xlfn.XLOOKUP(B269,DormRegistry[Dorm Name],DormRegistry[Ownership Type]),"")</f>
        <v/>
      </c>
      <c r="D269" s="170">
        <f>IFERROR(_xlfn.XLOOKUP(B269,DormRegistry[Dorm Name],DormRegistry[Bed Capacity]),0)</f>
        <v/>
      </c>
      <c r="E269" s="130">
        <f>IF(A269="","",$B$6*(1+$B$8)^(YEAR(A269)-YEAR(StartDate)))</f>
        <v/>
      </c>
      <c r="F269" s="105">
        <f>$B$7</f>
        <v/>
      </c>
      <c r="G269" s="105">
        <f>$B$8</f>
        <v/>
      </c>
      <c r="H269" s="130">
        <f>IFERROR(D269*E269,0)</f>
        <v/>
      </c>
      <c r="I269" s="130" t="n"/>
      <c r="J269" s="130">
        <f>IFERROR(D269*F269*E269,0)</f>
        <v/>
      </c>
      <c r="K269" s="104" t="n"/>
      <c r="L269" s="104" t="n"/>
      <c r="M269" s="104" t="n"/>
      <c r="N269" s="104" t="n"/>
      <c r="O269" s="104" t="n"/>
      <c r="P269" s="104" t="n"/>
      <c r="Q269" s="104" t="n"/>
      <c r="R269" s="130">
        <f>IF(C269="Owned",0,IF(B269&lt;&gt;"",2500,0))</f>
        <v/>
      </c>
      <c r="S269" s="130">
        <f>SUM(K269:R269)</f>
        <v/>
      </c>
      <c r="T269" s="130">
        <f>I269-S269</f>
        <v/>
      </c>
      <c r="U269" s="105">
        <f>IFERROR(T269/I269,0)</f>
        <v/>
      </c>
    </row>
    <row r="270" ht="14.25" customHeight="1" s="83">
      <c r="A270" s="125" t="n"/>
      <c r="B270" s="103" t="n"/>
      <c r="C270" s="170">
        <f>IFERROR(_xlfn.XLOOKUP(B270,DormRegistry[Dorm Name],DormRegistry[Ownership Type]),"")</f>
        <v/>
      </c>
      <c r="D270" s="170">
        <f>IFERROR(_xlfn.XLOOKUP(B270,DormRegistry[Dorm Name],DormRegistry[Bed Capacity]),0)</f>
        <v/>
      </c>
      <c r="E270" s="130">
        <f>IF(A270="","",$B$6*(1+$B$8)^(YEAR(A270)-YEAR(StartDate)))</f>
        <v/>
      </c>
      <c r="F270" s="105">
        <f>$B$7</f>
        <v/>
      </c>
      <c r="G270" s="105">
        <f>$B$8</f>
        <v/>
      </c>
      <c r="H270" s="130">
        <f>IFERROR(D270*E270,0)</f>
        <v/>
      </c>
      <c r="I270" s="130" t="n"/>
      <c r="J270" s="130">
        <f>IFERROR(D270*F270*E270,0)</f>
        <v/>
      </c>
      <c r="K270" s="104" t="n"/>
      <c r="L270" s="104" t="n"/>
      <c r="M270" s="104" t="n"/>
      <c r="N270" s="104" t="n"/>
      <c r="O270" s="104" t="n"/>
      <c r="P270" s="104" t="n"/>
      <c r="Q270" s="104" t="n"/>
      <c r="R270" s="130">
        <f>IF(C270="Owned",0,IF(B270&lt;&gt;"",2500,0))</f>
        <v/>
      </c>
      <c r="S270" s="130">
        <f>SUM(K270:R270)</f>
        <v/>
      </c>
      <c r="T270" s="130">
        <f>I270-S270</f>
        <v/>
      </c>
      <c r="U270" s="105">
        <f>IFERROR(T270/I270,0)</f>
        <v/>
      </c>
    </row>
    <row r="271" ht="14.25" customHeight="1" s="83">
      <c r="A271" s="125" t="n"/>
      <c r="B271" s="103" t="n"/>
      <c r="C271" s="170">
        <f>IFERROR(_xlfn.XLOOKUP(B271,DormRegistry[Dorm Name],DormRegistry[Ownership Type]),"")</f>
        <v/>
      </c>
      <c r="D271" s="170">
        <f>IFERROR(_xlfn.XLOOKUP(B271,DormRegistry[Dorm Name],DormRegistry[Bed Capacity]),0)</f>
        <v/>
      </c>
      <c r="E271" s="130">
        <f>IF(A271="","",$B$6*(1+$B$8)^(YEAR(A271)-YEAR(StartDate)))</f>
        <v/>
      </c>
      <c r="F271" s="105">
        <f>$B$7</f>
        <v/>
      </c>
      <c r="G271" s="105">
        <f>$B$8</f>
        <v/>
      </c>
      <c r="H271" s="130">
        <f>IFERROR(D271*E271,0)</f>
        <v/>
      </c>
      <c r="I271" s="130" t="n"/>
      <c r="J271" s="130">
        <f>IFERROR(D271*F271*E271,0)</f>
        <v/>
      </c>
      <c r="K271" s="104" t="n"/>
      <c r="L271" s="104" t="n"/>
      <c r="M271" s="104" t="n"/>
      <c r="N271" s="104" t="n"/>
      <c r="O271" s="104" t="n"/>
      <c r="P271" s="104" t="n"/>
      <c r="Q271" s="104" t="n"/>
      <c r="R271" s="130">
        <f>IF(C271="Owned",0,IF(B271&lt;&gt;"",2500,0))</f>
        <v/>
      </c>
      <c r="S271" s="130">
        <f>SUM(K271:R271)</f>
        <v/>
      </c>
      <c r="T271" s="130">
        <f>I271-S271</f>
        <v/>
      </c>
      <c r="U271" s="105">
        <f>IFERROR(T271/I271,0)</f>
        <v/>
      </c>
    </row>
    <row r="272" ht="14.25" customHeight="1" s="83">
      <c r="A272" s="125" t="n"/>
      <c r="B272" s="103" t="n"/>
      <c r="C272" s="170">
        <f>IFERROR(_xlfn.XLOOKUP(B272,DormRegistry[Dorm Name],DormRegistry[Ownership Type]),"")</f>
        <v/>
      </c>
      <c r="D272" s="170">
        <f>IFERROR(_xlfn.XLOOKUP(B272,DormRegistry[Dorm Name],DormRegistry[Bed Capacity]),0)</f>
        <v/>
      </c>
      <c r="E272" s="130">
        <f>IF(A272="","",$B$6*(1+$B$8)^(YEAR(A272)-YEAR(StartDate)))</f>
        <v/>
      </c>
      <c r="F272" s="105">
        <f>$B$7</f>
        <v/>
      </c>
      <c r="G272" s="105">
        <f>$B$8</f>
        <v/>
      </c>
      <c r="H272" s="130">
        <f>IFERROR(D272*E272,0)</f>
        <v/>
      </c>
      <c r="I272" s="130" t="n"/>
      <c r="J272" s="130">
        <f>IFERROR(D272*F272*E272,0)</f>
        <v/>
      </c>
      <c r="K272" s="104" t="n"/>
      <c r="L272" s="104" t="n"/>
      <c r="M272" s="104" t="n"/>
      <c r="N272" s="104" t="n"/>
      <c r="O272" s="104" t="n"/>
      <c r="P272" s="104" t="n"/>
      <c r="Q272" s="104" t="n"/>
      <c r="R272" s="130">
        <f>IF(C272="Owned",0,IF(B272&lt;&gt;"",2500,0))</f>
        <v/>
      </c>
      <c r="S272" s="130">
        <f>SUM(K272:R272)</f>
        <v/>
      </c>
      <c r="T272" s="130">
        <f>I272-S272</f>
        <v/>
      </c>
      <c r="U272" s="105">
        <f>IFERROR(T272/I272,0)</f>
        <v/>
      </c>
    </row>
    <row r="273" ht="14.25" customHeight="1" s="83">
      <c r="A273" s="125" t="n"/>
      <c r="B273" s="103" t="n"/>
      <c r="C273" s="170">
        <f>IFERROR(_xlfn.XLOOKUP(B273,DormRegistry[Dorm Name],DormRegistry[Ownership Type]),"")</f>
        <v/>
      </c>
      <c r="D273" s="170">
        <f>IFERROR(_xlfn.XLOOKUP(B273,DormRegistry[Dorm Name],DormRegistry[Bed Capacity]),0)</f>
        <v/>
      </c>
      <c r="E273" s="130">
        <f>IF(A273="","",$B$6*(1+$B$8)^(YEAR(A273)-YEAR(StartDate)))</f>
        <v/>
      </c>
      <c r="F273" s="105">
        <f>$B$7</f>
        <v/>
      </c>
      <c r="G273" s="105">
        <f>$B$8</f>
        <v/>
      </c>
      <c r="H273" s="130">
        <f>IFERROR(D273*E273,0)</f>
        <v/>
      </c>
      <c r="I273" s="130" t="n"/>
      <c r="J273" s="130">
        <f>IFERROR(D273*F273*E273,0)</f>
        <v/>
      </c>
      <c r="K273" s="104" t="n"/>
      <c r="L273" s="104" t="n"/>
      <c r="M273" s="104" t="n"/>
      <c r="N273" s="104" t="n"/>
      <c r="O273" s="104" t="n"/>
      <c r="P273" s="104" t="n"/>
      <c r="Q273" s="104" t="n"/>
      <c r="R273" s="130">
        <f>IF(C273="Owned",0,IF(B273&lt;&gt;"",2500,0))</f>
        <v/>
      </c>
      <c r="S273" s="130">
        <f>SUM(K273:R273)</f>
        <v/>
      </c>
      <c r="T273" s="130">
        <f>I273-S273</f>
        <v/>
      </c>
      <c r="U273" s="105">
        <f>IFERROR(T273/I273,0)</f>
        <v/>
      </c>
    </row>
    <row r="274" ht="14.25" customHeight="1" s="83">
      <c r="A274" s="125" t="n"/>
      <c r="B274" s="103" t="n"/>
      <c r="C274" s="170">
        <f>IFERROR(_xlfn.XLOOKUP(B274,DormRegistry[Dorm Name],DormRegistry[Ownership Type]),"")</f>
        <v/>
      </c>
      <c r="D274" s="170">
        <f>IFERROR(_xlfn.XLOOKUP(B274,DormRegistry[Dorm Name],DormRegistry[Bed Capacity]),0)</f>
        <v/>
      </c>
      <c r="E274" s="130">
        <f>IF(A274="","",$B$6*(1+$B$8)^(YEAR(A274)-YEAR(StartDate)))</f>
        <v/>
      </c>
      <c r="F274" s="105">
        <f>$B$7</f>
        <v/>
      </c>
      <c r="G274" s="105">
        <f>$B$8</f>
        <v/>
      </c>
      <c r="H274" s="130">
        <f>IFERROR(D274*E274,0)</f>
        <v/>
      </c>
      <c r="I274" s="130" t="n"/>
      <c r="J274" s="130">
        <f>IFERROR(D274*F274*E274,0)</f>
        <v/>
      </c>
      <c r="K274" s="104" t="n"/>
      <c r="L274" s="104" t="n"/>
      <c r="M274" s="104" t="n"/>
      <c r="N274" s="104" t="n"/>
      <c r="O274" s="104" t="n"/>
      <c r="P274" s="104" t="n"/>
      <c r="Q274" s="104" t="n"/>
      <c r="R274" s="130">
        <f>IF(C274="Owned",0,IF(B274&lt;&gt;"",2500,0))</f>
        <v/>
      </c>
      <c r="S274" s="130">
        <f>SUM(K274:R274)</f>
        <v/>
      </c>
      <c r="T274" s="130">
        <f>I274-S274</f>
        <v/>
      </c>
      <c r="U274" s="105">
        <f>IFERROR(T274/I274,0)</f>
        <v/>
      </c>
    </row>
    <row r="275" ht="14.25" customHeight="1" s="83">
      <c r="A275" s="125" t="n"/>
      <c r="B275" s="103" t="n"/>
      <c r="C275" s="170">
        <f>IFERROR(_xlfn.XLOOKUP(B275,DormRegistry[Dorm Name],DormRegistry[Ownership Type]),"")</f>
        <v/>
      </c>
      <c r="D275" s="170">
        <f>IFERROR(_xlfn.XLOOKUP(B275,DormRegistry[Dorm Name],DormRegistry[Bed Capacity]),0)</f>
        <v/>
      </c>
      <c r="E275" s="130">
        <f>IF(A275="","",$B$6*(1+$B$8)^(YEAR(A275)-YEAR(StartDate)))</f>
        <v/>
      </c>
      <c r="F275" s="105">
        <f>$B$7</f>
        <v/>
      </c>
      <c r="G275" s="105">
        <f>$B$8</f>
        <v/>
      </c>
      <c r="H275" s="130">
        <f>IFERROR(D275*E275,0)</f>
        <v/>
      </c>
      <c r="I275" s="130" t="n"/>
      <c r="J275" s="130">
        <f>IFERROR(D275*F275*E275,0)</f>
        <v/>
      </c>
      <c r="K275" s="104" t="n"/>
      <c r="L275" s="104" t="n"/>
      <c r="M275" s="104" t="n"/>
      <c r="N275" s="104" t="n"/>
      <c r="O275" s="104" t="n"/>
      <c r="P275" s="104" t="n"/>
      <c r="Q275" s="104" t="n"/>
      <c r="R275" s="130">
        <f>IF(C275="Owned",0,IF(B275&lt;&gt;"",2500,0))</f>
        <v/>
      </c>
      <c r="S275" s="130">
        <f>SUM(K275:R275)</f>
        <v/>
      </c>
      <c r="T275" s="130">
        <f>I275-S275</f>
        <v/>
      </c>
      <c r="U275" s="105">
        <f>IFERROR(T275/I275,0)</f>
        <v/>
      </c>
    </row>
    <row r="276" ht="14.25" customHeight="1" s="83">
      <c r="A276" s="125" t="n"/>
      <c r="B276" s="103" t="n"/>
      <c r="C276" s="170">
        <f>IFERROR(_xlfn.XLOOKUP(B276,DormRegistry[Dorm Name],DormRegistry[Ownership Type]),"")</f>
        <v/>
      </c>
      <c r="D276" s="170">
        <f>IFERROR(_xlfn.XLOOKUP(B276,DormRegistry[Dorm Name],DormRegistry[Bed Capacity]),0)</f>
        <v/>
      </c>
      <c r="E276" s="130">
        <f>IF(A276="","",$B$6*(1+$B$8)^(YEAR(A276)-YEAR(StartDate)))</f>
        <v/>
      </c>
      <c r="F276" s="105">
        <f>$B$7</f>
        <v/>
      </c>
      <c r="G276" s="105">
        <f>$B$8</f>
        <v/>
      </c>
      <c r="H276" s="130">
        <f>IFERROR(D276*E276,0)</f>
        <v/>
      </c>
      <c r="I276" s="130" t="n"/>
      <c r="J276" s="130">
        <f>IFERROR(D276*F276*E276,0)</f>
        <v/>
      </c>
      <c r="K276" s="104" t="n"/>
      <c r="L276" s="104" t="n"/>
      <c r="M276" s="104" t="n"/>
      <c r="N276" s="104" t="n"/>
      <c r="O276" s="104" t="n"/>
      <c r="P276" s="104" t="n"/>
      <c r="Q276" s="104" t="n"/>
      <c r="R276" s="130">
        <f>IF(C276="Owned",0,IF(B276&lt;&gt;"",2500,0))</f>
        <v/>
      </c>
      <c r="S276" s="130">
        <f>SUM(K276:R276)</f>
        <v/>
      </c>
      <c r="T276" s="130">
        <f>I276-S276</f>
        <v/>
      </c>
      <c r="U276" s="105">
        <f>IFERROR(T276/I276,0)</f>
        <v/>
      </c>
    </row>
    <row r="277" ht="14.25" customHeight="1" s="83">
      <c r="A277" s="125" t="n"/>
      <c r="B277" s="103" t="n"/>
      <c r="C277" s="170">
        <f>IFERROR(_xlfn.XLOOKUP(B277,DormRegistry[Dorm Name],DormRegistry[Ownership Type]),"")</f>
        <v/>
      </c>
      <c r="D277" s="170">
        <f>IFERROR(_xlfn.XLOOKUP(B277,DormRegistry[Dorm Name],DormRegistry[Bed Capacity]),0)</f>
        <v/>
      </c>
      <c r="E277" s="130">
        <f>IF(A277="","",$B$6*(1+$B$8)^(YEAR(A277)-YEAR(StartDate)))</f>
        <v/>
      </c>
      <c r="F277" s="105">
        <f>$B$7</f>
        <v/>
      </c>
      <c r="G277" s="105">
        <f>$B$8</f>
        <v/>
      </c>
      <c r="H277" s="130">
        <f>IFERROR(D277*E277,0)</f>
        <v/>
      </c>
      <c r="I277" s="130" t="n"/>
      <c r="J277" s="130">
        <f>IFERROR(D277*F277*E277,0)</f>
        <v/>
      </c>
      <c r="K277" s="104" t="n"/>
      <c r="L277" s="104" t="n"/>
      <c r="M277" s="104" t="n"/>
      <c r="N277" s="104" t="n"/>
      <c r="O277" s="104" t="n"/>
      <c r="P277" s="104" t="n"/>
      <c r="Q277" s="104" t="n"/>
      <c r="R277" s="130">
        <f>IF(C277="Owned",0,IF(B277&lt;&gt;"",2500,0))</f>
        <v/>
      </c>
      <c r="S277" s="130">
        <f>SUM(K277:R277)</f>
        <v/>
      </c>
      <c r="T277" s="130">
        <f>I277-S277</f>
        <v/>
      </c>
      <c r="U277" s="105">
        <f>IFERROR(T277/I277,0)</f>
        <v/>
      </c>
    </row>
    <row r="278" ht="14.25" customHeight="1" s="83">
      <c r="A278" s="125" t="n"/>
      <c r="B278" s="103" t="n"/>
      <c r="C278" s="170">
        <f>IFERROR(_xlfn.XLOOKUP(B278,DormRegistry[Dorm Name],DormRegistry[Ownership Type]),"")</f>
        <v/>
      </c>
      <c r="D278" s="170">
        <f>IFERROR(_xlfn.XLOOKUP(B278,DormRegistry[Dorm Name],DormRegistry[Bed Capacity]),0)</f>
        <v/>
      </c>
      <c r="E278" s="130">
        <f>IF(A278="","",$B$6*(1+$B$8)^(YEAR(A278)-YEAR(StartDate)))</f>
        <v/>
      </c>
      <c r="F278" s="105">
        <f>$B$7</f>
        <v/>
      </c>
      <c r="G278" s="105">
        <f>$B$8</f>
        <v/>
      </c>
      <c r="H278" s="130">
        <f>IFERROR(D278*E278,0)</f>
        <v/>
      </c>
      <c r="I278" s="130" t="n"/>
      <c r="J278" s="130">
        <f>IFERROR(D278*F278*E278,0)</f>
        <v/>
      </c>
      <c r="K278" s="104" t="n"/>
      <c r="L278" s="104" t="n"/>
      <c r="M278" s="104" t="n"/>
      <c r="N278" s="104" t="n"/>
      <c r="O278" s="104" t="n"/>
      <c r="P278" s="104" t="n"/>
      <c r="Q278" s="104" t="n"/>
      <c r="R278" s="130">
        <f>IF(C278="Owned",0,IF(B278&lt;&gt;"",2500,0))</f>
        <v/>
      </c>
      <c r="S278" s="130">
        <f>SUM(K278:R278)</f>
        <v/>
      </c>
      <c r="T278" s="130">
        <f>I278-S278</f>
        <v/>
      </c>
      <c r="U278" s="105">
        <f>IFERROR(T278/I278,0)</f>
        <v/>
      </c>
    </row>
    <row r="279" ht="14.25" customHeight="1" s="83">
      <c r="A279" s="125" t="n"/>
      <c r="B279" s="103" t="n"/>
      <c r="C279" s="170">
        <f>IFERROR(_xlfn.XLOOKUP(B279,DormRegistry[Dorm Name],DormRegistry[Ownership Type]),"")</f>
        <v/>
      </c>
      <c r="D279" s="170">
        <f>IFERROR(_xlfn.XLOOKUP(B279,DormRegistry[Dorm Name],DormRegistry[Bed Capacity]),0)</f>
        <v/>
      </c>
      <c r="E279" s="130">
        <f>IF(A279="","",$B$6*(1+$B$8)^(YEAR(A279)-YEAR(StartDate)))</f>
        <v/>
      </c>
      <c r="F279" s="105">
        <f>$B$7</f>
        <v/>
      </c>
      <c r="G279" s="105">
        <f>$B$8</f>
        <v/>
      </c>
      <c r="H279" s="130">
        <f>IFERROR(D279*E279,0)</f>
        <v/>
      </c>
      <c r="I279" s="130" t="n"/>
      <c r="J279" s="130">
        <f>IFERROR(D279*F279*E279,0)</f>
        <v/>
      </c>
      <c r="K279" s="104" t="n"/>
      <c r="L279" s="104" t="n"/>
      <c r="M279" s="104" t="n"/>
      <c r="N279" s="104" t="n"/>
      <c r="O279" s="104" t="n"/>
      <c r="P279" s="104" t="n"/>
      <c r="Q279" s="104" t="n"/>
      <c r="R279" s="130">
        <f>IF(C279="Owned",0,IF(B279&lt;&gt;"",2500,0))</f>
        <v/>
      </c>
      <c r="S279" s="130">
        <f>SUM(K279:R279)</f>
        <v/>
      </c>
      <c r="T279" s="130">
        <f>I279-S279</f>
        <v/>
      </c>
      <c r="U279" s="105">
        <f>IFERROR(T279/I279,0)</f>
        <v/>
      </c>
    </row>
    <row r="280" ht="14.25" customHeight="1" s="83">
      <c r="A280" s="125" t="n"/>
      <c r="B280" s="103" t="n"/>
      <c r="C280" s="170">
        <f>IFERROR(_xlfn.XLOOKUP(B280,DormRegistry[Dorm Name],DormRegistry[Ownership Type]),"")</f>
        <v/>
      </c>
      <c r="D280" s="170">
        <f>IFERROR(_xlfn.XLOOKUP(B280,DormRegistry[Dorm Name],DormRegistry[Bed Capacity]),0)</f>
        <v/>
      </c>
      <c r="E280" s="130">
        <f>IF(A280="","",$B$6*(1+$B$8)^(YEAR(A280)-YEAR(StartDate)))</f>
        <v/>
      </c>
      <c r="F280" s="105">
        <f>$B$7</f>
        <v/>
      </c>
      <c r="G280" s="105">
        <f>$B$8</f>
        <v/>
      </c>
      <c r="H280" s="130">
        <f>IFERROR(D280*E280,0)</f>
        <v/>
      </c>
      <c r="I280" s="130" t="n"/>
      <c r="J280" s="130">
        <f>IFERROR(D280*F280*E280,0)</f>
        <v/>
      </c>
      <c r="K280" s="104" t="n"/>
      <c r="L280" s="104" t="n"/>
      <c r="M280" s="104" t="n"/>
      <c r="N280" s="104" t="n"/>
      <c r="O280" s="104" t="n"/>
      <c r="P280" s="104" t="n"/>
      <c r="Q280" s="104" t="n"/>
      <c r="R280" s="130">
        <f>IF(C280="Owned",0,IF(B280&lt;&gt;"",2500,0))</f>
        <v/>
      </c>
      <c r="S280" s="130">
        <f>SUM(K280:R280)</f>
        <v/>
      </c>
      <c r="T280" s="130">
        <f>I280-S280</f>
        <v/>
      </c>
      <c r="U280" s="105">
        <f>IFERROR(T280/I280,0)</f>
        <v/>
      </c>
    </row>
    <row r="281" ht="14.25" customHeight="1" s="83">
      <c r="A281" s="125" t="n"/>
      <c r="B281" s="103" t="n"/>
      <c r="C281" s="170">
        <f>IFERROR(_xlfn.XLOOKUP(B281,DormRegistry[Dorm Name],DormRegistry[Ownership Type]),"")</f>
        <v/>
      </c>
      <c r="D281" s="170">
        <f>IFERROR(_xlfn.XLOOKUP(B281,DormRegistry[Dorm Name],DormRegistry[Bed Capacity]),0)</f>
        <v/>
      </c>
      <c r="E281" s="130">
        <f>IF(A281="","",$B$6*(1+$B$8)^(YEAR(A281)-YEAR(StartDate)))</f>
        <v/>
      </c>
      <c r="F281" s="105">
        <f>$B$7</f>
        <v/>
      </c>
      <c r="G281" s="105">
        <f>$B$8</f>
        <v/>
      </c>
      <c r="H281" s="130">
        <f>IFERROR(D281*E281,0)</f>
        <v/>
      </c>
      <c r="I281" s="130" t="n"/>
      <c r="J281" s="130">
        <f>IFERROR(D281*F281*E281,0)</f>
        <v/>
      </c>
      <c r="K281" s="104" t="n"/>
      <c r="L281" s="104" t="n"/>
      <c r="M281" s="104" t="n"/>
      <c r="N281" s="104" t="n"/>
      <c r="O281" s="104" t="n"/>
      <c r="P281" s="104" t="n"/>
      <c r="Q281" s="104" t="n"/>
      <c r="R281" s="130">
        <f>IF(C281="Owned",0,IF(B281&lt;&gt;"",2500,0))</f>
        <v/>
      </c>
      <c r="S281" s="130">
        <f>SUM(K281:R281)</f>
        <v/>
      </c>
      <c r="T281" s="130">
        <f>I281-S281</f>
        <v/>
      </c>
      <c r="U281" s="105">
        <f>IFERROR(T281/I281,0)</f>
        <v/>
      </c>
    </row>
    <row r="282" ht="14.25" customHeight="1" s="83">
      <c r="A282" s="125" t="n"/>
      <c r="B282" s="103" t="n"/>
      <c r="C282" s="170">
        <f>IFERROR(_xlfn.XLOOKUP(B282,DormRegistry[Dorm Name],DormRegistry[Ownership Type]),"")</f>
        <v/>
      </c>
      <c r="D282" s="170">
        <f>IFERROR(_xlfn.XLOOKUP(B282,DormRegistry[Dorm Name],DormRegistry[Bed Capacity]),0)</f>
        <v/>
      </c>
      <c r="E282" s="130">
        <f>IF(A282="","",$B$6*(1+$B$8)^(YEAR(A282)-YEAR(StartDate)))</f>
        <v/>
      </c>
      <c r="F282" s="105">
        <f>$B$7</f>
        <v/>
      </c>
      <c r="G282" s="105">
        <f>$B$8</f>
        <v/>
      </c>
      <c r="H282" s="130">
        <f>IFERROR(D282*E282,0)</f>
        <v/>
      </c>
      <c r="I282" s="130" t="n"/>
      <c r="J282" s="130">
        <f>IFERROR(D282*F282*E282,0)</f>
        <v/>
      </c>
      <c r="K282" s="104" t="n"/>
      <c r="L282" s="104" t="n"/>
      <c r="M282" s="104" t="n"/>
      <c r="N282" s="104" t="n"/>
      <c r="O282" s="104" t="n"/>
      <c r="P282" s="104" t="n"/>
      <c r="Q282" s="104" t="n"/>
      <c r="R282" s="130">
        <f>IF(C282="Owned",0,IF(B282&lt;&gt;"",2500,0))</f>
        <v/>
      </c>
      <c r="S282" s="130">
        <f>SUM(K282:R282)</f>
        <v/>
      </c>
      <c r="T282" s="130">
        <f>I282-S282</f>
        <v/>
      </c>
      <c r="U282" s="105">
        <f>IFERROR(T282/I282,0)</f>
        <v/>
      </c>
    </row>
    <row r="283" ht="14.25" customHeight="1" s="83">
      <c r="A283" s="125" t="n"/>
      <c r="B283" s="103" t="n"/>
      <c r="C283" s="170">
        <f>IFERROR(_xlfn.XLOOKUP(B283,DormRegistry[Dorm Name],DormRegistry[Ownership Type]),"")</f>
        <v/>
      </c>
      <c r="D283" s="170">
        <f>IFERROR(_xlfn.XLOOKUP(B283,DormRegistry[Dorm Name],DormRegistry[Bed Capacity]),0)</f>
        <v/>
      </c>
      <c r="E283" s="130">
        <f>IF(A283="","",$B$6*(1+$B$8)^(YEAR(A283)-YEAR(StartDate)))</f>
        <v/>
      </c>
      <c r="F283" s="105">
        <f>$B$7</f>
        <v/>
      </c>
      <c r="G283" s="105">
        <f>$B$8</f>
        <v/>
      </c>
      <c r="H283" s="130">
        <f>IFERROR(D283*E283,0)</f>
        <v/>
      </c>
      <c r="I283" s="130" t="n"/>
      <c r="J283" s="130">
        <f>IFERROR(D283*F283*E283,0)</f>
        <v/>
      </c>
      <c r="K283" s="104" t="n"/>
      <c r="L283" s="104" t="n"/>
      <c r="M283" s="104" t="n"/>
      <c r="N283" s="104" t="n"/>
      <c r="O283" s="104" t="n"/>
      <c r="P283" s="104" t="n"/>
      <c r="Q283" s="104" t="n"/>
      <c r="R283" s="130">
        <f>IF(C283="Owned",0,IF(B283&lt;&gt;"",2500,0))</f>
        <v/>
      </c>
      <c r="S283" s="130">
        <f>SUM(K283:R283)</f>
        <v/>
      </c>
      <c r="T283" s="130">
        <f>I283-S283</f>
        <v/>
      </c>
      <c r="U283" s="105">
        <f>IFERROR(T283/I283,0)</f>
        <v/>
      </c>
    </row>
    <row r="284" ht="14.25" customHeight="1" s="83">
      <c r="A284" s="125" t="n"/>
      <c r="B284" s="103" t="n"/>
      <c r="C284" s="170">
        <f>IFERROR(_xlfn.XLOOKUP(B284,DormRegistry[Dorm Name],DormRegistry[Ownership Type]),"")</f>
        <v/>
      </c>
      <c r="D284" s="170">
        <f>IFERROR(_xlfn.XLOOKUP(B284,DormRegistry[Dorm Name],DormRegistry[Bed Capacity]),0)</f>
        <v/>
      </c>
      <c r="E284" s="130">
        <f>IF(A284="","",$B$6*(1+$B$8)^(YEAR(A284)-YEAR(StartDate)))</f>
        <v/>
      </c>
      <c r="F284" s="105">
        <f>$B$7</f>
        <v/>
      </c>
      <c r="G284" s="105">
        <f>$B$8</f>
        <v/>
      </c>
      <c r="H284" s="130">
        <f>IFERROR(D284*E284,0)</f>
        <v/>
      </c>
      <c r="I284" s="130" t="n"/>
      <c r="J284" s="130">
        <f>IFERROR(D284*F284*E284,0)</f>
        <v/>
      </c>
      <c r="K284" s="104" t="n"/>
      <c r="L284" s="104" t="n"/>
      <c r="M284" s="104" t="n"/>
      <c r="N284" s="104" t="n"/>
      <c r="O284" s="104" t="n"/>
      <c r="P284" s="104" t="n"/>
      <c r="Q284" s="104" t="n"/>
      <c r="R284" s="130">
        <f>IF(C284="Owned",0,IF(B284&lt;&gt;"",2500,0))</f>
        <v/>
      </c>
      <c r="S284" s="130">
        <f>SUM(K284:R284)</f>
        <v/>
      </c>
      <c r="T284" s="130">
        <f>I284-S284</f>
        <v/>
      </c>
      <c r="U284" s="105">
        <f>IFERROR(T284/I284,0)</f>
        <v/>
      </c>
    </row>
    <row r="285" ht="14.25" customHeight="1" s="83">
      <c r="A285" s="125" t="n"/>
      <c r="B285" s="103" t="n"/>
      <c r="C285" s="170">
        <f>IFERROR(_xlfn.XLOOKUP(B285,DormRegistry[Dorm Name],DormRegistry[Ownership Type]),"")</f>
        <v/>
      </c>
      <c r="D285" s="170">
        <f>IFERROR(_xlfn.XLOOKUP(B285,DormRegistry[Dorm Name],DormRegistry[Bed Capacity]),0)</f>
        <v/>
      </c>
      <c r="E285" s="130">
        <f>IF(A285="","",$B$6*(1+$B$8)^(YEAR(A285)-YEAR(StartDate)))</f>
        <v/>
      </c>
      <c r="F285" s="105">
        <f>$B$7</f>
        <v/>
      </c>
      <c r="G285" s="105">
        <f>$B$8</f>
        <v/>
      </c>
      <c r="H285" s="130">
        <f>IFERROR(D285*E285,0)</f>
        <v/>
      </c>
      <c r="I285" s="130" t="n"/>
      <c r="J285" s="130">
        <f>IFERROR(D285*F285*E285,0)</f>
        <v/>
      </c>
      <c r="K285" s="104" t="n"/>
      <c r="L285" s="104" t="n"/>
      <c r="M285" s="104" t="n"/>
      <c r="N285" s="104" t="n"/>
      <c r="O285" s="104" t="n"/>
      <c r="P285" s="104" t="n"/>
      <c r="Q285" s="104" t="n"/>
      <c r="R285" s="130">
        <f>IF(C285="Owned",0,IF(B285&lt;&gt;"",2500,0))</f>
        <v/>
      </c>
      <c r="S285" s="130">
        <f>SUM(K285:R285)</f>
        <v/>
      </c>
      <c r="T285" s="130">
        <f>I285-S285</f>
        <v/>
      </c>
      <c r="U285" s="105">
        <f>IFERROR(T285/I285,0)</f>
        <v/>
      </c>
    </row>
    <row r="286" ht="14.25" customHeight="1" s="83">
      <c r="A286" s="125" t="n"/>
      <c r="B286" s="103" t="n"/>
      <c r="C286" s="170">
        <f>IFERROR(_xlfn.XLOOKUP(B286,DormRegistry[Dorm Name],DormRegistry[Ownership Type]),"")</f>
        <v/>
      </c>
      <c r="D286" s="170">
        <f>IFERROR(_xlfn.XLOOKUP(B286,DormRegistry[Dorm Name],DormRegistry[Bed Capacity]),0)</f>
        <v/>
      </c>
      <c r="E286" s="130">
        <f>IF(A286="","",$B$6*(1+$B$8)^(YEAR(A286)-YEAR(StartDate)))</f>
        <v/>
      </c>
      <c r="F286" s="105">
        <f>$B$7</f>
        <v/>
      </c>
      <c r="G286" s="105">
        <f>$B$8</f>
        <v/>
      </c>
      <c r="H286" s="130">
        <f>IFERROR(D286*E286,0)</f>
        <v/>
      </c>
      <c r="I286" s="130" t="n"/>
      <c r="J286" s="130">
        <f>IFERROR(D286*F286*E286,0)</f>
        <v/>
      </c>
      <c r="K286" s="104" t="n"/>
      <c r="L286" s="104" t="n"/>
      <c r="M286" s="104" t="n"/>
      <c r="N286" s="104" t="n"/>
      <c r="O286" s="104" t="n"/>
      <c r="P286" s="104" t="n"/>
      <c r="Q286" s="104" t="n"/>
      <c r="R286" s="130">
        <f>IF(C286="Owned",0,IF(B286&lt;&gt;"",2500,0))</f>
        <v/>
      </c>
      <c r="S286" s="130">
        <f>SUM(K286:R286)</f>
        <v/>
      </c>
      <c r="T286" s="130">
        <f>I286-S286</f>
        <v/>
      </c>
      <c r="U286" s="105">
        <f>IFERROR(T286/I286,0)</f>
        <v/>
      </c>
    </row>
    <row r="287" ht="14.25" customHeight="1" s="83">
      <c r="A287" s="125" t="n"/>
      <c r="B287" s="103" t="n"/>
      <c r="C287" s="170">
        <f>IFERROR(_xlfn.XLOOKUP(B287,DormRegistry[Dorm Name],DormRegistry[Ownership Type]),"")</f>
        <v/>
      </c>
      <c r="D287" s="170">
        <f>IFERROR(_xlfn.XLOOKUP(B287,DormRegistry[Dorm Name],DormRegistry[Bed Capacity]),0)</f>
        <v/>
      </c>
      <c r="E287" s="130">
        <f>IF(A287="","",$B$6*(1+$B$8)^(YEAR(A287)-YEAR(StartDate)))</f>
        <v/>
      </c>
      <c r="F287" s="105">
        <f>$B$7</f>
        <v/>
      </c>
      <c r="G287" s="105">
        <f>$B$8</f>
        <v/>
      </c>
      <c r="H287" s="130">
        <f>IFERROR(D287*E287,0)</f>
        <v/>
      </c>
      <c r="I287" s="130" t="n"/>
      <c r="J287" s="130">
        <f>IFERROR(D287*F287*E287,0)</f>
        <v/>
      </c>
      <c r="K287" s="104" t="n"/>
      <c r="L287" s="104" t="n"/>
      <c r="M287" s="104" t="n"/>
      <c r="N287" s="104" t="n"/>
      <c r="O287" s="104" t="n"/>
      <c r="P287" s="104" t="n"/>
      <c r="Q287" s="104" t="n"/>
      <c r="R287" s="130">
        <f>IF(C287="Owned",0,IF(B287&lt;&gt;"",2500,0))</f>
        <v/>
      </c>
      <c r="S287" s="130">
        <f>SUM(K287:R287)</f>
        <v/>
      </c>
      <c r="T287" s="130">
        <f>I287-S287</f>
        <v/>
      </c>
      <c r="U287" s="105">
        <f>IFERROR(T287/I287,0)</f>
        <v/>
      </c>
    </row>
    <row r="288" ht="14.25" customHeight="1" s="83">
      <c r="A288" s="125" t="n"/>
      <c r="B288" s="103" t="n"/>
      <c r="C288" s="170">
        <f>IFERROR(_xlfn.XLOOKUP(B288,DormRegistry[Dorm Name],DormRegistry[Ownership Type]),"")</f>
        <v/>
      </c>
      <c r="D288" s="170">
        <f>IFERROR(_xlfn.XLOOKUP(B288,DormRegistry[Dorm Name],DormRegistry[Bed Capacity]),0)</f>
        <v/>
      </c>
      <c r="E288" s="130">
        <f>IF(A288="","",$B$6*(1+$B$8)^(YEAR(A288)-YEAR(StartDate)))</f>
        <v/>
      </c>
      <c r="F288" s="105">
        <f>$B$7</f>
        <v/>
      </c>
      <c r="G288" s="105">
        <f>$B$8</f>
        <v/>
      </c>
      <c r="H288" s="130">
        <f>IFERROR(D288*E288,0)</f>
        <v/>
      </c>
      <c r="I288" s="130" t="n"/>
      <c r="J288" s="130">
        <f>IFERROR(D288*F288*E288,0)</f>
        <v/>
      </c>
      <c r="K288" s="104" t="n"/>
      <c r="L288" s="104" t="n"/>
      <c r="M288" s="104" t="n"/>
      <c r="N288" s="104" t="n"/>
      <c r="O288" s="104" t="n"/>
      <c r="P288" s="104" t="n"/>
      <c r="Q288" s="104" t="n"/>
      <c r="R288" s="130">
        <f>IF(C288="Owned",0,IF(B288&lt;&gt;"",2500,0))</f>
        <v/>
      </c>
      <c r="S288" s="130">
        <f>SUM(K288:R288)</f>
        <v/>
      </c>
      <c r="T288" s="130">
        <f>I288-S288</f>
        <v/>
      </c>
      <c r="U288" s="105">
        <f>IFERROR(T288/I288,0)</f>
        <v/>
      </c>
    </row>
    <row r="289" ht="14.25" customHeight="1" s="83">
      <c r="A289" s="125" t="n"/>
      <c r="B289" s="103" t="n"/>
      <c r="C289" s="170">
        <f>IFERROR(_xlfn.XLOOKUP(B289,DormRegistry[Dorm Name],DormRegistry[Ownership Type]),"")</f>
        <v/>
      </c>
      <c r="D289" s="170">
        <f>IFERROR(_xlfn.XLOOKUP(B289,DormRegistry[Dorm Name],DormRegistry[Bed Capacity]),0)</f>
        <v/>
      </c>
      <c r="E289" s="130">
        <f>IF(A289="","",$B$6*(1+$B$8)^(YEAR(A289)-YEAR(StartDate)))</f>
        <v/>
      </c>
      <c r="F289" s="105">
        <f>$B$7</f>
        <v/>
      </c>
      <c r="G289" s="105">
        <f>$B$8</f>
        <v/>
      </c>
      <c r="H289" s="130">
        <f>IFERROR(D289*E289,0)</f>
        <v/>
      </c>
      <c r="I289" s="130" t="n"/>
      <c r="J289" s="130">
        <f>IFERROR(D289*F289*E289,0)</f>
        <v/>
      </c>
      <c r="K289" s="104" t="n"/>
      <c r="L289" s="104" t="n"/>
      <c r="M289" s="104" t="n"/>
      <c r="N289" s="104" t="n"/>
      <c r="O289" s="104" t="n"/>
      <c r="P289" s="104" t="n"/>
      <c r="Q289" s="104" t="n"/>
      <c r="R289" s="130">
        <f>IF(C289="Owned",0,IF(B289&lt;&gt;"",2500,0))</f>
        <v/>
      </c>
      <c r="S289" s="130">
        <f>SUM(K289:R289)</f>
        <v/>
      </c>
      <c r="T289" s="130">
        <f>I289-S289</f>
        <v/>
      </c>
      <c r="U289" s="105">
        <f>IFERROR(T289/I289,0)</f>
        <v/>
      </c>
    </row>
    <row r="290" ht="14.25" customHeight="1" s="83">
      <c r="A290" s="125" t="n"/>
      <c r="B290" s="103" t="n"/>
      <c r="C290" s="170">
        <f>IFERROR(_xlfn.XLOOKUP(B290,DormRegistry[Dorm Name],DormRegistry[Ownership Type]),"")</f>
        <v/>
      </c>
      <c r="D290" s="170">
        <f>IFERROR(_xlfn.XLOOKUP(B290,DormRegistry[Dorm Name],DormRegistry[Bed Capacity]),0)</f>
        <v/>
      </c>
      <c r="E290" s="130">
        <f>IF(A290="","",$B$6*(1+$B$8)^(YEAR(A290)-YEAR(StartDate)))</f>
        <v/>
      </c>
      <c r="F290" s="105">
        <f>$B$7</f>
        <v/>
      </c>
      <c r="G290" s="105">
        <f>$B$8</f>
        <v/>
      </c>
      <c r="H290" s="130">
        <f>IFERROR(D290*E290,0)</f>
        <v/>
      </c>
      <c r="I290" s="130" t="n"/>
      <c r="J290" s="130">
        <f>IFERROR(D290*F290*E290,0)</f>
        <v/>
      </c>
      <c r="K290" s="104" t="n"/>
      <c r="L290" s="104" t="n"/>
      <c r="M290" s="104" t="n"/>
      <c r="N290" s="104" t="n"/>
      <c r="O290" s="104" t="n"/>
      <c r="P290" s="104" t="n"/>
      <c r="Q290" s="104" t="n"/>
      <c r="R290" s="130">
        <f>IF(C290="Owned",0,IF(B290&lt;&gt;"",2500,0))</f>
        <v/>
      </c>
      <c r="S290" s="130">
        <f>SUM(K290:R290)</f>
        <v/>
      </c>
      <c r="T290" s="130">
        <f>I290-S290</f>
        <v/>
      </c>
      <c r="U290" s="105">
        <f>IFERROR(T290/I290,0)</f>
        <v/>
      </c>
    </row>
    <row r="291" ht="14.25" customHeight="1" s="83">
      <c r="A291" s="125" t="n"/>
      <c r="B291" s="103" t="n"/>
      <c r="C291" s="170">
        <f>IFERROR(_xlfn.XLOOKUP(B291,DormRegistry[Dorm Name],DormRegistry[Ownership Type]),"")</f>
        <v/>
      </c>
      <c r="D291" s="170">
        <f>IFERROR(_xlfn.XLOOKUP(B291,DormRegistry[Dorm Name],DormRegistry[Bed Capacity]),0)</f>
        <v/>
      </c>
      <c r="E291" s="130">
        <f>IF(A291="","",$B$6*(1+$B$8)^(YEAR(A291)-YEAR(StartDate)))</f>
        <v/>
      </c>
      <c r="F291" s="105">
        <f>$B$7</f>
        <v/>
      </c>
      <c r="G291" s="105">
        <f>$B$8</f>
        <v/>
      </c>
      <c r="H291" s="130">
        <f>IFERROR(D291*E291,0)</f>
        <v/>
      </c>
      <c r="I291" s="130" t="n"/>
      <c r="J291" s="130">
        <f>IFERROR(D291*F291*E291,0)</f>
        <v/>
      </c>
      <c r="K291" s="104" t="n"/>
      <c r="L291" s="104" t="n"/>
      <c r="M291" s="104" t="n"/>
      <c r="N291" s="104" t="n"/>
      <c r="O291" s="104" t="n"/>
      <c r="P291" s="104" t="n"/>
      <c r="Q291" s="104" t="n"/>
      <c r="R291" s="130">
        <f>IF(C291="Owned",0,IF(B291&lt;&gt;"",2500,0))</f>
        <v/>
      </c>
      <c r="S291" s="130">
        <f>SUM(K291:R291)</f>
        <v/>
      </c>
      <c r="T291" s="130">
        <f>I291-S291</f>
        <v/>
      </c>
      <c r="U291" s="105">
        <f>IFERROR(T291/I291,0)</f>
        <v/>
      </c>
    </row>
    <row r="292" ht="14.25" customHeight="1" s="83">
      <c r="A292" s="125" t="n"/>
      <c r="B292" s="103" t="n"/>
      <c r="C292" s="170">
        <f>IFERROR(_xlfn.XLOOKUP(B292,DormRegistry[Dorm Name],DormRegistry[Ownership Type]),"")</f>
        <v/>
      </c>
      <c r="D292" s="170">
        <f>IFERROR(_xlfn.XLOOKUP(B292,DormRegistry[Dorm Name],DormRegistry[Bed Capacity]),0)</f>
        <v/>
      </c>
      <c r="E292" s="130">
        <f>IF(A292="","",$B$6*(1+$B$8)^(YEAR(A292)-YEAR(StartDate)))</f>
        <v/>
      </c>
      <c r="F292" s="105">
        <f>$B$7</f>
        <v/>
      </c>
      <c r="G292" s="105">
        <f>$B$8</f>
        <v/>
      </c>
      <c r="H292" s="130">
        <f>IFERROR(D292*E292,0)</f>
        <v/>
      </c>
      <c r="I292" s="130" t="n"/>
      <c r="J292" s="130">
        <f>IFERROR(D292*F292*E292,0)</f>
        <v/>
      </c>
      <c r="K292" s="104" t="n"/>
      <c r="L292" s="104" t="n"/>
      <c r="M292" s="104" t="n"/>
      <c r="N292" s="104" t="n"/>
      <c r="O292" s="104" t="n"/>
      <c r="P292" s="104" t="n"/>
      <c r="Q292" s="104" t="n"/>
      <c r="R292" s="130">
        <f>IF(C292="Owned",0,IF(B292&lt;&gt;"",2500,0))</f>
        <v/>
      </c>
      <c r="S292" s="130">
        <f>SUM(K292:R292)</f>
        <v/>
      </c>
      <c r="T292" s="130">
        <f>I292-S292</f>
        <v/>
      </c>
      <c r="U292" s="105">
        <f>IFERROR(T292/I292,0)</f>
        <v/>
      </c>
    </row>
    <row r="293" ht="14.25" customHeight="1" s="83">
      <c r="A293" s="125" t="n"/>
      <c r="B293" s="103" t="n"/>
      <c r="C293" s="170">
        <f>IFERROR(_xlfn.XLOOKUP(B293,DormRegistry[Dorm Name],DormRegistry[Ownership Type]),"")</f>
        <v/>
      </c>
      <c r="D293" s="170">
        <f>IFERROR(_xlfn.XLOOKUP(B293,DormRegistry[Dorm Name],DormRegistry[Bed Capacity]),0)</f>
        <v/>
      </c>
      <c r="E293" s="130">
        <f>IF(A293="","",$B$6*(1+$B$8)^(YEAR(A293)-YEAR(StartDate)))</f>
        <v/>
      </c>
      <c r="F293" s="105">
        <f>$B$7</f>
        <v/>
      </c>
      <c r="G293" s="105">
        <f>$B$8</f>
        <v/>
      </c>
      <c r="H293" s="130">
        <f>IFERROR(D293*E293,0)</f>
        <v/>
      </c>
      <c r="I293" s="130" t="n"/>
      <c r="J293" s="130">
        <f>IFERROR(D293*F293*E293,0)</f>
        <v/>
      </c>
      <c r="K293" s="104" t="n"/>
      <c r="L293" s="104" t="n"/>
      <c r="M293" s="104" t="n"/>
      <c r="N293" s="104" t="n"/>
      <c r="O293" s="104" t="n"/>
      <c r="P293" s="104" t="n"/>
      <c r="Q293" s="104" t="n"/>
      <c r="R293" s="130">
        <f>IF(C293="Owned",0,IF(B293&lt;&gt;"",2500,0))</f>
        <v/>
      </c>
      <c r="S293" s="130">
        <f>SUM(K293:R293)</f>
        <v/>
      </c>
      <c r="T293" s="130">
        <f>I293-S293</f>
        <v/>
      </c>
      <c r="U293" s="105">
        <f>IFERROR(T293/I293,0)</f>
        <v/>
      </c>
    </row>
    <row r="294" ht="14.25" customHeight="1" s="83">
      <c r="A294" s="125" t="n"/>
      <c r="B294" s="103" t="n"/>
      <c r="C294" s="170">
        <f>IFERROR(_xlfn.XLOOKUP(B294,DormRegistry[Dorm Name],DormRegistry[Ownership Type]),"")</f>
        <v/>
      </c>
      <c r="D294" s="170">
        <f>IFERROR(_xlfn.XLOOKUP(B294,DormRegistry[Dorm Name],DormRegistry[Bed Capacity]),0)</f>
        <v/>
      </c>
      <c r="E294" s="130">
        <f>IF(A294="","",$B$6*(1+$B$8)^(YEAR(A294)-YEAR(StartDate)))</f>
        <v/>
      </c>
      <c r="F294" s="105">
        <f>$B$7</f>
        <v/>
      </c>
      <c r="G294" s="105">
        <f>$B$8</f>
        <v/>
      </c>
      <c r="H294" s="130">
        <f>IFERROR(D294*E294,0)</f>
        <v/>
      </c>
      <c r="I294" s="130" t="n"/>
      <c r="J294" s="130">
        <f>IFERROR(D294*F294*E294,0)</f>
        <v/>
      </c>
      <c r="K294" s="104" t="n"/>
      <c r="L294" s="104" t="n"/>
      <c r="M294" s="104" t="n"/>
      <c r="N294" s="104" t="n"/>
      <c r="O294" s="104" t="n"/>
      <c r="P294" s="104" t="n"/>
      <c r="Q294" s="104" t="n"/>
      <c r="R294" s="130">
        <f>IF(C294="Owned",0,IF(B294&lt;&gt;"",2500,0))</f>
        <v/>
      </c>
      <c r="S294" s="130">
        <f>SUM(K294:R294)</f>
        <v/>
      </c>
      <c r="T294" s="130">
        <f>I294-S294</f>
        <v/>
      </c>
      <c r="U294" s="105">
        <f>IFERROR(T294/I294,0)</f>
        <v/>
      </c>
    </row>
    <row r="295" ht="14.25" customHeight="1" s="83">
      <c r="A295" s="125" t="n"/>
      <c r="B295" s="103" t="n"/>
      <c r="C295" s="170">
        <f>IFERROR(_xlfn.XLOOKUP(B295,DormRegistry[Dorm Name],DormRegistry[Ownership Type]),"")</f>
        <v/>
      </c>
      <c r="D295" s="170">
        <f>IFERROR(_xlfn.XLOOKUP(B295,DormRegistry[Dorm Name],DormRegistry[Bed Capacity]),0)</f>
        <v/>
      </c>
      <c r="E295" s="130">
        <f>IF(A295="","",$B$6*(1+$B$8)^(YEAR(A295)-YEAR(StartDate)))</f>
        <v/>
      </c>
      <c r="F295" s="105">
        <f>$B$7</f>
        <v/>
      </c>
      <c r="G295" s="105">
        <f>$B$8</f>
        <v/>
      </c>
      <c r="H295" s="130">
        <f>IFERROR(D295*E295,0)</f>
        <v/>
      </c>
      <c r="I295" s="130" t="n"/>
      <c r="J295" s="130">
        <f>IFERROR(D295*F295*E295,0)</f>
        <v/>
      </c>
      <c r="K295" s="104" t="n"/>
      <c r="L295" s="104" t="n"/>
      <c r="M295" s="104" t="n"/>
      <c r="N295" s="104" t="n"/>
      <c r="O295" s="104" t="n"/>
      <c r="P295" s="104" t="n"/>
      <c r="Q295" s="104" t="n"/>
      <c r="R295" s="130">
        <f>IF(C295="Owned",0,IF(B295&lt;&gt;"",2500,0))</f>
        <v/>
      </c>
      <c r="S295" s="130">
        <f>SUM(K295:R295)</f>
        <v/>
      </c>
      <c r="T295" s="130">
        <f>I295-S295</f>
        <v/>
      </c>
      <c r="U295" s="105">
        <f>IFERROR(T295/I295,0)</f>
        <v/>
      </c>
    </row>
    <row r="296" ht="14.25" customHeight="1" s="83">
      <c r="A296" s="125" t="n"/>
      <c r="B296" s="103" t="n"/>
      <c r="C296" s="170">
        <f>IFERROR(_xlfn.XLOOKUP(B296,DormRegistry[Dorm Name],DormRegistry[Ownership Type]),"")</f>
        <v/>
      </c>
      <c r="D296" s="170">
        <f>IFERROR(_xlfn.XLOOKUP(B296,DormRegistry[Dorm Name],DormRegistry[Bed Capacity]),0)</f>
        <v/>
      </c>
      <c r="E296" s="130">
        <f>IF(A296="","",$B$6*(1+$B$8)^(YEAR(A296)-YEAR(StartDate)))</f>
        <v/>
      </c>
      <c r="F296" s="105">
        <f>$B$7</f>
        <v/>
      </c>
      <c r="G296" s="105">
        <f>$B$8</f>
        <v/>
      </c>
      <c r="H296" s="130">
        <f>IFERROR(D296*E296,0)</f>
        <v/>
      </c>
      <c r="I296" s="130" t="n"/>
      <c r="J296" s="130">
        <f>IFERROR(D296*F296*E296,0)</f>
        <v/>
      </c>
      <c r="K296" s="104" t="n"/>
      <c r="L296" s="104" t="n"/>
      <c r="M296" s="104" t="n"/>
      <c r="N296" s="104" t="n"/>
      <c r="O296" s="104" t="n"/>
      <c r="P296" s="104" t="n"/>
      <c r="Q296" s="104" t="n"/>
      <c r="R296" s="130">
        <f>IF(C296="Owned",0,IF(B296&lt;&gt;"",2500,0))</f>
        <v/>
      </c>
      <c r="S296" s="130">
        <f>SUM(K296:R296)</f>
        <v/>
      </c>
      <c r="T296" s="130">
        <f>I296-S296</f>
        <v/>
      </c>
      <c r="U296" s="105">
        <f>IFERROR(T296/I296,0)</f>
        <v/>
      </c>
    </row>
    <row r="297" ht="14.25" customHeight="1" s="83">
      <c r="A297" s="125" t="n"/>
      <c r="B297" s="103" t="n"/>
      <c r="C297" s="170">
        <f>IFERROR(_xlfn.XLOOKUP(B297,DormRegistry[Dorm Name],DormRegistry[Ownership Type]),"")</f>
        <v/>
      </c>
      <c r="D297" s="170">
        <f>IFERROR(_xlfn.XLOOKUP(B297,DormRegistry[Dorm Name],DormRegistry[Bed Capacity]),0)</f>
        <v/>
      </c>
      <c r="E297" s="130">
        <f>IF(A297="","",$B$6*(1+$B$8)^(YEAR(A297)-YEAR(StartDate)))</f>
        <v/>
      </c>
      <c r="F297" s="105">
        <f>$B$7</f>
        <v/>
      </c>
      <c r="G297" s="105">
        <f>$B$8</f>
        <v/>
      </c>
      <c r="H297" s="130">
        <f>IFERROR(D297*E297,0)</f>
        <v/>
      </c>
      <c r="I297" s="130" t="n"/>
      <c r="J297" s="130">
        <f>IFERROR(D297*F297*E297,0)</f>
        <v/>
      </c>
      <c r="K297" s="104" t="n"/>
      <c r="L297" s="104" t="n"/>
      <c r="M297" s="104" t="n"/>
      <c r="N297" s="104" t="n"/>
      <c r="O297" s="104" t="n"/>
      <c r="P297" s="104" t="n"/>
      <c r="Q297" s="104" t="n"/>
      <c r="R297" s="130">
        <f>IF(C297="Owned",0,IF(B297&lt;&gt;"",2500,0))</f>
        <v/>
      </c>
      <c r="S297" s="130">
        <f>SUM(K297:R297)</f>
        <v/>
      </c>
      <c r="T297" s="130">
        <f>I297-S297</f>
        <v/>
      </c>
      <c r="U297" s="105">
        <f>IFERROR(T297/I297,0)</f>
        <v/>
      </c>
    </row>
    <row r="298" ht="14.25" customHeight="1" s="83">
      <c r="A298" s="125" t="n"/>
      <c r="B298" s="103" t="n"/>
      <c r="C298" s="170">
        <f>IFERROR(_xlfn.XLOOKUP(B298,DormRegistry[Dorm Name],DormRegistry[Ownership Type]),"")</f>
        <v/>
      </c>
      <c r="D298" s="170">
        <f>IFERROR(_xlfn.XLOOKUP(B298,DormRegistry[Dorm Name],DormRegistry[Bed Capacity]),0)</f>
        <v/>
      </c>
      <c r="E298" s="130">
        <f>IF(A298="","",$B$6*(1+$B$8)^(YEAR(A298)-YEAR(StartDate)))</f>
        <v/>
      </c>
      <c r="F298" s="105">
        <f>$B$7</f>
        <v/>
      </c>
      <c r="G298" s="105">
        <f>$B$8</f>
        <v/>
      </c>
      <c r="H298" s="130">
        <f>IFERROR(D298*E298,0)</f>
        <v/>
      </c>
      <c r="I298" s="130" t="n"/>
      <c r="J298" s="130">
        <f>IFERROR(D298*F298*E298,0)</f>
        <v/>
      </c>
      <c r="K298" s="104" t="n"/>
      <c r="L298" s="104" t="n"/>
      <c r="M298" s="104" t="n"/>
      <c r="N298" s="104" t="n"/>
      <c r="O298" s="104" t="n"/>
      <c r="P298" s="104" t="n"/>
      <c r="Q298" s="104" t="n"/>
      <c r="R298" s="130">
        <f>IF(C298="Owned",0,IF(B298&lt;&gt;"",2500,0))</f>
        <v/>
      </c>
      <c r="S298" s="130">
        <f>SUM(K298:R298)</f>
        <v/>
      </c>
      <c r="T298" s="130">
        <f>I298-S298</f>
        <v/>
      </c>
      <c r="U298" s="105">
        <f>IFERROR(T298/I298,0)</f>
        <v/>
      </c>
    </row>
    <row r="299" ht="14.25" customHeight="1" s="83">
      <c r="A299" s="125" t="n"/>
      <c r="B299" s="103" t="n"/>
      <c r="C299" s="170">
        <f>IFERROR(_xlfn.XLOOKUP(B299,DormRegistry[Dorm Name],DormRegistry[Ownership Type]),"")</f>
        <v/>
      </c>
      <c r="D299" s="170">
        <f>IFERROR(_xlfn.XLOOKUP(B299,DormRegistry[Dorm Name],DormRegistry[Bed Capacity]),0)</f>
        <v/>
      </c>
      <c r="E299" s="130">
        <f>IF(A299="","",$B$6*(1+$B$8)^(YEAR(A299)-YEAR(StartDate)))</f>
        <v/>
      </c>
      <c r="F299" s="105">
        <f>$B$7</f>
        <v/>
      </c>
      <c r="G299" s="105">
        <f>$B$8</f>
        <v/>
      </c>
      <c r="H299" s="130">
        <f>IFERROR(D299*E299,0)</f>
        <v/>
      </c>
      <c r="I299" s="130" t="n"/>
      <c r="J299" s="130">
        <f>IFERROR(D299*F299*E299,0)</f>
        <v/>
      </c>
      <c r="K299" s="104" t="n"/>
      <c r="L299" s="104" t="n"/>
      <c r="M299" s="104" t="n"/>
      <c r="N299" s="104" t="n"/>
      <c r="O299" s="104" t="n"/>
      <c r="P299" s="104" t="n"/>
      <c r="Q299" s="104" t="n"/>
      <c r="R299" s="130">
        <f>IF(C299="Owned",0,IF(B299&lt;&gt;"",2500,0))</f>
        <v/>
      </c>
      <c r="S299" s="130">
        <f>SUM(K299:R299)</f>
        <v/>
      </c>
      <c r="T299" s="130">
        <f>I299-S299</f>
        <v/>
      </c>
      <c r="U299" s="105">
        <f>IFERROR(T299/I299,0)</f>
        <v/>
      </c>
    </row>
    <row r="300" ht="14.25" customHeight="1" s="83">
      <c r="A300" s="125" t="n"/>
      <c r="B300" s="103" t="n"/>
      <c r="C300" s="170">
        <f>IFERROR(_xlfn.XLOOKUP(B300,DormRegistry[Dorm Name],DormRegistry[Ownership Type]),"")</f>
        <v/>
      </c>
      <c r="D300" s="170">
        <f>IFERROR(_xlfn.XLOOKUP(B300,DormRegistry[Dorm Name],DormRegistry[Bed Capacity]),0)</f>
        <v/>
      </c>
      <c r="E300" s="130">
        <f>IF(A300="","",$B$6*(1+$B$8)^(YEAR(A300)-YEAR(StartDate)))</f>
        <v/>
      </c>
      <c r="F300" s="105">
        <f>$B$7</f>
        <v/>
      </c>
      <c r="G300" s="105">
        <f>$B$8</f>
        <v/>
      </c>
      <c r="H300" s="130">
        <f>IFERROR(D300*E300,0)</f>
        <v/>
      </c>
      <c r="I300" s="130" t="n"/>
      <c r="J300" s="130">
        <f>IFERROR(D300*F300*E300,0)</f>
        <v/>
      </c>
      <c r="K300" s="104" t="n"/>
      <c r="L300" s="104" t="n"/>
      <c r="M300" s="104" t="n"/>
      <c r="N300" s="104" t="n"/>
      <c r="O300" s="104" t="n"/>
      <c r="P300" s="104" t="n"/>
      <c r="Q300" s="104" t="n"/>
      <c r="R300" s="130">
        <f>IF(C300="Owned",0,IF(B300&lt;&gt;"",2500,0))</f>
        <v/>
      </c>
      <c r="S300" s="130">
        <f>SUM(K300:R300)</f>
        <v/>
      </c>
      <c r="T300" s="130">
        <f>I300-S300</f>
        <v/>
      </c>
      <c r="U300" s="105">
        <f>IFERROR(T300/I300,0)</f>
        <v/>
      </c>
    </row>
  </sheetData>
  <mergeCells count="2">
    <mergeCell ref="A2:H2"/>
    <mergeCell ref="A1:H1"/>
  </mergeCells>
  <conditionalFormatting sqref="T14:T300">
    <cfRule type="cellIs" rank="0" priority="2" equalAverage="0" operator="lessThan" aboveAverage="0" dxfId="4" text="" percent="0" bottom="0">
      <formula>0</formula>
    </cfRule>
  </conditionalFormatting>
  <conditionalFormatting sqref="U14:U300">
    <cfRule type="cellIs" rank="0" priority="3" equalAverage="0" operator="lessThan" aboveAverage="0" dxfId="4" text="" percent="0" bottom="0">
      <formula>0</formula>
    </cfRule>
  </conditionalFormatting>
  <dataValidations count="3">
    <dataValidation sqref="A14:A300" showDropDown="0" showInputMessage="0" showErrorMessage="0" allowBlank="1" errorTitle="Invalid date" error="Enter a valid date using dd/mm/yyyy." type="date" errorStyle="stop" operator="greaterThanOrEqual">
      <formula1>DATE(2020,1,1)</formula1>
      <formula2>0</formula2>
    </dataValidation>
    <dataValidation sqref="B14:B300" showDropDown="0" showInputMessage="0" showErrorMessage="0" allowBlank="1" errorTitle="Invalid selection" error="Select a value from the dropdown list." type="list" errorStyle="stop" operator="between">
      <formula1>DormList</formula1>
      <formula2>0</formula2>
    </dataValidation>
    <dataValidation sqref="K14:R300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T120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pane xSplit="0" ySplit="19" topLeftCell="A32" activePane="bottomLeft" state="frozen"/>
      <selection pane="topLeft" activeCell="F1" activeCellId="0" sqref="F1"/>
      <selection pane="bottomLeft" activeCell="M8" activeCellId="0" sqref="M8"/>
    </sheetView>
  </sheetViews>
  <sheetFormatPr baseColWidth="8" defaultColWidth="9.00390625" defaultRowHeight="14.25" customHeight="0" zeroHeight="0" outlineLevelRow="0"/>
  <cols>
    <col width="24" customWidth="1" style="82" min="1" max="1"/>
    <col width="22" customWidth="1" style="82" min="2" max="2"/>
    <col width="18" customWidth="1" style="82" min="3" max="6"/>
    <col width="26" customWidth="1" style="82" min="7" max="7"/>
    <col width="22" customWidth="1" style="82" min="8" max="9"/>
    <col width="18" customWidth="1" style="82" min="10" max="12"/>
    <col width="48" customWidth="1" style="82" min="20" max="20"/>
  </cols>
  <sheetData>
    <row r="1" ht="27.75" customHeight="1" s="83">
      <c r="A1" s="84" t="inlineStr">
        <is>
          <t>Settings &amp; Master Configuration</t>
        </is>
      </c>
      <c r="B1" s="85" t="n"/>
      <c r="C1" s="85" t="n"/>
      <c r="D1" s="85" t="n"/>
      <c r="E1" s="85" t="n"/>
      <c r="F1" s="85" t="n"/>
      <c r="G1" s="85" t="n"/>
      <c r="H1" s="85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</row>
    <row r="2" ht="57" customHeight="1" s="83">
      <c r="A2" s="86" t="inlineStr">
        <is>
          <t>Central control panel for standalone DooRm workbook variables.</t>
        </is>
      </c>
      <c r="B2" s="86" t="n"/>
      <c r="C2" s="86" t="n"/>
      <c r="D2" s="86" t="n"/>
      <c r="E2" s="86" t="n"/>
      <c r="F2" s="86" t="n"/>
      <c r="G2" s="86" t="n"/>
      <c r="H2" s="86" t="n"/>
      <c r="I2" s="122" t="n"/>
      <c r="J2" s="122" t="inlineStr">
        <is>
          <t>Month List</t>
        </is>
      </c>
      <c r="K2" s="122" t="inlineStr">
        <is>
          <t>Payment Status List</t>
        </is>
      </c>
      <c r="L2" s="122" t="inlineStr">
        <is>
          <t>Ownership List</t>
        </is>
      </c>
      <c r="M2" s="122" t="inlineStr">
        <is>
          <t>Project Status List</t>
        </is>
      </c>
      <c r="N2" s="122" t="inlineStr">
        <is>
          <t>Yes No List</t>
        </is>
      </c>
      <c r="O2" s="122" t="inlineStr">
        <is>
          <t>Dashboard Dorm Filter List</t>
        </is>
      </c>
      <c r="P2" s="122" t="inlineStr">
        <is>
          <t>Renovation Categories</t>
        </is>
      </c>
      <c r="Q2" s="88" t="n"/>
      <c r="R2" s="122" t="inlineStr">
        <is>
          <t>Year List</t>
        </is>
      </c>
      <c r="S2" s="88" t="n"/>
      <c r="T2" s="122" t="inlineStr">
        <is>
          <t>Expansion Note</t>
        </is>
      </c>
    </row>
    <row r="3" ht="42.75" customHeight="1" s="83">
      <c r="A3" s="88" t="n"/>
      <c r="B3" s="88" t="n"/>
      <c r="C3" s="88" t="n"/>
      <c r="D3" s="88" t="n"/>
      <c r="E3" s="88" t="n"/>
      <c r="F3" s="88" t="n"/>
      <c r="G3" s="88" t="n"/>
      <c r="H3" s="88" t="n"/>
      <c r="I3" s="171" t="inlineStr">
        <is>
          <t>Occupied</t>
        </is>
      </c>
      <c r="J3" s="172" t="n">
        <v>46023</v>
      </c>
      <c r="K3" s="171" t="inlineStr">
        <is>
          <t>Unpaid</t>
        </is>
      </c>
      <c r="L3" s="171" t="inlineStr">
        <is>
          <t>Owned</t>
        </is>
      </c>
      <c r="M3" s="171" t="inlineStr">
        <is>
          <t>Operational</t>
        </is>
      </c>
      <c r="N3" s="171" t="inlineStr">
        <is>
          <t>No</t>
        </is>
      </c>
      <c r="O3" s="171" t="inlineStr">
        <is>
          <t>All Dorms</t>
        </is>
      </c>
      <c r="P3" s="171" t="inlineStr">
        <is>
          <t>Painting</t>
        </is>
      </c>
      <c r="Q3" s="88" t="n"/>
      <c r="R3" s="171" t="n">
        <v>2025</v>
      </c>
      <c r="S3" s="88" t="n"/>
      <c r="T3" s="100" t="inlineStr">
        <is>
          <t>Add Dorm 4+ in DormRegistry. Default room capacity is 6 beds max; tables/formulas can be extended without rebuilding formulas.</t>
        </is>
      </c>
    </row>
    <row r="4" ht="42.75" customHeight="1" s="83">
      <c r="A4" s="122" t="inlineStr">
        <is>
          <t>Editable Variables</t>
        </is>
      </c>
      <c r="B4" s="85" t="n"/>
      <c r="C4" s="85" t="n"/>
      <c r="D4" s="88" t="n"/>
      <c r="E4" s="88" t="n"/>
      <c r="F4" s="88" t="n"/>
      <c r="G4" s="88" t="n"/>
      <c r="H4" s="122" t="inlineStr">
        <is>
          <t>Invoice Selector Type</t>
        </is>
      </c>
      <c r="I4" s="171" t="inlineStr">
        <is>
          <t>Vacant</t>
        </is>
      </c>
      <c r="J4" s="172" t="n">
        <v>46054</v>
      </c>
      <c r="K4" s="171" t="inlineStr">
        <is>
          <t>Paid</t>
        </is>
      </c>
      <c r="L4" s="171" t="inlineStr">
        <is>
          <t>Rented</t>
        </is>
      </c>
      <c r="M4" s="171" t="inlineStr">
        <is>
          <t>Under Construction</t>
        </is>
      </c>
      <c r="N4" s="171" t="inlineStr">
        <is>
          <t>Yes</t>
        </is>
      </c>
      <c r="O4" s="170">
        <f>IF(A21="","",A21)</f>
        <v/>
      </c>
      <c r="P4" s="171" t="inlineStr">
        <is>
          <t>Beds &amp; Mattresses</t>
        </is>
      </c>
      <c r="Q4" s="88" t="n"/>
      <c r="R4" s="171" t="n">
        <v>2026</v>
      </c>
      <c r="S4" s="88" t="n"/>
      <c r="T4" s="88" t="n"/>
    </row>
    <row r="5" ht="42.75" customHeight="1" s="83">
      <c r="A5" s="124" t="inlineStr">
        <is>
          <t>Variable</t>
        </is>
      </c>
      <c r="B5" s="124" t="inlineStr">
        <is>
          <t>Default</t>
        </is>
      </c>
      <c r="C5" s="124" t="inlineStr">
        <is>
          <t>Current Value</t>
        </is>
      </c>
      <c r="D5" s="88" t="n"/>
      <c r="E5" s="88" t="n"/>
      <c r="F5" s="88" t="n"/>
      <c r="G5" s="88" t="n"/>
      <c r="H5" s="171" t="inlineStr">
        <is>
          <t>Client Name</t>
        </is>
      </c>
      <c r="I5" s="171" t="inlineStr">
        <is>
          <t>Reserved</t>
        </is>
      </c>
      <c r="J5" s="172" t="n">
        <v>46082</v>
      </c>
      <c r="K5" s="171" t="inlineStr">
        <is>
          <t>Partially Paid</t>
        </is>
      </c>
      <c r="L5" s="88" t="n"/>
      <c r="M5" s="171" t="inlineStr">
        <is>
          <t>Planned</t>
        </is>
      </c>
      <c r="N5" s="88" t="n"/>
      <c r="O5" s="170">
        <f>IF(A22="","",A22)</f>
        <v/>
      </c>
      <c r="P5" s="171" t="inlineStr">
        <is>
          <t>Kitchen Appliances</t>
        </is>
      </c>
      <c r="Q5" s="88" t="n"/>
      <c r="R5" s="171" t="n">
        <v>2027</v>
      </c>
      <c r="S5" s="88" t="n"/>
      <c r="T5" s="88" t="n"/>
    </row>
    <row r="6" ht="14.25" customHeight="1" s="83">
      <c r="A6" s="89" t="inlineStr">
        <is>
          <t>Generator Rate</t>
        </is>
      </c>
      <c r="B6" s="173" t="n">
        <v>0.5</v>
      </c>
      <c r="C6" s="168" t="n">
        <v>0.5</v>
      </c>
      <c r="D6" s="88" t="n"/>
      <c r="E6" s="88" t="n"/>
      <c r="F6" s="88" t="n"/>
      <c r="G6" s="88" t="n"/>
      <c r="H6" s="171" t="inlineStr">
        <is>
          <t>Bed ID</t>
        </is>
      </c>
      <c r="I6" s="88" t="n"/>
      <c r="J6" s="172" t="n">
        <v>46113</v>
      </c>
      <c r="K6" s="171" t="inlineStr">
        <is>
          <t>Overdue</t>
        </is>
      </c>
      <c r="L6" s="88" t="n"/>
      <c r="M6" s="88" t="n"/>
      <c r="N6" s="88" t="n"/>
      <c r="O6" s="170">
        <f>IF(A23="","",A23)</f>
        <v/>
      </c>
      <c r="P6" s="171" t="inlineStr">
        <is>
          <t>Plumbing</t>
        </is>
      </c>
      <c r="Q6" s="88" t="n"/>
      <c r="R6" s="171" t="n">
        <v>2028</v>
      </c>
      <c r="S6" s="88" t="n"/>
      <c r="T6" s="88" t="n"/>
    </row>
    <row r="7" ht="14.25" customHeight="1" s="83">
      <c r="A7" s="89" t="inlineStr">
        <is>
          <t>Government Rate</t>
        </is>
      </c>
      <c r="B7" s="173" t="n">
        <v>0.4</v>
      </c>
      <c r="C7" s="168" t="n">
        <v>0.4</v>
      </c>
      <c r="D7" s="88" t="n"/>
      <c r="E7" s="88" t="n"/>
      <c r="F7" s="88" t="n"/>
      <c r="G7" s="88" t="n"/>
      <c r="H7" s="88" t="n"/>
      <c r="I7" s="88" t="n"/>
      <c r="J7" s="172" t="n">
        <v>46143</v>
      </c>
      <c r="K7" s="88" t="n"/>
      <c r="L7" s="88" t="n"/>
      <c r="M7" s="88" t="n"/>
      <c r="N7" s="88" t="n"/>
      <c r="O7" s="170">
        <f>IF(A24="","",A24)</f>
        <v/>
      </c>
      <c r="P7" s="171" t="inlineStr">
        <is>
          <t>Furniture</t>
        </is>
      </c>
      <c r="Q7" s="88" t="n"/>
      <c r="R7" s="171" t="n">
        <v>2029</v>
      </c>
      <c r="S7" s="88" t="n"/>
      <c r="T7" s="88" t="n"/>
    </row>
    <row r="8" ht="28.5" customHeight="1" s="83">
      <c r="A8" s="89" t="inlineStr">
        <is>
          <t>Fixed Generator Fee</t>
        </is>
      </c>
      <c r="B8" s="173" t="n">
        <v>5</v>
      </c>
      <c r="C8" s="168" t="n">
        <v>5</v>
      </c>
      <c r="D8" s="88" t="n"/>
      <c r="E8" s="88" t="n"/>
      <c r="F8" s="88" t="n"/>
      <c r="G8" s="88" t="n"/>
      <c r="H8" s="88" t="n"/>
      <c r="I8" s="88" t="n"/>
      <c r="J8" s="172" t="n">
        <v>46174</v>
      </c>
      <c r="K8" s="88" t="n"/>
      <c r="L8" s="88" t="n"/>
      <c r="M8" s="88" t="n"/>
      <c r="N8" s="88" t="n"/>
      <c r="O8" s="170">
        <f>IF(A25="","",A25)</f>
        <v/>
      </c>
      <c r="P8" s="171" t="inlineStr">
        <is>
          <t>Electricity &amp; Wiring</t>
        </is>
      </c>
      <c r="Q8" s="88" t="n"/>
      <c r="R8" s="171" t="n">
        <v>2030</v>
      </c>
      <c r="S8" s="88" t="n"/>
      <c r="T8" s="88" t="n"/>
    </row>
    <row r="9" ht="42.75" customHeight="1" s="83">
      <c r="A9" s="89" t="inlineStr">
        <is>
          <t>Fixed Government Fee</t>
        </is>
      </c>
      <c r="B9" s="173" t="n">
        <v>6</v>
      </c>
      <c r="C9" s="168" t="n">
        <v>6</v>
      </c>
      <c r="D9" s="88" t="n"/>
      <c r="E9" s="88" t="n"/>
      <c r="F9" s="88" t="n"/>
      <c r="G9" s="88" t="n"/>
      <c r="H9" s="88" t="n"/>
      <c r="I9" s="88" t="n"/>
      <c r="J9" s="172" t="n">
        <v>46204</v>
      </c>
      <c r="K9" s="88" t="n"/>
      <c r="L9" s="88" t="n"/>
      <c r="M9" s="88" t="n"/>
      <c r="N9" s="88" t="n"/>
      <c r="O9" s="170">
        <f>IF(A26="","",A26)</f>
        <v/>
      </c>
      <c r="P9" s="171" t="inlineStr">
        <is>
          <t>CCTV Installation</t>
        </is>
      </c>
      <c r="Q9" s="88" t="n"/>
      <c r="R9" s="171" t="n">
        <v>2031</v>
      </c>
      <c r="S9" s="88" t="n"/>
      <c r="T9" s="88" t="n"/>
    </row>
    <row r="10" ht="42.75" customHeight="1" s="83">
      <c r="A10" s="89" t="inlineStr">
        <is>
          <t>Default Rent Per Bed</t>
        </is>
      </c>
      <c r="B10" s="173" t="n">
        <v>350</v>
      </c>
      <c r="C10" s="168" t="n">
        <v>350</v>
      </c>
      <c r="D10" s="88" t="n"/>
      <c r="E10" s="88" t="n"/>
      <c r="F10" s="88" t="n"/>
      <c r="G10" s="88" t="n"/>
      <c r="H10" s="88" t="n"/>
      <c r="I10" s="88" t="n"/>
      <c r="J10" s="172" t="n">
        <v>46235</v>
      </c>
      <c r="K10" s="88" t="n"/>
      <c r="L10" s="88" t="n"/>
      <c r="M10" s="88" t="n"/>
      <c r="N10" s="88" t="n"/>
      <c r="O10" s="170">
        <f>IF(A27="","",A27)</f>
        <v/>
      </c>
      <c r="P10" s="171" t="inlineStr">
        <is>
          <t>Internet Infrastructure</t>
        </is>
      </c>
      <c r="Q10" s="88" t="n"/>
      <c r="R10" s="171" t="n">
        <v>2032</v>
      </c>
      <c r="S10" s="88" t="n"/>
      <c r="T10" s="88" t="n"/>
    </row>
    <row r="11" ht="57" customHeight="1" s="83">
      <c r="A11" s="89" t="inlineStr">
        <is>
          <t>Target Occupancy</t>
        </is>
      </c>
      <c r="B11" s="174" t="n">
        <v>0.9</v>
      </c>
      <c r="C11" s="169" t="n">
        <v>0.9</v>
      </c>
      <c r="D11" s="88" t="n"/>
      <c r="E11" s="88" t="n"/>
      <c r="F11" s="88" t="n"/>
      <c r="G11" s="88" t="n"/>
      <c r="H11" s="88" t="n"/>
      <c r="I11" s="88" t="n"/>
      <c r="J11" s="172" t="n">
        <v>46266</v>
      </c>
      <c r="K11" s="88" t="n"/>
      <c r="L11" s="88" t="n"/>
      <c r="M11" s="88" t="n"/>
      <c r="N11" s="88" t="n"/>
      <c r="O11" s="170">
        <f>IF(A28="","",A28)</f>
        <v/>
      </c>
      <c r="P11" s="171" t="inlineStr">
        <is>
          <t>Curtains &amp; Decorations</t>
        </is>
      </c>
      <c r="Q11" s="88" t="n"/>
      <c r="R11" s="171" t="n">
        <v>2033</v>
      </c>
      <c r="S11" s="88" t="n"/>
      <c r="T11" s="88" t="n"/>
    </row>
    <row r="12" ht="42.75" customHeight="1" s="83">
      <c r="A12" s="89" t="inlineStr">
        <is>
          <t>Inflation Rate</t>
        </is>
      </c>
      <c r="B12" s="174" t="n">
        <v>0.03</v>
      </c>
      <c r="C12" s="169" t="n">
        <v>0.03</v>
      </c>
      <c r="D12" s="88" t="n"/>
      <c r="E12" s="88" t="n"/>
      <c r="F12" s="88" t="n"/>
      <c r="G12" s="88" t="n"/>
      <c r="H12" s="88" t="n"/>
      <c r="I12" s="88" t="n"/>
      <c r="J12" s="172" t="n">
        <v>46296</v>
      </c>
      <c r="K12" s="88" t="n"/>
      <c r="L12" s="88" t="n"/>
      <c r="M12" s="88" t="n"/>
      <c r="N12" s="88" t="n"/>
      <c r="O12" s="170">
        <f>IF(A29="","",A29)</f>
        <v/>
      </c>
      <c r="P12" s="171" t="inlineStr">
        <is>
          <t>Cleaning Equipment</t>
        </is>
      </c>
      <c r="Q12" s="88" t="n"/>
      <c r="R12" s="171" t="n">
        <v>2034</v>
      </c>
      <c r="S12" s="88" t="n"/>
      <c r="T12" s="88" t="n"/>
    </row>
    <row r="13" ht="57" customHeight="1" s="83">
      <c r="A13" s="89" t="inlineStr">
        <is>
          <t>Currency Symbol</t>
        </is>
      </c>
      <c r="B13" s="175" t="inlineStr">
        <is>
          <t>$</t>
        </is>
      </c>
      <c r="C13" s="91" t="inlineStr">
        <is>
          <t>$</t>
        </is>
      </c>
      <c r="D13" s="88" t="n"/>
      <c r="E13" s="88" t="n"/>
      <c r="F13" s="88" t="n"/>
      <c r="G13" s="88" t="n"/>
      <c r="H13" s="88" t="n"/>
      <c r="I13" s="88" t="n"/>
      <c r="J13" s="172" t="n">
        <v>46327</v>
      </c>
      <c r="K13" s="88" t="n"/>
      <c r="L13" s="88" t="n"/>
      <c r="M13" s="88" t="n"/>
      <c r="N13" s="88" t="n"/>
      <c r="O13" s="170">
        <f>IF(A30="","",A30)</f>
        <v/>
      </c>
      <c r="P13" s="171" t="inlineStr">
        <is>
          <t>Contingency / Miscellaneous</t>
        </is>
      </c>
      <c r="Q13" s="88" t="n"/>
      <c r="R13" s="171" t="n">
        <v>2035</v>
      </c>
      <c r="S13" s="88" t="n"/>
      <c r="T13" s="88" t="n"/>
    </row>
    <row r="14" ht="14.25" customHeight="1" s="83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172" t="n">
        <v>46357</v>
      </c>
      <c r="K14" s="88" t="n"/>
      <c r="L14" s="88" t="n"/>
      <c r="M14" s="88" t="n"/>
      <c r="N14" s="88" t="n"/>
      <c r="O14" s="170">
        <f>IF(A31="","",A31)</f>
        <v/>
      </c>
      <c r="P14" s="88" t="n"/>
      <c r="Q14" s="88" t="n"/>
      <c r="R14" s="88" t="n"/>
      <c r="S14" s="88" t="n"/>
      <c r="T14" s="88" t="n"/>
    </row>
    <row r="15" ht="14.25" customHeight="1" s="83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170">
        <f>IF(A32="","",A32)</f>
        <v/>
      </c>
      <c r="P15" s="88" t="n"/>
      <c r="Q15" s="88" t="n"/>
      <c r="R15" s="88" t="n"/>
      <c r="S15" s="88" t="n"/>
      <c r="T15" s="88" t="n"/>
    </row>
    <row r="16" ht="14.25" customHeight="1" s="83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170">
        <f>IF(A33="","",A33)</f>
        <v/>
      </c>
      <c r="P16" s="88" t="n"/>
      <c r="Q16" s="88" t="n"/>
      <c r="R16" s="88" t="n"/>
      <c r="S16" s="88" t="n"/>
      <c r="T16" s="88" t="n"/>
    </row>
    <row r="17" ht="14.25" customHeight="1" s="83">
      <c r="A17" s="122" t="inlineStr">
        <is>
          <t>Dorm Registry Table</t>
        </is>
      </c>
      <c r="B17" s="85" t="n"/>
      <c r="C17" s="85" t="n"/>
      <c r="D17" s="85" t="n"/>
      <c r="E17" s="85" t="n"/>
      <c r="F17" s="85" t="n"/>
      <c r="G17" s="85" t="n"/>
      <c r="H17" s="88" t="n"/>
      <c r="I17" s="88" t="n"/>
      <c r="J17" s="88" t="n"/>
      <c r="K17" s="88" t="n"/>
      <c r="L17" s="88" t="n"/>
      <c r="M17" s="88" t="n"/>
      <c r="N17" s="88" t="n"/>
      <c r="O17" s="170">
        <f>IF(A34="","",A34)</f>
        <v/>
      </c>
      <c r="P17" s="88" t="n"/>
      <c r="Q17" s="88" t="n"/>
      <c r="R17" s="88" t="n"/>
      <c r="S17" s="88" t="n"/>
      <c r="T17" s="88" t="n"/>
    </row>
    <row r="18" ht="14.25" customHeight="1" s="83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170">
        <f>IF(A35="","",A35)</f>
        <v/>
      </c>
      <c r="P18" s="88" t="n"/>
      <c r="Q18" s="88" t="n"/>
      <c r="R18" s="88" t="n"/>
      <c r="S18" s="88" t="n"/>
      <c r="T18" s="88" t="n"/>
    </row>
    <row r="19" ht="14.25" customHeight="1" s="83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170">
        <f>IF(A36="","",A36)</f>
        <v/>
      </c>
      <c r="P19" s="88" t="n"/>
      <c r="Q19" s="88" t="n"/>
      <c r="R19" s="88" t="n"/>
      <c r="S19" s="88" t="n"/>
      <c r="T19" s="88" t="n"/>
    </row>
    <row r="20" ht="14.25" customHeight="1" s="83">
      <c r="A20" s="124" t="inlineStr">
        <is>
          <t>Dorm Name</t>
        </is>
      </c>
      <c r="B20" s="124" t="inlineStr">
        <is>
          <t>Status</t>
        </is>
      </c>
      <c r="C20" s="124" t="inlineStr">
        <is>
          <t>Ownership Type</t>
        </is>
      </c>
      <c r="D20" s="124" t="inlineStr">
        <is>
          <t>Number of Rooms</t>
        </is>
      </c>
      <c r="E20" s="124" t="inlineStr">
        <is>
          <t>Beds per Room</t>
        </is>
      </c>
      <c r="F20" s="124" t="inlineStr">
        <is>
          <t>Bed Capacity</t>
        </is>
      </c>
      <c r="G20" s="124" t="inlineStr">
        <is>
          <t>Notes</t>
        </is>
      </c>
      <c r="H20" s="88" t="n"/>
      <c r="I20" s="88" t="n"/>
      <c r="J20" s="88" t="n"/>
      <c r="K20" s="88" t="n"/>
      <c r="L20" s="88" t="n"/>
      <c r="M20" s="88" t="n"/>
      <c r="N20" s="88" t="n"/>
      <c r="O20" s="170">
        <f>IF(A37="","",A37)</f>
        <v/>
      </c>
      <c r="P20" s="88" t="n"/>
      <c r="Q20" s="88" t="n"/>
      <c r="R20" s="88" t="n"/>
      <c r="S20" s="88" t="n"/>
      <c r="T20" s="88" t="n"/>
    </row>
    <row r="21" ht="42.75" customHeight="1" s="83">
      <c r="A21" s="103" t="inlineStr">
        <is>
          <t>Dorm 1</t>
        </is>
      </c>
      <c r="B21" s="103" t="inlineStr">
        <is>
          <t>Operational</t>
        </is>
      </c>
      <c r="C21" s="103" t="inlineStr">
        <is>
          <t>Owned</t>
        </is>
      </c>
      <c r="D21" s="103" t="n">
        <v>6</v>
      </c>
      <c r="E21" s="103" t="n">
        <v>2</v>
      </c>
      <c r="F21" s="170">
        <f>D21*E21</f>
        <v/>
      </c>
      <c r="G21" s="103" t="inlineStr">
        <is>
          <t>Operational owned building - no rent expense | Room capacity: 2 beds</t>
        </is>
      </c>
      <c r="H21" s="88" t="n"/>
      <c r="I21" s="88" t="n"/>
      <c r="J21" s="88" t="n"/>
      <c r="K21" s="88" t="n"/>
      <c r="L21" s="88" t="n"/>
      <c r="M21" s="88" t="n"/>
      <c r="N21" s="88" t="n"/>
      <c r="O21" s="170">
        <f>IF(A38="","",A38)</f>
        <v/>
      </c>
      <c r="P21" s="88" t="n"/>
      <c r="Q21" s="88" t="n"/>
      <c r="R21" s="88" t="n"/>
      <c r="S21" s="88" t="n"/>
      <c r="T21" s="88" t="n"/>
    </row>
    <row r="22" ht="42.75" customHeight="1" s="83">
      <c r="A22" s="103" t="inlineStr">
        <is>
          <t>Dorm 2</t>
        </is>
      </c>
      <c r="B22" s="103" t="inlineStr">
        <is>
          <t>Under Construction</t>
        </is>
      </c>
      <c r="C22" s="103" t="inlineStr">
        <is>
          <t>Rented</t>
        </is>
      </c>
      <c r="D22" s="103" t="n">
        <v>6</v>
      </c>
      <c r="E22" s="103" t="n">
        <v>2</v>
      </c>
      <c r="F22" s="170">
        <f>D22*E22</f>
        <v/>
      </c>
      <c r="G22" s="103" t="inlineStr">
        <is>
          <t>Rental property / project tracker focus | Room capacity: 2 beds</t>
        </is>
      </c>
      <c r="H22" s="88" t="n"/>
      <c r="I22" s="88" t="n"/>
      <c r="J22" s="88" t="n"/>
      <c r="K22" s="88" t="n"/>
      <c r="L22" s="88" t="n"/>
      <c r="M22" s="88" t="n"/>
      <c r="N22" s="88" t="n"/>
      <c r="O22" s="170">
        <f>IF(A39="","",A39)</f>
        <v/>
      </c>
      <c r="P22" s="88" t="n"/>
      <c r="Q22" s="88" t="n"/>
      <c r="R22" s="88" t="n"/>
      <c r="S22" s="88" t="n"/>
      <c r="T22" s="88" t="n"/>
    </row>
    <row r="23" ht="28.5" customHeight="1" s="83">
      <c r="A23" s="103" t="inlineStr">
        <is>
          <t>Dorm 3</t>
        </is>
      </c>
      <c r="B23" s="103" t="inlineStr">
        <is>
          <t>Planned</t>
        </is>
      </c>
      <c r="C23" s="103" t="inlineStr">
        <is>
          <t>Rented</t>
        </is>
      </c>
      <c r="D23" s="103" t="n">
        <v>6</v>
      </c>
      <c r="E23" s="103" t="n">
        <v>2</v>
      </c>
      <c r="F23" s="170">
        <f>D23*E23</f>
        <v/>
      </c>
      <c r="G23" s="103" t="inlineStr">
        <is>
          <t>Future rental property | Room capacity: 2 beds</t>
        </is>
      </c>
      <c r="H23" s="88" t="n"/>
      <c r="I23" s="88" t="n"/>
      <c r="J23" s="88" t="n"/>
      <c r="K23" s="88" t="n"/>
      <c r="L23" s="88" t="n"/>
      <c r="M23" s="88" t="n"/>
      <c r="N23" s="88" t="n"/>
      <c r="O23" s="170">
        <f>IF(A40="","",A40)</f>
        <v/>
      </c>
      <c r="P23" s="88" t="n"/>
      <c r="Q23" s="88" t="n"/>
      <c r="R23" s="88" t="n"/>
      <c r="S23" s="88" t="n"/>
      <c r="T23" s="88" t="n"/>
    </row>
    <row r="24" ht="14.25" customHeight="1" s="83">
      <c r="A24" s="103" t="n"/>
      <c r="B24" s="103" t="n"/>
      <c r="C24" s="103" t="n"/>
      <c r="D24" s="103" t="n"/>
      <c r="E24" s="103" t="n"/>
      <c r="F24" s="170">
        <f>IF(OR(D24="",E24=""),"",D24*E24)</f>
        <v/>
      </c>
      <c r="G24" s="103" t="n"/>
      <c r="H24" s="88" t="n"/>
      <c r="I24" s="88" t="n"/>
      <c r="J24" s="88" t="n"/>
      <c r="K24" s="88" t="n"/>
      <c r="L24" s="88" t="n"/>
      <c r="M24" s="88" t="n"/>
      <c r="N24" s="88" t="n"/>
      <c r="O24" s="170">
        <f>IF(A41="","",A41)</f>
        <v/>
      </c>
      <c r="P24" s="88" t="n"/>
      <c r="Q24" s="88" t="n"/>
      <c r="R24" s="88" t="n"/>
      <c r="S24" s="88" t="n"/>
      <c r="T24" s="88" t="n"/>
    </row>
    <row r="25" ht="14.25" customHeight="1" s="83">
      <c r="A25" s="103" t="n"/>
      <c r="B25" s="103" t="n"/>
      <c r="C25" s="103" t="n"/>
      <c r="D25" s="103" t="n"/>
      <c r="E25" s="103" t="n"/>
      <c r="F25" s="170">
        <f>IF(OR(D25="",E25=""),"",D25*E25)</f>
        <v/>
      </c>
      <c r="G25" s="103" t="n"/>
      <c r="H25" s="88" t="n"/>
      <c r="I25" s="88" t="n"/>
      <c r="J25" s="88" t="n"/>
      <c r="K25" s="88" t="n"/>
      <c r="L25" s="88" t="n"/>
      <c r="M25" s="88" t="n"/>
      <c r="N25" s="88" t="n"/>
      <c r="O25" s="170">
        <f>IF(A42="","",A42)</f>
        <v/>
      </c>
      <c r="P25" s="88" t="n"/>
      <c r="Q25" s="88" t="n"/>
      <c r="R25" s="88" t="n"/>
      <c r="S25" s="88" t="n"/>
      <c r="T25" s="88" t="n"/>
    </row>
    <row r="26" ht="14.25" customHeight="1" s="83">
      <c r="A26" s="103" t="n"/>
      <c r="B26" s="103" t="n"/>
      <c r="C26" s="103" t="n"/>
      <c r="D26" s="103" t="n"/>
      <c r="E26" s="103" t="n"/>
      <c r="F26" s="170">
        <f>IF(OR(D26="",E26=""),"",D26*E26)</f>
        <v/>
      </c>
      <c r="G26" s="103" t="n"/>
      <c r="H26" s="88" t="n"/>
      <c r="I26" s="88" t="n"/>
      <c r="J26" s="88" t="n"/>
      <c r="K26" s="88" t="n"/>
      <c r="L26" s="88" t="n"/>
      <c r="M26" s="88" t="n"/>
      <c r="N26" s="88" t="n"/>
      <c r="O26" s="170">
        <f>IF(A43="","",A43)</f>
        <v/>
      </c>
      <c r="P26" s="88" t="n"/>
      <c r="Q26" s="88" t="n"/>
      <c r="R26" s="88" t="n"/>
      <c r="S26" s="88" t="n"/>
      <c r="T26" s="88" t="n"/>
    </row>
    <row r="27" ht="14.25" customHeight="1" s="83">
      <c r="A27" s="103" t="n"/>
      <c r="B27" s="103" t="n"/>
      <c r="C27" s="103" t="n"/>
      <c r="D27" s="103" t="n"/>
      <c r="E27" s="103" t="n"/>
      <c r="F27" s="170">
        <f>IF(OR(D27="",E27=""),"",D27*E27)</f>
        <v/>
      </c>
      <c r="G27" s="103" t="n"/>
      <c r="H27" s="88" t="n"/>
      <c r="I27" s="88" t="n"/>
      <c r="J27" s="88" t="n"/>
      <c r="K27" s="88" t="n"/>
      <c r="L27" s="88" t="n"/>
      <c r="M27" s="88" t="n"/>
      <c r="N27" s="88" t="n"/>
      <c r="O27" s="170">
        <f>IF(A44="","",A44)</f>
        <v/>
      </c>
      <c r="P27" s="88" t="n"/>
      <c r="Q27" s="88" t="n"/>
      <c r="R27" s="88" t="n"/>
      <c r="S27" s="88" t="n"/>
      <c r="T27" s="88" t="n"/>
    </row>
    <row r="28" ht="14.25" customHeight="1" s="83">
      <c r="A28" s="103" t="n"/>
      <c r="B28" s="103" t="n"/>
      <c r="C28" s="103" t="n"/>
      <c r="D28" s="103" t="n"/>
      <c r="E28" s="103" t="n"/>
      <c r="F28" s="170">
        <f>IF(OR(D28="",E28=""),"",D28*E28)</f>
        <v/>
      </c>
      <c r="G28" s="103" t="n"/>
      <c r="H28" s="88" t="n"/>
      <c r="I28" s="88" t="n"/>
      <c r="J28" s="88" t="n"/>
      <c r="K28" s="88" t="n"/>
      <c r="L28" s="88" t="n"/>
      <c r="M28" s="88" t="n"/>
      <c r="N28" s="88" t="n"/>
      <c r="O28" s="170">
        <f>IF(A45="","",A45)</f>
        <v/>
      </c>
      <c r="P28" s="88" t="n"/>
      <c r="Q28" s="88" t="n"/>
      <c r="R28" s="88" t="n"/>
      <c r="S28" s="88" t="n"/>
      <c r="T28" s="88" t="n"/>
    </row>
    <row r="29" ht="14.25" customHeight="1" s="83">
      <c r="A29" s="103" t="n"/>
      <c r="B29" s="103" t="n"/>
      <c r="C29" s="103" t="n"/>
      <c r="D29" s="103" t="n"/>
      <c r="E29" s="103" t="n"/>
      <c r="F29" s="170">
        <f>IF(OR(D29="",E29=""),"",D29*E29)</f>
        <v/>
      </c>
      <c r="G29" s="103" t="n"/>
      <c r="H29" s="88" t="n"/>
      <c r="I29" s="88" t="n"/>
      <c r="J29" s="88" t="n"/>
      <c r="K29" s="88" t="n"/>
      <c r="L29" s="88" t="n"/>
      <c r="M29" s="88" t="n"/>
      <c r="N29" s="88" t="n"/>
      <c r="O29" s="170">
        <f>IF(A46="","",A46)</f>
        <v/>
      </c>
      <c r="P29" s="88" t="n"/>
      <c r="Q29" s="88" t="n"/>
      <c r="R29" s="88" t="n"/>
      <c r="S29" s="88" t="n"/>
      <c r="T29" s="88" t="n"/>
    </row>
    <row r="30" ht="14.25" customHeight="1" s="83">
      <c r="A30" s="103" t="n"/>
      <c r="B30" s="103" t="n"/>
      <c r="C30" s="103" t="n"/>
      <c r="D30" s="103" t="n"/>
      <c r="E30" s="103" t="n"/>
      <c r="F30" s="170">
        <f>IF(OR(D30="",E30=""),"",D30*E30)</f>
        <v/>
      </c>
      <c r="G30" s="103" t="n"/>
      <c r="H30" s="88" t="n"/>
      <c r="I30" s="88" t="n"/>
      <c r="J30" s="88" t="n"/>
      <c r="K30" s="88" t="n"/>
      <c r="L30" s="88" t="n"/>
      <c r="M30" s="88" t="n"/>
      <c r="N30" s="88" t="n"/>
      <c r="O30" s="170">
        <f>IF(A47="","",A47)</f>
        <v/>
      </c>
      <c r="P30" s="88" t="n"/>
      <c r="Q30" s="88" t="n"/>
      <c r="R30" s="88" t="n"/>
      <c r="S30" s="88" t="n"/>
      <c r="T30" s="88" t="n"/>
    </row>
    <row r="31" ht="14.25" customHeight="1" s="83">
      <c r="A31" s="103" t="n"/>
      <c r="B31" s="103" t="n"/>
      <c r="C31" s="103" t="n"/>
      <c r="D31" s="103" t="n"/>
      <c r="E31" s="103" t="n"/>
      <c r="F31" s="170">
        <f>IF(OR(D31="",E31=""),"",D31*E31)</f>
        <v/>
      </c>
      <c r="G31" s="103" t="n"/>
      <c r="H31" s="88" t="n"/>
      <c r="I31" s="88" t="n"/>
      <c r="J31" s="88" t="n"/>
      <c r="K31" s="88" t="n"/>
      <c r="L31" s="88" t="n"/>
      <c r="M31" s="88" t="n"/>
      <c r="N31" s="88" t="n"/>
      <c r="O31" s="170">
        <f>IF(A48="","",A48)</f>
        <v/>
      </c>
      <c r="P31" s="88" t="n"/>
      <c r="Q31" s="88" t="n"/>
      <c r="R31" s="88" t="n"/>
      <c r="S31" s="88" t="n"/>
      <c r="T31" s="88" t="n"/>
    </row>
    <row r="32" ht="14.25" customHeight="1" s="83">
      <c r="A32" s="103" t="n"/>
      <c r="B32" s="103" t="n"/>
      <c r="C32" s="103" t="n"/>
      <c r="D32" s="103" t="n"/>
      <c r="E32" s="103" t="n"/>
      <c r="F32" s="170">
        <f>IF(OR(D32="",E32=""),"",D32*E32)</f>
        <v/>
      </c>
      <c r="G32" s="103" t="n"/>
      <c r="H32" s="88" t="n"/>
      <c r="I32" s="88" t="n"/>
      <c r="J32" s="88" t="n"/>
      <c r="K32" s="88" t="n"/>
      <c r="L32" s="88" t="n"/>
      <c r="M32" s="88" t="n"/>
      <c r="N32" s="88" t="n"/>
      <c r="O32" s="170">
        <f>IF(A49="","",A49)</f>
        <v/>
      </c>
      <c r="P32" s="88" t="n"/>
      <c r="Q32" s="88" t="n"/>
      <c r="R32" s="88" t="n"/>
      <c r="S32" s="88" t="n"/>
      <c r="T32" s="88" t="n"/>
    </row>
    <row r="33" ht="14.25" customHeight="1" s="83">
      <c r="A33" s="103" t="n"/>
      <c r="B33" s="103" t="n"/>
      <c r="C33" s="103" t="n"/>
      <c r="D33" s="103" t="n"/>
      <c r="E33" s="103" t="n"/>
      <c r="F33" s="170">
        <f>IF(OR(D33="",E33=""),"",D33*E33)</f>
        <v/>
      </c>
      <c r="G33" s="103" t="n"/>
      <c r="H33" s="88" t="n"/>
      <c r="I33" s="88" t="n"/>
      <c r="J33" s="88" t="n"/>
      <c r="K33" s="88" t="n"/>
      <c r="L33" s="88" t="n"/>
      <c r="M33" s="88" t="n"/>
      <c r="N33" s="88" t="n"/>
      <c r="O33" s="170">
        <f>IF(A50="","",A50)</f>
        <v/>
      </c>
      <c r="P33" s="88" t="n"/>
      <c r="Q33" s="88" t="n"/>
      <c r="R33" s="88" t="n"/>
      <c r="S33" s="88" t="n"/>
      <c r="T33" s="88" t="n"/>
    </row>
    <row r="34" ht="14.25" customHeight="1" s="83">
      <c r="A34" s="103" t="n"/>
      <c r="B34" s="103" t="n"/>
      <c r="C34" s="103" t="n"/>
      <c r="D34" s="103" t="n"/>
      <c r="E34" s="103" t="n"/>
      <c r="F34" s="170">
        <f>IF(OR(D34="",E34=""),"",D34*E34)</f>
        <v/>
      </c>
      <c r="G34" s="103" t="n"/>
      <c r="H34" s="88" t="n"/>
      <c r="I34" s="88" t="n"/>
      <c r="J34" s="88" t="n"/>
      <c r="K34" s="88" t="n"/>
      <c r="L34" s="88" t="n"/>
      <c r="M34" s="88" t="n"/>
      <c r="N34" s="88" t="n"/>
      <c r="O34" s="170">
        <f>IF(A51="","",A51)</f>
        <v/>
      </c>
      <c r="P34" s="88" t="n"/>
      <c r="Q34" s="88" t="n"/>
      <c r="R34" s="88" t="n"/>
      <c r="S34" s="88" t="n"/>
      <c r="T34" s="88" t="n"/>
    </row>
    <row r="35" ht="14.25" customHeight="1" s="83">
      <c r="A35" s="103" t="n"/>
      <c r="B35" s="103" t="n"/>
      <c r="C35" s="103" t="n"/>
      <c r="D35" s="103" t="n"/>
      <c r="E35" s="103" t="n"/>
      <c r="F35" s="170">
        <f>IF(OR(D35="",E35=""),"",D35*E35)</f>
        <v/>
      </c>
      <c r="G35" s="103" t="n"/>
      <c r="H35" s="88" t="n"/>
      <c r="I35" s="88" t="n"/>
      <c r="J35" s="88" t="n"/>
      <c r="K35" s="88" t="n"/>
      <c r="L35" s="88" t="n"/>
      <c r="M35" s="88" t="n"/>
      <c r="N35" s="88" t="n"/>
      <c r="O35" s="170">
        <f>IF(A52="","",A52)</f>
        <v/>
      </c>
      <c r="P35" s="88" t="n"/>
      <c r="Q35" s="88" t="n"/>
      <c r="R35" s="88" t="n"/>
      <c r="S35" s="88" t="n"/>
      <c r="T35" s="88" t="n"/>
    </row>
    <row r="36" ht="14.25" customHeight="1" s="83">
      <c r="A36" s="103" t="n"/>
      <c r="B36" s="103" t="n"/>
      <c r="C36" s="103" t="n"/>
      <c r="D36" s="103" t="n"/>
      <c r="E36" s="103" t="n"/>
      <c r="F36" s="170">
        <f>IF(OR(D36="",E36=""),"",D36*E36)</f>
        <v/>
      </c>
      <c r="G36" s="103" t="n"/>
      <c r="H36" s="88" t="n"/>
      <c r="I36" s="88" t="n"/>
      <c r="J36" s="88" t="n"/>
      <c r="K36" s="88" t="n"/>
      <c r="L36" s="88" t="n"/>
      <c r="M36" s="88" t="n"/>
      <c r="N36" s="88" t="n"/>
      <c r="O36" s="170">
        <f>IF(A53="","",A53)</f>
        <v/>
      </c>
      <c r="P36" s="88" t="n"/>
      <c r="Q36" s="88" t="n"/>
      <c r="R36" s="88" t="n"/>
      <c r="S36" s="88" t="n"/>
      <c r="T36" s="88" t="n"/>
    </row>
    <row r="37" ht="14.25" customHeight="1" s="83">
      <c r="A37" s="103" t="n"/>
      <c r="B37" s="103" t="n"/>
      <c r="C37" s="103" t="n"/>
      <c r="D37" s="103" t="n"/>
      <c r="E37" s="103" t="n"/>
      <c r="F37" s="170">
        <f>IF(OR(D37="",E37=""),"",D37*E37)</f>
        <v/>
      </c>
      <c r="G37" s="103" t="n"/>
      <c r="H37" s="88" t="n"/>
      <c r="I37" s="88" t="n"/>
      <c r="J37" s="88" t="n"/>
      <c r="K37" s="88" t="n"/>
      <c r="L37" s="88" t="n"/>
      <c r="M37" s="88" t="n"/>
      <c r="N37" s="88" t="n"/>
      <c r="O37" s="170">
        <f>IF(A54="","",A54)</f>
        <v/>
      </c>
      <c r="P37" s="88" t="n"/>
      <c r="Q37" s="88" t="n"/>
      <c r="R37" s="88" t="n"/>
      <c r="S37" s="88" t="n"/>
      <c r="T37" s="88" t="n"/>
    </row>
    <row r="38" ht="14.25" customHeight="1" s="83">
      <c r="A38" s="103" t="n"/>
      <c r="B38" s="103" t="n"/>
      <c r="C38" s="103" t="n"/>
      <c r="D38" s="103" t="n"/>
      <c r="E38" s="103" t="n"/>
      <c r="F38" s="170">
        <f>IF(OR(D38="",E38=""),"",D38*E38)</f>
        <v/>
      </c>
      <c r="G38" s="103" t="n"/>
      <c r="H38" s="88" t="n"/>
      <c r="I38" s="88" t="n"/>
      <c r="J38" s="88" t="n"/>
      <c r="K38" s="88" t="n"/>
      <c r="L38" s="88" t="n"/>
      <c r="M38" s="88" t="n"/>
      <c r="N38" s="88" t="n"/>
      <c r="O38" s="170">
        <f>IF(A55="","",A55)</f>
        <v/>
      </c>
      <c r="P38" s="88" t="n"/>
      <c r="Q38" s="88" t="n"/>
      <c r="R38" s="88" t="n"/>
      <c r="S38" s="88" t="n"/>
      <c r="T38" s="88" t="n"/>
    </row>
    <row r="39" ht="14.25" customHeight="1" s="83">
      <c r="A39" s="103" t="n"/>
      <c r="B39" s="103" t="n"/>
      <c r="C39" s="103" t="n"/>
      <c r="D39" s="103" t="n"/>
      <c r="E39" s="103" t="n"/>
      <c r="F39" s="170">
        <f>IF(OR(D39="",E39=""),"",D39*E39)</f>
        <v/>
      </c>
      <c r="G39" s="103" t="n"/>
      <c r="H39" s="88" t="n"/>
      <c r="I39" s="88" t="n"/>
      <c r="J39" s="88" t="n"/>
      <c r="K39" s="88" t="n"/>
      <c r="L39" s="88" t="n"/>
      <c r="M39" s="88" t="n"/>
      <c r="N39" s="88" t="n"/>
      <c r="O39" s="170">
        <f>IF(A56="","",A56)</f>
        <v/>
      </c>
      <c r="P39" s="88" t="n"/>
      <c r="Q39" s="88" t="n"/>
      <c r="R39" s="88" t="n"/>
      <c r="S39" s="88" t="n"/>
      <c r="T39" s="88" t="n"/>
    </row>
    <row r="40" ht="14.25" customHeight="1" s="83">
      <c r="A40" s="103" t="n"/>
      <c r="B40" s="103" t="n"/>
      <c r="C40" s="103" t="n"/>
      <c r="D40" s="103" t="n"/>
      <c r="E40" s="103" t="n"/>
      <c r="F40" s="170">
        <f>IF(OR(D40="",E40=""),"",D40*E40)</f>
        <v/>
      </c>
      <c r="G40" s="103" t="n"/>
      <c r="H40" s="88" t="n"/>
      <c r="I40" s="88" t="n"/>
      <c r="J40" s="88" t="n"/>
      <c r="K40" s="88" t="n"/>
      <c r="L40" s="88" t="n"/>
      <c r="M40" s="88" t="n"/>
      <c r="N40" s="88" t="n"/>
      <c r="O40" s="170">
        <f>IF(A57="","",A57)</f>
        <v/>
      </c>
      <c r="P40" s="88" t="n"/>
      <c r="Q40" s="88" t="n"/>
      <c r="R40" s="88" t="n"/>
      <c r="S40" s="88" t="n"/>
      <c r="T40" s="88" t="n"/>
    </row>
    <row r="41" ht="14.25" customHeight="1" s="83">
      <c r="A41" s="103" t="n"/>
      <c r="B41" s="103" t="n"/>
      <c r="C41" s="103" t="n"/>
      <c r="D41" s="103" t="n"/>
      <c r="E41" s="103" t="n"/>
      <c r="F41" s="170">
        <f>IF(OR(D41="",E41=""),"",D41*E41)</f>
        <v/>
      </c>
      <c r="G41" s="103" t="n"/>
      <c r="H41" s="88" t="n"/>
      <c r="I41" s="88" t="n"/>
      <c r="J41" s="88" t="n"/>
      <c r="K41" s="88" t="n"/>
      <c r="L41" s="88" t="n"/>
      <c r="M41" s="88" t="n"/>
      <c r="N41" s="88" t="n"/>
      <c r="O41" s="170">
        <f>IF(A58="","",A58)</f>
        <v/>
      </c>
      <c r="P41" s="88" t="n"/>
      <c r="Q41" s="88" t="n"/>
      <c r="R41" s="88" t="n"/>
      <c r="S41" s="88" t="n"/>
      <c r="T41" s="88" t="n"/>
    </row>
    <row r="42" ht="14.25" customHeight="1" s="83">
      <c r="A42" s="103" t="n"/>
      <c r="B42" s="103" t="n"/>
      <c r="C42" s="103" t="n"/>
      <c r="D42" s="103" t="n"/>
      <c r="E42" s="103" t="n"/>
      <c r="F42" s="170">
        <f>IF(OR(D42="",E42=""),"",D42*E42)</f>
        <v/>
      </c>
      <c r="G42" s="103" t="n"/>
      <c r="H42" s="88" t="n"/>
      <c r="I42" s="88" t="n"/>
      <c r="J42" s="88" t="n"/>
      <c r="K42" s="88" t="n"/>
      <c r="L42" s="88" t="n"/>
      <c r="M42" s="88" t="n"/>
      <c r="N42" s="88" t="n"/>
      <c r="O42" s="170">
        <f>IF(A59="","",A59)</f>
        <v/>
      </c>
      <c r="P42" s="88" t="n"/>
      <c r="Q42" s="88" t="n"/>
      <c r="R42" s="88" t="n"/>
      <c r="S42" s="88" t="n"/>
      <c r="T42" s="88" t="n"/>
    </row>
    <row r="43" ht="14.25" customHeight="1" s="83">
      <c r="A43" s="103" t="n"/>
      <c r="B43" s="103" t="n"/>
      <c r="C43" s="103" t="n"/>
      <c r="D43" s="103" t="n"/>
      <c r="E43" s="103" t="n"/>
      <c r="F43" s="170">
        <f>IF(OR(D43="",E43=""),"",D43*E43)</f>
        <v/>
      </c>
      <c r="G43" s="103" t="n"/>
      <c r="H43" s="88" t="n"/>
      <c r="I43" s="88" t="n"/>
      <c r="J43" s="88" t="n"/>
      <c r="K43" s="88" t="n"/>
      <c r="L43" s="88" t="n"/>
      <c r="M43" s="88" t="n"/>
      <c r="N43" s="88" t="n"/>
      <c r="O43" s="170">
        <f>IF(A60="","",A60)</f>
        <v/>
      </c>
      <c r="P43" s="88" t="n"/>
      <c r="Q43" s="88" t="n"/>
      <c r="R43" s="88" t="n"/>
      <c r="S43" s="88" t="n"/>
      <c r="T43" s="88" t="n"/>
    </row>
    <row r="44" ht="14.25" customHeight="1" s="83">
      <c r="A44" s="103" t="n"/>
      <c r="B44" s="103" t="n"/>
      <c r="C44" s="103" t="n"/>
      <c r="D44" s="103" t="n"/>
      <c r="E44" s="103" t="n"/>
      <c r="F44" s="170">
        <f>IF(OR(D44="",E44=""),"",D44*E44)</f>
        <v/>
      </c>
      <c r="G44" s="103" t="n"/>
      <c r="H44" s="88" t="n"/>
      <c r="I44" s="88" t="n"/>
      <c r="J44" s="88" t="n"/>
      <c r="K44" s="88" t="n"/>
      <c r="L44" s="88" t="n"/>
      <c r="M44" s="88" t="n"/>
      <c r="N44" s="88" t="n"/>
      <c r="O44" s="170">
        <f>IF(A61="","",A61)</f>
        <v/>
      </c>
      <c r="P44" s="88" t="n"/>
      <c r="Q44" s="88" t="n"/>
      <c r="R44" s="88" t="n"/>
      <c r="S44" s="88" t="n"/>
      <c r="T44" s="88" t="n"/>
    </row>
    <row r="45" ht="14.25" customHeight="1" s="83">
      <c r="A45" s="103" t="n"/>
      <c r="B45" s="103" t="n"/>
      <c r="C45" s="103" t="n"/>
      <c r="D45" s="103" t="n"/>
      <c r="E45" s="103" t="n"/>
      <c r="F45" s="170">
        <f>IF(OR(D45="",E45=""),"",D45*E45)</f>
        <v/>
      </c>
      <c r="G45" s="103" t="n"/>
      <c r="H45" s="88" t="n"/>
      <c r="I45" s="88" t="n"/>
      <c r="J45" s="88" t="n"/>
      <c r="K45" s="88" t="n"/>
      <c r="L45" s="88" t="n"/>
      <c r="M45" s="88" t="n"/>
      <c r="N45" s="88" t="n"/>
      <c r="O45" s="170">
        <f>IF(A62="","",A62)</f>
        <v/>
      </c>
      <c r="P45" s="88" t="n"/>
      <c r="Q45" s="88" t="n"/>
      <c r="R45" s="88" t="n"/>
      <c r="S45" s="88" t="n"/>
      <c r="T45" s="88" t="n"/>
    </row>
    <row r="46" ht="14.25" customHeight="1" s="83">
      <c r="A46" s="103" t="n"/>
      <c r="B46" s="103" t="n"/>
      <c r="C46" s="103" t="n"/>
      <c r="D46" s="103" t="n"/>
      <c r="E46" s="103" t="n"/>
      <c r="F46" s="170">
        <f>IF(OR(D46="",E46=""),"",D46*E46)</f>
        <v/>
      </c>
      <c r="G46" s="103" t="n"/>
      <c r="H46" s="88" t="n"/>
      <c r="I46" s="88" t="n"/>
      <c r="J46" s="88" t="n"/>
      <c r="K46" s="88" t="n"/>
      <c r="L46" s="88" t="n"/>
      <c r="M46" s="88" t="n"/>
      <c r="N46" s="88" t="n"/>
      <c r="O46" s="170">
        <f>IF(A63="","",A63)</f>
        <v/>
      </c>
      <c r="P46" s="88" t="n"/>
      <c r="Q46" s="88" t="n"/>
      <c r="R46" s="88" t="n"/>
      <c r="S46" s="88" t="n"/>
      <c r="T46" s="88" t="n"/>
    </row>
    <row r="47" ht="14.25" customHeight="1" s="83">
      <c r="A47" s="103" t="n"/>
      <c r="B47" s="103" t="n"/>
      <c r="C47" s="103" t="n"/>
      <c r="D47" s="103" t="n"/>
      <c r="E47" s="103" t="n"/>
      <c r="F47" s="170">
        <f>IF(OR(D47="",E47=""),"",D47*E47)</f>
        <v/>
      </c>
      <c r="G47" s="103" t="n"/>
      <c r="H47" s="88" t="n"/>
      <c r="I47" s="88" t="n"/>
      <c r="J47" s="88" t="n"/>
      <c r="K47" s="88" t="n"/>
      <c r="L47" s="88" t="n"/>
      <c r="M47" s="88" t="n"/>
      <c r="N47" s="88" t="n"/>
      <c r="O47" s="170">
        <f>IF(A64="","",A64)</f>
        <v/>
      </c>
      <c r="P47" s="88" t="n"/>
      <c r="Q47" s="88" t="n"/>
      <c r="R47" s="88" t="n"/>
      <c r="S47" s="88" t="n"/>
      <c r="T47" s="88" t="n"/>
    </row>
    <row r="48" ht="14.25" customHeight="1" s="83">
      <c r="A48" s="103" t="n"/>
      <c r="B48" s="103" t="n"/>
      <c r="C48" s="103" t="n"/>
      <c r="D48" s="103" t="n"/>
      <c r="E48" s="103" t="n"/>
      <c r="F48" s="170">
        <f>IF(OR(D48="",E48=""),"",D48*E48)</f>
        <v/>
      </c>
      <c r="G48" s="103" t="n"/>
      <c r="H48" s="88" t="n"/>
      <c r="I48" s="88" t="n"/>
      <c r="J48" s="88" t="n"/>
      <c r="K48" s="88" t="n"/>
      <c r="L48" s="88" t="n"/>
      <c r="M48" s="88" t="n"/>
      <c r="N48" s="88" t="n"/>
      <c r="O48" s="170">
        <f>IF(A65="","",A65)</f>
        <v/>
      </c>
      <c r="P48" s="88" t="n"/>
      <c r="Q48" s="88" t="n"/>
      <c r="R48" s="88" t="n"/>
      <c r="S48" s="88" t="n"/>
      <c r="T48" s="88" t="n"/>
    </row>
    <row r="49" ht="14.25" customHeight="1" s="83">
      <c r="A49" s="103" t="n"/>
      <c r="B49" s="103" t="n"/>
      <c r="C49" s="103" t="n"/>
      <c r="D49" s="103" t="n"/>
      <c r="E49" s="103" t="n"/>
      <c r="F49" s="170">
        <f>IF(OR(D49="",E49=""),"",D49*E49)</f>
        <v/>
      </c>
      <c r="G49" s="103" t="n"/>
      <c r="H49" s="88" t="n"/>
      <c r="I49" s="88" t="n"/>
      <c r="J49" s="88" t="n"/>
      <c r="K49" s="88" t="n"/>
      <c r="L49" s="88" t="n"/>
      <c r="M49" s="88" t="n"/>
      <c r="N49" s="88" t="n"/>
      <c r="O49" s="170">
        <f>IF(A66="","",A66)</f>
        <v/>
      </c>
      <c r="P49" s="88" t="n"/>
      <c r="Q49" s="88" t="n"/>
      <c r="R49" s="88" t="n"/>
      <c r="S49" s="88" t="n"/>
      <c r="T49" s="88" t="n"/>
    </row>
    <row r="50" ht="14.25" customHeight="1" s="83">
      <c r="A50" s="103" t="n"/>
      <c r="B50" s="103" t="n"/>
      <c r="C50" s="103" t="n"/>
      <c r="D50" s="103" t="n"/>
      <c r="E50" s="103" t="n"/>
      <c r="F50" s="170">
        <f>IF(OR(D50="",E50=""),"",D50*E50)</f>
        <v/>
      </c>
      <c r="G50" s="103" t="n"/>
      <c r="H50" s="88" t="n"/>
      <c r="I50" s="88" t="n"/>
      <c r="J50" s="88" t="n"/>
      <c r="K50" s="88" t="n"/>
      <c r="L50" s="88" t="n"/>
      <c r="M50" s="88" t="n"/>
      <c r="N50" s="88" t="n"/>
      <c r="O50" s="170">
        <f>IF(A67="","",A67)</f>
        <v/>
      </c>
      <c r="P50" s="88" t="n"/>
      <c r="Q50" s="88" t="n"/>
      <c r="R50" s="88" t="n"/>
      <c r="S50" s="88" t="n"/>
      <c r="T50" s="88" t="n"/>
    </row>
    <row r="51" ht="14.25" customHeight="1" s="83">
      <c r="A51" s="103" t="n"/>
      <c r="B51" s="103" t="n"/>
      <c r="C51" s="103" t="n"/>
      <c r="D51" s="103" t="n"/>
      <c r="E51" s="103" t="n"/>
      <c r="F51" s="170">
        <f>IF(OR(D51="",E51=""),"",D51*E51)</f>
        <v/>
      </c>
      <c r="G51" s="103" t="n"/>
      <c r="H51" s="88" t="n"/>
      <c r="I51" s="88" t="n"/>
      <c r="J51" s="88" t="n"/>
      <c r="K51" s="88" t="n"/>
      <c r="L51" s="88" t="n"/>
      <c r="M51" s="88" t="n"/>
      <c r="N51" s="88" t="n"/>
      <c r="O51" s="170">
        <f>IF(A68="","",A68)</f>
        <v/>
      </c>
      <c r="P51" s="88" t="n"/>
      <c r="Q51" s="88" t="n"/>
      <c r="R51" s="88" t="n"/>
      <c r="S51" s="88" t="n"/>
      <c r="T51" s="88" t="n"/>
    </row>
    <row r="52" ht="14.25" customHeight="1" s="83">
      <c r="A52" s="103" t="n"/>
      <c r="B52" s="103" t="n"/>
      <c r="C52" s="103" t="n"/>
      <c r="D52" s="103" t="n"/>
      <c r="E52" s="103" t="n"/>
      <c r="F52" s="170">
        <f>IF(OR(D52="",E52=""),"",D52*E52)</f>
        <v/>
      </c>
      <c r="G52" s="103" t="n"/>
      <c r="H52" s="88" t="n"/>
      <c r="I52" s="88" t="n"/>
      <c r="J52" s="88" t="n"/>
      <c r="K52" s="88" t="n"/>
      <c r="L52" s="88" t="n"/>
      <c r="M52" s="88" t="n"/>
      <c r="N52" s="88" t="n"/>
      <c r="O52" s="170">
        <f>IF(A69="","",A69)</f>
        <v/>
      </c>
      <c r="P52" s="88" t="n"/>
      <c r="Q52" s="88" t="n"/>
      <c r="R52" s="88" t="n"/>
      <c r="S52" s="88" t="n"/>
      <c r="T52" s="88" t="n"/>
    </row>
    <row r="53" ht="14.25" customHeight="1" s="83">
      <c r="A53" s="103" t="n"/>
      <c r="B53" s="103" t="n"/>
      <c r="C53" s="103" t="n"/>
      <c r="D53" s="103" t="n"/>
      <c r="E53" s="103" t="n"/>
      <c r="F53" s="170">
        <f>IF(OR(D53="",E53=""),"",D53*E53)</f>
        <v/>
      </c>
      <c r="G53" s="103" t="n"/>
      <c r="H53" s="88" t="n"/>
      <c r="I53" s="88" t="n"/>
      <c r="J53" s="88" t="n"/>
      <c r="K53" s="88" t="n"/>
      <c r="L53" s="88" t="n"/>
      <c r="M53" s="88" t="n"/>
      <c r="N53" s="88" t="n"/>
      <c r="O53" s="170">
        <f>IF(A70="","",A70)</f>
        <v/>
      </c>
      <c r="P53" s="88" t="n"/>
      <c r="Q53" s="88" t="n"/>
      <c r="R53" s="88" t="n"/>
      <c r="S53" s="88" t="n"/>
      <c r="T53" s="88" t="n"/>
    </row>
    <row r="54" ht="14.25" customHeight="1" s="83">
      <c r="A54" s="103" t="n"/>
      <c r="B54" s="103" t="n"/>
      <c r="C54" s="103" t="n"/>
      <c r="D54" s="103" t="n"/>
      <c r="E54" s="103" t="n"/>
      <c r="F54" s="170">
        <f>IF(OR(D54="",E54=""),"",D54*E54)</f>
        <v/>
      </c>
      <c r="G54" s="103" t="n"/>
      <c r="H54" s="88" t="n"/>
      <c r="I54" s="88" t="n"/>
      <c r="J54" s="88" t="n"/>
      <c r="K54" s="88" t="n"/>
      <c r="L54" s="88" t="n"/>
      <c r="M54" s="88" t="n"/>
      <c r="N54" s="88" t="n"/>
      <c r="O54" s="170">
        <f>IF(A71="","",A71)</f>
        <v/>
      </c>
      <c r="P54" s="88" t="n"/>
      <c r="Q54" s="88" t="n"/>
      <c r="R54" s="88" t="n"/>
      <c r="S54" s="88" t="n"/>
      <c r="T54" s="88" t="n"/>
    </row>
    <row r="55" ht="14.25" customHeight="1" s="83">
      <c r="A55" s="103" t="n"/>
      <c r="B55" s="103" t="n"/>
      <c r="C55" s="103" t="n"/>
      <c r="D55" s="103" t="n"/>
      <c r="E55" s="103" t="n"/>
      <c r="F55" s="170">
        <f>IF(OR(D55="",E55=""),"",D55*E55)</f>
        <v/>
      </c>
      <c r="G55" s="103" t="n"/>
      <c r="H55" s="88" t="n"/>
      <c r="I55" s="88" t="n"/>
      <c r="J55" s="88" t="n"/>
      <c r="K55" s="88" t="n"/>
      <c r="L55" s="88" t="n"/>
      <c r="M55" s="88" t="n"/>
      <c r="N55" s="88" t="n"/>
      <c r="O55" s="170">
        <f>IF(A72="","",A72)</f>
        <v/>
      </c>
      <c r="P55" s="88" t="n"/>
      <c r="Q55" s="88" t="n"/>
      <c r="R55" s="88" t="n"/>
      <c r="S55" s="88" t="n"/>
      <c r="T55" s="88" t="n"/>
    </row>
    <row r="56" ht="14.25" customHeight="1" s="83">
      <c r="A56" s="103" t="n"/>
      <c r="B56" s="103" t="n"/>
      <c r="C56" s="103" t="n"/>
      <c r="D56" s="103" t="n"/>
      <c r="E56" s="103" t="n"/>
      <c r="F56" s="170">
        <f>IF(OR(D56="",E56=""),"",D56*E56)</f>
        <v/>
      </c>
      <c r="G56" s="103" t="n"/>
      <c r="H56" s="88" t="n"/>
      <c r="I56" s="88" t="n"/>
      <c r="J56" s="88" t="n"/>
      <c r="K56" s="88" t="n"/>
      <c r="L56" s="88" t="n"/>
      <c r="M56" s="88" t="n"/>
      <c r="N56" s="88" t="n"/>
      <c r="O56" s="170">
        <f>IF(A73="","",A73)</f>
        <v/>
      </c>
      <c r="P56" s="88" t="n"/>
      <c r="Q56" s="88" t="n"/>
      <c r="R56" s="88" t="n"/>
      <c r="S56" s="88" t="n"/>
      <c r="T56" s="88" t="n"/>
    </row>
    <row r="57" ht="14.25" customHeight="1" s="83">
      <c r="A57" s="103" t="n"/>
      <c r="B57" s="103" t="n"/>
      <c r="C57" s="103" t="n"/>
      <c r="D57" s="103" t="n"/>
      <c r="E57" s="103" t="n"/>
      <c r="F57" s="170">
        <f>IF(OR(D57="",E57=""),"",D57*E57)</f>
        <v/>
      </c>
      <c r="G57" s="103" t="n"/>
      <c r="H57" s="88" t="n"/>
      <c r="I57" s="88" t="n"/>
      <c r="J57" s="88" t="n"/>
      <c r="K57" s="88" t="n"/>
      <c r="L57" s="88" t="n"/>
      <c r="M57" s="88" t="n"/>
      <c r="N57" s="88" t="n"/>
      <c r="O57" s="170">
        <f>IF(A74="","",A74)</f>
        <v/>
      </c>
      <c r="P57" s="88" t="n"/>
      <c r="Q57" s="88" t="n"/>
      <c r="R57" s="88" t="n"/>
      <c r="S57" s="88" t="n"/>
      <c r="T57" s="88" t="n"/>
    </row>
    <row r="58" ht="14.25" customHeight="1" s="83">
      <c r="A58" s="103" t="n"/>
      <c r="B58" s="103" t="n"/>
      <c r="C58" s="103" t="n"/>
      <c r="D58" s="103" t="n"/>
      <c r="E58" s="103" t="n"/>
      <c r="F58" s="170">
        <f>IF(OR(D58="",E58=""),"",D58*E58)</f>
        <v/>
      </c>
      <c r="G58" s="103" t="n"/>
      <c r="H58" s="88" t="n"/>
      <c r="I58" s="88" t="n"/>
      <c r="J58" s="88" t="n"/>
      <c r="K58" s="88" t="n"/>
      <c r="L58" s="88" t="n"/>
      <c r="M58" s="88" t="n"/>
      <c r="N58" s="88" t="n"/>
      <c r="O58" s="170">
        <f>IF(A75="","",A75)</f>
        <v/>
      </c>
      <c r="P58" s="88" t="n"/>
      <c r="Q58" s="88" t="n"/>
      <c r="R58" s="88" t="n"/>
      <c r="S58" s="88" t="n"/>
      <c r="T58" s="88" t="n"/>
    </row>
    <row r="59" ht="14.25" customHeight="1" s="83">
      <c r="A59" s="103" t="n"/>
      <c r="B59" s="103" t="n"/>
      <c r="C59" s="103" t="n"/>
      <c r="D59" s="103" t="n"/>
      <c r="E59" s="103" t="n"/>
      <c r="F59" s="170">
        <f>IF(OR(D59="",E59=""),"",D59*E59)</f>
        <v/>
      </c>
      <c r="G59" s="103" t="n"/>
      <c r="H59" s="88" t="n"/>
      <c r="I59" s="88" t="n"/>
      <c r="J59" s="88" t="n"/>
      <c r="K59" s="88" t="n"/>
      <c r="L59" s="88" t="n"/>
      <c r="M59" s="88" t="n"/>
      <c r="N59" s="88" t="n"/>
      <c r="O59" s="170">
        <f>IF(A76="","",A76)</f>
        <v/>
      </c>
      <c r="P59" s="88" t="n"/>
      <c r="Q59" s="88" t="n"/>
      <c r="R59" s="88" t="n"/>
      <c r="S59" s="88" t="n"/>
      <c r="T59" s="88" t="n"/>
    </row>
    <row r="60" ht="14.25" customHeight="1" s="83">
      <c r="A60" s="103" t="n"/>
      <c r="B60" s="103" t="n"/>
      <c r="C60" s="103" t="n"/>
      <c r="D60" s="103" t="n"/>
      <c r="E60" s="103" t="n"/>
      <c r="F60" s="170">
        <f>IF(OR(D60="",E60=""),"",D60*E60)</f>
        <v/>
      </c>
      <c r="G60" s="103" t="n"/>
      <c r="H60" s="88" t="n"/>
      <c r="I60" s="88" t="n"/>
      <c r="J60" s="88" t="n"/>
      <c r="K60" s="88" t="n"/>
      <c r="L60" s="88" t="n"/>
      <c r="M60" s="88" t="n"/>
      <c r="N60" s="88" t="n"/>
      <c r="O60" s="170">
        <f>IF(A77="","",A77)</f>
        <v/>
      </c>
      <c r="P60" s="88" t="n"/>
      <c r="Q60" s="88" t="n"/>
      <c r="R60" s="88" t="n"/>
      <c r="S60" s="88" t="n"/>
      <c r="T60" s="88" t="n"/>
    </row>
    <row r="61" ht="14.25" customHeight="1" s="83">
      <c r="A61" s="103" t="n"/>
      <c r="B61" s="103" t="n"/>
      <c r="C61" s="103" t="n"/>
      <c r="D61" s="103" t="n"/>
      <c r="E61" s="103" t="n"/>
      <c r="F61" s="170">
        <f>IF(OR(D61="",E61=""),"",D61*E61)</f>
        <v/>
      </c>
      <c r="G61" s="103" t="n"/>
      <c r="H61" s="88" t="n"/>
      <c r="I61" s="88" t="n"/>
      <c r="J61" s="88" t="n"/>
      <c r="K61" s="88" t="n"/>
      <c r="L61" s="88" t="n"/>
      <c r="M61" s="88" t="n"/>
      <c r="N61" s="88" t="n"/>
      <c r="O61" s="170">
        <f>IF(A78="","",A78)</f>
        <v/>
      </c>
      <c r="P61" s="88" t="n"/>
      <c r="Q61" s="88" t="n"/>
      <c r="R61" s="88" t="n"/>
      <c r="S61" s="88" t="n"/>
      <c r="T61" s="88" t="n"/>
    </row>
    <row r="62" ht="14.25" customHeight="1" s="83">
      <c r="A62" s="103" t="n"/>
      <c r="B62" s="103" t="n"/>
      <c r="C62" s="103" t="n"/>
      <c r="D62" s="103" t="n"/>
      <c r="E62" s="103" t="n"/>
      <c r="F62" s="170">
        <f>IF(OR(D62="",E62=""),"",D62*E62)</f>
        <v/>
      </c>
      <c r="G62" s="103" t="n"/>
      <c r="H62" s="88" t="n"/>
      <c r="I62" s="88" t="n"/>
      <c r="J62" s="88" t="n"/>
      <c r="K62" s="88" t="n"/>
      <c r="L62" s="88" t="n"/>
      <c r="M62" s="88" t="n"/>
      <c r="N62" s="88" t="n"/>
      <c r="O62" s="170">
        <f>IF(A79="","",A79)</f>
        <v/>
      </c>
      <c r="P62" s="88" t="n"/>
      <c r="Q62" s="88" t="n"/>
      <c r="R62" s="88" t="n"/>
      <c r="S62" s="88" t="n"/>
      <c r="T62" s="88" t="n"/>
    </row>
    <row r="63" ht="14.25" customHeight="1" s="83">
      <c r="A63" s="103" t="n"/>
      <c r="B63" s="103" t="n"/>
      <c r="C63" s="103" t="n"/>
      <c r="D63" s="103" t="n"/>
      <c r="E63" s="103" t="n"/>
      <c r="F63" s="170">
        <f>IF(OR(D63="",E63=""),"",D63*E63)</f>
        <v/>
      </c>
      <c r="G63" s="103" t="n"/>
      <c r="H63" s="88" t="n"/>
      <c r="I63" s="88" t="n"/>
      <c r="J63" s="88" t="n"/>
      <c r="K63" s="88" t="n"/>
      <c r="L63" s="88" t="n"/>
      <c r="M63" s="88" t="n"/>
      <c r="N63" s="88" t="n"/>
      <c r="O63" s="170">
        <f>IF(A80="","",A80)</f>
        <v/>
      </c>
      <c r="P63" s="88" t="n"/>
      <c r="Q63" s="88" t="n"/>
      <c r="R63" s="88" t="n"/>
      <c r="S63" s="88" t="n"/>
      <c r="T63" s="88" t="n"/>
    </row>
    <row r="64" ht="14.25" customHeight="1" s="83">
      <c r="A64" s="103" t="n"/>
      <c r="B64" s="103" t="n"/>
      <c r="C64" s="103" t="n"/>
      <c r="D64" s="103" t="n"/>
      <c r="E64" s="103" t="n"/>
      <c r="F64" s="170">
        <f>IF(OR(D64="",E64=""),"",D64*E64)</f>
        <v/>
      </c>
      <c r="G64" s="103" t="n"/>
      <c r="H64" s="88" t="n"/>
      <c r="I64" s="88" t="n"/>
      <c r="J64" s="88" t="n"/>
      <c r="K64" s="88" t="n"/>
      <c r="L64" s="88" t="n"/>
      <c r="M64" s="88" t="n"/>
      <c r="N64" s="88" t="n"/>
      <c r="O64" s="170">
        <f>IF(A81="","",A81)</f>
        <v/>
      </c>
      <c r="P64" s="88" t="n"/>
      <c r="Q64" s="88" t="n"/>
      <c r="R64" s="88" t="n"/>
      <c r="S64" s="88" t="n"/>
      <c r="T64" s="88" t="n"/>
    </row>
    <row r="65" ht="14.25" customHeight="1" s="83">
      <c r="A65" s="103" t="n"/>
      <c r="B65" s="103" t="n"/>
      <c r="C65" s="103" t="n"/>
      <c r="D65" s="103" t="n"/>
      <c r="E65" s="103" t="n"/>
      <c r="F65" s="170">
        <f>IF(OR(D65="",E65=""),"",D65*E65)</f>
        <v/>
      </c>
      <c r="G65" s="103" t="n"/>
      <c r="H65" s="88" t="n"/>
      <c r="I65" s="88" t="n"/>
      <c r="J65" s="88" t="n"/>
      <c r="K65" s="88" t="n"/>
      <c r="L65" s="88" t="n"/>
      <c r="M65" s="88" t="n"/>
      <c r="N65" s="88" t="n"/>
      <c r="O65" s="170">
        <f>IF(A82="","",A82)</f>
        <v/>
      </c>
      <c r="P65" s="88" t="n"/>
      <c r="Q65" s="88" t="n"/>
      <c r="R65" s="88" t="n"/>
      <c r="S65" s="88" t="n"/>
      <c r="T65" s="88" t="n"/>
    </row>
    <row r="66" ht="14.25" customHeight="1" s="83">
      <c r="A66" s="103" t="n"/>
      <c r="B66" s="103" t="n"/>
      <c r="C66" s="103" t="n"/>
      <c r="D66" s="103" t="n"/>
      <c r="E66" s="103" t="n"/>
      <c r="F66" s="170">
        <f>IF(OR(D66="",E66=""),"",D66*E66)</f>
        <v/>
      </c>
      <c r="G66" s="103" t="n"/>
      <c r="H66" s="88" t="n"/>
      <c r="I66" s="88" t="n"/>
      <c r="J66" s="88" t="n"/>
      <c r="K66" s="88" t="n"/>
      <c r="L66" s="88" t="n"/>
      <c r="M66" s="88" t="n"/>
      <c r="N66" s="88" t="n"/>
      <c r="O66" s="170">
        <f>IF(A83="","",A83)</f>
        <v/>
      </c>
      <c r="P66" s="88" t="n"/>
      <c r="Q66" s="88" t="n"/>
      <c r="R66" s="88" t="n"/>
      <c r="S66" s="88" t="n"/>
      <c r="T66" s="88" t="n"/>
    </row>
    <row r="67" ht="14.25" customHeight="1" s="83">
      <c r="A67" s="103" t="n"/>
      <c r="B67" s="103" t="n"/>
      <c r="C67" s="103" t="n"/>
      <c r="D67" s="103" t="n"/>
      <c r="E67" s="103" t="n"/>
      <c r="F67" s="170">
        <f>IF(OR(D67="",E67=""),"",D67*E67)</f>
        <v/>
      </c>
      <c r="G67" s="103" t="n"/>
      <c r="H67" s="88" t="n"/>
      <c r="I67" s="88" t="n"/>
      <c r="J67" s="88" t="n"/>
      <c r="K67" s="88" t="n"/>
      <c r="L67" s="88" t="n"/>
      <c r="M67" s="88" t="n"/>
      <c r="N67" s="88" t="n"/>
      <c r="O67" s="170">
        <f>IF(A84="","",A84)</f>
        <v/>
      </c>
      <c r="P67" s="88" t="n"/>
      <c r="Q67" s="88" t="n"/>
      <c r="R67" s="88" t="n"/>
      <c r="S67" s="88" t="n"/>
      <c r="T67" s="88" t="n"/>
    </row>
    <row r="68" ht="14.25" customHeight="1" s="83">
      <c r="A68" s="103" t="n"/>
      <c r="B68" s="103" t="n"/>
      <c r="C68" s="103" t="n"/>
      <c r="D68" s="103" t="n"/>
      <c r="E68" s="103" t="n"/>
      <c r="F68" s="170">
        <f>IF(OR(D68="",E68=""),"",D68*E68)</f>
        <v/>
      </c>
      <c r="G68" s="103" t="n"/>
      <c r="H68" s="88" t="n"/>
      <c r="I68" s="88" t="n"/>
      <c r="J68" s="88" t="n"/>
      <c r="K68" s="88" t="n"/>
      <c r="L68" s="88" t="n"/>
      <c r="M68" s="88" t="n"/>
      <c r="N68" s="88" t="n"/>
      <c r="O68" s="170">
        <f>IF(A85="","",A85)</f>
        <v/>
      </c>
      <c r="P68" s="88" t="n"/>
      <c r="Q68" s="88" t="n"/>
      <c r="R68" s="88" t="n"/>
      <c r="S68" s="88" t="n"/>
      <c r="T68" s="88" t="n"/>
    </row>
    <row r="69" ht="14.25" customHeight="1" s="83">
      <c r="A69" s="103" t="n"/>
      <c r="B69" s="103" t="n"/>
      <c r="C69" s="103" t="n"/>
      <c r="D69" s="103" t="n"/>
      <c r="E69" s="103" t="n"/>
      <c r="F69" s="170">
        <f>IF(OR(D69="",E69=""),"",D69*E69)</f>
        <v/>
      </c>
      <c r="G69" s="103" t="n"/>
      <c r="H69" s="88" t="n"/>
      <c r="I69" s="88" t="n"/>
      <c r="J69" s="88" t="n"/>
      <c r="K69" s="88" t="n"/>
      <c r="L69" s="88" t="n"/>
      <c r="M69" s="88" t="n"/>
      <c r="N69" s="88" t="n"/>
      <c r="O69" s="170">
        <f>IF(A86="","",A86)</f>
        <v/>
      </c>
      <c r="P69" s="88" t="n"/>
      <c r="Q69" s="88" t="n"/>
      <c r="R69" s="88" t="n"/>
      <c r="S69" s="88" t="n"/>
      <c r="T69" s="88" t="n"/>
    </row>
    <row r="70" ht="14.25" customHeight="1" s="83">
      <c r="A70" s="103" t="n"/>
      <c r="B70" s="103" t="n"/>
      <c r="C70" s="103" t="n"/>
      <c r="D70" s="103" t="n"/>
      <c r="E70" s="103" t="n"/>
      <c r="F70" s="170">
        <f>IF(OR(D70="",E70=""),"",D70*E70)</f>
        <v/>
      </c>
      <c r="G70" s="103" t="n"/>
      <c r="H70" s="88" t="n"/>
      <c r="I70" s="88" t="n"/>
      <c r="J70" s="88" t="n"/>
      <c r="K70" s="88" t="n"/>
      <c r="L70" s="88" t="n"/>
      <c r="M70" s="88" t="n"/>
      <c r="N70" s="88" t="n"/>
      <c r="O70" s="170">
        <f>IF(A87="","",A87)</f>
        <v/>
      </c>
      <c r="P70" s="88" t="n"/>
      <c r="Q70" s="88" t="n"/>
      <c r="R70" s="88" t="n"/>
      <c r="S70" s="88" t="n"/>
      <c r="T70" s="88" t="n"/>
    </row>
    <row r="71" ht="14.25" customHeight="1" s="83">
      <c r="A71" s="103" t="n"/>
      <c r="B71" s="103" t="n"/>
      <c r="C71" s="103" t="n"/>
      <c r="D71" s="103" t="n"/>
      <c r="E71" s="103" t="n"/>
      <c r="F71" s="170">
        <f>IF(OR(D71="",E71=""),"",D71*E71)</f>
        <v/>
      </c>
      <c r="G71" s="103" t="n"/>
      <c r="H71" s="88" t="n"/>
      <c r="I71" s="88" t="n"/>
      <c r="J71" s="88" t="n"/>
      <c r="K71" s="88" t="n"/>
      <c r="L71" s="88" t="n"/>
      <c r="M71" s="88" t="n"/>
      <c r="N71" s="88" t="n"/>
      <c r="O71" s="170">
        <f>IF(A88="","",A88)</f>
        <v/>
      </c>
      <c r="P71" s="88" t="n"/>
      <c r="Q71" s="88" t="n"/>
      <c r="R71" s="88" t="n"/>
      <c r="S71" s="88" t="n"/>
      <c r="T71" s="88" t="n"/>
    </row>
    <row r="72" ht="14.25" customHeight="1" s="83">
      <c r="A72" s="103" t="n"/>
      <c r="B72" s="103" t="n"/>
      <c r="C72" s="103" t="n"/>
      <c r="D72" s="103" t="n"/>
      <c r="E72" s="103" t="n"/>
      <c r="F72" s="170">
        <f>IF(OR(D72="",E72=""),"",D72*E72)</f>
        <v/>
      </c>
      <c r="G72" s="103" t="n"/>
      <c r="H72" s="88" t="n"/>
      <c r="I72" s="88" t="n"/>
      <c r="J72" s="88" t="n"/>
      <c r="K72" s="88" t="n"/>
      <c r="L72" s="88" t="n"/>
      <c r="M72" s="88" t="n"/>
      <c r="N72" s="88" t="n"/>
      <c r="O72" s="170">
        <f>IF(A89="","",A89)</f>
        <v/>
      </c>
      <c r="P72" s="88" t="n"/>
      <c r="Q72" s="88" t="n"/>
      <c r="R72" s="88" t="n"/>
      <c r="S72" s="88" t="n"/>
      <c r="T72" s="88" t="n"/>
    </row>
    <row r="73" ht="14.25" customHeight="1" s="83">
      <c r="A73" s="103" t="n"/>
      <c r="B73" s="103" t="n"/>
      <c r="C73" s="103" t="n"/>
      <c r="D73" s="103" t="n"/>
      <c r="E73" s="103" t="n"/>
      <c r="F73" s="170">
        <f>IF(OR(D73="",E73=""),"",D73*E73)</f>
        <v/>
      </c>
      <c r="G73" s="103" t="n"/>
      <c r="H73" s="88" t="n"/>
      <c r="I73" s="88" t="n"/>
      <c r="J73" s="88" t="n"/>
      <c r="K73" s="88" t="n"/>
      <c r="L73" s="88" t="n"/>
      <c r="M73" s="88" t="n"/>
      <c r="N73" s="88" t="n"/>
      <c r="O73" s="170">
        <f>IF(A90="","",A90)</f>
        <v/>
      </c>
      <c r="P73" s="88" t="n"/>
      <c r="Q73" s="88" t="n"/>
      <c r="R73" s="88" t="n"/>
      <c r="S73" s="88" t="n"/>
      <c r="T73" s="88" t="n"/>
    </row>
    <row r="74" ht="14.25" customHeight="1" s="83">
      <c r="A74" s="103" t="n"/>
      <c r="B74" s="103" t="n"/>
      <c r="C74" s="103" t="n"/>
      <c r="D74" s="103" t="n"/>
      <c r="E74" s="103" t="n"/>
      <c r="F74" s="170">
        <f>IF(OR(D74="",E74=""),"",D74*E74)</f>
        <v/>
      </c>
      <c r="G74" s="103" t="n"/>
      <c r="H74" s="88" t="n"/>
      <c r="I74" s="88" t="n"/>
      <c r="J74" s="88" t="n"/>
      <c r="K74" s="88" t="n"/>
      <c r="L74" s="88" t="n"/>
      <c r="M74" s="88" t="n"/>
      <c r="N74" s="88" t="n"/>
      <c r="O74" s="170">
        <f>IF(A91="","",A91)</f>
        <v/>
      </c>
      <c r="P74" s="88" t="n"/>
      <c r="Q74" s="88" t="n"/>
      <c r="R74" s="88" t="n"/>
      <c r="S74" s="88" t="n"/>
      <c r="T74" s="88" t="n"/>
    </row>
    <row r="75" ht="14.25" customHeight="1" s="83">
      <c r="A75" s="103" t="n"/>
      <c r="B75" s="103" t="n"/>
      <c r="C75" s="103" t="n"/>
      <c r="D75" s="103" t="n"/>
      <c r="E75" s="103" t="n"/>
      <c r="F75" s="170">
        <f>IF(OR(D75="",E75=""),"",D75*E75)</f>
        <v/>
      </c>
      <c r="G75" s="103" t="n"/>
      <c r="H75" s="88" t="n"/>
      <c r="I75" s="88" t="n"/>
      <c r="J75" s="88" t="n"/>
      <c r="K75" s="88" t="n"/>
      <c r="L75" s="88" t="n"/>
      <c r="M75" s="88" t="n"/>
      <c r="N75" s="88" t="n"/>
      <c r="O75" s="170">
        <f>IF(A92="","",A92)</f>
        <v/>
      </c>
      <c r="P75" s="88" t="n"/>
      <c r="Q75" s="88" t="n"/>
      <c r="R75" s="88" t="n"/>
      <c r="S75" s="88" t="n"/>
      <c r="T75" s="88" t="n"/>
    </row>
    <row r="76" ht="14.25" customHeight="1" s="83">
      <c r="A76" s="103" t="n"/>
      <c r="B76" s="103" t="n"/>
      <c r="C76" s="103" t="n"/>
      <c r="D76" s="103" t="n"/>
      <c r="E76" s="103" t="n"/>
      <c r="F76" s="170">
        <f>IF(OR(D76="",E76=""),"",D76*E76)</f>
        <v/>
      </c>
      <c r="G76" s="103" t="n"/>
      <c r="H76" s="88" t="n"/>
      <c r="I76" s="88" t="n"/>
      <c r="J76" s="88" t="n"/>
      <c r="K76" s="88" t="n"/>
      <c r="L76" s="88" t="n"/>
      <c r="M76" s="88" t="n"/>
      <c r="N76" s="88" t="n"/>
      <c r="O76" s="170">
        <f>IF(A93="","",A93)</f>
        <v/>
      </c>
      <c r="P76" s="88" t="n"/>
      <c r="Q76" s="88" t="n"/>
      <c r="R76" s="88" t="n"/>
      <c r="S76" s="88" t="n"/>
      <c r="T76" s="88" t="n"/>
    </row>
    <row r="77" ht="14.25" customHeight="1" s="83">
      <c r="A77" s="103" t="n"/>
      <c r="B77" s="103" t="n"/>
      <c r="C77" s="103" t="n"/>
      <c r="D77" s="103" t="n"/>
      <c r="E77" s="103" t="n"/>
      <c r="F77" s="170">
        <f>IF(OR(D77="",E77=""),"",D77*E77)</f>
        <v/>
      </c>
      <c r="G77" s="103" t="n"/>
      <c r="H77" s="88" t="n"/>
      <c r="I77" s="88" t="n"/>
      <c r="J77" s="88" t="n"/>
      <c r="K77" s="88" t="n"/>
      <c r="L77" s="88" t="n"/>
      <c r="M77" s="88" t="n"/>
      <c r="N77" s="88" t="n"/>
      <c r="O77" s="170">
        <f>IF(A94="","",A94)</f>
        <v/>
      </c>
      <c r="P77" s="88" t="n"/>
      <c r="Q77" s="88" t="n"/>
      <c r="R77" s="88" t="n"/>
      <c r="S77" s="88" t="n"/>
      <c r="T77" s="88" t="n"/>
    </row>
    <row r="78" ht="14.25" customHeight="1" s="83">
      <c r="A78" s="103" t="n"/>
      <c r="B78" s="103" t="n"/>
      <c r="C78" s="103" t="n"/>
      <c r="D78" s="103" t="n"/>
      <c r="E78" s="103" t="n"/>
      <c r="F78" s="170">
        <f>IF(OR(D78="",E78=""),"",D78*E78)</f>
        <v/>
      </c>
      <c r="G78" s="103" t="n"/>
      <c r="H78" s="88" t="n"/>
      <c r="I78" s="88" t="n"/>
      <c r="J78" s="88" t="n"/>
      <c r="K78" s="88" t="n"/>
      <c r="L78" s="88" t="n"/>
      <c r="M78" s="88" t="n"/>
      <c r="N78" s="88" t="n"/>
      <c r="O78" s="170">
        <f>IF(A95="","",A95)</f>
        <v/>
      </c>
      <c r="P78" s="88" t="n"/>
      <c r="Q78" s="88" t="n"/>
      <c r="R78" s="88" t="n"/>
      <c r="S78" s="88" t="n"/>
      <c r="T78" s="88" t="n"/>
    </row>
    <row r="79" ht="14.25" customHeight="1" s="83">
      <c r="A79" s="103" t="n"/>
      <c r="B79" s="103" t="n"/>
      <c r="C79" s="103" t="n"/>
      <c r="D79" s="103" t="n"/>
      <c r="E79" s="103" t="n"/>
      <c r="F79" s="170">
        <f>IF(OR(D79="",E79=""),"",D79*E79)</f>
        <v/>
      </c>
      <c r="G79" s="103" t="n"/>
      <c r="H79" s="88" t="n"/>
      <c r="I79" s="88" t="n"/>
      <c r="J79" s="88" t="n"/>
      <c r="K79" s="88" t="n"/>
      <c r="L79" s="88" t="n"/>
      <c r="M79" s="88" t="n"/>
      <c r="N79" s="88" t="n"/>
      <c r="O79" s="170">
        <f>IF(A96="","",A96)</f>
        <v/>
      </c>
      <c r="P79" s="88" t="n"/>
      <c r="Q79" s="88" t="n"/>
      <c r="R79" s="88" t="n"/>
      <c r="S79" s="88" t="n"/>
      <c r="T79" s="88" t="n"/>
    </row>
    <row r="80" ht="14.25" customHeight="1" s="83">
      <c r="A80" s="103" t="n"/>
      <c r="B80" s="103" t="n"/>
      <c r="C80" s="103" t="n"/>
      <c r="D80" s="103" t="n"/>
      <c r="E80" s="103" t="n"/>
      <c r="F80" s="170">
        <f>IF(OR(D80="",E80=""),"",D80*E80)</f>
        <v/>
      </c>
      <c r="G80" s="103" t="n"/>
      <c r="H80" s="88" t="n"/>
      <c r="I80" s="88" t="n"/>
      <c r="J80" s="88" t="n"/>
      <c r="K80" s="88" t="n"/>
      <c r="L80" s="88" t="n"/>
      <c r="M80" s="88" t="n"/>
      <c r="N80" s="88" t="n"/>
      <c r="O80" s="170">
        <f>IF(A97="","",A97)</f>
        <v/>
      </c>
      <c r="P80" s="88" t="n"/>
      <c r="Q80" s="88" t="n"/>
      <c r="R80" s="88" t="n"/>
      <c r="S80" s="88" t="n"/>
      <c r="T80" s="88" t="n"/>
    </row>
    <row r="81" ht="14.25" customHeight="1" s="83">
      <c r="A81" s="103" t="n"/>
      <c r="B81" s="103" t="n"/>
      <c r="C81" s="103" t="n"/>
      <c r="D81" s="103" t="n"/>
      <c r="E81" s="103" t="n"/>
      <c r="F81" s="170">
        <f>IF(OR(D81="",E81=""),"",D81*E81)</f>
        <v/>
      </c>
      <c r="G81" s="103" t="n"/>
      <c r="H81" s="88" t="n"/>
      <c r="I81" s="88" t="n"/>
      <c r="J81" s="88" t="n"/>
      <c r="K81" s="88" t="n"/>
      <c r="L81" s="88" t="n"/>
      <c r="M81" s="88" t="n"/>
      <c r="N81" s="88" t="n"/>
      <c r="O81" s="170">
        <f>IF(A98="","",A98)</f>
        <v/>
      </c>
      <c r="P81" s="88" t="n"/>
      <c r="Q81" s="88" t="n"/>
      <c r="R81" s="88" t="n"/>
      <c r="S81" s="88" t="n"/>
      <c r="T81" s="88" t="n"/>
    </row>
    <row r="82" ht="14.25" customHeight="1" s="83">
      <c r="A82" s="103" t="n"/>
      <c r="B82" s="103" t="n"/>
      <c r="C82" s="103" t="n"/>
      <c r="D82" s="103" t="n"/>
      <c r="E82" s="103" t="n"/>
      <c r="F82" s="170">
        <f>IF(OR(D82="",E82=""),"",D82*E82)</f>
        <v/>
      </c>
      <c r="G82" s="103" t="n"/>
      <c r="H82" s="88" t="n"/>
      <c r="I82" s="88" t="n"/>
      <c r="J82" s="88" t="n"/>
      <c r="K82" s="88" t="n"/>
      <c r="L82" s="88" t="n"/>
      <c r="M82" s="88" t="n"/>
      <c r="N82" s="88" t="n"/>
      <c r="O82" s="170">
        <f>IF(A99="","",A99)</f>
        <v/>
      </c>
      <c r="P82" s="88" t="n"/>
      <c r="Q82" s="88" t="n"/>
      <c r="R82" s="88" t="n"/>
      <c r="S82" s="88" t="n"/>
      <c r="T82" s="88" t="n"/>
    </row>
    <row r="83" ht="14.25" customHeight="1" s="83">
      <c r="A83" s="103" t="n"/>
      <c r="B83" s="103" t="n"/>
      <c r="C83" s="103" t="n"/>
      <c r="D83" s="103" t="n"/>
      <c r="E83" s="103" t="n"/>
      <c r="F83" s="170">
        <f>IF(OR(D83="",E83=""),"",D83*E83)</f>
        <v/>
      </c>
      <c r="G83" s="103" t="n"/>
      <c r="H83" s="88" t="n"/>
      <c r="I83" s="88" t="n"/>
      <c r="J83" s="88" t="n"/>
      <c r="K83" s="88" t="n"/>
      <c r="L83" s="88" t="n"/>
      <c r="M83" s="88" t="n"/>
      <c r="N83" s="88" t="n"/>
      <c r="O83" s="170">
        <f>IF(A100="","",A100)</f>
        <v/>
      </c>
      <c r="P83" s="88" t="n"/>
      <c r="Q83" s="88" t="n"/>
      <c r="R83" s="88" t="n"/>
      <c r="S83" s="88" t="n"/>
      <c r="T83" s="88" t="n"/>
    </row>
    <row r="84" ht="14.25" customHeight="1" s="83">
      <c r="A84" s="103" t="n"/>
      <c r="B84" s="103" t="n"/>
      <c r="C84" s="103" t="n"/>
      <c r="D84" s="103" t="n"/>
      <c r="E84" s="103" t="n"/>
      <c r="F84" s="170">
        <f>IF(OR(D84="",E84=""),"",D84*E84)</f>
        <v/>
      </c>
      <c r="G84" s="103" t="n"/>
      <c r="H84" s="88" t="n"/>
      <c r="I84" s="88" t="n"/>
      <c r="J84" s="88" t="n"/>
      <c r="K84" s="88" t="n"/>
      <c r="L84" s="88" t="n"/>
      <c r="M84" s="88" t="n"/>
      <c r="N84" s="88" t="n"/>
      <c r="O84" s="170">
        <f>IF(A101="","",A101)</f>
        <v/>
      </c>
      <c r="P84" s="88" t="n"/>
      <c r="Q84" s="88" t="n"/>
      <c r="R84" s="88" t="n"/>
      <c r="S84" s="88" t="n"/>
      <c r="T84" s="88" t="n"/>
    </row>
    <row r="85" ht="14.25" customHeight="1" s="83">
      <c r="A85" s="103" t="n"/>
      <c r="B85" s="103" t="n"/>
      <c r="C85" s="103" t="n"/>
      <c r="D85" s="103" t="n"/>
      <c r="E85" s="103" t="n"/>
      <c r="F85" s="170">
        <f>IF(OR(D85="",E85=""),"",D85*E85)</f>
        <v/>
      </c>
      <c r="G85" s="103" t="n"/>
      <c r="H85" s="88" t="n"/>
      <c r="I85" s="88" t="n"/>
      <c r="J85" s="88" t="n"/>
      <c r="K85" s="88" t="n"/>
      <c r="L85" s="88" t="n"/>
      <c r="M85" s="88" t="n"/>
      <c r="N85" s="88" t="n"/>
      <c r="O85" s="170">
        <f>IF(A102="","",A102)</f>
        <v/>
      </c>
      <c r="P85" s="88" t="n"/>
      <c r="Q85" s="88" t="n"/>
      <c r="R85" s="88" t="n"/>
      <c r="S85" s="88" t="n"/>
      <c r="T85" s="88" t="n"/>
    </row>
    <row r="86" ht="14.25" customHeight="1" s="83">
      <c r="A86" s="103" t="n"/>
      <c r="B86" s="103" t="n"/>
      <c r="C86" s="103" t="n"/>
      <c r="D86" s="103" t="n"/>
      <c r="E86" s="103" t="n"/>
      <c r="F86" s="170">
        <f>IF(OR(D86="",E86=""),"",D86*E86)</f>
        <v/>
      </c>
      <c r="G86" s="103" t="n"/>
      <c r="H86" s="88" t="n"/>
      <c r="I86" s="88" t="n"/>
      <c r="J86" s="88" t="n"/>
      <c r="K86" s="88" t="n"/>
      <c r="L86" s="88" t="n"/>
      <c r="M86" s="88" t="n"/>
      <c r="N86" s="88" t="n"/>
      <c r="O86" s="170">
        <f>IF(A103="","",A103)</f>
        <v/>
      </c>
      <c r="P86" s="88" t="n"/>
      <c r="Q86" s="88" t="n"/>
      <c r="R86" s="88" t="n"/>
      <c r="S86" s="88" t="n"/>
      <c r="T86" s="88" t="n"/>
    </row>
    <row r="87" ht="14.25" customHeight="1" s="83">
      <c r="A87" s="103" t="n"/>
      <c r="B87" s="103" t="n"/>
      <c r="C87" s="103" t="n"/>
      <c r="D87" s="103" t="n"/>
      <c r="E87" s="103" t="n"/>
      <c r="F87" s="170">
        <f>IF(OR(D87="",E87=""),"",D87*E87)</f>
        <v/>
      </c>
      <c r="G87" s="103" t="n"/>
      <c r="H87" s="88" t="n"/>
      <c r="I87" s="88" t="n"/>
      <c r="J87" s="88" t="n"/>
      <c r="K87" s="88" t="n"/>
      <c r="L87" s="88" t="n"/>
      <c r="M87" s="88" t="n"/>
      <c r="N87" s="88" t="n"/>
      <c r="O87" s="170">
        <f>IF(A104="","",A104)</f>
        <v/>
      </c>
      <c r="P87" s="88" t="n"/>
      <c r="Q87" s="88" t="n"/>
      <c r="R87" s="88" t="n"/>
      <c r="S87" s="88" t="n"/>
      <c r="T87" s="88" t="n"/>
    </row>
    <row r="88" ht="14.25" customHeight="1" s="83">
      <c r="A88" s="103" t="n"/>
      <c r="B88" s="103" t="n"/>
      <c r="C88" s="103" t="n"/>
      <c r="D88" s="103" t="n"/>
      <c r="E88" s="103" t="n"/>
      <c r="F88" s="170">
        <f>IF(OR(D88="",E88=""),"",D88*E88)</f>
        <v/>
      </c>
      <c r="G88" s="103" t="n"/>
      <c r="H88" s="88" t="n"/>
      <c r="I88" s="88" t="n"/>
      <c r="J88" s="88" t="n"/>
      <c r="K88" s="88" t="n"/>
      <c r="L88" s="88" t="n"/>
      <c r="M88" s="88" t="n"/>
      <c r="N88" s="88" t="n"/>
      <c r="O88" s="170">
        <f>IF(A105="","",A105)</f>
        <v/>
      </c>
      <c r="P88" s="88" t="n"/>
      <c r="Q88" s="88" t="n"/>
      <c r="R88" s="88" t="n"/>
      <c r="S88" s="88" t="n"/>
      <c r="T88" s="88" t="n"/>
    </row>
    <row r="89" ht="14.25" customHeight="1" s="83">
      <c r="A89" s="103" t="n"/>
      <c r="B89" s="103" t="n"/>
      <c r="C89" s="103" t="n"/>
      <c r="D89" s="103" t="n"/>
      <c r="E89" s="103" t="n"/>
      <c r="F89" s="170">
        <f>IF(OR(D89="",E89=""),"",D89*E89)</f>
        <v/>
      </c>
      <c r="G89" s="103" t="n"/>
      <c r="H89" s="88" t="n"/>
      <c r="I89" s="88" t="n"/>
      <c r="J89" s="88" t="n"/>
      <c r="K89" s="88" t="n"/>
      <c r="L89" s="88" t="n"/>
      <c r="M89" s="88" t="n"/>
      <c r="N89" s="88" t="n"/>
      <c r="O89" s="170">
        <f>IF(A106="","",A106)</f>
        <v/>
      </c>
      <c r="P89" s="88" t="n"/>
      <c r="Q89" s="88" t="n"/>
      <c r="R89" s="88" t="n"/>
      <c r="S89" s="88" t="n"/>
      <c r="T89" s="88" t="n"/>
    </row>
    <row r="90" ht="14.25" customHeight="1" s="83">
      <c r="A90" s="103" t="n"/>
      <c r="B90" s="103" t="n"/>
      <c r="C90" s="103" t="n"/>
      <c r="D90" s="103" t="n"/>
      <c r="E90" s="103" t="n"/>
      <c r="F90" s="170">
        <f>IF(OR(D90="",E90=""),"",D90*E90)</f>
        <v/>
      </c>
      <c r="G90" s="103" t="n"/>
      <c r="H90" s="88" t="n"/>
      <c r="I90" s="88" t="n"/>
      <c r="J90" s="88" t="n"/>
      <c r="K90" s="88" t="n"/>
      <c r="L90" s="88" t="n"/>
      <c r="M90" s="88" t="n"/>
      <c r="N90" s="88" t="n"/>
      <c r="O90" s="170">
        <f>IF(A107="","",A107)</f>
        <v/>
      </c>
      <c r="P90" s="88" t="n"/>
      <c r="Q90" s="88" t="n"/>
      <c r="R90" s="88" t="n"/>
      <c r="S90" s="88" t="n"/>
      <c r="T90" s="88" t="n"/>
    </row>
    <row r="91" ht="14.25" customHeight="1" s="83">
      <c r="A91" s="103" t="n"/>
      <c r="B91" s="103" t="n"/>
      <c r="C91" s="103" t="n"/>
      <c r="D91" s="103" t="n"/>
      <c r="E91" s="103" t="n"/>
      <c r="F91" s="170">
        <f>IF(OR(D91="",E91=""),"",D91*E91)</f>
        <v/>
      </c>
      <c r="G91" s="103" t="n"/>
      <c r="H91" s="88" t="n"/>
      <c r="I91" s="88" t="n"/>
      <c r="J91" s="88" t="n"/>
      <c r="K91" s="88" t="n"/>
      <c r="L91" s="88" t="n"/>
      <c r="M91" s="88" t="n"/>
      <c r="N91" s="88" t="n"/>
      <c r="O91" s="170">
        <f>IF(A108="","",A108)</f>
        <v/>
      </c>
      <c r="P91" s="88" t="n"/>
      <c r="Q91" s="88" t="n"/>
      <c r="R91" s="88" t="n"/>
      <c r="S91" s="88" t="n"/>
      <c r="T91" s="88" t="n"/>
    </row>
    <row r="92" ht="14.25" customHeight="1" s="83">
      <c r="A92" s="103" t="n"/>
      <c r="B92" s="103" t="n"/>
      <c r="C92" s="103" t="n"/>
      <c r="D92" s="103" t="n"/>
      <c r="E92" s="103" t="n"/>
      <c r="F92" s="170">
        <f>IF(OR(D92="",E92=""),"",D92*E92)</f>
        <v/>
      </c>
      <c r="G92" s="103" t="n"/>
      <c r="H92" s="88" t="n"/>
      <c r="I92" s="88" t="n"/>
      <c r="J92" s="88" t="n"/>
      <c r="K92" s="88" t="n"/>
      <c r="L92" s="88" t="n"/>
      <c r="M92" s="88" t="n"/>
      <c r="N92" s="88" t="n"/>
      <c r="O92" s="170">
        <f>IF(A109="","",A109)</f>
        <v/>
      </c>
      <c r="P92" s="88" t="n"/>
      <c r="Q92" s="88" t="n"/>
      <c r="R92" s="88" t="n"/>
      <c r="S92" s="88" t="n"/>
      <c r="T92" s="88" t="n"/>
    </row>
    <row r="93" ht="14.25" customHeight="1" s="83">
      <c r="A93" s="103" t="n"/>
      <c r="B93" s="103" t="n"/>
      <c r="C93" s="103" t="n"/>
      <c r="D93" s="103" t="n"/>
      <c r="E93" s="103" t="n"/>
      <c r="F93" s="170">
        <f>IF(OR(D93="",E93=""),"",D93*E93)</f>
        <v/>
      </c>
      <c r="G93" s="103" t="n"/>
      <c r="H93" s="88" t="n"/>
      <c r="I93" s="88" t="n"/>
      <c r="J93" s="88" t="n"/>
      <c r="K93" s="88" t="n"/>
      <c r="L93" s="88" t="n"/>
      <c r="M93" s="88" t="n"/>
      <c r="N93" s="88" t="n"/>
      <c r="O93" s="170">
        <f>IF(A110="","",A110)</f>
        <v/>
      </c>
      <c r="P93" s="88" t="n"/>
      <c r="Q93" s="88" t="n"/>
      <c r="R93" s="88" t="n"/>
      <c r="S93" s="88" t="n"/>
      <c r="T93" s="88" t="n"/>
    </row>
    <row r="94" ht="14.25" customHeight="1" s="83">
      <c r="A94" s="103" t="n"/>
      <c r="B94" s="103" t="n"/>
      <c r="C94" s="103" t="n"/>
      <c r="D94" s="103" t="n"/>
      <c r="E94" s="103" t="n"/>
      <c r="F94" s="170">
        <f>IF(OR(D94="",E94=""),"",D94*E94)</f>
        <v/>
      </c>
      <c r="G94" s="103" t="n"/>
      <c r="H94" s="88" t="n"/>
      <c r="I94" s="88" t="n"/>
      <c r="J94" s="88" t="n"/>
      <c r="K94" s="88" t="n"/>
      <c r="L94" s="88" t="n"/>
      <c r="M94" s="88" t="n"/>
      <c r="N94" s="88" t="n"/>
      <c r="O94" s="170">
        <f>IF(A111="","",A111)</f>
        <v/>
      </c>
      <c r="P94" s="88" t="n"/>
      <c r="Q94" s="88" t="n"/>
      <c r="R94" s="88" t="n"/>
      <c r="S94" s="88" t="n"/>
      <c r="T94" s="88" t="n"/>
    </row>
    <row r="95" ht="14.25" customHeight="1" s="83">
      <c r="A95" s="103" t="n"/>
      <c r="B95" s="103" t="n"/>
      <c r="C95" s="103" t="n"/>
      <c r="D95" s="103" t="n"/>
      <c r="E95" s="103" t="n"/>
      <c r="F95" s="170">
        <f>IF(OR(D95="",E95=""),"",D95*E95)</f>
        <v/>
      </c>
      <c r="G95" s="103" t="n"/>
      <c r="H95" s="88" t="n"/>
      <c r="I95" s="88" t="n"/>
      <c r="J95" s="88" t="n"/>
      <c r="K95" s="88" t="n"/>
      <c r="L95" s="88" t="n"/>
      <c r="M95" s="88" t="n"/>
      <c r="N95" s="88" t="n"/>
      <c r="O95" s="170">
        <f>IF(A112="","",A112)</f>
        <v/>
      </c>
      <c r="P95" s="88" t="n"/>
      <c r="Q95" s="88" t="n"/>
      <c r="R95" s="88" t="n"/>
      <c r="S95" s="88" t="n"/>
      <c r="T95" s="88" t="n"/>
    </row>
    <row r="96" ht="14.25" customHeight="1" s="83">
      <c r="A96" s="103" t="n"/>
      <c r="B96" s="103" t="n"/>
      <c r="C96" s="103" t="n"/>
      <c r="D96" s="103" t="n"/>
      <c r="E96" s="103" t="n"/>
      <c r="F96" s="170">
        <f>IF(OR(D96="",E96=""),"",D96*E96)</f>
        <v/>
      </c>
      <c r="G96" s="103" t="n"/>
      <c r="H96" s="88" t="n"/>
      <c r="I96" s="88" t="n"/>
      <c r="J96" s="88" t="n"/>
      <c r="K96" s="88" t="n"/>
      <c r="L96" s="88" t="n"/>
      <c r="M96" s="88" t="n"/>
      <c r="N96" s="88" t="n"/>
      <c r="O96" s="170">
        <f>IF(A113="","",A113)</f>
        <v/>
      </c>
      <c r="P96" s="88" t="n"/>
      <c r="Q96" s="88" t="n"/>
      <c r="R96" s="88" t="n"/>
      <c r="S96" s="88" t="n"/>
      <c r="T96" s="88" t="n"/>
    </row>
    <row r="97" ht="14.25" customHeight="1" s="83">
      <c r="A97" s="103" t="n"/>
      <c r="B97" s="103" t="n"/>
      <c r="C97" s="103" t="n"/>
      <c r="D97" s="103" t="n"/>
      <c r="E97" s="103" t="n"/>
      <c r="F97" s="170">
        <f>IF(OR(D97="",E97=""),"",D97*E97)</f>
        <v/>
      </c>
      <c r="G97" s="103" t="n"/>
      <c r="H97" s="88" t="n"/>
      <c r="I97" s="88" t="n"/>
      <c r="J97" s="88" t="n"/>
      <c r="K97" s="88" t="n"/>
      <c r="L97" s="88" t="n"/>
      <c r="M97" s="88" t="n"/>
      <c r="N97" s="88" t="n"/>
      <c r="O97" s="170">
        <f>IF(A114="","",A114)</f>
        <v/>
      </c>
      <c r="P97" s="88" t="n"/>
      <c r="Q97" s="88" t="n"/>
      <c r="R97" s="88" t="n"/>
      <c r="S97" s="88" t="n"/>
      <c r="T97" s="88" t="n"/>
    </row>
    <row r="98" ht="14.25" customHeight="1" s="83">
      <c r="A98" s="103" t="n"/>
      <c r="B98" s="103" t="n"/>
      <c r="C98" s="103" t="n"/>
      <c r="D98" s="103" t="n"/>
      <c r="E98" s="103" t="n"/>
      <c r="F98" s="170">
        <f>IF(OR(D98="",E98=""),"",D98*E98)</f>
        <v/>
      </c>
      <c r="G98" s="103" t="n"/>
      <c r="H98" s="88" t="n"/>
      <c r="I98" s="88" t="n"/>
      <c r="J98" s="88" t="n"/>
      <c r="K98" s="88" t="n"/>
      <c r="L98" s="88" t="n"/>
      <c r="M98" s="88" t="n"/>
      <c r="N98" s="88" t="n"/>
      <c r="O98" s="170">
        <f>IF(A115="","",A115)</f>
        <v/>
      </c>
      <c r="P98" s="88" t="n"/>
      <c r="Q98" s="88" t="n"/>
      <c r="R98" s="88" t="n"/>
      <c r="S98" s="88" t="n"/>
      <c r="T98" s="88" t="n"/>
    </row>
    <row r="99" ht="14.25" customHeight="1" s="83">
      <c r="A99" s="103" t="n"/>
      <c r="B99" s="103" t="n"/>
      <c r="C99" s="103" t="n"/>
      <c r="D99" s="103" t="n"/>
      <c r="E99" s="103" t="n"/>
      <c r="F99" s="170">
        <f>IF(OR(D99="",E99=""),"",D99*E99)</f>
        <v/>
      </c>
      <c r="G99" s="103" t="n"/>
      <c r="H99" s="88" t="n"/>
      <c r="I99" s="88" t="n"/>
      <c r="J99" s="88" t="n"/>
      <c r="K99" s="88" t="n"/>
      <c r="L99" s="88" t="n"/>
      <c r="M99" s="88" t="n"/>
      <c r="N99" s="88" t="n"/>
      <c r="O99" s="170">
        <f>IF(A116="","",A116)</f>
        <v/>
      </c>
      <c r="P99" s="88" t="n"/>
      <c r="Q99" s="88" t="n"/>
      <c r="R99" s="88" t="n"/>
      <c r="S99" s="88" t="n"/>
      <c r="T99" s="88" t="n"/>
    </row>
    <row r="100" ht="14.25" customHeight="1" s="83">
      <c r="A100" s="103" t="n"/>
      <c r="B100" s="103" t="n"/>
      <c r="C100" s="103" t="n"/>
      <c r="D100" s="103" t="n"/>
      <c r="E100" s="103" t="n"/>
      <c r="F100" s="170">
        <f>IF(OR(D100="",E100=""),"",D100*E100)</f>
        <v/>
      </c>
      <c r="G100" s="103" t="n"/>
      <c r="H100" s="88" t="n"/>
      <c r="I100" s="88" t="n"/>
      <c r="J100" s="88" t="n"/>
      <c r="K100" s="88" t="n"/>
      <c r="L100" s="88" t="n"/>
      <c r="M100" s="88" t="n"/>
      <c r="N100" s="88" t="n"/>
      <c r="O100" s="170">
        <f>IF(A117="","",A117)</f>
        <v/>
      </c>
      <c r="P100" s="88" t="n"/>
      <c r="Q100" s="88" t="n"/>
      <c r="R100" s="88" t="n"/>
      <c r="S100" s="88" t="n"/>
      <c r="T100" s="88" t="n"/>
    </row>
    <row r="101" ht="14.25" customHeight="1" s="83">
      <c r="A101" s="103" t="n"/>
      <c r="B101" s="103" t="n"/>
      <c r="C101" s="103" t="n"/>
      <c r="D101" s="103" t="n"/>
      <c r="E101" s="103" t="n"/>
      <c r="F101" s="170">
        <f>IF(OR(D101="",E101=""),"",D101*E101)</f>
        <v/>
      </c>
      <c r="G101" s="103" t="n"/>
      <c r="H101" s="88" t="n"/>
      <c r="I101" s="88" t="n"/>
      <c r="J101" s="88" t="n"/>
      <c r="K101" s="88" t="n"/>
      <c r="L101" s="88" t="n"/>
      <c r="M101" s="88" t="n"/>
      <c r="N101" s="88" t="n"/>
      <c r="O101" s="170">
        <f>IF(A118="","",A118)</f>
        <v/>
      </c>
      <c r="P101" s="88" t="n"/>
      <c r="Q101" s="88" t="n"/>
      <c r="R101" s="88" t="n"/>
      <c r="S101" s="88" t="n"/>
      <c r="T101" s="88" t="n"/>
    </row>
    <row r="102" ht="14.25" customHeight="1" s="83">
      <c r="A102" s="103" t="n"/>
      <c r="B102" s="103" t="n"/>
      <c r="C102" s="103" t="n"/>
      <c r="D102" s="103" t="n"/>
      <c r="E102" s="103" t="n"/>
      <c r="F102" s="170">
        <f>IF(OR(D102="",E102=""),"",D102*E102)</f>
        <v/>
      </c>
      <c r="G102" s="103" t="n"/>
      <c r="H102" s="88" t="n"/>
      <c r="I102" s="88" t="n"/>
      <c r="J102" s="88" t="n"/>
      <c r="K102" s="88" t="n"/>
      <c r="L102" s="88" t="n"/>
      <c r="M102" s="88" t="n"/>
      <c r="N102" s="88" t="n"/>
      <c r="O102" s="170">
        <f>IF(A119="","",A119)</f>
        <v/>
      </c>
      <c r="P102" s="88" t="n"/>
      <c r="Q102" s="88" t="n"/>
      <c r="R102" s="88" t="n"/>
      <c r="S102" s="88" t="n"/>
      <c r="T102" s="88" t="n"/>
    </row>
    <row r="103" ht="14.25" customHeight="1" s="83">
      <c r="A103" s="103" t="n"/>
      <c r="B103" s="103" t="n"/>
      <c r="C103" s="103" t="n"/>
      <c r="D103" s="103" t="n"/>
      <c r="E103" s="103" t="n"/>
      <c r="F103" s="170">
        <f>IF(OR(D103="",E103=""),"",D103*E103)</f>
        <v/>
      </c>
      <c r="G103" s="103" t="n"/>
      <c r="H103" s="88" t="n"/>
      <c r="I103" s="88" t="n"/>
      <c r="J103" s="88" t="n"/>
      <c r="K103" s="88" t="n"/>
      <c r="L103" s="88" t="n"/>
      <c r="M103" s="88" t="n"/>
      <c r="N103" s="88" t="n"/>
      <c r="O103" s="170">
        <f>IF(A120="","",A120)</f>
        <v/>
      </c>
      <c r="P103" s="88" t="n"/>
      <c r="Q103" s="88" t="n"/>
      <c r="R103" s="88" t="n"/>
      <c r="S103" s="88" t="n"/>
      <c r="T103" s="88" t="n"/>
    </row>
    <row r="104" ht="14.25" customHeight="1" s="83">
      <c r="A104" s="103" t="n"/>
      <c r="B104" s="103" t="n"/>
      <c r="C104" s="103" t="n"/>
      <c r="D104" s="103" t="n"/>
      <c r="E104" s="103" t="n"/>
      <c r="F104" s="170">
        <f>IF(OR(D104="",E104=""),"",D104*E104)</f>
        <v/>
      </c>
      <c r="G104" s="103" t="n"/>
      <c r="H104" s="88" t="n"/>
      <c r="I104" s="88" t="n"/>
      <c r="J104" s="88" t="n"/>
      <c r="K104" s="88" t="n"/>
      <c r="L104" s="88" t="n"/>
      <c r="M104" s="88" t="n"/>
      <c r="N104" s="88" t="n"/>
      <c r="O104" s="170">
        <f>IF(A121="","",A121)</f>
        <v/>
      </c>
      <c r="P104" s="88" t="n"/>
      <c r="Q104" s="88" t="n"/>
      <c r="R104" s="88" t="n"/>
      <c r="S104" s="88" t="n"/>
      <c r="T104" s="88" t="n"/>
    </row>
    <row r="105" ht="14.25" customHeight="1" s="83">
      <c r="A105" s="103" t="n"/>
      <c r="B105" s="103" t="n"/>
      <c r="C105" s="103" t="n"/>
      <c r="D105" s="103" t="n"/>
      <c r="E105" s="103" t="n"/>
      <c r="F105" s="170">
        <f>IF(OR(D105="",E105=""),"",D105*E105)</f>
        <v/>
      </c>
      <c r="G105" s="103" t="n"/>
      <c r="H105" s="88" t="n"/>
      <c r="I105" s="88" t="n"/>
      <c r="J105" s="88" t="n"/>
      <c r="K105" s="88" t="n"/>
      <c r="L105" s="88" t="n"/>
      <c r="M105" s="88" t="n"/>
      <c r="N105" s="88" t="n"/>
      <c r="O105" s="170">
        <f>IF(A122="","",A122)</f>
        <v/>
      </c>
      <c r="P105" s="88" t="n"/>
      <c r="Q105" s="88" t="n"/>
      <c r="R105" s="88" t="n"/>
      <c r="S105" s="88" t="n"/>
      <c r="T105" s="88" t="n"/>
    </row>
    <row r="106" ht="14.25" customHeight="1" s="83">
      <c r="A106" s="103" t="n"/>
      <c r="B106" s="103" t="n"/>
      <c r="C106" s="103" t="n"/>
      <c r="D106" s="103" t="n"/>
      <c r="E106" s="103" t="n"/>
      <c r="F106" s="170">
        <f>IF(OR(D106="",E106=""),"",D106*E106)</f>
        <v/>
      </c>
      <c r="G106" s="103" t="n"/>
      <c r="H106" s="88" t="n"/>
      <c r="I106" s="88" t="n"/>
      <c r="J106" s="88" t="n"/>
      <c r="K106" s="88" t="n"/>
      <c r="L106" s="88" t="n"/>
      <c r="M106" s="88" t="n"/>
      <c r="N106" s="88" t="n"/>
      <c r="O106" s="170">
        <f>IF(A123="","",A123)</f>
        <v/>
      </c>
      <c r="P106" s="88" t="n"/>
      <c r="Q106" s="88" t="n"/>
      <c r="R106" s="88" t="n"/>
      <c r="S106" s="88" t="n"/>
      <c r="T106" s="88" t="n"/>
    </row>
    <row r="107" ht="14.25" customHeight="1" s="83">
      <c r="A107" s="103" t="n"/>
      <c r="B107" s="103" t="n"/>
      <c r="C107" s="103" t="n"/>
      <c r="D107" s="103" t="n"/>
      <c r="E107" s="103" t="n"/>
      <c r="F107" s="170">
        <f>IF(OR(D107="",E107=""),"",D107*E107)</f>
        <v/>
      </c>
      <c r="G107" s="103" t="n"/>
      <c r="H107" s="88" t="n"/>
      <c r="I107" s="88" t="n"/>
      <c r="J107" s="88" t="n"/>
      <c r="K107" s="88" t="n"/>
      <c r="L107" s="88" t="n"/>
      <c r="M107" s="88" t="n"/>
      <c r="N107" s="88" t="n"/>
      <c r="O107" s="170">
        <f>IF(A124="","",A124)</f>
        <v/>
      </c>
      <c r="P107" s="88" t="n"/>
      <c r="Q107" s="88" t="n"/>
      <c r="R107" s="88" t="n"/>
      <c r="S107" s="88" t="n"/>
      <c r="T107" s="88" t="n"/>
    </row>
    <row r="108" ht="14.25" customHeight="1" s="83">
      <c r="A108" s="103" t="n"/>
      <c r="B108" s="103" t="n"/>
      <c r="C108" s="103" t="n"/>
      <c r="D108" s="103" t="n"/>
      <c r="E108" s="103" t="n"/>
      <c r="F108" s="170">
        <f>IF(OR(D108="",E108=""),"",D108*E108)</f>
        <v/>
      </c>
      <c r="G108" s="103" t="n"/>
      <c r="H108" s="88" t="n"/>
      <c r="I108" s="88" t="n"/>
      <c r="J108" s="88" t="n"/>
      <c r="K108" s="88" t="n"/>
      <c r="L108" s="88" t="n"/>
      <c r="M108" s="88" t="n"/>
      <c r="N108" s="88" t="n"/>
      <c r="O108" s="170">
        <f>IF(A125="","",A125)</f>
        <v/>
      </c>
      <c r="P108" s="88" t="n"/>
      <c r="Q108" s="88" t="n"/>
      <c r="R108" s="88" t="n"/>
      <c r="S108" s="88" t="n"/>
      <c r="T108" s="88" t="n"/>
    </row>
    <row r="109" ht="14.25" customHeight="1" s="83">
      <c r="A109" s="103" t="n"/>
      <c r="B109" s="103" t="n"/>
      <c r="C109" s="103" t="n"/>
      <c r="D109" s="103" t="n"/>
      <c r="E109" s="103" t="n"/>
      <c r="F109" s="170">
        <f>IF(OR(D109="",E109=""),"",D109*E109)</f>
        <v/>
      </c>
      <c r="G109" s="103" t="n"/>
      <c r="H109" s="88" t="n"/>
      <c r="I109" s="88" t="n"/>
      <c r="J109" s="88" t="n"/>
      <c r="K109" s="88" t="n"/>
      <c r="L109" s="88" t="n"/>
      <c r="M109" s="88" t="n"/>
      <c r="N109" s="88" t="n"/>
      <c r="O109" s="170">
        <f>IF(A126="","",A126)</f>
        <v/>
      </c>
      <c r="P109" s="88" t="n"/>
      <c r="Q109" s="88" t="n"/>
      <c r="R109" s="88" t="n"/>
      <c r="S109" s="88" t="n"/>
      <c r="T109" s="88" t="n"/>
    </row>
    <row r="110" ht="14.25" customHeight="1" s="83">
      <c r="A110" s="103" t="n"/>
      <c r="B110" s="103" t="n"/>
      <c r="C110" s="103" t="n"/>
      <c r="D110" s="103" t="n"/>
      <c r="E110" s="103" t="n"/>
      <c r="F110" s="170">
        <f>IF(OR(D110="",E110=""),"",D110*E110)</f>
        <v/>
      </c>
      <c r="G110" s="103" t="n"/>
      <c r="H110" s="88" t="n"/>
      <c r="I110" s="88" t="n"/>
      <c r="J110" s="88" t="n"/>
      <c r="K110" s="88" t="n"/>
      <c r="L110" s="88" t="n"/>
      <c r="M110" s="88" t="n"/>
      <c r="N110" s="88" t="n"/>
      <c r="O110" s="170">
        <f>IF(A127="","",A127)</f>
        <v/>
      </c>
      <c r="P110" s="88" t="n"/>
      <c r="Q110" s="88" t="n"/>
      <c r="R110" s="88" t="n"/>
      <c r="S110" s="88" t="n"/>
      <c r="T110" s="88" t="n"/>
    </row>
    <row r="111" ht="14.25" customHeight="1" s="83">
      <c r="A111" s="103" t="n"/>
      <c r="B111" s="103" t="n"/>
      <c r="C111" s="103" t="n"/>
      <c r="D111" s="103" t="n"/>
      <c r="E111" s="103" t="n"/>
      <c r="F111" s="170">
        <f>IF(OR(D111="",E111=""),"",D111*E111)</f>
        <v/>
      </c>
      <c r="G111" s="103" t="n"/>
      <c r="H111" s="88" t="n"/>
      <c r="I111" s="88" t="n"/>
      <c r="J111" s="88" t="n"/>
      <c r="K111" s="88" t="n"/>
      <c r="L111" s="88" t="n"/>
      <c r="M111" s="88" t="n"/>
      <c r="N111" s="88" t="n"/>
      <c r="O111" s="170">
        <f>IF(A128="","",A128)</f>
        <v/>
      </c>
      <c r="P111" s="88" t="n"/>
      <c r="Q111" s="88" t="n"/>
      <c r="R111" s="88" t="n"/>
      <c r="S111" s="88" t="n"/>
      <c r="T111" s="88" t="n"/>
    </row>
    <row r="112" ht="14.25" customHeight="1" s="83">
      <c r="A112" s="103" t="n"/>
      <c r="B112" s="103" t="n"/>
      <c r="C112" s="103" t="n"/>
      <c r="D112" s="103" t="n"/>
      <c r="E112" s="103" t="n"/>
      <c r="F112" s="170">
        <f>IF(OR(D112="",E112=""),"",D112*E112)</f>
        <v/>
      </c>
      <c r="G112" s="103" t="n"/>
      <c r="H112" s="88" t="n"/>
      <c r="I112" s="88" t="n"/>
      <c r="J112" s="88" t="n"/>
      <c r="K112" s="88" t="n"/>
      <c r="L112" s="88" t="n"/>
      <c r="M112" s="88" t="n"/>
      <c r="N112" s="88" t="n"/>
      <c r="O112" s="170">
        <f>IF(A129="","",A129)</f>
        <v/>
      </c>
      <c r="P112" s="88" t="n"/>
      <c r="Q112" s="88" t="n"/>
      <c r="R112" s="88" t="n"/>
      <c r="S112" s="88" t="n"/>
      <c r="T112" s="88" t="n"/>
    </row>
    <row r="113" ht="14.25" customHeight="1" s="83">
      <c r="A113" s="103" t="n"/>
      <c r="B113" s="103" t="n"/>
      <c r="C113" s="103" t="n"/>
      <c r="D113" s="103" t="n"/>
      <c r="E113" s="103" t="n"/>
      <c r="F113" s="170">
        <f>IF(OR(D113="",E113=""),"",D113*E113)</f>
        <v/>
      </c>
      <c r="G113" s="103" t="n"/>
      <c r="H113" s="88" t="n"/>
      <c r="I113" s="88" t="n"/>
      <c r="J113" s="88" t="n"/>
      <c r="K113" s="88" t="n"/>
      <c r="L113" s="88" t="n"/>
      <c r="M113" s="88" t="n"/>
      <c r="N113" s="88" t="n"/>
      <c r="O113" s="170">
        <f>IF(A130="","",A130)</f>
        <v/>
      </c>
      <c r="P113" s="88" t="n"/>
      <c r="Q113" s="88" t="n"/>
      <c r="R113" s="88" t="n"/>
      <c r="S113" s="88" t="n"/>
      <c r="T113" s="88" t="n"/>
    </row>
    <row r="114" ht="14.25" customHeight="1" s="83">
      <c r="A114" s="103" t="n"/>
      <c r="B114" s="103" t="n"/>
      <c r="C114" s="103" t="n"/>
      <c r="D114" s="103" t="n"/>
      <c r="E114" s="103" t="n"/>
      <c r="F114" s="170">
        <f>IF(OR(D114="",E114=""),"",D114*E114)</f>
        <v/>
      </c>
      <c r="G114" s="103" t="n"/>
      <c r="H114" s="88" t="n"/>
      <c r="I114" s="88" t="n"/>
      <c r="J114" s="88" t="n"/>
      <c r="K114" s="88" t="n"/>
      <c r="L114" s="88" t="n"/>
      <c r="M114" s="88" t="n"/>
      <c r="N114" s="88" t="n"/>
      <c r="O114" s="170">
        <f>IF(A131="","",A131)</f>
        <v/>
      </c>
      <c r="P114" s="88" t="n"/>
      <c r="Q114" s="88" t="n"/>
      <c r="R114" s="88" t="n"/>
      <c r="S114" s="88" t="n"/>
      <c r="T114" s="88" t="n"/>
    </row>
    <row r="115" ht="14.25" customHeight="1" s="83">
      <c r="A115" s="103" t="n"/>
      <c r="B115" s="103" t="n"/>
      <c r="C115" s="103" t="n"/>
      <c r="D115" s="103" t="n"/>
      <c r="E115" s="103" t="n"/>
      <c r="F115" s="170">
        <f>IF(OR(D115="",E115=""),"",D115*E115)</f>
        <v/>
      </c>
      <c r="G115" s="103" t="n"/>
      <c r="H115" s="88" t="n"/>
      <c r="I115" s="88" t="n"/>
      <c r="J115" s="88" t="n"/>
      <c r="K115" s="88" t="n"/>
      <c r="L115" s="88" t="n"/>
      <c r="M115" s="88" t="n"/>
      <c r="N115" s="88" t="n"/>
      <c r="O115" s="170">
        <f>IF(A132="","",A132)</f>
        <v/>
      </c>
      <c r="P115" s="88" t="n"/>
      <c r="Q115" s="88" t="n"/>
      <c r="R115" s="88" t="n"/>
      <c r="S115" s="88" t="n"/>
      <c r="T115" s="88" t="n"/>
    </row>
    <row r="116" ht="14.25" customHeight="1" s="83">
      <c r="A116" s="103" t="n"/>
      <c r="B116" s="103" t="n"/>
      <c r="C116" s="103" t="n"/>
      <c r="D116" s="103" t="n"/>
      <c r="E116" s="103" t="n"/>
      <c r="F116" s="170">
        <f>IF(OR(D116="",E116=""),"",D116*E116)</f>
        <v/>
      </c>
      <c r="G116" s="103" t="n"/>
      <c r="H116" s="88" t="n"/>
      <c r="I116" s="88" t="n"/>
      <c r="J116" s="88" t="n"/>
      <c r="K116" s="88" t="n"/>
      <c r="L116" s="88" t="n"/>
      <c r="M116" s="88" t="n"/>
      <c r="N116" s="88" t="n"/>
      <c r="O116" s="170">
        <f>IF(A133="","",A133)</f>
        <v/>
      </c>
      <c r="P116" s="88" t="n"/>
      <c r="Q116" s="88" t="n"/>
      <c r="R116" s="88" t="n"/>
      <c r="S116" s="88" t="n"/>
      <c r="T116" s="88" t="n"/>
    </row>
    <row r="117" ht="14.25" customHeight="1" s="83">
      <c r="A117" s="103" t="n"/>
      <c r="B117" s="103" t="n"/>
      <c r="C117" s="103" t="n"/>
      <c r="D117" s="103" t="n"/>
      <c r="E117" s="103" t="n"/>
      <c r="F117" s="170">
        <f>IF(OR(D117="",E117=""),"",D117*E117)</f>
        <v/>
      </c>
      <c r="G117" s="103" t="n"/>
      <c r="H117" s="88" t="n"/>
      <c r="I117" s="88" t="n"/>
      <c r="J117" s="88" t="n"/>
      <c r="K117" s="88" t="n"/>
      <c r="L117" s="88" t="n"/>
      <c r="M117" s="88" t="n"/>
      <c r="N117" s="88" t="n"/>
      <c r="O117" s="170">
        <f>IF(A134="","",A134)</f>
        <v/>
      </c>
      <c r="P117" s="88" t="n"/>
      <c r="Q117" s="88" t="n"/>
      <c r="R117" s="88" t="n"/>
      <c r="S117" s="88" t="n"/>
      <c r="T117" s="88" t="n"/>
    </row>
    <row r="118" ht="14.25" customHeight="1" s="83">
      <c r="A118" s="103" t="n"/>
      <c r="B118" s="103" t="n"/>
      <c r="C118" s="103" t="n"/>
      <c r="D118" s="103" t="n"/>
      <c r="E118" s="103" t="n"/>
      <c r="F118" s="170">
        <f>IF(OR(D118="",E118=""),"",D118*E118)</f>
        <v/>
      </c>
      <c r="G118" s="103" t="n"/>
      <c r="H118" s="88" t="n"/>
      <c r="I118" s="88" t="n"/>
      <c r="J118" s="88" t="n"/>
      <c r="K118" s="88" t="n"/>
      <c r="L118" s="88" t="n"/>
      <c r="M118" s="88" t="n"/>
      <c r="N118" s="88" t="n"/>
      <c r="O118" s="170">
        <f>IF(A135="","",A135)</f>
        <v/>
      </c>
      <c r="P118" s="88" t="n"/>
      <c r="Q118" s="88" t="n"/>
      <c r="R118" s="88" t="n"/>
      <c r="S118" s="88" t="n"/>
      <c r="T118" s="88" t="n"/>
    </row>
    <row r="119" ht="14.25" customHeight="1" s="83">
      <c r="A119" s="103" t="n"/>
      <c r="B119" s="103" t="n"/>
      <c r="C119" s="103" t="n"/>
      <c r="D119" s="103" t="n"/>
      <c r="E119" s="103" t="n"/>
      <c r="F119" s="170">
        <f>IF(OR(D119="",E119=""),"",D119*E119)</f>
        <v/>
      </c>
      <c r="G119" s="103" t="n"/>
      <c r="H119" s="88" t="n"/>
      <c r="I119" s="88" t="n"/>
      <c r="J119" s="88" t="n"/>
      <c r="K119" s="88" t="n"/>
      <c r="L119" s="88" t="n"/>
      <c r="M119" s="88" t="n"/>
      <c r="N119" s="88" t="n"/>
      <c r="O119" s="170">
        <f>IF(A136="","",A136)</f>
        <v/>
      </c>
      <c r="P119" s="88" t="n"/>
      <c r="Q119" s="88" t="n"/>
      <c r="R119" s="88" t="n"/>
      <c r="S119" s="88" t="n"/>
      <c r="T119" s="88" t="n"/>
    </row>
    <row r="120" ht="14.25" customHeight="1" s="83">
      <c r="A120" s="103" t="n"/>
      <c r="B120" s="103" t="n"/>
      <c r="C120" s="103" t="n"/>
      <c r="D120" s="103" t="n"/>
      <c r="E120" s="103" t="n"/>
      <c r="F120" s="170">
        <f>IF(OR(D120="",E120=""),"",D120*E120)</f>
        <v/>
      </c>
      <c r="G120" s="103" t="n"/>
      <c r="H120" s="88" t="n"/>
      <c r="I120" s="88" t="n"/>
      <c r="J120" s="88" t="n"/>
      <c r="K120" s="88" t="n"/>
      <c r="L120" s="88" t="n"/>
      <c r="M120" s="88" t="n"/>
      <c r="N120" s="88" t="n"/>
      <c r="O120" s="170">
        <f>IF(A137="","",A137)</f>
        <v/>
      </c>
      <c r="P120" s="88" t="n"/>
      <c r="Q120" s="88" t="n"/>
      <c r="R120" s="88" t="n"/>
      <c r="S120" s="88" t="n"/>
      <c r="T120" s="88" t="n"/>
    </row>
  </sheetData>
  <mergeCells count="3">
    <mergeCell ref="A4:C4"/>
    <mergeCell ref="A17:G17"/>
    <mergeCell ref="A1:H1"/>
  </mergeCells>
  <dataValidations count="3">
    <dataValidation sqref="B21:B120" showDropDown="0" showInputMessage="0" showErrorMessage="0" allowBlank="1" errorTitle="Invalid selection" error="Select a value from the dropdown list." type="list" errorStyle="stop" operator="between">
      <formula1>ProjectStatusList</formula1>
      <formula2>0</formula2>
    </dataValidation>
    <dataValidation sqref="C21:C120" showDropDown="0" showInputMessage="0" showErrorMessage="0" allowBlank="1" errorTitle="Invalid selection" error="Select a value from the dropdown list." type="list" errorStyle="stop" operator="between">
      <formula1>OwnershipList</formula1>
      <formula2>0</formula2>
    </dataValidation>
    <dataValidation sqref="D21:E120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F9" activeCellId="0" sqref="F9"/>
    </sheetView>
  </sheetViews>
  <sheetFormatPr baseColWidth="8" defaultColWidth="9.00390625" defaultRowHeight="14.25" customHeight="0" zeroHeight="0" outlineLevelRow="0"/>
  <cols>
    <col width="24" customWidth="1" style="82" min="1" max="1"/>
    <col width="22" customWidth="1" style="82" min="2" max="2"/>
    <col width="18" customWidth="1" style="82" min="3" max="6"/>
    <col width="26" customWidth="1" style="82" min="7" max="7"/>
    <col width="22" customWidth="1" style="82" min="8" max="8"/>
    <col width="16.77" customWidth="1" style="82" min="9" max="9"/>
    <col width="10.66" customWidth="1" style="82" min="10" max="10"/>
    <col width="12.11" customWidth="1" style="82" min="11" max="11"/>
    <col width="11.67" customWidth="1" style="82" min="12" max="12"/>
    <col width="14.89" customWidth="1" style="82" min="13" max="13"/>
    <col width="13.67" customWidth="1" style="82" min="15" max="15"/>
    <col width="19.56" customWidth="1" style="82" min="16" max="16"/>
    <col width="48" customWidth="1" style="82" min="18" max="18"/>
  </cols>
  <sheetData>
    <row r="1" ht="27.75" customHeight="1" s="83">
      <c r="A1" s="84" t="inlineStr">
        <is>
          <t>Settings &amp; Master Configuration</t>
        </is>
      </c>
      <c r="B1" s="85" t="n"/>
      <c r="C1" s="85" t="n"/>
      <c r="D1" s="85" t="n"/>
      <c r="E1" s="85" t="n"/>
      <c r="F1" s="85" t="n"/>
      <c r="G1" s="85" t="n"/>
      <c r="H1" s="85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</row>
    <row r="2" ht="57" customHeight="1" s="83">
      <c r="A2" s="86" t="inlineStr">
        <is>
          <t>Central control panel for standalone DooRm workbook variables.</t>
        </is>
      </c>
      <c r="B2" s="86" t="n"/>
      <c r="C2" s="86" t="n"/>
      <c r="D2" s="86" t="n"/>
      <c r="E2" s="86" t="n"/>
      <c r="F2" s="86" t="n"/>
      <c r="G2" s="86" t="n"/>
      <c r="H2" s="122" t="inlineStr">
        <is>
          <t>Invoice Selector Type</t>
        </is>
      </c>
      <c r="I2" s="122" t="inlineStr">
        <is>
          <t>STATUE</t>
        </is>
      </c>
      <c r="J2" s="122" t="inlineStr">
        <is>
          <t>Month List</t>
        </is>
      </c>
      <c r="K2" s="122" t="inlineStr">
        <is>
          <t>Payment Status List</t>
        </is>
      </c>
      <c r="L2" s="122" t="inlineStr">
        <is>
          <t>Ownership List</t>
        </is>
      </c>
      <c r="M2" s="122" t="inlineStr">
        <is>
          <t>Project Status List</t>
        </is>
      </c>
      <c r="N2" s="122" t="inlineStr">
        <is>
          <t>Yes No List</t>
        </is>
      </c>
      <c r="O2" s="122" t="inlineStr">
        <is>
          <t>Dashboard Dorm Filter List</t>
        </is>
      </c>
      <c r="P2" s="122" t="inlineStr">
        <is>
          <t>Renovation Categories</t>
        </is>
      </c>
      <c r="Q2" s="122" t="inlineStr">
        <is>
          <t>Year List</t>
        </is>
      </c>
      <c r="R2" s="122" t="inlineStr">
        <is>
          <t>Expansion Note</t>
        </is>
      </c>
    </row>
    <row r="3" ht="42.75" customHeight="1" s="83">
      <c r="A3" s="88" t="n"/>
      <c r="B3" s="88" t="n"/>
      <c r="C3" s="88" t="n"/>
      <c r="D3" s="88" t="n"/>
      <c r="E3" s="88" t="n"/>
      <c r="F3" s="86" t="n"/>
      <c r="G3" s="86" t="n"/>
      <c r="H3" s="171" t="inlineStr">
        <is>
          <t>Client Name</t>
        </is>
      </c>
      <c r="I3" s="171" t="inlineStr">
        <is>
          <t>Occupied</t>
        </is>
      </c>
      <c r="J3" s="172" t="n">
        <v>46023</v>
      </c>
      <c r="K3" s="171" t="inlineStr">
        <is>
          <t>Unpaid</t>
        </is>
      </c>
      <c r="L3" s="171" t="inlineStr">
        <is>
          <t>Owned</t>
        </is>
      </c>
      <c r="M3" s="171" t="inlineStr">
        <is>
          <t>Operational</t>
        </is>
      </c>
      <c r="N3" s="171" t="inlineStr">
        <is>
          <t>No</t>
        </is>
      </c>
      <c r="O3" s="171" t="inlineStr">
        <is>
          <t>All Dorms</t>
        </is>
      </c>
      <c r="P3" s="171" t="inlineStr">
        <is>
          <t>Painting</t>
        </is>
      </c>
      <c r="Q3" s="171" t="n">
        <v>2025</v>
      </c>
      <c r="R3" s="100" t="inlineStr">
        <is>
          <t>Add Dorm 4+ in DormRegistry. Default room capacity is 6 beds max; tables/formulas can be extended without rebuilding formulas.</t>
        </is>
      </c>
    </row>
    <row r="4" ht="42.75" customHeight="1" s="83">
      <c r="A4" s="122" t="inlineStr">
        <is>
          <t>Editable Variables</t>
        </is>
      </c>
      <c r="B4" s="85" t="n"/>
      <c r="C4" s="85" t="n"/>
      <c r="D4" s="88" t="n"/>
      <c r="E4" s="88" t="n"/>
      <c r="F4" s="88" t="n"/>
      <c r="G4" s="88" t="n"/>
      <c r="H4" s="171" t="inlineStr">
        <is>
          <t>Bed ID</t>
        </is>
      </c>
      <c r="I4" s="171" t="inlineStr">
        <is>
          <t>Vacant</t>
        </is>
      </c>
      <c r="J4" s="172" t="n">
        <v>46054</v>
      </c>
      <c r="K4" s="171" t="inlineStr">
        <is>
          <t>Paid</t>
        </is>
      </c>
      <c r="L4" s="171" t="inlineStr">
        <is>
          <t>Rented</t>
        </is>
      </c>
      <c r="M4" s="171" t="inlineStr">
        <is>
          <t>Under Construction</t>
        </is>
      </c>
      <c r="N4" s="171" t="inlineStr">
        <is>
          <t>Yes</t>
        </is>
      </c>
      <c r="O4" s="170">
        <f>IF(A21="","",A21)</f>
        <v/>
      </c>
      <c r="P4" s="171" t="inlineStr">
        <is>
          <t>Beds &amp; Mattresses</t>
        </is>
      </c>
      <c r="Q4" s="171" t="n">
        <v>2026</v>
      </c>
      <c r="R4" s="88" t="n"/>
    </row>
    <row r="5" ht="42.75" customHeight="1" s="83">
      <c r="A5" s="124" t="inlineStr">
        <is>
          <t>Variable</t>
        </is>
      </c>
      <c r="B5" s="124" t="inlineStr">
        <is>
          <t>Default</t>
        </is>
      </c>
      <c r="C5" s="124" t="inlineStr">
        <is>
          <t>Current Value</t>
        </is>
      </c>
      <c r="D5" s="88" t="n"/>
      <c r="E5" s="88" t="n"/>
      <c r="F5" s="88" t="n"/>
      <c r="G5" s="88" t="n"/>
      <c r="H5" s="171" t="n"/>
      <c r="I5" s="171" t="inlineStr">
        <is>
          <t>Reserved</t>
        </is>
      </c>
      <c r="J5" s="172" t="n">
        <v>46082</v>
      </c>
      <c r="K5" s="171" t="inlineStr">
        <is>
          <t>Partially Paid</t>
        </is>
      </c>
      <c r="L5" s="88" t="n"/>
      <c r="M5" s="171" t="inlineStr">
        <is>
          <t>Planned</t>
        </is>
      </c>
      <c r="N5" s="88" t="n"/>
      <c r="O5" s="170">
        <f>IF(A22="","",A22)</f>
        <v/>
      </c>
      <c r="P5" s="171" t="inlineStr">
        <is>
          <t>Kitchen Appliances</t>
        </is>
      </c>
      <c r="Q5" s="171" t="n">
        <v>2027</v>
      </c>
      <c r="R5" s="88" t="n"/>
    </row>
    <row r="6" ht="14.25" customHeight="1" s="83">
      <c r="A6" s="89" t="inlineStr">
        <is>
          <t>Generator Rate</t>
        </is>
      </c>
      <c r="B6" s="173" t="n">
        <v>0.5</v>
      </c>
      <c r="C6" s="168" t="n">
        <v>0.5</v>
      </c>
      <c r="D6" s="88" t="n"/>
      <c r="E6" s="88" t="n"/>
      <c r="F6" s="88" t="n"/>
      <c r="G6" s="88" t="n"/>
      <c r="H6" s="171" t="n"/>
      <c r="I6" s="88" t="n"/>
      <c r="J6" s="172" t="n">
        <v>46113</v>
      </c>
      <c r="K6" s="171" t="inlineStr">
        <is>
          <t>Overdue</t>
        </is>
      </c>
      <c r="L6" s="88" t="n"/>
      <c r="M6" s="88" t="n"/>
      <c r="N6" s="88" t="n"/>
      <c r="O6" s="170">
        <f>IF(A23="","",A23)</f>
        <v/>
      </c>
      <c r="P6" s="171" t="inlineStr">
        <is>
          <t>Plumbing</t>
        </is>
      </c>
      <c r="Q6" s="171" t="n">
        <v>2028</v>
      </c>
      <c r="R6" s="88" t="n"/>
    </row>
    <row r="7" ht="14.25" customHeight="1" s="83">
      <c r="A7" s="89" t="inlineStr">
        <is>
          <t>Government Rate</t>
        </is>
      </c>
      <c r="B7" s="173" t="n">
        <v>0.4</v>
      </c>
      <c r="C7" s="168" t="n">
        <v>0.4</v>
      </c>
      <c r="D7" s="88" t="n"/>
      <c r="E7" s="88" t="n"/>
      <c r="F7" s="88" t="n"/>
      <c r="G7" s="88" t="n"/>
      <c r="H7" s="88" t="n"/>
      <c r="I7" s="88" t="n"/>
      <c r="J7" s="172" t="n">
        <v>46143</v>
      </c>
      <c r="K7" s="88" t="n"/>
      <c r="L7" s="88" t="n"/>
      <c r="M7" s="88" t="n"/>
      <c r="N7" s="88" t="n"/>
      <c r="O7" s="170">
        <f>IF(A24="","",A24)</f>
        <v/>
      </c>
      <c r="P7" s="171" t="inlineStr">
        <is>
          <t>Furniture</t>
        </is>
      </c>
      <c r="Q7" s="171" t="n">
        <v>2029</v>
      </c>
      <c r="R7" s="88" t="n"/>
    </row>
    <row r="8" ht="28.5" customHeight="1" s="83">
      <c r="A8" s="89" t="inlineStr">
        <is>
          <t>Fixed Generator Fee</t>
        </is>
      </c>
      <c r="B8" s="173" t="n">
        <v>5</v>
      </c>
      <c r="C8" s="168" t="n">
        <v>5</v>
      </c>
      <c r="D8" s="88" t="n"/>
      <c r="E8" s="88" t="n"/>
      <c r="F8" s="88" t="n"/>
      <c r="G8" s="88" t="n"/>
      <c r="H8" s="88" t="n"/>
      <c r="I8" s="88" t="n"/>
      <c r="J8" s="172" t="n">
        <v>46174</v>
      </c>
      <c r="K8" s="88" t="n"/>
      <c r="L8" s="88" t="n"/>
      <c r="M8" s="88" t="n"/>
      <c r="N8" s="88" t="n"/>
      <c r="O8" s="170">
        <f>IF(A25="","",A25)</f>
        <v/>
      </c>
      <c r="P8" s="171" t="inlineStr">
        <is>
          <t>Electricity &amp; Wiring</t>
        </is>
      </c>
      <c r="Q8" s="171" t="n">
        <v>2030</v>
      </c>
      <c r="R8" s="88" t="n"/>
    </row>
    <row r="9" ht="42.75" customHeight="1" s="83">
      <c r="A9" s="89" t="inlineStr">
        <is>
          <t>Fixed Government Fee</t>
        </is>
      </c>
      <c r="B9" s="173" t="n">
        <v>6</v>
      </c>
      <c r="C9" s="168" t="n">
        <v>6</v>
      </c>
      <c r="D9" s="88" t="n"/>
      <c r="E9" s="88" t="n"/>
      <c r="F9" s="88" t="n"/>
      <c r="G9" s="88" t="n"/>
      <c r="H9" s="88" t="n"/>
      <c r="I9" s="88" t="n"/>
      <c r="J9" s="172" t="n">
        <v>46204</v>
      </c>
      <c r="K9" s="88" t="n"/>
      <c r="L9" s="88" t="n"/>
      <c r="M9" s="88" t="n"/>
      <c r="N9" s="88" t="n"/>
      <c r="O9" s="170">
        <f>IF(A26="","",A26)</f>
        <v/>
      </c>
      <c r="P9" s="171" t="inlineStr">
        <is>
          <t>CCTV Installation</t>
        </is>
      </c>
      <c r="Q9" s="171" t="n">
        <v>2031</v>
      </c>
      <c r="R9" s="88" t="n"/>
    </row>
    <row r="10" ht="42.75" customHeight="1" s="83">
      <c r="A10" s="89" t="inlineStr">
        <is>
          <t>Default Rent Per Bed</t>
        </is>
      </c>
      <c r="B10" s="173" t="n">
        <v>350</v>
      </c>
      <c r="C10" s="168" t="n">
        <v>350</v>
      </c>
      <c r="D10" s="88" t="n"/>
      <c r="E10" s="88" t="n"/>
      <c r="F10" s="88" t="n"/>
      <c r="G10" s="88" t="n"/>
      <c r="H10" s="88" t="n"/>
      <c r="I10" s="88" t="n"/>
      <c r="J10" s="172" t="n">
        <v>46235</v>
      </c>
      <c r="K10" s="88" t="n"/>
      <c r="L10" s="88" t="n"/>
      <c r="M10" s="88" t="n"/>
      <c r="N10" s="88" t="n"/>
      <c r="O10" s="170">
        <f>IF(A27="","",A27)</f>
        <v/>
      </c>
      <c r="P10" s="171" t="inlineStr">
        <is>
          <t>Internet Infrastructure</t>
        </is>
      </c>
      <c r="Q10" s="171" t="n">
        <v>2032</v>
      </c>
      <c r="R10" s="88" t="n"/>
    </row>
    <row r="11" ht="57" customHeight="1" s="83">
      <c r="A11" s="89" t="inlineStr">
        <is>
          <t>Target Occupancy</t>
        </is>
      </c>
      <c r="B11" s="174" t="n">
        <v>0.9</v>
      </c>
      <c r="C11" s="169" t="n">
        <v>0.9</v>
      </c>
      <c r="D11" s="88" t="n"/>
      <c r="E11" s="88" t="n"/>
      <c r="F11" s="88" t="n"/>
      <c r="G11" s="88" t="n"/>
      <c r="H11" s="88" t="n"/>
      <c r="I11" s="88" t="n"/>
      <c r="J11" s="172" t="n">
        <v>46266</v>
      </c>
      <c r="K11" s="88" t="n"/>
      <c r="L11" s="88" t="n"/>
      <c r="M11" s="88" t="n"/>
      <c r="N11" s="88" t="n"/>
      <c r="O11" s="170">
        <f>IF(A28="","",A28)</f>
        <v/>
      </c>
      <c r="P11" s="171" t="inlineStr">
        <is>
          <t>Curtains &amp; Decorations</t>
        </is>
      </c>
      <c r="Q11" s="171" t="n">
        <v>2033</v>
      </c>
      <c r="R11" s="88" t="n"/>
    </row>
    <row r="12" ht="42.75" customHeight="1" s="83">
      <c r="A12" s="89" t="inlineStr">
        <is>
          <t>Inflation Rate</t>
        </is>
      </c>
      <c r="B12" s="174" t="n">
        <v>0.03</v>
      </c>
      <c r="C12" s="169" t="n">
        <v>0.03</v>
      </c>
      <c r="D12" s="88" t="n"/>
      <c r="E12" s="88" t="n"/>
      <c r="F12" s="88" t="n"/>
      <c r="G12" s="88" t="n"/>
      <c r="H12" s="88" t="n"/>
      <c r="I12" s="88" t="n"/>
      <c r="J12" s="172" t="n">
        <v>46296</v>
      </c>
      <c r="K12" s="88" t="n"/>
      <c r="L12" s="88" t="n"/>
      <c r="M12" s="88" t="n"/>
      <c r="N12" s="88" t="n"/>
      <c r="O12" s="170">
        <f>IF(A29="","",A29)</f>
        <v/>
      </c>
      <c r="P12" s="171" t="inlineStr">
        <is>
          <t>Cleaning Equipment</t>
        </is>
      </c>
      <c r="Q12" s="171" t="n">
        <v>2034</v>
      </c>
      <c r="R12" s="88" t="n"/>
    </row>
    <row r="13" ht="57" customHeight="1" s="83">
      <c r="A13" s="89" t="inlineStr">
        <is>
          <t>Currency Symbol</t>
        </is>
      </c>
      <c r="B13" s="175" t="inlineStr">
        <is>
          <t>$</t>
        </is>
      </c>
      <c r="C13" s="91" t="inlineStr">
        <is>
          <t>$</t>
        </is>
      </c>
      <c r="D13" s="88" t="n"/>
      <c r="E13" s="88" t="n"/>
      <c r="F13" s="88" t="n"/>
      <c r="G13" s="88" t="n"/>
      <c r="H13" s="88" t="n"/>
      <c r="I13" s="88" t="n"/>
      <c r="J13" s="172" t="n">
        <v>46327</v>
      </c>
      <c r="K13" s="88" t="n"/>
      <c r="L13" s="88" t="n"/>
      <c r="M13" s="88" t="n"/>
      <c r="N13" s="88" t="n"/>
      <c r="O13" s="170">
        <f>IF(A30="","",A30)</f>
        <v/>
      </c>
      <c r="P13" s="171" t="inlineStr">
        <is>
          <t>Contingency / Miscellaneous</t>
        </is>
      </c>
      <c r="Q13" s="171" t="n">
        <v>2035</v>
      </c>
      <c r="R13" s="88" t="n"/>
    </row>
    <row r="14" ht="14.25" customHeight="1" s="83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172" t="n">
        <v>46357</v>
      </c>
      <c r="K14" s="88" t="n"/>
      <c r="L14" s="88" t="n"/>
      <c r="M14" s="88" t="n"/>
      <c r="N14" s="88" t="n"/>
      <c r="O14" s="170">
        <f>IF(A31="","",A31)</f>
        <v/>
      </c>
      <c r="P14" s="88" t="n"/>
      <c r="Q14" s="88" t="n"/>
      <c r="R14" s="88" t="n"/>
    </row>
    <row r="15" ht="14.25" customHeight="1" s="83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170">
        <f>IF(A32="","",A32)</f>
        <v/>
      </c>
      <c r="P15" s="88" t="n"/>
      <c r="Q15" s="88" t="n"/>
      <c r="R15" s="88" t="n"/>
    </row>
    <row r="16" ht="14.25" customHeight="1" s="83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170">
        <f>IF(A33="","",A33)</f>
        <v/>
      </c>
      <c r="P16" s="88" t="n"/>
      <c r="Q16" s="88" t="n"/>
      <c r="R16" s="88" t="n"/>
    </row>
    <row r="17" ht="14.25" customHeight="1" s="83">
      <c r="A17" s="122" t="inlineStr">
        <is>
          <t>Dorm Registry Table</t>
        </is>
      </c>
      <c r="B17" s="85" t="n"/>
      <c r="C17" s="85" t="n"/>
      <c r="D17" s="85" t="n"/>
      <c r="E17" s="85" t="n"/>
      <c r="F17" s="85" t="n"/>
      <c r="G17" s="85" t="n"/>
      <c r="H17" s="88" t="n"/>
      <c r="I17" s="88" t="n"/>
      <c r="J17" s="88" t="n"/>
      <c r="K17" s="88" t="n"/>
      <c r="L17" s="88" t="n"/>
      <c r="M17" s="88" t="n"/>
      <c r="N17" s="88" t="n"/>
      <c r="O17" s="170">
        <f>IF(A34="","",A34)</f>
        <v/>
      </c>
      <c r="P17" s="88" t="n"/>
      <c r="Q17" s="88" t="n"/>
      <c r="R17" s="88" t="n"/>
    </row>
    <row r="18" ht="14.25" customHeight="1" s="83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170">
        <f>IF(A35="","",A35)</f>
        <v/>
      </c>
      <c r="P18" s="88" t="n"/>
      <c r="Q18" s="88" t="n"/>
      <c r="R18" s="88" t="n"/>
    </row>
    <row r="19" ht="14.25" customHeight="1" s="83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170">
        <f>IF(A36="","",A36)</f>
        <v/>
      </c>
      <c r="P19" s="88" t="n"/>
      <c r="Q19" s="88" t="n"/>
      <c r="R19" s="88" t="n"/>
    </row>
    <row r="20" ht="14.25" customHeight="1" s="83">
      <c r="A20" s="124" t="inlineStr">
        <is>
          <t>Dorm Name</t>
        </is>
      </c>
      <c r="B20" s="124" t="inlineStr">
        <is>
          <t>Status</t>
        </is>
      </c>
      <c r="C20" s="124" t="inlineStr">
        <is>
          <t>Ownership Type</t>
        </is>
      </c>
      <c r="D20" s="124" t="inlineStr">
        <is>
          <t>Number of Rooms</t>
        </is>
      </c>
      <c r="E20" s="124" t="inlineStr">
        <is>
          <t>Beds per Room</t>
        </is>
      </c>
      <c r="F20" s="124" t="inlineStr">
        <is>
          <t>Bed Capacity</t>
        </is>
      </c>
      <c r="G20" s="124" t="inlineStr">
        <is>
          <t>Notes</t>
        </is>
      </c>
      <c r="H20" s="88" t="n"/>
      <c r="I20" s="88" t="n"/>
      <c r="J20" s="88" t="n"/>
      <c r="K20" s="88" t="n"/>
      <c r="L20" s="88" t="n"/>
      <c r="M20" s="88" t="n"/>
      <c r="N20" s="88" t="n"/>
      <c r="O20" s="170">
        <f>IF(A37="","",A37)</f>
        <v/>
      </c>
      <c r="P20" s="88" t="n"/>
      <c r="Q20" s="88" t="n"/>
      <c r="R20" s="88" t="n"/>
    </row>
    <row r="21" ht="42.75" customHeight="1" s="83">
      <c r="A21" s="103" t="inlineStr">
        <is>
          <t>Dorm 1</t>
        </is>
      </c>
      <c r="B21" s="103" t="inlineStr">
        <is>
          <t>Operational</t>
        </is>
      </c>
      <c r="C21" s="103" t="inlineStr">
        <is>
          <t>Owned</t>
        </is>
      </c>
      <c r="D21" s="103" t="n">
        <v>6</v>
      </c>
      <c r="E21" s="103" t="n">
        <v>2</v>
      </c>
      <c r="F21" s="170">
        <f>D21*E21</f>
        <v/>
      </c>
      <c r="G21" s="103" t="inlineStr">
        <is>
          <t>Operational owned building - no rent expense | Room capacity: 2 beds</t>
        </is>
      </c>
      <c r="H21" s="88" t="n"/>
      <c r="I21" s="88" t="n"/>
      <c r="J21" s="88" t="n"/>
      <c r="K21" s="88" t="n"/>
      <c r="L21" s="88" t="n"/>
      <c r="M21" s="88" t="n"/>
      <c r="N21" s="88" t="n"/>
      <c r="O21" s="170">
        <f>IF(A38="","",A38)</f>
        <v/>
      </c>
      <c r="P21" s="88" t="n"/>
      <c r="Q21" s="88" t="n"/>
      <c r="R21" s="88" t="n"/>
    </row>
    <row r="22" ht="42.75" customHeight="1" s="83">
      <c r="A22" s="103" t="inlineStr">
        <is>
          <t>Dorm 2</t>
        </is>
      </c>
      <c r="B22" s="103" t="inlineStr">
        <is>
          <t>Under Construction</t>
        </is>
      </c>
      <c r="C22" s="103" t="inlineStr">
        <is>
          <t>Rented</t>
        </is>
      </c>
      <c r="D22" s="103" t="n">
        <v>6</v>
      </c>
      <c r="E22" s="103" t="n">
        <v>2</v>
      </c>
      <c r="F22" s="170">
        <f>D22*E22</f>
        <v/>
      </c>
      <c r="G22" s="103" t="inlineStr">
        <is>
          <t>Rental property / project tracker focus | Room capacity: 2 beds</t>
        </is>
      </c>
      <c r="H22" s="88" t="n"/>
      <c r="I22" s="88" t="n"/>
      <c r="J22" s="88" t="n"/>
      <c r="K22" s="88" t="n"/>
      <c r="L22" s="88" t="n"/>
      <c r="M22" s="88" t="n"/>
      <c r="N22" s="88" t="n"/>
      <c r="O22" s="170">
        <f>IF(A39="","",A39)</f>
        <v/>
      </c>
      <c r="P22" s="88" t="n"/>
      <c r="Q22" s="88" t="n"/>
      <c r="R22" s="88" t="n"/>
    </row>
    <row r="23" ht="28.5" customHeight="1" s="83">
      <c r="A23" s="103" t="inlineStr">
        <is>
          <t>Dorm 3</t>
        </is>
      </c>
      <c r="B23" s="103" t="inlineStr">
        <is>
          <t>Planned</t>
        </is>
      </c>
      <c r="C23" s="103" t="inlineStr">
        <is>
          <t>Rented</t>
        </is>
      </c>
      <c r="D23" s="103" t="n">
        <v>6</v>
      </c>
      <c r="E23" s="103" t="n">
        <v>2</v>
      </c>
      <c r="F23" s="170">
        <f>D23*E23</f>
        <v/>
      </c>
      <c r="G23" s="103" t="inlineStr">
        <is>
          <t>Future rental property | Room capacity: 2 beds</t>
        </is>
      </c>
      <c r="H23" s="88" t="n"/>
      <c r="I23" s="88" t="n"/>
      <c r="J23" s="88" t="n"/>
      <c r="K23" s="88" t="n"/>
      <c r="L23" s="88" t="n"/>
      <c r="M23" s="88" t="n"/>
      <c r="N23" s="88" t="n"/>
      <c r="O23" s="170">
        <f>IF(A40="","",A40)</f>
        <v/>
      </c>
      <c r="P23" s="88" t="n"/>
      <c r="Q23" s="88" t="n"/>
      <c r="R23" s="88" t="n"/>
    </row>
    <row r="24" ht="14.25" customHeight="1" s="83">
      <c r="A24" s="103" t="n"/>
      <c r="B24" s="103" t="n"/>
      <c r="C24" s="103" t="n"/>
      <c r="D24" s="103" t="n"/>
      <c r="E24" s="103" t="n"/>
      <c r="F24" s="170">
        <f>IF(OR(D24="",E24=""),"",D24*E24)</f>
        <v/>
      </c>
      <c r="G24" s="103" t="n"/>
      <c r="H24" s="88" t="n"/>
      <c r="I24" s="88" t="n"/>
      <c r="J24" s="88" t="n"/>
      <c r="K24" s="88" t="n"/>
      <c r="L24" s="88" t="n"/>
      <c r="M24" s="88" t="n"/>
      <c r="N24" s="88" t="n"/>
      <c r="O24" s="170">
        <f>IF(A41="","",A41)</f>
        <v/>
      </c>
      <c r="P24" s="88" t="n"/>
      <c r="Q24" s="88" t="n"/>
      <c r="R24" s="88" t="n"/>
    </row>
    <row r="25" ht="14.25" customHeight="1" s="83">
      <c r="A25" s="103" t="n"/>
      <c r="B25" s="103" t="n"/>
      <c r="C25" s="103" t="n"/>
      <c r="D25" s="103" t="n"/>
      <c r="E25" s="103" t="n"/>
      <c r="F25" s="170">
        <f>IF(OR(D25="",E25=""),"",D25*E25)</f>
        <v/>
      </c>
      <c r="G25" s="103" t="n"/>
      <c r="H25" s="88" t="n"/>
      <c r="I25" s="88" t="n"/>
      <c r="J25" s="88" t="n"/>
      <c r="K25" s="88" t="n"/>
      <c r="L25" s="88" t="n"/>
      <c r="M25" s="88" t="n"/>
      <c r="N25" s="88" t="n"/>
      <c r="O25" s="170">
        <f>IF(A42="","",A42)</f>
        <v/>
      </c>
      <c r="P25" s="88" t="n"/>
      <c r="Q25" s="88" t="n"/>
      <c r="R25" s="88" t="n"/>
    </row>
    <row r="26" ht="14.25" customHeight="1" s="83">
      <c r="A26" s="103" t="n"/>
      <c r="B26" s="103" t="n"/>
      <c r="C26" s="103" t="n"/>
      <c r="D26" s="103" t="n"/>
      <c r="E26" s="103" t="n"/>
      <c r="F26" s="170">
        <f>IF(OR(D26="",E26=""),"",D26*E26)</f>
        <v/>
      </c>
      <c r="G26" s="103" t="n"/>
      <c r="H26" s="88" t="n"/>
      <c r="I26" s="88" t="n"/>
      <c r="J26" s="88" t="n"/>
      <c r="K26" s="88" t="n"/>
      <c r="L26" s="88" t="n"/>
      <c r="M26" s="88" t="n"/>
      <c r="N26" s="88" t="n"/>
      <c r="O26" s="170">
        <f>IF(A43="","",A43)</f>
        <v/>
      </c>
      <c r="P26" s="88" t="n"/>
      <c r="Q26" s="88" t="n"/>
      <c r="R26" s="88" t="n"/>
    </row>
    <row r="27" ht="14.25" customHeight="1" s="83">
      <c r="A27" s="103" t="n"/>
      <c r="B27" s="103" t="n"/>
      <c r="C27" s="103" t="n"/>
      <c r="D27" s="103" t="n"/>
      <c r="E27" s="103" t="n"/>
      <c r="F27" s="170">
        <f>IF(OR(D27="",E27=""),"",D27*E27)</f>
        <v/>
      </c>
      <c r="G27" s="103" t="n"/>
      <c r="H27" s="88" t="n"/>
      <c r="I27" s="88" t="n"/>
      <c r="J27" s="88" t="n"/>
      <c r="K27" s="88" t="n"/>
      <c r="L27" s="88" t="n"/>
      <c r="M27" s="88" t="n"/>
      <c r="N27" s="88" t="n"/>
      <c r="O27" s="170">
        <f>IF(A44="","",A44)</f>
        <v/>
      </c>
      <c r="P27" s="88" t="n"/>
      <c r="Q27" s="88" t="n"/>
      <c r="R27" s="88" t="n"/>
    </row>
    <row r="28" ht="14.25" customHeight="1" s="83">
      <c r="A28" s="103" t="n"/>
      <c r="B28" s="103" t="n"/>
      <c r="C28" s="103" t="n"/>
      <c r="D28" s="103" t="n"/>
      <c r="E28" s="103" t="n"/>
      <c r="F28" s="170">
        <f>IF(OR(D28="",E28=""),"",D28*E28)</f>
        <v/>
      </c>
      <c r="G28" s="103" t="n"/>
      <c r="H28" s="88" t="n"/>
      <c r="I28" s="88" t="n"/>
      <c r="J28" s="88" t="n"/>
      <c r="K28" s="88" t="n"/>
      <c r="L28" s="88" t="n"/>
      <c r="M28" s="88" t="n"/>
      <c r="N28" s="88" t="n"/>
      <c r="O28" s="170">
        <f>IF(A45="","",A45)</f>
        <v/>
      </c>
      <c r="P28" s="88" t="n"/>
      <c r="Q28" s="88" t="n"/>
      <c r="R28" s="88" t="n"/>
    </row>
    <row r="29" ht="14.25" customHeight="1" s="83">
      <c r="A29" s="103" t="n"/>
      <c r="B29" s="103" t="n"/>
      <c r="C29" s="103" t="n"/>
      <c r="D29" s="103" t="n"/>
      <c r="E29" s="103" t="n"/>
      <c r="F29" s="170">
        <f>IF(OR(D29="",E29=""),"",D29*E29)</f>
        <v/>
      </c>
      <c r="G29" s="103" t="n"/>
      <c r="H29" s="88" t="n"/>
      <c r="I29" s="88" t="n"/>
      <c r="J29" s="88" t="n"/>
      <c r="K29" s="88" t="n"/>
      <c r="L29" s="88" t="n"/>
      <c r="M29" s="88" t="n"/>
      <c r="N29" s="88" t="n"/>
      <c r="O29" s="170">
        <f>IF(A46="","",A46)</f>
        <v/>
      </c>
      <c r="P29" s="88" t="n"/>
      <c r="Q29" s="88" t="n"/>
      <c r="R29" s="88" t="n"/>
    </row>
    <row r="30" ht="14.25" customHeight="1" s="83">
      <c r="A30" s="103" t="n"/>
      <c r="B30" s="103" t="n"/>
      <c r="C30" s="103" t="n"/>
      <c r="D30" s="103" t="n"/>
      <c r="E30" s="103" t="n"/>
      <c r="F30" s="170">
        <f>IF(OR(D30="",E30=""),"",D30*E30)</f>
        <v/>
      </c>
      <c r="G30" s="103" t="n"/>
      <c r="H30" s="88" t="n"/>
      <c r="I30" s="88" t="n"/>
      <c r="J30" s="88" t="n"/>
      <c r="K30" s="88" t="n"/>
      <c r="L30" s="88" t="n"/>
      <c r="M30" s="88" t="n"/>
      <c r="N30" s="88" t="n"/>
      <c r="O30" s="170">
        <f>IF(A47="","",A47)</f>
        <v/>
      </c>
      <c r="P30" s="88" t="n"/>
      <c r="Q30" s="88" t="n"/>
      <c r="R30" s="88" t="n"/>
    </row>
    <row r="31" ht="14.25" customHeight="1" s="83">
      <c r="A31" s="103" t="n"/>
      <c r="B31" s="103" t="n"/>
      <c r="C31" s="103" t="n"/>
      <c r="D31" s="103" t="n"/>
      <c r="E31" s="103" t="n"/>
      <c r="F31" s="170">
        <f>IF(OR(D31="",E31=""),"",D31*E31)</f>
        <v/>
      </c>
      <c r="G31" s="103" t="n"/>
      <c r="H31" s="88" t="n"/>
      <c r="I31" s="88" t="n"/>
      <c r="J31" s="88" t="n"/>
      <c r="K31" s="88" t="n"/>
      <c r="L31" s="88" t="n"/>
      <c r="M31" s="88" t="n"/>
      <c r="N31" s="88" t="n"/>
      <c r="O31" s="170">
        <f>IF(A48="","",A48)</f>
        <v/>
      </c>
      <c r="P31" s="88" t="n"/>
      <c r="Q31" s="88" t="n"/>
      <c r="R31" s="88" t="n"/>
    </row>
    <row r="32" ht="14.25" customHeight="1" s="83">
      <c r="A32" s="103" t="n"/>
      <c r="B32" s="103" t="n"/>
      <c r="C32" s="103" t="n"/>
      <c r="D32" s="103" t="n"/>
      <c r="E32" s="103" t="n"/>
      <c r="F32" s="170">
        <f>IF(OR(D32="",E32=""),"",D32*E32)</f>
        <v/>
      </c>
      <c r="G32" s="103" t="n"/>
      <c r="H32" s="88" t="n"/>
      <c r="I32" s="88" t="n"/>
      <c r="J32" s="88" t="n"/>
      <c r="K32" s="88" t="n"/>
      <c r="L32" s="88" t="n"/>
      <c r="M32" s="88" t="n"/>
      <c r="N32" s="88" t="n"/>
      <c r="O32" s="170">
        <f>IF(A49="","",A49)</f>
        <v/>
      </c>
      <c r="P32" s="88" t="n"/>
      <c r="Q32" s="88" t="n"/>
      <c r="R32" s="88" t="n"/>
    </row>
    <row r="33" ht="14.25" customHeight="1" s="83">
      <c r="A33" s="103" t="n"/>
      <c r="B33" s="103" t="n"/>
      <c r="C33" s="103" t="n"/>
      <c r="D33" s="103" t="n"/>
      <c r="E33" s="103" t="n"/>
      <c r="F33" s="170">
        <f>IF(OR(D33="",E33=""),"",D33*E33)</f>
        <v/>
      </c>
      <c r="G33" s="103" t="n"/>
      <c r="H33" s="88" t="n"/>
      <c r="I33" s="88" t="n"/>
      <c r="J33" s="88" t="n"/>
      <c r="K33" s="88" t="n"/>
      <c r="L33" s="88" t="n"/>
      <c r="M33" s="88" t="n"/>
      <c r="N33" s="88" t="n"/>
      <c r="O33" s="170">
        <f>IF(A50="","",A50)</f>
        <v/>
      </c>
      <c r="P33" s="88" t="n"/>
      <c r="Q33" s="88" t="n"/>
      <c r="R33" s="88" t="n"/>
    </row>
    <row r="34" ht="14.25" customHeight="1" s="83">
      <c r="A34" s="103" t="n"/>
      <c r="B34" s="103" t="n"/>
      <c r="C34" s="103" t="n"/>
      <c r="D34" s="103" t="n"/>
      <c r="E34" s="103" t="n"/>
      <c r="F34" s="170">
        <f>IF(OR(D34="",E34=""),"",D34*E34)</f>
        <v/>
      </c>
      <c r="G34" s="103" t="n"/>
      <c r="H34" s="88" t="n"/>
      <c r="I34" s="88" t="n"/>
      <c r="J34" s="88" t="n"/>
      <c r="K34" s="88" t="n"/>
      <c r="L34" s="88" t="n"/>
      <c r="M34" s="88" t="n"/>
      <c r="N34" s="88" t="n"/>
      <c r="O34" s="170">
        <f>IF(A51="","",A51)</f>
        <v/>
      </c>
      <c r="P34" s="88" t="n"/>
      <c r="Q34" s="88" t="n"/>
      <c r="R34" s="88" t="n"/>
    </row>
    <row r="35" ht="14.25" customHeight="1" s="83">
      <c r="A35" s="103" t="n"/>
      <c r="B35" s="103" t="n"/>
      <c r="C35" s="103" t="n"/>
      <c r="D35" s="103" t="n"/>
      <c r="E35" s="103" t="n"/>
      <c r="F35" s="170">
        <f>IF(OR(D35="",E35=""),"",D35*E35)</f>
        <v/>
      </c>
      <c r="G35" s="103" t="n"/>
      <c r="H35" s="88" t="n"/>
      <c r="I35" s="88" t="n"/>
      <c r="J35" s="88" t="n"/>
      <c r="K35" s="88" t="n"/>
      <c r="L35" s="88" t="n"/>
      <c r="M35" s="88" t="n"/>
      <c r="N35" s="88" t="n"/>
      <c r="O35" s="170">
        <f>IF(A52="","",A52)</f>
        <v/>
      </c>
      <c r="P35" s="88" t="n"/>
      <c r="Q35" s="88" t="n"/>
      <c r="R35" s="88" t="n"/>
    </row>
    <row r="36" ht="14.25" customHeight="1" s="83">
      <c r="A36" s="103" t="n"/>
      <c r="B36" s="103" t="n"/>
      <c r="C36" s="103" t="n"/>
      <c r="D36" s="103" t="n"/>
      <c r="E36" s="103" t="n"/>
      <c r="F36" s="170">
        <f>IF(OR(D36="",E36=""),"",D36*E36)</f>
        <v/>
      </c>
      <c r="G36" s="103" t="n"/>
      <c r="H36" s="88" t="n"/>
      <c r="I36" s="88" t="n"/>
      <c r="J36" s="88" t="n"/>
      <c r="K36" s="88" t="n"/>
      <c r="L36" s="88" t="n"/>
      <c r="M36" s="88" t="n"/>
      <c r="N36" s="88" t="n"/>
      <c r="O36" s="170">
        <f>IF(A53="","",A53)</f>
        <v/>
      </c>
      <c r="P36" s="88" t="n"/>
      <c r="Q36" s="88" t="n"/>
      <c r="R36" s="88" t="n"/>
    </row>
    <row r="37" ht="14.25" customHeight="1" s="83">
      <c r="A37" s="103" t="n"/>
      <c r="B37" s="103" t="n"/>
      <c r="C37" s="103" t="n"/>
      <c r="D37" s="103" t="n"/>
      <c r="E37" s="103" t="n"/>
      <c r="F37" s="170">
        <f>IF(OR(D37="",E37=""),"",D37*E37)</f>
        <v/>
      </c>
      <c r="G37" s="103" t="n"/>
      <c r="H37" s="88" t="n"/>
      <c r="I37" s="88" t="n"/>
      <c r="J37" s="88" t="n"/>
      <c r="K37" s="88" t="n"/>
      <c r="L37" s="88" t="n"/>
      <c r="M37" s="88" t="n"/>
      <c r="N37" s="88" t="n"/>
      <c r="O37" s="170">
        <f>IF(A54="","",A54)</f>
        <v/>
      </c>
      <c r="P37" s="88" t="n"/>
      <c r="Q37" s="88" t="n"/>
      <c r="R37" s="88" t="n"/>
    </row>
    <row r="38" ht="14.25" customHeight="1" s="83">
      <c r="A38" s="103" t="n"/>
      <c r="B38" s="103" t="n"/>
      <c r="C38" s="103" t="n"/>
      <c r="D38" s="103" t="n"/>
      <c r="E38" s="103" t="n"/>
      <c r="F38" s="170">
        <f>IF(OR(D38="",E38=""),"",D38*E38)</f>
        <v/>
      </c>
      <c r="G38" s="103" t="n"/>
      <c r="H38" s="88" t="n"/>
      <c r="I38" s="88" t="n"/>
      <c r="J38" s="88" t="n"/>
      <c r="K38" s="88" t="n"/>
      <c r="L38" s="88" t="n"/>
      <c r="M38" s="88" t="n"/>
      <c r="N38" s="88" t="n"/>
      <c r="O38" s="170">
        <f>IF(A55="","",A55)</f>
        <v/>
      </c>
      <c r="P38" s="88" t="n"/>
      <c r="Q38" s="88" t="n"/>
      <c r="R38" s="88" t="n"/>
    </row>
    <row r="39" ht="14.25" customHeight="1" s="83">
      <c r="A39" s="103" t="n"/>
      <c r="B39" s="103" t="n"/>
      <c r="C39" s="103" t="n"/>
      <c r="D39" s="103" t="n"/>
      <c r="E39" s="103" t="n"/>
      <c r="F39" s="170">
        <f>IF(OR(D39="",E39=""),"",D39*E39)</f>
        <v/>
      </c>
      <c r="G39" s="103" t="n"/>
      <c r="H39" s="88" t="n"/>
      <c r="I39" s="88" t="n"/>
      <c r="J39" s="88" t="n"/>
      <c r="K39" s="88" t="n"/>
      <c r="L39" s="88" t="n"/>
      <c r="M39" s="88" t="n"/>
      <c r="N39" s="88" t="n"/>
      <c r="O39" s="170">
        <f>IF(A56="","",A56)</f>
        <v/>
      </c>
      <c r="P39" s="88" t="n"/>
      <c r="Q39" s="88" t="n"/>
      <c r="R39" s="88" t="n"/>
    </row>
    <row r="40" ht="14.25" customHeight="1" s="83">
      <c r="A40" s="103" t="n"/>
      <c r="B40" s="103" t="n"/>
      <c r="C40" s="103" t="n"/>
      <c r="D40" s="103" t="n"/>
      <c r="E40" s="103" t="n"/>
      <c r="F40" s="170">
        <f>IF(OR(D40="",E40=""),"",D40*E40)</f>
        <v/>
      </c>
      <c r="G40" s="103" t="n"/>
      <c r="H40" s="88" t="n"/>
      <c r="I40" s="88" t="n"/>
      <c r="J40" s="88" t="n"/>
      <c r="K40" s="88" t="n"/>
      <c r="L40" s="88" t="n"/>
      <c r="M40" s="88" t="n"/>
      <c r="N40" s="88" t="n"/>
      <c r="O40" s="170">
        <f>IF(A57="","",A57)</f>
        <v/>
      </c>
      <c r="P40" s="88" t="n"/>
      <c r="Q40" s="88" t="n"/>
      <c r="R40" s="88" t="n"/>
    </row>
    <row r="41" ht="14.25" customHeight="1" s="83">
      <c r="A41" s="103" t="n"/>
      <c r="B41" s="103" t="n"/>
      <c r="C41" s="103" t="n"/>
      <c r="D41" s="103" t="n"/>
      <c r="E41" s="103" t="n"/>
      <c r="F41" s="170">
        <f>IF(OR(D41="",E41=""),"",D41*E41)</f>
        <v/>
      </c>
      <c r="G41" s="103" t="n"/>
      <c r="H41" s="88" t="n"/>
      <c r="I41" s="88" t="n"/>
      <c r="J41" s="88" t="n"/>
      <c r="K41" s="88" t="n"/>
      <c r="L41" s="88" t="n"/>
      <c r="M41" s="88" t="n"/>
      <c r="N41" s="88" t="n"/>
      <c r="O41" s="170">
        <f>IF(A58="","",A58)</f>
        <v/>
      </c>
      <c r="P41" s="88" t="n"/>
      <c r="Q41" s="88" t="n"/>
      <c r="R41" s="88" t="n"/>
    </row>
    <row r="42" ht="14.25" customHeight="1" s="83">
      <c r="A42" s="103" t="n"/>
      <c r="B42" s="103" t="n"/>
      <c r="C42" s="103" t="n"/>
      <c r="D42" s="103" t="n"/>
      <c r="E42" s="103" t="n"/>
      <c r="F42" s="170">
        <f>IF(OR(D42="",E42=""),"",D42*E42)</f>
        <v/>
      </c>
      <c r="G42" s="103" t="n"/>
      <c r="H42" s="88" t="n"/>
      <c r="I42" s="88" t="n"/>
      <c r="J42" s="88" t="n"/>
      <c r="K42" s="88" t="n"/>
      <c r="L42" s="88" t="n"/>
      <c r="M42" s="88" t="n"/>
      <c r="N42" s="88" t="n"/>
      <c r="O42" s="170">
        <f>IF(A59="","",A59)</f>
        <v/>
      </c>
      <c r="P42" s="88" t="n"/>
      <c r="Q42" s="88" t="n"/>
      <c r="R42" s="88" t="n"/>
    </row>
    <row r="43" ht="14.25" customHeight="1" s="83">
      <c r="A43" s="103" t="n"/>
      <c r="B43" s="103" t="n"/>
      <c r="C43" s="103" t="n"/>
      <c r="D43" s="103" t="n"/>
      <c r="E43" s="103" t="n"/>
      <c r="F43" s="170">
        <f>IF(OR(D43="",E43=""),"",D43*E43)</f>
        <v/>
      </c>
      <c r="G43" s="103" t="n"/>
      <c r="H43" s="88" t="n"/>
      <c r="I43" s="88" t="n"/>
      <c r="J43" s="88" t="n"/>
      <c r="K43" s="88" t="n"/>
      <c r="L43" s="88" t="n"/>
      <c r="M43" s="88" t="n"/>
      <c r="N43" s="88" t="n"/>
      <c r="O43" s="170">
        <f>IF(A60="","",A60)</f>
        <v/>
      </c>
      <c r="P43" s="88" t="n"/>
      <c r="Q43" s="88" t="n"/>
      <c r="R43" s="88" t="n"/>
    </row>
    <row r="44" ht="14.25" customHeight="1" s="83">
      <c r="A44" s="103" t="n"/>
      <c r="B44" s="103" t="n"/>
      <c r="C44" s="103" t="n"/>
      <c r="D44" s="103" t="n"/>
      <c r="E44" s="103" t="n"/>
      <c r="F44" s="170">
        <f>IF(OR(D44="",E44=""),"",D44*E44)</f>
        <v/>
      </c>
      <c r="G44" s="103" t="n"/>
      <c r="H44" s="88" t="n"/>
      <c r="I44" s="88" t="n"/>
      <c r="J44" s="88" t="n"/>
      <c r="K44" s="88" t="n"/>
      <c r="L44" s="88" t="n"/>
      <c r="M44" s="88" t="n"/>
      <c r="N44" s="88" t="n"/>
      <c r="O44" s="170">
        <f>IF(A61="","",A61)</f>
        <v/>
      </c>
      <c r="P44" s="88" t="n"/>
      <c r="Q44" s="88" t="n"/>
      <c r="R44" s="88" t="n"/>
    </row>
    <row r="45" ht="14.25" customHeight="1" s="83">
      <c r="A45" s="103" t="n"/>
      <c r="B45" s="103" t="n"/>
      <c r="C45" s="103" t="n"/>
      <c r="D45" s="103" t="n"/>
      <c r="E45" s="103" t="n"/>
      <c r="F45" s="170">
        <f>IF(OR(D45="",E45=""),"",D45*E45)</f>
        <v/>
      </c>
      <c r="G45" s="103" t="n"/>
      <c r="H45" s="88" t="n"/>
      <c r="I45" s="88" t="n"/>
      <c r="J45" s="88" t="n"/>
      <c r="K45" s="88" t="n"/>
      <c r="L45" s="88" t="n"/>
      <c r="M45" s="88" t="n"/>
      <c r="N45" s="88" t="n"/>
      <c r="O45" s="170">
        <f>IF(A62="","",A62)</f>
        <v/>
      </c>
      <c r="P45" s="88" t="n"/>
      <c r="Q45" s="88" t="n"/>
      <c r="R45" s="88" t="n"/>
    </row>
    <row r="46" ht="14.25" customHeight="1" s="83">
      <c r="A46" s="103" t="n"/>
      <c r="B46" s="103" t="n"/>
      <c r="C46" s="103" t="n"/>
      <c r="D46" s="103" t="n"/>
      <c r="E46" s="103" t="n"/>
      <c r="F46" s="170">
        <f>IF(OR(D46="",E46=""),"",D46*E46)</f>
        <v/>
      </c>
      <c r="G46" s="103" t="n"/>
      <c r="H46" s="88" t="n"/>
      <c r="I46" s="88" t="n"/>
      <c r="J46" s="88" t="n"/>
      <c r="K46" s="88" t="n"/>
      <c r="L46" s="88" t="n"/>
      <c r="M46" s="88" t="n"/>
      <c r="N46" s="88" t="n"/>
      <c r="O46" s="170">
        <f>IF(A63="","",A63)</f>
        <v/>
      </c>
      <c r="P46" s="88" t="n"/>
      <c r="Q46" s="88" t="n"/>
      <c r="R46" s="88" t="n"/>
    </row>
    <row r="47" ht="14.25" customHeight="1" s="83">
      <c r="A47" s="103" t="n"/>
      <c r="B47" s="103" t="n"/>
      <c r="C47" s="103" t="n"/>
      <c r="D47" s="103" t="n"/>
      <c r="E47" s="103" t="n"/>
      <c r="F47" s="170">
        <f>IF(OR(D47="",E47=""),"",D47*E47)</f>
        <v/>
      </c>
      <c r="G47" s="103" t="n"/>
      <c r="H47" s="88" t="n"/>
      <c r="I47" s="88" t="n"/>
      <c r="J47" s="88" t="n"/>
      <c r="K47" s="88" t="n"/>
      <c r="L47" s="88" t="n"/>
      <c r="M47" s="88" t="n"/>
      <c r="N47" s="88" t="n"/>
      <c r="O47" s="170">
        <f>IF(A64="","",A64)</f>
        <v/>
      </c>
      <c r="P47" s="88" t="n"/>
      <c r="Q47" s="88" t="n"/>
      <c r="R47" s="88" t="n"/>
    </row>
    <row r="48" ht="14.25" customHeight="1" s="83">
      <c r="A48" s="103" t="n"/>
      <c r="B48" s="103" t="n"/>
      <c r="C48" s="103" t="n"/>
      <c r="D48" s="103" t="n"/>
      <c r="E48" s="103" t="n"/>
      <c r="F48" s="170">
        <f>IF(OR(D48="",E48=""),"",D48*E48)</f>
        <v/>
      </c>
      <c r="G48" s="103" t="n"/>
      <c r="H48" s="88" t="n"/>
      <c r="I48" s="88" t="n"/>
      <c r="J48" s="88" t="n"/>
      <c r="K48" s="88" t="n"/>
      <c r="L48" s="88" t="n"/>
      <c r="M48" s="88" t="n"/>
      <c r="N48" s="88" t="n"/>
      <c r="O48" s="170">
        <f>IF(A65="","",A65)</f>
        <v/>
      </c>
      <c r="P48" s="88" t="n"/>
      <c r="Q48" s="88" t="n"/>
      <c r="R48" s="88" t="n"/>
    </row>
    <row r="49" ht="14.25" customHeight="1" s="83">
      <c r="A49" s="103" t="n"/>
      <c r="B49" s="103" t="n"/>
      <c r="C49" s="103" t="n"/>
      <c r="D49" s="103" t="n"/>
      <c r="E49" s="103" t="n"/>
      <c r="F49" s="170">
        <f>IF(OR(D49="",E49=""),"",D49*E49)</f>
        <v/>
      </c>
      <c r="G49" s="103" t="n"/>
      <c r="H49" s="88" t="n"/>
      <c r="I49" s="88" t="n"/>
      <c r="J49" s="88" t="n"/>
      <c r="K49" s="88" t="n"/>
      <c r="L49" s="88" t="n"/>
      <c r="M49" s="88" t="n"/>
      <c r="N49" s="88" t="n"/>
      <c r="O49" s="170">
        <f>IF(A66="","",A66)</f>
        <v/>
      </c>
      <c r="P49" s="88" t="n"/>
      <c r="Q49" s="88" t="n"/>
      <c r="R49" s="88" t="n"/>
    </row>
    <row r="50" ht="14.25" customHeight="1" s="83">
      <c r="A50" s="103" t="n"/>
      <c r="B50" s="103" t="n"/>
      <c r="C50" s="103" t="n"/>
      <c r="D50" s="103" t="n"/>
      <c r="E50" s="103" t="n"/>
      <c r="F50" s="170">
        <f>IF(OR(D50="",E50=""),"",D50*E50)</f>
        <v/>
      </c>
      <c r="G50" s="103" t="n"/>
      <c r="H50" s="88" t="n"/>
      <c r="I50" s="88" t="n"/>
      <c r="J50" s="88" t="n"/>
      <c r="K50" s="88" t="n"/>
      <c r="L50" s="88" t="n"/>
      <c r="M50" s="88" t="n"/>
      <c r="N50" s="88" t="n"/>
      <c r="O50" s="170">
        <f>IF(A67="","",A67)</f>
        <v/>
      </c>
      <c r="P50" s="88" t="n"/>
      <c r="Q50" s="88" t="n"/>
      <c r="R50" s="88" t="n"/>
    </row>
    <row r="51" ht="14.25" customHeight="1" s="83">
      <c r="A51" s="103" t="n"/>
      <c r="B51" s="103" t="n"/>
      <c r="C51" s="103" t="n"/>
      <c r="D51" s="103" t="n"/>
      <c r="E51" s="103" t="n"/>
      <c r="F51" s="170">
        <f>IF(OR(D51="",E51=""),"",D51*E51)</f>
        <v/>
      </c>
      <c r="G51" s="103" t="n"/>
      <c r="H51" s="88" t="n"/>
      <c r="I51" s="88" t="n"/>
      <c r="J51" s="88" t="n"/>
      <c r="K51" s="88" t="n"/>
      <c r="L51" s="88" t="n"/>
      <c r="M51" s="88" t="n"/>
      <c r="N51" s="88" t="n"/>
      <c r="O51" s="170">
        <f>IF(A68="","",A68)</f>
        <v/>
      </c>
      <c r="P51" s="88" t="n"/>
      <c r="Q51" s="88" t="n"/>
      <c r="R51" s="88" t="n"/>
    </row>
    <row r="52" ht="14.25" customHeight="1" s="83">
      <c r="A52" s="103" t="n"/>
      <c r="B52" s="103" t="n"/>
      <c r="C52" s="103" t="n"/>
      <c r="D52" s="103" t="n"/>
      <c r="E52" s="103" t="n"/>
      <c r="F52" s="170">
        <f>IF(OR(D52="",E52=""),"",D52*E52)</f>
        <v/>
      </c>
      <c r="G52" s="103" t="n"/>
      <c r="H52" s="88" t="n"/>
      <c r="I52" s="88" t="n"/>
      <c r="J52" s="88" t="n"/>
      <c r="K52" s="88" t="n"/>
      <c r="L52" s="88" t="n"/>
      <c r="M52" s="88" t="n"/>
      <c r="N52" s="88" t="n"/>
      <c r="O52" s="170">
        <f>IF(A69="","",A69)</f>
        <v/>
      </c>
      <c r="P52" s="88" t="n"/>
      <c r="Q52" s="88" t="n"/>
      <c r="R52" s="88" t="n"/>
    </row>
    <row r="53" ht="14.25" customHeight="1" s="83">
      <c r="A53" s="103" t="n"/>
      <c r="B53" s="103" t="n"/>
      <c r="C53" s="103" t="n"/>
      <c r="D53" s="103" t="n"/>
      <c r="E53" s="103" t="n"/>
      <c r="F53" s="170">
        <f>IF(OR(D53="",E53=""),"",D53*E53)</f>
        <v/>
      </c>
      <c r="G53" s="103" t="n"/>
      <c r="H53" s="88" t="n"/>
      <c r="I53" s="88" t="n"/>
      <c r="J53" s="88" t="n"/>
      <c r="K53" s="88" t="n"/>
      <c r="L53" s="88" t="n"/>
      <c r="M53" s="88" t="n"/>
      <c r="N53" s="88" t="n"/>
      <c r="O53" s="170">
        <f>IF(A70="","",A70)</f>
        <v/>
      </c>
      <c r="P53" s="88" t="n"/>
      <c r="Q53" s="88" t="n"/>
      <c r="R53" s="88" t="n"/>
    </row>
    <row r="54" ht="14.25" customHeight="1" s="83">
      <c r="A54" s="103" t="n"/>
      <c r="B54" s="103" t="n"/>
      <c r="C54" s="103" t="n"/>
      <c r="D54" s="103" t="n"/>
      <c r="E54" s="103" t="n"/>
      <c r="F54" s="170">
        <f>IF(OR(D54="",E54=""),"",D54*E54)</f>
        <v/>
      </c>
      <c r="G54" s="103" t="n"/>
      <c r="H54" s="88" t="n"/>
      <c r="I54" s="88" t="n"/>
      <c r="J54" s="88" t="n"/>
      <c r="K54" s="88" t="n"/>
      <c r="L54" s="88" t="n"/>
      <c r="M54" s="88" t="n"/>
      <c r="N54" s="88" t="n"/>
      <c r="O54" s="170">
        <f>IF(A71="","",A71)</f>
        <v/>
      </c>
      <c r="P54" s="88" t="n"/>
      <c r="Q54" s="88" t="n"/>
      <c r="R54" s="88" t="n"/>
    </row>
    <row r="55" ht="14.25" customHeight="1" s="83">
      <c r="A55" s="103" t="n"/>
      <c r="B55" s="103" t="n"/>
      <c r="C55" s="103" t="n"/>
      <c r="D55" s="103" t="n"/>
      <c r="E55" s="103" t="n"/>
      <c r="F55" s="170">
        <f>IF(OR(D55="",E55=""),"",D55*E55)</f>
        <v/>
      </c>
      <c r="G55" s="103" t="n"/>
      <c r="H55" s="88" t="n"/>
      <c r="I55" s="88" t="n"/>
      <c r="J55" s="88" t="n"/>
      <c r="K55" s="88" t="n"/>
      <c r="L55" s="88" t="n"/>
      <c r="M55" s="88" t="n"/>
      <c r="N55" s="88" t="n"/>
      <c r="O55" s="170">
        <f>IF(A72="","",A72)</f>
        <v/>
      </c>
      <c r="P55" s="88" t="n"/>
      <c r="Q55" s="88" t="n"/>
      <c r="R55" s="88" t="n"/>
    </row>
    <row r="56" ht="14.25" customHeight="1" s="83">
      <c r="A56" s="103" t="n"/>
      <c r="B56" s="103" t="n"/>
      <c r="C56" s="103" t="n"/>
      <c r="D56" s="103" t="n"/>
      <c r="E56" s="103" t="n"/>
      <c r="F56" s="170">
        <f>IF(OR(D56="",E56=""),"",D56*E56)</f>
        <v/>
      </c>
      <c r="G56" s="103" t="n"/>
      <c r="H56" s="88" t="n"/>
      <c r="I56" s="88" t="n"/>
      <c r="J56" s="88" t="n"/>
      <c r="K56" s="88" t="n"/>
      <c r="L56" s="88" t="n"/>
      <c r="M56" s="88" t="n"/>
      <c r="N56" s="88" t="n"/>
      <c r="O56" s="170">
        <f>IF(A73="","",A73)</f>
        <v/>
      </c>
      <c r="P56" s="88" t="n"/>
      <c r="Q56" s="88" t="n"/>
      <c r="R56" s="88" t="n"/>
    </row>
    <row r="57" ht="14.25" customHeight="1" s="83">
      <c r="A57" s="103" t="n"/>
      <c r="B57" s="103" t="n"/>
      <c r="C57" s="103" t="n"/>
      <c r="D57" s="103" t="n"/>
      <c r="E57" s="103" t="n"/>
      <c r="F57" s="170">
        <f>IF(OR(D57="",E57=""),"",D57*E57)</f>
        <v/>
      </c>
      <c r="G57" s="103" t="n"/>
      <c r="H57" s="88" t="n"/>
      <c r="I57" s="88" t="n"/>
      <c r="J57" s="88" t="n"/>
      <c r="K57" s="88" t="n"/>
      <c r="L57" s="88" t="n"/>
      <c r="M57" s="88" t="n"/>
      <c r="N57" s="88" t="n"/>
      <c r="O57" s="170">
        <f>IF(A74="","",A74)</f>
        <v/>
      </c>
      <c r="P57" s="88" t="n"/>
      <c r="Q57" s="88" t="n"/>
      <c r="R57" s="88" t="n"/>
    </row>
    <row r="58" ht="14.25" customHeight="1" s="83">
      <c r="A58" s="103" t="n"/>
      <c r="B58" s="103" t="n"/>
      <c r="C58" s="103" t="n"/>
      <c r="D58" s="103" t="n"/>
      <c r="E58" s="103" t="n"/>
      <c r="F58" s="170">
        <f>IF(OR(D58="",E58=""),"",D58*E58)</f>
        <v/>
      </c>
      <c r="G58" s="103" t="n"/>
      <c r="H58" s="88" t="n"/>
      <c r="I58" s="88" t="n"/>
      <c r="J58" s="88" t="n"/>
      <c r="K58" s="88" t="n"/>
      <c r="L58" s="88" t="n"/>
      <c r="M58" s="88" t="n"/>
      <c r="N58" s="88" t="n"/>
      <c r="O58" s="170">
        <f>IF(A75="","",A75)</f>
        <v/>
      </c>
      <c r="P58" s="88" t="n"/>
      <c r="Q58" s="88" t="n"/>
      <c r="R58" s="88" t="n"/>
    </row>
    <row r="59" ht="14.25" customHeight="1" s="83">
      <c r="A59" s="103" t="n"/>
      <c r="B59" s="103" t="n"/>
      <c r="C59" s="103" t="n"/>
      <c r="D59" s="103" t="n"/>
      <c r="E59" s="103" t="n"/>
      <c r="F59" s="170">
        <f>IF(OR(D59="",E59=""),"",D59*E59)</f>
        <v/>
      </c>
      <c r="G59" s="103" t="n"/>
      <c r="H59" s="88" t="n"/>
      <c r="I59" s="88" t="n"/>
      <c r="J59" s="88" t="n"/>
      <c r="K59" s="88" t="n"/>
      <c r="L59" s="88" t="n"/>
      <c r="M59" s="88" t="n"/>
      <c r="N59" s="88" t="n"/>
      <c r="O59" s="170">
        <f>IF(A76="","",A76)</f>
        <v/>
      </c>
      <c r="P59" s="88" t="n"/>
      <c r="Q59" s="88" t="n"/>
      <c r="R59" s="88" t="n"/>
    </row>
    <row r="60" ht="14.25" customHeight="1" s="83">
      <c r="A60" s="103" t="n"/>
      <c r="B60" s="103" t="n"/>
      <c r="C60" s="103" t="n"/>
      <c r="D60" s="103" t="n"/>
      <c r="E60" s="103" t="n"/>
      <c r="F60" s="170">
        <f>IF(OR(D60="",E60=""),"",D60*E60)</f>
        <v/>
      </c>
      <c r="G60" s="103" t="n"/>
      <c r="H60" s="88" t="n"/>
      <c r="I60" s="88" t="n"/>
      <c r="J60" s="88" t="n"/>
      <c r="K60" s="88" t="n"/>
      <c r="L60" s="88" t="n"/>
      <c r="M60" s="88" t="n"/>
      <c r="N60" s="88" t="n"/>
      <c r="O60" s="170">
        <f>IF(A77="","",A77)</f>
        <v/>
      </c>
      <c r="P60" s="88" t="n"/>
      <c r="Q60" s="88" t="n"/>
      <c r="R60" s="88" t="n"/>
    </row>
    <row r="61" ht="14.25" customHeight="1" s="83">
      <c r="A61" s="103" t="n"/>
      <c r="B61" s="103" t="n"/>
      <c r="C61" s="103" t="n"/>
      <c r="D61" s="103" t="n"/>
      <c r="E61" s="103" t="n"/>
      <c r="F61" s="170">
        <f>IF(OR(D61="",E61=""),"",D61*E61)</f>
        <v/>
      </c>
      <c r="G61" s="103" t="n"/>
      <c r="H61" s="88" t="n"/>
      <c r="I61" s="88" t="n"/>
      <c r="J61" s="88" t="n"/>
      <c r="K61" s="88" t="n"/>
      <c r="L61" s="88" t="n"/>
      <c r="M61" s="88" t="n"/>
      <c r="N61" s="88" t="n"/>
      <c r="O61" s="170">
        <f>IF(A78="","",A78)</f>
        <v/>
      </c>
      <c r="P61" s="88" t="n"/>
      <c r="Q61" s="88" t="n"/>
      <c r="R61" s="88" t="n"/>
    </row>
    <row r="62" ht="14.25" customHeight="1" s="83">
      <c r="A62" s="103" t="n"/>
      <c r="B62" s="103" t="n"/>
      <c r="C62" s="103" t="n"/>
      <c r="D62" s="103" t="n"/>
      <c r="E62" s="103" t="n"/>
      <c r="F62" s="170">
        <f>IF(OR(D62="",E62=""),"",D62*E62)</f>
        <v/>
      </c>
      <c r="G62" s="103" t="n"/>
      <c r="H62" s="88" t="n"/>
      <c r="I62" s="88" t="n"/>
      <c r="J62" s="88" t="n"/>
      <c r="K62" s="88" t="n"/>
      <c r="L62" s="88" t="n"/>
      <c r="M62" s="88" t="n"/>
      <c r="N62" s="88" t="n"/>
      <c r="O62" s="170">
        <f>IF(A79="","",A79)</f>
        <v/>
      </c>
      <c r="P62" s="88" t="n"/>
      <c r="Q62" s="88" t="n"/>
      <c r="R62" s="88" t="n"/>
    </row>
    <row r="63" ht="14.25" customHeight="1" s="83">
      <c r="A63" s="103" t="n"/>
      <c r="B63" s="103" t="n"/>
      <c r="C63" s="103" t="n"/>
      <c r="D63" s="103" t="n"/>
      <c r="E63" s="103" t="n"/>
      <c r="F63" s="170">
        <f>IF(OR(D63="",E63=""),"",D63*E63)</f>
        <v/>
      </c>
      <c r="G63" s="103" t="n"/>
      <c r="H63" s="88" t="n"/>
      <c r="I63" s="88" t="n"/>
      <c r="J63" s="88" t="n"/>
      <c r="K63" s="88" t="n"/>
      <c r="L63" s="88" t="n"/>
      <c r="M63" s="88" t="n"/>
      <c r="N63" s="88" t="n"/>
      <c r="O63" s="170">
        <f>IF(A80="","",A80)</f>
        <v/>
      </c>
      <c r="P63" s="88" t="n"/>
      <c r="Q63" s="88" t="n"/>
      <c r="R63" s="88" t="n"/>
    </row>
    <row r="64" ht="14.25" customHeight="1" s="83">
      <c r="A64" s="103" t="n"/>
      <c r="B64" s="103" t="n"/>
      <c r="C64" s="103" t="n"/>
      <c r="D64" s="103" t="n"/>
      <c r="E64" s="103" t="n"/>
      <c r="F64" s="170">
        <f>IF(OR(D64="",E64=""),"",D64*E64)</f>
        <v/>
      </c>
      <c r="G64" s="103" t="n"/>
      <c r="H64" s="88" t="n"/>
      <c r="I64" s="88" t="n"/>
      <c r="J64" s="88" t="n"/>
      <c r="K64" s="88" t="n"/>
      <c r="L64" s="88" t="n"/>
      <c r="M64" s="88" t="n"/>
      <c r="N64" s="88" t="n"/>
      <c r="O64" s="170">
        <f>IF(A81="","",A81)</f>
        <v/>
      </c>
      <c r="P64" s="88" t="n"/>
      <c r="Q64" s="88" t="n"/>
      <c r="R64" s="88" t="n"/>
    </row>
    <row r="65" ht="14.25" customHeight="1" s="83">
      <c r="A65" s="103" t="n"/>
      <c r="B65" s="103" t="n"/>
      <c r="C65" s="103" t="n"/>
      <c r="D65" s="103" t="n"/>
      <c r="E65" s="103" t="n"/>
      <c r="F65" s="170">
        <f>IF(OR(D65="",E65=""),"",D65*E65)</f>
        <v/>
      </c>
      <c r="G65" s="103" t="n"/>
      <c r="H65" s="88" t="n"/>
      <c r="I65" s="88" t="n"/>
      <c r="J65" s="88" t="n"/>
      <c r="K65" s="88" t="n"/>
      <c r="L65" s="88" t="n"/>
      <c r="M65" s="88" t="n"/>
      <c r="N65" s="88" t="n"/>
      <c r="O65" s="170">
        <f>IF(A82="","",A82)</f>
        <v/>
      </c>
      <c r="P65" s="88" t="n"/>
      <c r="Q65" s="88" t="n"/>
      <c r="R65" s="88" t="n"/>
    </row>
    <row r="66" ht="14.25" customHeight="1" s="83">
      <c r="A66" s="103" t="n"/>
      <c r="B66" s="103" t="n"/>
      <c r="C66" s="103" t="n"/>
      <c r="D66" s="103" t="n"/>
      <c r="E66" s="103" t="n"/>
      <c r="F66" s="170">
        <f>IF(OR(D66="",E66=""),"",D66*E66)</f>
        <v/>
      </c>
      <c r="G66" s="103" t="n"/>
      <c r="H66" s="88" t="n"/>
      <c r="I66" s="88" t="n"/>
      <c r="J66" s="88" t="n"/>
      <c r="K66" s="88" t="n"/>
      <c r="L66" s="88" t="n"/>
      <c r="M66" s="88" t="n"/>
      <c r="N66" s="88" t="n"/>
      <c r="O66" s="170">
        <f>IF(A83="","",A83)</f>
        <v/>
      </c>
      <c r="P66" s="88" t="n"/>
      <c r="Q66" s="88" t="n"/>
      <c r="R66" s="88" t="n"/>
    </row>
    <row r="67" ht="14.25" customHeight="1" s="83">
      <c r="A67" s="103" t="n"/>
      <c r="B67" s="103" t="n"/>
      <c r="C67" s="103" t="n"/>
      <c r="D67" s="103" t="n"/>
      <c r="E67" s="103" t="n"/>
      <c r="F67" s="170">
        <f>IF(OR(D67="",E67=""),"",D67*E67)</f>
        <v/>
      </c>
      <c r="G67" s="103" t="n"/>
      <c r="H67" s="88" t="n"/>
      <c r="I67" s="88" t="n"/>
      <c r="J67" s="88" t="n"/>
      <c r="K67" s="88" t="n"/>
      <c r="L67" s="88" t="n"/>
      <c r="M67" s="88" t="n"/>
      <c r="N67" s="88" t="n"/>
      <c r="O67" s="170">
        <f>IF(A84="","",A84)</f>
        <v/>
      </c>
      <c r="P67" s="88" t="n"/>
      <c r="Q67" s="88" t="n"/>
      <c r="R67" s="88" t="n"/>
    </row>
    <row r="68" ht="14.25" customHeight="1" s="83">
      <c r="A68" s="103" t="n"/>
      <c r="B68" s="103" t="n"/>
      <c r="C68" s="103" t="n"/>
      <c r="D68" s="103" t="n"/>
      <c r="E68" s="103" t="n"/>
      <c r="F68" s="170">
        <f>IF(OR(D68="",E68=""),"",D68*E68)</f>
        <v/>
      </c>
      <c r="G68" s="103" t="n"/>
      <c r="H68" s="88" t="n"/>
      <c r="I68" s="88" t="n"/>
      <c r="J68" s="88" t="n"/>
      <c r="K68" s="88" t="n"/>
      <c r="L68" s="88" t="n"/>
      <c r="M68" s="88" t="n"/>
      <c r="N68" s="88" t="n"/>
      <c r="O68" s="170">
        <f>IF(A85="","",A85)</f>
        <v/>
      </c>
      <c r="P68" s="88" t="n"/>
      <c r="Q68" s="88" t="n"/>
      <c r="R68" s="88" t="n"/>
    </row>
    <row r="69" ht="14.25" customHeight="1" s="83">
      <c r="A69" s="103" t="n"/>
      <c r="B69" s="103" t="n"/>
      <c r="C69" s="103" t="n"/>
      <c r="D69" s="103" t="n"/>
      <c r="E69" s="103" t="n"/>
      <c r="F69" s="170">
        <f>IF(OR(D69="",E69=""),"",D69*E69)</f>
        <v/>
      </c>
      <c r="G69" s="103" t="n"/>
      <c r="H69" s="88" t="n"/>
      <c r="I69" s="88" t="n"/>
      <c r="J69" s="88" t="n"/>
      <c r="K69" s="88" t="n"/>
      <c r="L69" s="88" t="n"/>
      <c r="M69" s="88" t="n"/>
      <c r="N69" s="88" t="n"/>
      <c r="O69" s="170">
        <f>IF(A86="","",A86)</f>
        <v/>
      </c>
      <c r="P69" s="88" t="n"/>
      <c r="Q69" s="88" t="n"/>
      <c r="R69" s="88" t="n"/>
    </row>
    <row r="70" ht="14.25" customHeight="1" s="83">
      <c r="A70" s="103" t="n"/>
      <c r="B70" s="103" t="n"/>
      <c r="C70" s="103" t="n"/>
      <c r="D70" s="103" t="n"/>
      <c r="E70" s="103" t="n"/>
      <c r="F70" s="170">
        <f>IF(OR(D70="",E70=""),"",D70*E70)</f>
        <v/>
      </c>
      <c r="G70" s="103" t="n"/>
      <c r="H70" s="88" t="n"/>
      <c r="I70" s="88" t="n"/>
      <c r="J70" s="88" t="n"/>
      <c r="K70" s="88" t="n"/>
      <c r="L70" s="88" t="n"/>
      <c r="M70" s="88" t="n"/>
      <c r="N70" s="88" t="n"/>
      <c r="O70" s="170">
        <f>IF(A87="","",A87)</f>
        <v/>
      </c>
      <c r="P70" s="88" t="n"/>
      <c r="Q70" s="88" t="n"/>
      <c r="R70" s="88" t="n"/>
    </row>
    <row r="71" ht="14.25" customHeight="1" s="83">
      <c r="A71" s="103" t="n"/>
      <c r="B71" s="103" t="n"/>
      <c r="C71" s="103" t="n"/>
      <c r="D71" s="103" t="n"/>
      <c r="E71" s="103" t="n"/>
      <c r="F71" s="170">
        <f>IF(OR(D71="",E71=""),"",D71*E71)</f>
        <v/>
      </c>
      <c r="G71" s="103" t="n"/>
      <c r="H71" s="88" t="n"/>
      <c r="I71" s="88" t="n"/>
      <c r="J71" s="88" t="n"/>
      <c r="K71" s="88" t="n"/>
      <c r="L71" s="88" t="n"/>
      <c r="M71" s="88" t="n"/>
      <c r="N71" s="88" t="n"/>
      <c r="O71" s="170">
        <f>IF(A88="","",A88)</f>
        <v/>
      </c>
      <c r="P71" s="88" t="n"/>
      <c r="Q71" s="88" t="n"/>
      <c r="R71" s="88" t="n"/>
    </row>
    <row r="72" ht="14.25" customHeight="1" s="83">
      <c r="A72" s="103" t="n"/>
      <c r="B72" s="103" t="n"/>
      <c r="C72" s="103" t="n"/>
      <c r="D72" s="103" t="n"/>
      <c r="E72" s="103" t="n"/>
      <c r="F72" s="170">
        <f>IF(OR(D72="",E72=""),"",D72*E72)</f>
        <v/>
      </c>
      <c r="G72" s="103" t="n"/>
      <c r="H72" s="88" t="n"/>
      <c r="I72" s="88" t="n"/>
      <c r="J72" s="88" t="n"/>
      <c r="K72" s="88" t="n"/>
      <c r="L72" s="88" t="n"/>
      <c r="M72" s="88" t="n"/>
      <c r="N72" s="88" t="n"/>
      <c r="O72" s="170">
        <f>IF(A89="","",A89)</f>
        <v/>
      </c>
      <c r="P72" s="88" t="n"/>
      <c r="Q72" s="88" t="n"/>
      <c r="R72" s="88" t="n"/>
    </row>
    <row r="73" ht="14.25" customHeight="1" s="83">
      <c r="A73" s="103" t="n"/>
      <c r="B73" s="103" t="n"/>
      <c r="C73" s="103" t="n"/>
      <c r="D73" s="103" t="n"/>
      <c r="E73" s="103" t="n"/>
      <c r="F73" s="170">
        <f>IF(OR(D73="",E73=""),"",D73*E73)</f>
        <v/>
      </c>
      <c r="G73" s="103" t="n"/>
      <c r="H73" s="88" t="n"/>
      <c r="I73" s="88" t="n"/>
      <c r="J73" s="88" t="n"/>
      <c r="K73" s="88" t="n"/>
      <c r="L73" s="88" t="n"/>
      <c r="M73" s="88" t="n"/>
      <c r="N73" s="88" t="n"/>
      <c r="O73" s="170">
        <f>IF(A90="","",A90)</f>
        <v/>
      </c>
      <c r="P73" s="88" t="n"/>
      <c r="Q73" s="88" t="n"/>
      <c r="R73" s="88" t="n"/>
    </row>
    <row r="74" ht="14.25" customHeight="1" s="83">
      <c r="A74" s="103" t="n"/>
      <c r="B74" s="103" t="n"/>
      <c r="C74" s="103" t="n"/>
      <c r="D74" s="103" t="n"/>
      <c r="E74" s="103" t="n"/>
      <c r="F74" s="170">
        <f>IF(OR(D74="",E74=""),"",D74*E74)</f>
        <v/>
      </c>
      <c r="G74" s="103" t="n"/>
      <c r="H74" s="88" t="n"/>
      <c r="I74" s="88" t="n"/>
      <c r="J74" s="88" t="n"/>
      <c r="K74" s="88" t="n"/>
      <c r="L74" s="88" t="n"/>
      <c r="M74" s="88" t="n"/>
      <c r="N74" s="88" t="n"/>
      <c r="O74" s="170">
        <f>IF(A91="","",A91)</f>
        <v/>
      </c>
      <c r="P74" s="88" t="n"/>
      <c r="Q74" s="88" t="n"/>
      <c r="R74" s="88" t="n"/>
    </row>
    <row r="75" ht="14.25" customHeight="1" s="83">
      <c r="A75" s="103" t="n"/>
      <c r="B75" s="103" t="n"/>
      <c r="C75" s="103" t="n"/>
      <c r="D75" s="103" t="n"/>
      <c r="E75" s="103" t="n"/>
      <c r="F75" s="170">
        <f>IF(OR(D75="",E75=""),"",D75*E75)</f>
        <v/>
      </c>
      <c r="G75" s="103" t="n"/>
      <c r="H75" s="88" t="n"/>
      <c r="I75" s="88" t="n"/>
      <c r="J75" s="88" t="n"/>
      <c r="K75" s="88" t="n"/>
      <c r="L75" s="88" t="n"/>
      <c r="M75" s="88" t="n"/>
      <c r="N75" s="88" t="n"/>
      <c r="O75" s="170">
        <f>IF(A92="","",A92)</f>
        <v/>
      </c>
      <c r="P75" s="88" t="n"/>
      <c r="Q75" s="88" t="n"/>
      <c r="R75" s="88" t="n"/>
    </row>
    <row r="76" ht="14.25" customHeight="1" s="83">
      <c r="A76" s="103" t="n"/>
      <c r="B76" s="103" t="n"/>
      <c r="C76" s="103" t="n"/>
      <c r="D76" s="103" t="n"/>
      <c r="E76" s="103" t="n"/>
      <c r="F76" s="170">
        <f>IF(OR(D76="",E76=""),"",D76*E76)</f>
        <v/>
      </c>
      <c r="G76" s="103" t="n"/>
      <c r="H76" s="88" t="n"/>
      <c r="I76" s="88" t="n"/>
      <c r="J76" s="88" t="n"/>
      <c r="K76" s="88" t="n"/>
      <c r="L76" s="88" t="n"/>
      <c r="M76" s="88" t="n"/>
      <c r="N76" s="88" t="n"/>
      <c r="O76" s="170">
        <f>IF(A93="","",A93)</f>
        <v/>
      </c>
      <c r="P76" s="88" t="n"/>
      <c r="Q76" s="88" t="n"/>
      <c r="R76" s="88" t="n"/>
    </row>
    <row r="77" ht="14.25" customHeight="1" s="83">
      <c r="A77" s="103" t="n"/>
      <c r="B77" s="103" t="n"/>
      <c r="C77" s="103" t="n"/>
      <c r="D77" s="103" t="n"/>
      <c r="E77" s="103" t="n"/>
      <c r="F77" s="170">
        <f>IF(OR(D77="",E77=""),"",D77*E77)</f>
        <v/>
      </c>
      <c r="G77" s="103" t="n"/>
      <c r="H77" s="88" t="n"/>
      <c r="I77" s="88" t="n"/>
      <c r="J77" s="88" t="n"/>
      <c r="K77" s="88" t="n"/>
      <c r="L77" s="88" t="n"/>
      <c r="M77" s="88" t="n"/>
      <c r="N77" s="88" t="n"/>
      <c r="O77" s="170">
        <f>IF(A94="","",A94)</f>
        <v/>
      </c>
      <c r="P77" s="88" t="n"/>
      <c r="Q77" s="88" t="n"/>
      <c r="R77" s="88" t="n"/>
    </row>
    <row r="78" ht="14.25" customHeight="1" s="83">
      <c r="A78" s="103" t="n"/>
      <c r="B78" s="103" t="n"/>
      <c r="C78" s="103" t="n"/>
      <c r="D78" s="103" t="n"/>
      <c r="E78" s="103" t="n"/>
      <c r="F78" s="170">
        <f>IF(OR(D78="",E78=""),"",D78*E78)</f>
        <v/>
      </c>
      <c r="G78" s="103" t="n"/>
      <c r="H78" s="88" t="n"/>
      <c r="I78" s="88" t="n"/>
      <c r="J78" s="88" t="n"/>
      <c r="K78" s="88" t="n"/>
      <c r="L78" s="88" t="n"/>
      <c r="M78" s="88" t="n"/>
      <c r="N78" s="88" t="n"/>
      <c r="O78" s="170">
        <f>IF(A95="","",A95)</f>
        <v/>
      </c>
      <c r="P78" s="88" t="n"/>
      <c r="Q78" s="88" t="n"/>
      <c r="R78" s="88" t="n"/>
    </row>
    <row r="79" ht="14.25" customHeight="1" s="83">
      <c r="A79" s="103" t="n"/>
      <c r="B79" s="103" t="n"/>
      <c r="C79" s="103" t="n"/>
      <c r="D79" s="103" t="n"/>
      <c r="E79" s="103" t="n"/>
      <c r="F79" s="170">
        <f>IF(OR(D79="",E79=""),"",D79*E79)</f>
        <v/>
      </c>
      <c r="G79" s="103" t="n"/>
      <c r="H79" s="88" t="n"/>
      <c r="I79" s="88" t="n"/>
      <c r="J79" s="88" t="n"/>
      <c r="K79" s="88" t="n"/>
      <c r="L79" s="88" t="n"/>
      <c r="M79" s="88" t="n"/>
      <c r="N79" s="88" t="n"/>
      <c r="O79" s="170">
        <f>IF(A96="","",A96)</f>
        <v/>
      </c>
      <c r="P79" s="88" t="n"/>
      <c r="Q79" s="88" t="n"/>
      <c r="R79" s="88" t="n"/>
    </row>
    <row r="80" ht="14.25" customHeight="1" s="83">
      <c r="A80" s="103" t="n"/>
      <c r="B80" s="103" t="n"/>
      <c r="C80" s="103" t="n"/>
      <c r="D80" s="103" t="n"/>
      <c r="E80" s="103" t="n"/>
      <c r="F80" s="170">
        <f>IF(OR(D80="",E80=""),"",D80*E80)</f>
        <v/>
      </c>
      <c r="G80" s="103" t="n"/>
      <c r="H80" s="88" t="n"/>
      <c r="I80" s="88" t="n"/>
      <c r="J80" s="88" t="n"/>
      <c r="K80" s="88" t="n"/>
      <c r="L80" s="88" t="n"/>
      <c r="M80" s="88" t="n"/>
      <c r="N80" s="88" t="n"/>
      <c r="O80" s="170">
        <f>IF(A97="","",A97)</f>
        <v/>
      </c>
      <c r="P80" s="88" t="n"/>
      <c r="Q80" s="88" t="n"/>
      <c r="R80" s="88" t="n"/>
    </row>
    <row r="81" ht="14.25" customHeight="1" s="83">
      <c r="A81" s="103" t="n"/>
      <c r="B81" s="103" t="n"/>
      <c r="C81" s="103" t="n"/>
      <c r="D81" s="103" t="n"/>
      <c r="E81" s="103" t="n"/>
      <c r="F81" s="170">
        <f>IF(OR(D81="",E81=""),"",D81*E81)</f>
        <v/>
      </c>
      <c r="G81" s="103" t="n"/>
      <c r="H81" s="88" t="n"/>
      <c r="I81" s="88" t="n"/>
      <c r="J81" s="88" t="n"/>
      <c r="K81" s="88" t="n"/>
      <c r="L81" s="88" t="n"/>
      <c r="M81" s="88" t="n"/>
      <c r="N81" s="88" t="n"/>
      <c r="O81" s="170">
        <f>IF(A98="","",A98)</f>
        <v/>
      </c>
      <c r="P81" s="88" t="n"/>
      <c r="Q81" s="88" t="n"/>
      <c r="R81" s="88" t="n"/>
    </row>
    <row r="82" ht="14.25" customHeight="1" s="83">
      <c r="A82" s="103" t="n"/>
      <c r="B82" s="103" t="n"/>
      <c r="C82" s="103" t="n"/>
      <c r="D82" s="103" t="n"/>
      <c r="E82" s="103" t="n"/>
      <c r="F82" s="170">
        <f>IF(OR(D82="",E82=""),"",D82*E82)</f>
        <v/>
      </c>
      <c r="G82" s="103" t="n"/>
      <c r="H82" s="88" t="n"/>
      <c r="I82" s="88" t="n"/>
      <c r="J82" s="88" t="n"/>
      <c r="K82" s="88" t="n"/>
      <c r="L82" s="88" t="n"/>
      <c r="M82" s="88" t="n"/>
      <c r="N82" s="88" t="n"/>
      <c r="O82" s="170">
        <f>IF(A99="","",A99)</f>
        <v/>
      </c>
      <c r="P82" s="88" t="n"/>
      <c r="Q82" s="88" t="n"/>
      <c r="R82" s="88" t="n"/>
    </row>
    <row r="83" ht="14.25" customHeight="1" s="83">
      <c r="A83" s="103" t="n"/>
      <c r="B83" s="103" t="n"/>
      <c r="C83" s="103" t="n"/>
      <c r="D83" s="103" t="n"/>
      <c r="E83" s="103" t="n"/>
      <c r="F83" s="170">
        <f>IF(OR(D83="",E83=""),"",D83*E83)</f>
        <v/>
      </c>
      <c r="G83" s="103" t="n"/>
      <c r="H83" s="88" t="n"/>
      <c r="I83" s="88" t="n"/>
      <c r="J83" s="88" t="n"/>
      <c r="K83" s="88" t="n"/>
      <c r="L83" s="88" t="n"/>
      <c r="M83" s="88" t="n"/>
      <c r="N83" s="88" t="n"/>
      <c r="O83" s="170">
        <f>IF(A100="","",A100)</f>
        <v/>
      </c>
      <c r="P83" s="88" t="n"/>
      <c r="Q83" s="88" t="n"/>
      <c r="R83" s="88" t="n"/>
    </row>
    <row r="84" ht="14.25" customHeight="1" s="83">
      <c r="A84" s="103" t="n"/>
      <c r="B84" s="103" t="n"/>
      <c r="C84" s="103" t="n"/>
      <c r="D84" s="103" t="n"/>
      <c r="E84" s="103" t="n"/>
      <c r="F84" s="170">
        <f>IF(OR(D84="",E84=""),"",D84*E84)</f>
        <v/>
      </c>
      <c r="G84" s="103" t="n"/>
      <c r="H84" s="88" t="n"/>
      <c r="I84" s="88" t="n"/>
      <c r="J84" s="88" t="n"/>
      <c r="K84" s="88" t="n"/>
      <c r="L84" s="88" t="n"/>
      <c r="M84" s="88" t="n"/>
      <c r="N84" s="88" t="n"/>
      <c r="O84" s="170">
        <f>IF(A101="","",A101)</f>
        <v/>
      </c>
      <c r="P84" s="88" t="n"/>
      <c r="Q84" s="88" t="n"/>
      <c r="R84" s="88" t="n"/>
    </row>
    <row r="85" ht="14.25" customHeight="1" s="83">
      <c r="A85" s="103" t="n"/>
      <c r="B85" s="103" t="n"/>
      <c r="C85" s="103" t="n"/>
      <c r="D85" s="103" t="n"/>
      <c r="E85" s="103" t="n"/>
      <c r="F85" s="170">
        <f>IF(OR(D85="",E85=""),"",D85*E85)</f>
        <v/>
      </c>
      <c r="G85" s="103" t="n"/>
      <c r="H85" s="88" t="n"/>
      <c r="I85" s="88" t="n"/>
      <c r="J85" s="88" t="n"/>
      <c r="K85" s="88" t="n"/>
      <c r="L85" s="88" t="n"/>
      <c r="M85" s="88" t="n"/>
      <c r="N85" s="88" t="n"/>
      <c r="O85" s="170">
        <f>IF(A102="","",A102)</f>
        <v/>
      </c>
      <c r="P85" s="88" t="n"/>
      <c r="Q85" s="88" t="n"/>
      <c r="R85" s="88" t="n"/>
    </row>
    <row r="86" ht="14.25" customHeight="1" s="83">
      <c r="A86" s="103" t="n"/>
      <c r="B86" s="103" t="n"/>
      <c r="C86" s="103" t="n"/>
      <c r="D86" s="103" t="n"/>
      <c r="E86" s="103" t="n"/>
      <c r="F86" s="170">
        <f>IF(OR(D86="",E86=""),"",D86*E86)</f>
        <v/>
      </c>
      <c r="G86" s="103" t="n"/>
      <c r="H86" s="88" t="n"/>
      <c r="I86" s="88" t="n"/>
      <c r="J86" s="88" t="n"/>
      <c r="K86" s="88" t="n"/>
      <c r="L86" s="88" t="n"/>
      <c r="M86" s="88" t="n"/>
      <c r="N86" s="88" t="n"/>
      <c r="O86" s="170">
        <f>IF(A103="","",A103)</f>
        <v/>
      </c>
      <c r="P86" s="88" t="n"/>
      <c r="Q86" s="88" t="n"/>
      <c r="R86" s="88" t="n"/>
    </row>
    <row r="87" ht="14.25" customHeight="1" s="83">
      <c r="A87" s="103" t="n"/>
      <c r="B87" s="103" t="n"/>
      <c r="C87" s="103" t="n"/>
      <c r="D87" s="103" t="n"/>
      <c r="E87" s="103" t="n"/>
      <c r="F87" s="170">
        <f>IF(OR(D87="",E87=""),"",D87*E87)</f>
        <v/>
      </c>
      <c r="G87" s="103" t="n"/>
      <c r="H87" s="88" t="n"/>
      <c r="I87" s="88" t="n"/>
      <c r="J87" s="88" t="n"/>
      <c r="K87" s="88" t="n"/>
      <c r="L87" s="88" t="n"/>
      <c r="M87" s="88" t="n"/>
      <c r="N87" s="88" t="n"/>
      <c r="O87" s="170">
        <f>IF(A104="","",A104)</f>
        <v/>
      </c>
      <c r="P87" s="88" t="n"/>
      <c r="Q87" s="88" t="n"/>
      <c r="R87" s="88" t="n"/>
    </row>
    <row r="88" ht="14.25" customHeight="1" s="83">
      <c r="A88" s="103" t="n"/>
      <c r="B88" s="103" t="n"/>
      <c r="C88" s="103" t="n"/>
      <c r="D88" s="103" t="n"/>
      <c r="E88" s="103" t="n"/>
      <c r="F88" s="170">
        <f>IF(OR(D88="",E88=""),"",D88*E88)</f>
        <v/>
      </c>
      <c r="G88" s="103" t="n"/>
      <c r="H88" s="88" t="n"/>
      <c r="I88" s="88" t="n"/>
      <c r="J88" s="88" t="n"/>
      <c r="K88" s="88" t="n"/>
      <c r="L88" s="88" t="n"/>
      <c r="M88" s="88" t="n"/>
      <c r="N88" s="88" t="n"/>
      <c r="O88" s="170">
        <f>IF(A105="","",A105)</f>
        <v/>
      </c>
      <c r="P88" s="88" t="n"/>
      <c r="Q88" s="88" t="n"/>
      <c r="R88" s="88" t="n"/>
    </row>
    <row r="89" ht="14.25" customHeight="1" s="83">
      <c r="A89" s="103" t="n"/>
      <c r="B89" s="103" t="n"/>
      <c r="C89" s="103" t="n"/>
      <c r="D89" s="103" t="n"/>
      <c r="E89" s="103" t="n"/>
      <c r="F89" s="170">
        <f>IF(OR(D89="",E89=""),"",D89*E89)</f>
        <v/>
      </c>
      <c r="G89" s="103" t="n"/>
      <c r="H89" s="88" t="n"/>
      <c r="I89" s="88" t="n"/>
      <c r="J89" s="88" t="n"/>
      <c r="K89" s="88" t="n"/>
      <c r="L89" s="88" t="n"/>
      <c r="M89" s="88" t="n"/>
      <c r="N89" s="88" t="n"/>
      <c r="O89" s="170">
        <f>IF(A106="","",A106)</f>
        <v/>
      </c>
      <c r="P89" s="88" t="n"/>
      <c r="Q89" s="88" t="n"/>
      <c r="R89" s="88" t="n"/>
    </row>
    <row r="90" ht="14.25" customHeight="1" s="83">
      <c r="A90" s="103" t="n"/>
      <c r="B90" s="103" t="n"/>
      <c r="C90" s="103" t="n"/>
      <c r="D90" s="103" t="n"/>
      <c r="E90" s="103" t="n"/>
      <c r="F90" s="170">
        <f>IF(OR(D90="",E90=""),"",D90*E90)</f>
        <v/>
      </c>
      <c r="G90" s="103" t="n"/>
      <c r="H90" s="88" t="n"/>
      <c r="I90" s="88" t="n"/>
      <c r="J90" s="88" t="n"/>
      <c r="K90" s="88" t="n"/>
      <c r="L90" s="88" t="n"/>
      <c r="M90" s="88" t="n"/>
      <c r="N90" s="88" t="n"/>
      <c r="O90" s="170">
        <f>IF(A107="","",A107)</f>
        <v/>
      </c>
      <c r="P90" s="88" t="n"/>
      <c r="Q90" s="88" t="n"/>
      <c r="R90" s="88" t="n"/>
    </row>
    <row r="91" ht="14.25" customHeight="1" s="83">
      <c r="A91" s="103" t="n"/>
      <c r="B91" s="103" t="n"/>
      <c r="C91" s="103" t="n"/>
      <c r="D91" s="103" t="n"/>
      <c r="E91" s="103" t="n"/>
      <c r="F91" s="170">
        <f>IF(OR(D91="",E91=""),"",D91*E91)</f>
        <v/>
      </c>
      <c r="G91" s="103" t="n"/>
      <c r="H91" s="88" t="n"/>
      <c r="I91" s="88" t="n"/>
      <c r="J91" s="88" t="n"/>
      <c r="K91" s="88" t="n"/>
      <c r="L91" s="88" t="n"/>
      <c r="M91" s="88" t="n"/>
      <c r="N91" s="88" t="n"/>
      <c r="O91" s="170">
        <f>IF(A108="","",A108)</f>
        <v/>
      </c>
      <c r="P91" s="88" t="n"/>
      <c r="Q91" s="88" t="n"/>
      <c r="R91" s="88" t="n"/>
    </row>
    <row r="92" ht="14.25" customHeight="1" s="83">
      <c r="A92" s="103" t="n"/>
      <c r="B92" s="103" t="n"/>
      <c r="C92" s="103" t="n"/>
      <c r="D92" s="103" t="n"/>
      <c r="E92" s="103" t="n"/>
      <c r="F92" s="170">
        <f>IF(OR(D92="",E92=""),"",D92*E92)</f>
        <v/>
      </c>
      <c r="G92" s="103" t="n"/>
      <c r="H92" s="88" t="n"/>
      <c r="I92" s="88" t="n"/>
      <c r="J92" s="88" t="n"/>
      <c r="K92" s="88" t="n"/>
      <c r="L92" s="88" t="n"/>
      <c r="M92" s="88" t="n"/>
      <c r="N92" s="88" t="n"/>
      <c r="O92" s="170">
        <f>IF(A109="","",A109)</f>
        <v/>
      </c>
      <c r="P92" s="88" t="n"/>
      <c r="Q92" s="88" t="n"/>
      <c r="R92" s="88" t="n"/>
    </row>
    <row r="93" ht="14.25" customHeight="1" s="83">
      <c r="A93" s="103" t="n"/>
      <c r="B93" s="103" t="n"/>
      <c r="C93" s="103" t="n"/>
      <c r="D93" s="103" t="n"/>
      <c r="E93" s="103" t="n"/>
      <c r="F93" s="170">
        <f>IF(OR(D93="",E93=""),"",D93*E93)</f>
        <v/>
      </c>
      <c r="G93" s="103" t="n"/>
      <c r="H93" s="88" t="n"/>
      <c r="I93" s="88" t="n"/>
      <c r="J93" s="88" t="n"/>
      <c r="K93" s="88" t="n"/>
      <c r="L93" s="88" t="n"/>
      <c r="M93" s="88" t="n"/>
      <c r="N93" s="88" t="n"/>
      <c r="O93" s="170">
        <f>IF(A110="","",A110)</f>
        <v/>
      </c>
      <c r="P93" s="88" t="n"/>
      <c r="Q93" s="88" t="n"/>
      <c r="R93" s="88" t="n"/>
    </row>
    <row r="94" ht="14.25" customHeight="1" s="83">
      <c r="A94" s="103" t="n"/>
      <c r="B94" s="103" t="n"/>
      <c r="C94" s="103" t="n"/>
      <c r="D94" s="103" t="n"/>
      <c r="E94" s="103" t="n"/>
      <c r="F94" s="170">
        <f>IF(OR(D94="",E94=""),"",D94*E94)</f>
        <v/>
      </c>
      <c r="G94" s="103" t="n"/>
      <c r="H94" s="88" t="n"/>
      <c r="I94" s="88" t="n"/>
      <c r="J94" s="88" t="n"/>
      <c r="K94" s="88" t="n"/>
      <c r="L94" s="88" t="n"/>
      <c r="M94" s="88" t="n"/>
      <c r="N94" s="88" t="n"/>
      <c r="O94" s="170">
        <f>IF(A111="","",A111)</f>
        <v/>
      </c>
      <c r="P94" s="88" t="n"/>
      <c r="Q94" s="88" t="n"/>
      <c r="R94" s="88" t="n"/>
    </row>
    <row r="95" ht="14.25" customHeight="1" s="83">
      <c r="A95" s="103" t="n"/>
      <c r="B95" s="103" t="n"/>
      <c r="C95" s="103" t="n"/>
      <c r="D95" s="103" t="n"/>
      <c r="E95" s="103" t="n"/>
      <c r="F95" s="170">
        <f>IF(OR(D95="",E95=""),"",D95*E95)</f>
        <v/>
      </c>
      <c r="G95" s="103" t="n"/>
      <c r="H95" s="88" t="n"/>
      <c r="I95" s="88" t="n"/>
      <c r="J95" s="88" t="n"/>
      <c r="K95" s="88" t="n"/>
      <c r="L95" s="88" t="n"/>
      <c r="M95" s="88" t="n"/>
      <c r="N95" s="88" t="n"/>
      <c r="O95" s="170">
        <f>IF(A112="","",A112)</f>
        <v/>
      </c>
      <c r="P95" s="88" t="n"/>
      <c r="Q95" s="88" t="n"/>
      <c r="R95" s="88" t="n"/>
    </row>
    <row r="96" ht="14.25" customHeight="1" s="83">
      <c r="A96" s="103" t="n"/>
      <c r="B96" s="103" t="n"/>
      <c r="C96" s="103" t="n"/>
      <c r="D96" s="103" t="n"/>
      <c r="E96" s="103" t="n"/>
      <c r="F96" s="170">
        <f>IF(OR(D96="",E96=""),"",D96*E96)</f>
        <v/>
      </c>
      <c r="G96" s="103" t="n"/>
      <c r="H96" s="88" t="n"/>
      <c r="I96" s="88" t="n"/>
      <c r="J96" s="88" t="n"/>
      <c r="K96" s="88" t="n"/>
      <c r="L96" s="88" t="n"/>
      <c r="M96" s="88" t="n"/>
      <c r="N96" s="88" t="n"/>
      <c r="O96" s="170">
        <f>IF(A113="","",A113)</f>
        <v/>
      </c>
      <c r="P96" s="88" t="n"/>
      <c r="Q96" s="88" t="n"/>
      <c r="R96" s="88" t="n"/>
    </row>
    <row r="97" ht="14.25" customHeight="1" s="83">
      <c r="A97" s="103" t="n"/>
      <c r="B97" s="103" t="n"/>
      <c r="C97" s="103" t="n"/>
      <c r="D97" s="103" t="n"/>
      <c r="E97" s="103" t="n"/>
      <c r="F97" s="170">
        <f>IF(OR(D97="",E97=""),"",D97*E97)</f>
        <v/>
      </c>
      <c r="G97" s="103" t="n"/>
      <c r="H97" s="88" t="n"/>
      <c r="I97" s="88" t="n"/>
      <c r="J97" s="88" t="n"/>
      <c r="K97" s="88" t="n"/>
      <c r="L97" s="88" t="n"/>
      <c r="M97" s="88" t="n"/>
      <c r="N97" s="88" t="n"/>
      <c r="O97" s="170">
        <f>IF(A114="","",A114)</f>
        <v/>
      </c>
      <c r="P97" s="88" t="n"/>
      <c r="Q97" s="88" t="n"/>
      <c r="R97" s="88" t="n"/>
    </row>
    <row r="98" ht="14.25" customHeight="1" s="83">
      <c r="A98" s="103" t="n"/>
      <c r="B98" s="103" t="n"/>
      <c r="C98" s="103" t="n"/>
      <c r="D98" s="103" t="n"/>
      <c r="E98" s="103" t="n"/>
      <c r="F98" s="170">
        <f>IF(OR(D98="",E98=""),"",D98*E98)</f>
        <v/>
      </c>
      <c r="G98" s="103" t="n"/>
      <c r="H98" s="88" t="n"/>
      <c r="I98" s="88" t="n"/>
      <c r="J98" s="88" t="n"/>
      <c r="K98" s="88" t="n"/>
      <c r="L98" s="88" t="n"/>
      <c r="M98" s="88" t="n"/>
      <c r="N98" s="88" t="n"/>
      <c r="O98" s="170">
        <f>IF(A115="","",A115)</f>
        <v/>
      </c>
      <c r="P98" s="88" t="n"/>
      <c r="Q98" s="88" t="n"/>
      <c r="R98" s="88" t="n"/>
    </row>
    <row r="99" ht="14.25" customHeight="1" s="83">
      <c r="A99" s="103" t="n"/>
      <c r="B99" s="103" t="n"/>
      <c r="C99" s="103" t="n"/>
      <c r="D99" s="103" t="n"/>
      <c r="E99" s="103" t="n"/>
      <c r="F99" s="170">
        <f>IF(OR(D99="",E99=""),"",D99*E99)</f>
        <v/>
      </c>
      <c r="G99" s="103" t="n"/>
      <c r="H99" s="88" t="n"/>
      <c r="I99" s="88" t="n"/>
      <c r="J99" s="88" t="n"/>
      <c r="K99" s="88" t="n"/>
      <c r="L99" s="88" t="n"/>
      <c r="M99" s="88" t="n"/>
      <c r="N99" s="88" t="n"/>
      <c r="O99" s="170">
        <f>IF(A116="","",A116)</f>
        <v/>
      </c>
      <c r="P99" s="88" t="n"/>
      <c r="Q99" s="88" t="n"/>
      <c r="R99" s="88" t="n"/>
    </row>
    <row r="100" ht="14.25" customHeight="1" s="83">
      <c r="A100" s="103" t="n"/>
      <c r="B100" s="103" t="n"/>
      <c r="C100" s="103" t="n"/>
      <c r="D100" s="103" t="n"/>
      <c r="E100" s="103" t="n"/>
      <c r="F100" s="170">
        <f>IF(OR(D100="",E100=""),"",D100*E100)</f>
        <v/>
      </c>
      <c r="G100" s="103" t="n"/>
      <c r="H100" s="88" t="n"/>
      <c r="I100" s="88" t="n"/>
      <c r="J100" s="88" t="n"/>
      <c r="K100" s="88" t="n"/>
      <c r="L100" s="88" t="n"/>
      <c r="M100" s="88" t="n"/>
      <c r="N100" s="88" t="n"/>
      <c r="O100" s="170">
        <f>IF(A117="","",A117)</f>
        <v/>
      </c>
      <c r="P100" s="88" t="n"/>
      <c r="Q100" s="88" t="n"/>
      <c r="R100" s="88" t="n"/>
    </row>
    <row r="101" ht="14.25" customHeight="1" s="83">
      <c r="A101" s="103" t="n"/>
      <c r="B101" s="103" t="n"/>
      <c r="C101" s="103" t="n"/>
      <c r="D101" s="103" t="n"/>
      <c r="E101" s="103" t="n"/>
      <c r="F101" s="170">
        <f>IF(OR(D101="",E101=""),"",D101*E101)</f>
        <v/>
      </c>
      <c r="G101" s="103" t="n"/>
      <c r="H101" s="88" t="n"/>
      <c r="I101" s="88" t="n"/>
      <c r="J101" s="88" t="n"/>
      <c r="K101" s="88" t="n"/>
      <c r="L101" s="88" t="n"/>
      <c r="M101" s="88" t="n"/>
      <c r="N101" s="88" t="n"/>
      <c r="O101" s="170">
        <f>IF(A118="","",A118)</f>
        <v/>
      </c>
      <c r="P101" s="88" t="n"/>
      <c r="Q101" s="88" t="n"/>
      <c r="R101" s="88" t="n"/>
    </row>
    <row r="102" ht="14.25" customHeight="1" s="83">
      <c r="A102" s="103" t="n"/>
      <c r="B102" s="103" t="n"/>
      <c r="C102" s="103" t="n"/>
      <c r="D102" s="103" t="n"/>
      <c r="E102" s="103" t="n"/>
      <c r="F102" s="170">
        <f>IF(OR(D102="",E102=""),"",D102*E102)</f>
        <v/>
      </c>
      <c r="G102" s="103" t="n"/>
      <c r="H102" s="88" t="n"/>
      <c r="I102" s="88" t="n"/>
      <c r="J102" s="88" t="n"/>
      <c r="K102" s="88" t="n"/>
      <c r="L102" s="88" t="n"/>
      <c r="M102" s="88" t="n"/>
      <c r="N102" s="88" t="n"/>
      <c r="O102" s="170">
        <f>IF(A119="","",A119)</f>
        <v/>
      </c>
      <c r="P102" s="88" t="n"/>
      <c r="Q102" s="88" t="n"/>
      <c r="R102" s="88" t="n"/>
    </row>
    <row r="103" ht="14.25" customHeight="1" s="83">
      <c r="A103" s="103" t="n"/>
      <c r="B103" s="103" t="n"/>
      <c r="C103" s="103" t="n"/>
      <c r="D103" s="103" t="n"/>
      <c r="E103" s="103" t="n"/>
      <c r="F103" s="170">
        <f>IF(OR(D103="",E103=""),"",D103*E103)</f>
        <v/>
      </c>
      <c r="G103" s="103" t="n"/>
      <c r="H103" s="88" t="n"/>
      <c r="I103" s="88" t="n"/>
      <c r="J103" s="88" t="n"/>
      <c r="K103" s="88" t="n"/>
      <c r="L103" s="88" t="n"/>
      <c r="M103" s="88" t="n"/>
      <c r="N103" s="88" t="n"/>
      <c r="O103" s="170">
        <f>IF(A120="","",A120)</f>
        <v/>
      </c>
      <c r="P103" s="88" t="n"/>
      <c r="Q103" s="88" t="n"/>
      <c r="R103" s="88" t="n"/>
    </row>
    <row r="104" ht="14.25" customHeight="1" s="83">
      <c r="A104" s="103" t="n"/>
      <c r="B104" s="103" t="n"/>
      <c r="C104" s="103" t="n"/>
      <c r="D104" s="103" t="n"/>
      <c r="E104" s="103" t="n"/>
      <c r="F104" s="170">
        <f>IF(OR(D104="",E104=""),"",D104*E104)</f>
        <v/>
      </c>
      <c r="G104" s="103" t="n"/>
      <c r="H104" s="88" t="n"/>
      <c r="I104" s="88" t="n"/>
      <c r="J104" s="88" t="n"/>
      <c r="K104" s="88" t="n"/>
      <c r="L104" s="88" t="n"/>
      <c r="M104" s="88" t="n"/>
      <c r="N104" s="88" t="n"/>
      <c r="O104" s="170">
        <f>IF(A121="","",A121)</f>
        <v/>
      </c>
      <c r="P104" s="88" t="n"/>
      <c r="Q104" s="88" t="n"/>
      <c r="R104" s="88" t="n"/>
    </row>
    <row r="105" ht="14.25" customHeight="1" s="83">
      <c r="A105" s="103" t="n"/>
      <c r="B105" s="103" t="n"/>
      <c r="C105" s="103" t="n"/>
      <c r="D105" s="103" t="n"/>
      <c r="E105" s="103" t="n"/>
      <c r="F105" s="170">
        <f>IF(OR(D105="",E105=""),"",D105*E105)</f>
        <v/>
      </c>
      <c r="G105" s="103" t="n"/>
      <c r="H105" s="88" t="n"/>
      <c r="I105" s="88" t="n"/>
      <c r="J105" s="88" t="n"/>
      <c r="K105" s="88" t="n"/>
      <c r="L105" s="88" t="n"/>
      <c r="M105" s="88" t="n"/>
      <c r="N105" s="88" t="n"/>
      <c r="O105" s="170">
        <f>IF(A122="","",A122)</f>
        <v/>
      </c>
      <c r="P105" s="88" t="n"/>
      <c r="Q105" s="88" t="n"/>
      <c r="R105" s="88" t="n"/>
    </row>
    <row r="106" ht="14.25" customHeight="1" s="83">
      <c r="A106" s="103" t="n"/>
      <c r="B106" s="103" t="n"/>
      <c r="C106" s="103" t="n"/>
      <c r="D106" s="103" t="n"/>
      <c r="E106" s="103" t="n"/>
      <c r="F106" s="170">
        <f>IF(OR(D106="",E106=""),"",D106*E106)</f>
        <v/>
      </c>
      <c r="G106" s="103" t="n"/>
      <c r="H106" s="88" t="n"/>
      <c r="I106" s="88" t="n"/>
      <c r="J106" s="88" t="n"/>
      <c r="K106" s="88" t="n"/>
      <c r="L106" s="88" t="n"/>
      <c r="M106" s="88" t="n"/>
      <c r="N106" s="88" t="n"/>
      <c r="O106" s="170">
        <f>IF(A123="","",A123)</f>
        <v/>
      </c>
      <c r="P106" s="88" t="n"/>
      <c r="Q106" s="88" t="n"/>
      <c r="R106" s="88" t="n"/>
    </row>
    <row r="107" ht="14.25" customHeight="1" s="83">
      <c r="A107" s="103" t="n"/>
      <c r="B107" s="103" t="n"/>
      <c r="C107" s="103" t="n"/>
      <c r="D107" s="103" t="n"/>
      <c r="E107" s="103" t="n"/>
      <c r="F107" s="170">
        <f>IF(OR(D107="",E107=""),"",D107*E107)</f>
        <v/>
      </c>
      <c r="G107" s="103" t="n"/>
      <c r="H107" s="88" t="n"/>
      <c r="I107" s="88" t="n"/>
      <c r="J107" s="88" t="n"/>
      <c r="K107" s="88" t="n"/>
      <c r="L107" s="88" t="n"/>
      <c r="M107" s="88" t="n"/>
      <c r="N107" s="88" t="n"/>
      <c r="O107" s="170">
        <f>IF(A124="","",A124)</f>
        <v/>
      </c>
      <c r="P107" s="88" t="n"/>
      <c r="Q107" s="88" t="n"/>
      <c r="R107" s="88" t="n"/>
    </row>
    <row r="108" ht="14.25" customHeight="1" s="83">
      <c r="A108" s="103" t="n"/>
      <c r="B108" s="103" t="n"/>
      <c r="C108" s="103" t="n"/>
      <c r="D108" s="103" t="n"/>
      <c r="E108" s="103" t="n"/>
      <c r="F108" s="170">
        <f>IF(OR(D108="",E108=""),"",D108*E108)</f>
        <v/>
      </c>
      <c r="G108" s="103" t="n"/>
      <c r="H108" s="88" t="n"/>
      <c r="I108" s="88" t="n"/>
      <c r="J108" s="88" t="n"/>
      <c r="K108" s="88" t="n"/>
      <c r="L108" s="88" t="n"/>
      <c r="M108" s="88" t="n"/>
      <c r="N108" s="88" t="n"/>
      <c r="O108" s="170">
        <f>IF(A125="","",A125)</f>
        <v/>
      </c>
      <c r="P108" s="88" t="n"/>
      <c r="Q108" s="88" t="n"/>
      <c r="R108" s="88" t="n"/>
    </row>
    <row r="109" ht="14.25" customHeight="1" s="83">
      <c r="A109" s="103" t="n"/>
      <c r="B109" s="103" t="n"/>
      <c r="C109" s="103" t="n"/>
      <c r="D109" s="103" t="n"/>
      <c r="E109" s="103" t="n"/>
      <c r="F109" s="170">
        <f>IF(OR(D109="",E109=""),"",D109*E109)</f>
        <v/>
      </c>
      <c r="G109" s="103" t="n"/>
      <c r="H109" s="88" t="n"/>
      <c r="I109" s="88" t="n"/>
      <c r="J109" s="88" t="n"/>
      <c r="K109" s="88" t="n"/>
      <c r="L109" s="88" t="n"/>
      <c r="M109" s="88" t="n"/>
      <c r="N109" s="88" t="n"/>
      <c r="O109" s="170">
        <f>IF(A126="","",A126)</f>
        <v/>
      </c>
      <c r="P109" s="88" t="n"/>
      <c r="Q109" s="88" t="n"/>
      <c r="R109" s="88" t="n"/>
    </row>
    <row r="110" ht="14.25" customHeight="1" s="83">
      <c r="A110" s="103" t="n"/>
      <c r="B110" s="103" t="n"/>
      <c r="C110" s="103" t="n"/>
      <c r="D110" s="103" t="n"/>
      <c r="E110" s="103" t="n"/>
      <c r="F110" s="170">
        <f>IF(OR(D110="",E110=""),"",D110*E110)</f>
        <v/>
      </c>
      <c r="G110" s="103" t="n"/>
      <c r="H110" s="88" t="n"/>
      <c r="I110" s="88" t="n"/>
      <c r="J110" s="88" t="n"/>
      <c r="K110" s="88" t="n"/>
      <c r="L110" s="88" t="n"/>
      <c r="M110" s="88" t="n"/>
      <c r="N110" s="88" t="n"/>
      <c r="O110" s="170">
        <f>IF(A127="","",A127)</f>
        <v/>
      </c>
      <c r="P110" s="88" t="n"/>
      <c r="Q110" s="88" t="n"/>
      <c r="R110" s="88" t="n"/>
    </row>
    <row r="111" ht="14.25" customHeight="1" s="83">
      <c r="A111" s="103" t="n"/>
      <c r="B111" s="103" t="n"/>
      <c r="C111" s="103" t="n"/>
      <c r="D111" s="103" t="n"/>
      <c r="E111" s="103" t="n"/>
      <c r="F111" s="170">
        <f>IF(OR(D111="",E111=""),"",D111*E111)</f>
        <v/>
      </c>
      <c r="G111" s="103" t="n"/>
      <c r="H111" s="88" t="n"/>
      <c r="I111" s="88" t="n"/>
      <c r="J111" s="88" t="n"/>
      <c r="K111" s="88" t="n"/>
      <c r="L111" s="88" t="n"/>
      <c r="M111" s="88" t="n"/>
      <c r="N111" s="88" t="n"/>
      <c r="O111" s="170">
        <f>IF(A128="","",A128)</f>
        <v/>
      </c>
      <c r="P111" s="88" t="n"/>
      <c r="Q111" s="88" t="n"/>
      <c r="R111" s="88" t="n"/>
    </row>
    <row r="112" ht="14.25" customHeight="1" s="83">
      <c r="A112" s="103" t="n"/>
      <c r="B112" s="103" t="n"/>
      <c r="C112" s="103" t="n"/>
      <c r="D112" s="103" t="n"/>
      <c r="E112" s="103" t="n"/>
      <c r="F112" s="170">
        <f>IF(OR(D112="",E112=""),"",D112*E112)</f>
        <v/>
      </c>
      <c r="G112" s="103" t="n"/>
      <c r="H112" s="88" t="n"/>
      <c r="I112" s="88" t="n"/>
      <c r="J112" s="88" t="n"/>
      <c r="K112" s="88" t="n"/>
      <c r="L112" s="88" t="n"/>
      <c r="M112" s="88" t="n"/>
      <c r="N112" s="88" t="n"/>
      <c r="O112" s="170">
        <f>IF(A129="","",A129)</f>
        <v/>
      </c>
      <c r="P112" s="88" t="n"/>
      <c r="Q112" s="88" t="n"/>
      <c r="R112" s="88" t="n"/>
    </row>
    <row r="113" ht="14.25" customHeight="1" s="83">
      <c r="A113" s="103" t="n"/>
      <c r="B113" s="103" t="n"/>
      <c r="C113" s="103" t="n"/>
      <c r="D113" s="103" t="n"/>
      <c r="E113" s="103" t="n"/>
      <c r="F113" s="170">
        <f>IF(OR(D113="",E113=""),"",D113*E113)</f>
        <v/>
      </c>
      <c r="G113" s="103" t="n"/>
      <c r="H113" s="88" t="n"/>
      <c r="I113" s="88" t="n"/>
      <c r="J113" s="88" t="n"/>
      <c r="K113" s="88" t="n"/>
      <c r="L113" s="88" t="n"/>
      <c r="M113" s="88" t="n"/>
      <c r="N113" s="88" t="n"/>
      <c r="O113" s="170">
        <f>IF(A130="","",A130)</f>
        <v/>
      </c>
      <c r="P113" s="88" t="n"/>
      <c r="Q113" s="88" t="n"/>
      <c r="R113" s="88" t="n"/>
    </row>
    <row r="114" ht="14.25" customHeight="1" s="83">
      <c r="A114" s="103" t="n"/>
      <c r="B114" s="103" t="n"/>
      <c r="C114" s="103" t="n"/>
      <c r="D114" s="103" t="n"/>
      <c r="E114" s="103" t="n"/>
      <c r="F114" s="170">
        <f>IF(OR(D114="",E114=""),"",D114*E114)</f>
        <v/>
      </c>
      <c r="G114" s="103" t="n"/>
      <c r="H114" s="88" t="n"/>
      <c r="I114" s="88" t="n"/>
      <c r="J114" s="88" t="n"/>
      <c r="K114" s="88" t="n"/>
      <c r="L114" s="88" t="n"/>
      <c r="M114" s="88" t="n"/>
      <c r="N114" s="88" t="n"/>
      <c r="O114" s="170">
        <f>IF(A131="","",A131)</f>
        <v/>
      </c>
      <c r="P114" s="88" t="n"/>
      <c r="Q114" s="88" t="n"/>
      <c r="R114" s="88" t="n"/>
    </row>
    <row r="115" ht="14.25" customHeight="1" s="83">
      <c r="A115" s="103" t="n"/>
      <c r="B115" s="103" t="n"/>
      <c r="C115" s="103" t="n"/>
      <c r="D115" s="103" t="n"/>
      <c r="E115" s="103" t="n"/>
      <c r="F115" s="170">
        <f>IF(OR(D115="",E115=""),"",D115*E115)</f>
        <v/>
      </c>
      <c r="G115" s="103" t="n"/>
      <c r="H115" s="88" t="n"/>
      <c r="I115" s="88" t="n"/>
      <c r="J115" s="88" t="n"/>
      <c r="K115" s="88" t="n"/>
      <c r="L115" s="88" t="n"/>
      <c r="M115" s="88" t="n"/>
      <c r="N115" s="88" t="n"/>
      <c r="O115" s="170">
        <f>IF(A132="","",A132)</f>
        <v/>
      </c>
      <c r="P115" s="88" t="n"/>
      <c r="Q115" s="88" t="n"/>
      <c r="R115" s="88" t="n"/>
    </row>
    <row r="116" ht="14.25" customHeight="1" s="83">
      <c r="A116" s="103" t="n"/>
      <c r="B116" s="103" t="n"/>
      <c r="C116" s="103" t="n"/>
      <c r="D116" s="103" t="n"/>
      <c r="E116" s="103" t="n"/>
      <c r="F116" s="170">
        <f>IF(OR(D116="",E116=""),"",D116*E116)</f>
        <v/>
      </c>
      <c r="G116" s="103" t="n"/>
      <c r="H116" s="88" t="n"/>
      <c r="I116" s="88" t="n"/>
      <c r="J116" s="88" t="n"/>
      <c r="K116" s="88" t="n"/>
      <c r="L116" s="88" t="n"/>
      <c r="M116" s="88" t="n"/>
      <c r="N116" s="88" t="n"/>
      <c r="O116" s="170">
        <f>IF(A133="","",A133)</f>
        <v/>
      </c>
      <c r="P116" s="88" t="n"/>
      <c r="Q116" s="88" t="n"/>
      <c r="R116" s="88" t="n"/>
    </row>
    <row r="117" ht="14.25" customHeight="1" s="83">
      <c r="A117" s="103" t="n"/>
      <c r="B117" s="103" t="n"/>
      <c r="C117" s="103" t="n"/>
      <c r="D117" s="103" t="n"/>
      <c r="E117" s="103" t="n"/>
      <c r="F117" s="170">
        <f>IF(OR(D117="",E117=""),"",D117*E117)</f>
        <v/>
      </c>
      <c r="G117" s="103" t="n"/>
      <c r="H117" s="88" t="n"/>
      <c r="I117" s="88" t="n"/>
      <c r="J117" s="88" t="n"/>
      <c r="K117" s="88" t="n"/>
      <c r="L117" s="88" t="n"/>
      <c r="M117" s="88" t="n"/>
      <c r="N117" s="88" t="n"/>
      <c r="O117" s="170">
        <f>IF(A134="","",A134)</f>
        <v/>
      </c>
      <c r="P117" s="88" t="n"/>
      <c r="Q117" s="88" t="n"/>
      <c r="R117" s="88" t="n"/>
    </row>
    <row r="118" ht="14.25" customHeight="1" s="83">
      <c r="A118" s="103" t="n"/>
      <c r="B118" s="103" t="n"/>
      <c r="C118" s="103" t="n"/>
      <c r="D118" s="103" t="n"/>
      <c r="E118" s="103" t="n"/>
      <c r="F118" s="170">
        <f>IF(OR(D118="",E118=""),"",D118*E118)</f>
        <v/>
      </c>
      <c r="G118" s="103" t="n"/>
      <c r="H118" s="88" t="n"/>
      <c r="I118" s="88" t="n"/>
      <c r="J118" s="88" t="n"/>
      <c r="K118" s="88" t="n"/>
      <c r="L118" s="88" t="n"/>
      <c r="M118" s="88" t="n"/>
      <c r="N118" s="88" t="n"/>
      <c r="O118" s="170">
        <f>IF(A135="","",A135)</f>
        <v/>
      </c>
      <c r="P118" s="88" t="n"/>
      <c r="Q118" s="88" t="n"/>
      <c r="R118" s="88" t="n"/>
    </row>
    <row r="119" ht="14.25" customHeight="1" s="83">
      <c r="A119" s="103" t="n"/>
      <c r="B119" s="103" t="n"/>
      <c r="C119" s="103" t="n"/>
      <c r="D119" s="103" t="n"/>
      <c r="E119" s="103" t="n"/>
      <c r="F119" s="170">
        <f>IF(OR(D119="",E119=""),"",D119*E119)</f>
        <v/>
      </c>
      <c r="G119" s="103" t="n"/>
      <c r="H119" s="88" t="n"/>
      <c r="I119" s="88" t="n"/>
      <c r="J119" s="88" t="n"/>
      <c r="K119" s="88" t="n"/>
      <c r="L119" s="88" t="n"/>
      <c r="M119" s="88" t="n"/>
      <c r="N119" s="88" t="n"/>
      <c r="O119" s="170">
        <f>IF(A136="","",A136)</f>
        <v/>
      </c>
      <c r="P119" s="88" t="n"/>
      <c r="Q119" s="88" t="n"/>
      <c r="R119" s="88" t="n"/>
    </row>
    <row r="120" ht="14.25" customHeight="1" s="83">
      <c r="A120" s="103" t="n"/>
      <c r="B120" s="103" t="n"/>
      <c r="C120" s="103" t="n"/>
      <c r="D120" s="103" t="n"/>
      <c r="E120" s="103" t="n"/>
      <c r="F120" s="170">
        <f>IF(OR(D120="",E120=""),"",D120*E120)</f>
        <v/>
      </c>
      <c r="G120" s="103" t="n"/>
      <c r="H120" s="88" t="n"/>
      <c r="I120" s="88" t="n"/>
      <c r="J120" s="88" t="n"/>
      <c r="K120" s="88" t="n"/>
      <c r="L120" s="88" t="n"/>
      <c r="M120" s="88" t="n"/>
      <c r="N120" s="88" t="n"/>
      <c r="O120" s="170">
        <f>IF(A137="","",A137)</f>
        <v/>
      </c>
      <c r="P120" s="88" t="n"/>
      <c r="Q120" s="88" t="n"/>
      <c r="R120" s="88" t="n"/>
    </row>
  </sheetData>
  <mergeCells count="3">
    <mergeCell ref="A4:C4"/>
    <mergeCell ref="A17:G17"/>
    <mergeCell ref="A1:H1"/>
  </mergeCells>
  <dataValidations count="3">
    <dataValidation sqref="B21:B120" showDropDown="0" showInputMessage="0" showErrorMessage="0" allowBlank="1" errorTitle="Invalid selection" error="Select a value from the dropdown list." type="list" errorStyle="stop" operator="between">
      <formula1>'Settings &amp; Master Config (2)'!ProjectStatusList</formula1>
      <formula2>0</formula2>
    </dataValidation>
    <dataValidation sqref="C21:C120" showDropDown="0" showInputMessage="0" showErrorMessage="0" allowBlank="1" errorTitle="Invalid selection" error="Select a value from the dropdown list." type="list" errorStyle="stop" operator="between">
      <formula1>'Settings &amp; Master Config (2)'!OwnershipList</formula1>
      <formula2>0</formula2>
    </dataValidation>
    <dataValidation sqref="D21:E120" showDropDown="0" showInputMessage="0" showErrorMessage="0" allowBlank="1" errorTitle="Invalid input" error="Enter a non-negative numb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9453125" defaultRowHeight="14.25" customHeight="0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 Cloud Agent</dc:creator>
  <dc:title>DooRm</dc:title>
  <dc:subject>Standalone dormitory and co-living management workbook</dc:subject>
  <dc:language>en-US</dc:language>
  <dcterms:created xsi:type="dcterms:W3CDTF">2026-06-14T11:58:00Z</dcterms:created>
  <dcterms:modified xsi:type="dcterms:W3CDTF">2026-06-27T13:23:41Z</dcterms:modified>
  <cp:lastModifiedBy>ikram</cp:lastModifiedBy>
  <cp:revision>0</cp:revision>
  <cp:keywords>dormitory student housing co-living financial model invoice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B61F473F41D446458C15BB7660729BD9_13</vt:lpwstr>
  </property>
  <property name="KSOProductBuildVer" fmtid="{D5CDD505-2E9C-101B-9397-08002B2CF9AE}" pid="4">
    <vt:lpwstr>1036-12.1.0.26880</vt:lpwstr>
  </property>
</Properties>
</file>