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5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V49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49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IF(COUNTIFS($A:$A,A5,$B:$B,B5,$E:$E,"Occupied")=2,"Yes","No")</f>
        <v/>
      </c>
      <c r="G5" s="117">
        <f>DefaultRentPerBed</f>
        <v/>
      </c>
      <c r="H5" s="116">
        <f>IF(E5&lt;&gt;"Occupied",0,COUNTIFS($A:$A,A5,$B:$B,B5,$E:$E,"Occupied"))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Management'!$B:$B,DATE(YEAR(CurrentMonth),MONTH(CurrentMonth),1),'Electricity Management'!$C:$C,B5),0),0)</f>
        <v/>
      </c>
      <c r="K5" s="82">
        <f>IF(E5="Occupied",IFERROR(SUMIFS('Electricity Management'!$T:$T,'Electricity Management'!$K:$K,A5,'Electricity Management'!$B:$B,DATE(YEAR(CurrentMonth),MONTH(CurrentMonth),1),'Electricity Management'!$L:$L,B5),0),0)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IF(COUNTIFS($A:$A,A6,$B:$B,B6,$E:$E,"Occupied")=2,"Yes","No")</f>
        <v/>
      </c>
      <c r="G6" s="117">
        <f>DefaultRentPerBed</f>
        <v/>
      </c>
      <c r="H6" s="116">
        <f>IF(E6&lt;&gt;"Occupied",0,COUNTIFS($A:$A,A6,$B:$B,B6,$E:$E,"Occupied"))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Management'!$B:$B,DATE(YEAR(CurrentMonth),MONTH(CurrentMonth),1),'Electricity Management'!$C:$C,B6),0),0)</f>
        <v/>
      </c>
      <c r="K6" s="82">
        <f>IF(E6="Occupied",IFERROR(SUMIFS('Electricity Management'!$T:$T,'Electricity Management'!$K:$K,A6,'Electricity Management'!$B:$B,DATE(YEAR(CurrentMonth),MONTH(CurrentMonth),1),'Electricity Management'!$L:$L,B6),0),0)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IF(COUNTIFS($A:$A,A7,$B:$B,B7,$E:$E,"Occupied")=2,"Yes","No")</f>
        <v/>
      </c>
      <c r="G7" s="117">
        <f>DefaultRentPerBed</f>
        <v/>
      </c>
      <c r="H7" s="116">
        <f>IF(E7&lt;&gt;"Occupied",0,COUNTIFS($A:$A,A7,$B:$B,B7,$E:$E,"Occupied"))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Management'!$B:$B,DATE(YEAR(CurrentMonth),MONTH(CurrentMonth),1),'Electricity Management'!$C:$C,B7),0),0)</f>
        <v/>
      </c>
      <c r="K7" s="82">
        <f>IF(E7="Occupied",IFERROR(SUMIFS('Electricity Management'!$T:$T,'Electricity Management'!$K:$K,A7,'Electricity Management'!$B:$B,DATE(YEAR(CurrentMonth),MONTH(CurrentMonth),1),'Electricity Management'!$L:$L,B7),0),0)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IF(COUNTIFS($A:$A,A8,$B:$B,B8,$E:$E,"Occupied")=2,"Yes","No")</f>
        <v/>
      </c>
      <c r="G8" s="117">
        <f>DefaultRentPerBed</f>
        <v/>
      </c>
      <c r="H8" s="116">
        <f>IF(E8&lt;&gt;"Occupied",0,COUNTIFS($A:$A,A8,$B:$B,B8,$E:$E,"Occupied"))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Management'!$B:$B,DATE(YEAR(CurrentMonth),MONTH(CurrentMonth),1),'Electricity Management'!$C:$C,B8),0),0)</f>
        <v/>
      </c>
      <c r="K8" s="82">
        <f>IF(E8="Occupied",IFERROR(SUMIFS('Electricity Management'!$T:$T,'Electricity Management'!$K:$K,A8,'Electricity Management'!$B:$B,DATE(YEAR(CurrentMonth),MONTH(CurrentMonth),1),'Electricity Management'!$L:$L,B8),0),0)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IF(COUNTIFS($A:$A,A9,$B:$B,B9,$E:$E,"Occupied")=2,"Yes","No")</f>
        <v/>
      </c>
      <c r="G9" s="117">
        <f>DefaultRentPerBed</f>
        <v/>
      </c>
      <c r="H9" s="116">
        <f>IF(E9&lt;&gt;"Occupied",0,COUNTIFS($A:$A,A9,$B:$B,B9,$E:$E,"Occupied"))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Management'!$B:$B,DATE(YEAR(CurrentMonth),MONTH(CurrentMonth),1),'Electricity Management'!$C:$C,B9),0),0)</f>
        <v/>
      </c>
      <c r="K9" s="82">
        <f>IF(E9="Occupied",IFERROR(SUMIFS('Electricity Management'!$T:$T,'Electricity Management'!$K:$K,A9,'Electricity Management'!$B:$B,DATE(YEAR(CurrentMonth),MONTH(CurrentMonth),1),'Electricity Management'!$L:$L,B9),0),0)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IF(COUNTIFS($A:$A,A10,$B:$B,B10,$E:$E,"Occupied")=2,"Yes","No")</f>
        <v/>
      </c>
      <c r="G10" s="117">
        <f>DefaultRentPerBed</f>
        <v/>
      </c>
      <c r="H10" s="116">
        <f>IF(E10&lt;&gt;"Occupied",0,COUNTIFS($A:$A,A10,$B:$B,B10,$E:$E,"Occupied"))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Management'!$B:$B,DATE(YEAR(CurrentMonth),MONTH(CurrentMonth),1),'Electricity Management'!$C:$C,B10),0),0)</f>
        <v/>
      </c>
      <c r="K10" s="82">
        <f>IF(E10="Occupied",IFERROR(SUMIFS('Electricity Management'!$T:$T,'Electricity Management'!$K:$K,A10,'Electricity Management'!$B:$B,DATE(YEAR(CurrentMonth),MONTH(CurrentMonth),1),'Electricity Management'!$L:$L,B10),0),0)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IF(COUNTIFS($A:$A,A11,$B:$B,B11,$E:$E,"Occupied")=2,"Yes","No")</f>
        <v/>
      </c>
      <c r="G11" s="117">
        <f>DefaultRentPerBed</f>
        <v/>
      </c>
      <c r="H11" s="116">
        <f>IF(E11&lt;&gt;"Occupied",0,COUNTIFS($A:$A,A11,$B:$B,B11,$E:$E,"Occupied"))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Management'!$B:$B,DATE(YEAR(CurrentMonth),MONTH(CurrentMonth),1),'Electricity Management'!$C:$C,B11),0),0)</f>
        <v/>
      </c>
      <c r="K11" s="82">
        <f>IF(E11="Occupied",IFERROR(SUMIFS('Electricity Management'!$T:$T,'Electricity Management'!$K:$K,A11,'Electricity Management'!$B:$B,DATE(YEAR(CurrentMonth),MONTH(CurrentMonth),1),'Electricity Management'!$L:$L,B11),0),0)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IF(COUNTIFS($A:$A,A12,$B:$B,B12,$E:$E,"Occupied")=2,"Yes","No")</f>
        <v/>
      </c>
      <c r="G12" s="117">
        <f>DefaultRentPerBed</f>
        <v/>
      </c>
      <c r="H12" s="116">
        <f>IF(E12&lt;&gt;"Occupied",0,COUNTIFS($A:$A,A12,$B:$B,B12,$E:$E,"Occupied"))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Management'!$B:$B,DATE(YEAR(CurrentMonth),MONTH(CurrentMonth),1),'Electricity Management'!$C:$C,B12),0),0)</f>
        <v/>
      </c>
      <c r="K12" s="82">
        <f>IF(E12="Occupied",IFERROR(SUMIFS('Electricity Management'!$T:$T,'Electricity Management'!$K:$K,A12,'Electricity Management'!$B:$B,DATE(YEAR(CurrentMonth),MONTH(CurrentMonth),1),'Electricity Management'!$L:$L,B12),0),0)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IF(COUNTIFS($A:$A,A13,$B:$B,B13,$E:$E,"Occupied")=2,"Yes","No")</f>
        <v/>
      </c>
      <c r="G13" s="117">
        <f>DefaultRentPerBed</f>
        <v/>
      </c>
      <c r="H13" s="116">
        <f>IF(E13&lt;&gt;"Occupied",0,COUNTIFS($A:$A,A13,$B:$B,B13,$E:$E,"Occupied"))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Management'!$B:$B,DATE(YEAR(CurrentMonth),MONTH(CurrentMonth),1),'Electricity Management'!$C:$C,B13),0),0)</f>
        <v/>
      </c>
      <c r="K13" s="82">
        <f>IF(E13="Occupied",IFERROR(SUMIFS('Electricity Management'!$T:$T,'Electricity Management'!$K:$K,A13,'Electricity Management'!$B:$B,DATE(YEAR(CurrentMonth),MONTH(CurrentMonth),1),'Electricity Management'!$L:$L,B13),0),0)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IF(COUNTIFS($A:$A,A14,$B:$B,B14,$E:$E,"Occupied")=2,"Yes","No")</f>
        <v/>
      </c>
      <c r="G14" s="117">
        <f>DefaultRentPerBed</f>
        <v/>
      </c>
      <c r="H14" s="116">
        <f>IF(E14&lt;&gt;"Occupied",0,COUNTIFS($A:$A,A14,$B:$B,B14,$E:$E,"Occupied"))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Management'!$B:$B,DATE(YEAR(CurrentMonth),MONTH(CurrentMonth),1),'Electricity Management'!$C:$C,B14),0),0)</f>
        <v/>
      </c>
      <c r="K14" s="82">
        <f>IF(E14="Occupied",IFERROR(SUMIFS('Electricity Management'!$T:$T,'Electricity Management'!$K:$K,A14,'Electricity Management'!$B:$B,DATE(YEAR(CurrentMonth),MONTH(CurrentMonth),1),'Electricity Management'!$L:$L,B14),0),0)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IF(COUNTIFS($A:$A,A15,$B:$B,B15,$E:$E,"Occupied")=2,"Yes","No")</f>
        <v/>
      </c>
      <c r="G15" s="117">
        <f>DefaultRentPerBed</f>
        <v/>
      </c>
      <c r="H15" s="116">
        <f>IF(E15&lt;&gt;"Occupied",0,COUNTIFS($A:$A,A15,$B:$B,B15,$E:$E,"Occupied"))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Management'!$B:$B,DATE(YEAR(CurrentMonth),MONTH(CurrentMonth),1),'Electricity Management'!$C:$C,B15),0),0)</f>
        <v/>
      </c>
      <c r="K15" s="82">
        <f>IF(E15="Occupied",IFERROR(SUMIFS('Electricity Management'!$T:$T,'Electricity Management'!$K:$K,A15,'Electricity Management'!$B:$B,DATE(YEAR(CurrentMonth),MONTH(CurrentMonth),1),'Electricity Management'!$L:$L,B15),0),0)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IF(COUNTIFS($A:$A,A16,$B:$B,B16,$E:$E,"Occupied")=2,"Yes","No")</f>
        <v/>
      </c>
      <c r="G16" s="117">
        <f>DefaultRentPerBed</f>
        <v/>
      </c>
      <c r="H16" s="116">
        <f>IF(E16&lt;&gt;"Occupied",0,COUNTIFS($A:$A,A16,$B:$B,B16,$E:$E,"Occupied"))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Management'!$B:$B,DATE(YEAR(CurrentMonth),MONTH(CurrentMonth),1),'Electricity Management'!$C:$C,B16),0),0)</f>
        <v/>
      </c>
      <c r="K16" s="82">
        <f>IF(E16="Occupied",IFERROR(SUMIFS('Electricity Management'!$T:$T,'Electricity Management'!$K:$K,A16,'Electricity Management'!$B:$B,DATE(YEAR(CurrentMonth),MONTH(CurrentMonth),1),'Electricity Management'!$L:$L,B16),0),0)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IF(COUNTIFS($A:$A,A17,$B:$B,B17,$E:$E,"Occupied")=2,"Yes","No")</f>
        <v/>
      </c>
      <c r="G17" s="117">
        <f>DefaultRentPerBed</f>
        <v/>
      </c>
      <c r="H17" s="116">
        <f>IF(E17&lt;&gt;"Occupied",0,COUNTIFS($A:$A,A17,$B:$B,B17,$E:$E,"Occupied"))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Management'!$B:$B,DATE(YEAR(CurrentMonth),MONTH(CurrentMonth),1),'Electricity Management'!$C:$C,B17),0),0)</f>
        <v/>
      </c>
      <c r="K17" s="82">
        <f>IF(E17="Occupied",IFERROR(SUMIFS('Electricity Management'!$T:$T,'Electricity Management'!$K:$K,A17,'Electricity Management'!$B:$B,DATE(YEAR(CurrentMonth),MONTH(CurrentMonth),1),'Electricity Management'!$L:$L,B17),0),0)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IF(COUNTIFS($A:$A,A18,$B:$B,B18,$E:$E,"Occupied")=2,"Yes","No")</f>
        <v/>
      </c>
      <c r="G18" s="117">
        <f>DefaultRentPerBed</f>
        <v/>
      </c>
      <c r="H18" s="116">
        <f>IF(E18&lt;&gt;"Occupied",0,COUNTIFS($A:$A,A18,$B:$B,B18,$E:$E,"Occupied"))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Management'!$B:$B,DATE(YEAR(CurrentMonth),MONTH(CurrentMonth),1),'Electricity Management'!$C:$C,B18),0),0)</f>
        <v/>
      </c>
      <c r="K18" s="82">
        <f>IF(E18="Occupied",IFERROR(SUMIFS('Electricity Management'!$T:$T,'Electricity Management'!$K:$K,A18,'Electricity Management'!$B:$B,DATE(YEAR(CurrentMonth),MONTH(CurrentMonth),1),'Electricity Management'!$L:$L,B18),0),0)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IF(COUNTIFS($A:$A,A19,$B:$B,B19,$E:$E,"Occupied")=2,"Yes","No")</f>
        <v/>
      </c>
      <c r="G19" s="117">
        <f>DefaultRentPerBed</f>
        <v/>
      </c>
      <c r="H19" s="116">
        <f>IF(E19&lt;&gt;"Occupied",0,COUNTIFS($A:$A,A19,$B:$B,B19,$E:$E,"Occupied"))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Management'!$B:$B,DATE(YEAR(CurrentMonth),MONTH(CurrentMonth),1),'Electricity Management'!$C:$C,B19),0),0)</f>
        <v/>
      </c>
      <c r="K19" s="82">
        <f>IF(E19="Occupied",IFERROR(SUMIFS('Electricity Management'!$T:$T,'Electricity Management'!$K:$K,A19,'Electricity Management'!$B:$B,DATE(YEAR(CurrentMonth),MONTH(CurrentMonth),1),'Electricity Management'!$L:$L,B19),0),0)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IF(COUNTIFS($A:$A,A20,$B:$B,B20,$E:$E,"Occupied")=2,"Yes","No")</f>
        <v/>
      </c>
      <c r="G20" s="117">
        <f>DefaultRentPerBed</f>
        <v/>
      </c>
      <c r="H20" s="116">
        <f>IF(E20&lt;&gt;"Occupied",0,COUNTIFS($A:$A,A20,$B:$B,B20,$E:$E,"Occupied"))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Management'!$B:$B,DATE(YEAR(CurrentMonth),MONTH(CurrentMonth),1),'Electricity Management'!$C:$C,B20),0),0)</f>
        <v/>
      </c>
      <c r="K20" s="82">
        <f>IF(E20="Occupied",IFERROR(SUMIFS('Electricity Management'!$T:$T,'Electricity Management'!$K:$K,A20,'Electricity Management'!$B:$B,DATE(YEAR(CurrentMonth),MONTH(CurrentMonth),1),'Electricity Management'!$L:$L,B20),0),0)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IF(COUNTIFS($A:$A,A21,$B:$B,B21,$E:$E,"Occupied")=2,"Yes","No")</f>
        <v/>
      </c>
      <c r="G21" s="117">
        <f>DefaultRentPerBed</f>
        <v/>
      </c>
      <c r="H21" s="116">
        <f>IF(E21&lt;&gt;"Occupied",0,COUNTIFS($A:$A,A21,$B:$B,B21,$E:$E,"Occupied"))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Management'!$B:$B,DATE(YEAR(CurrentMonth),MONTH(CurrentMonth),1),'Electricity Management'!$C:$C,B21),0),0)</f>
        <v/>
      </c>
      <c r="K21" s="82">
        <f>IF(E21="Occupied",IFERROR(SUMIFS('Electricity Management'!$T:$T,'Electricity Management'!$K:$K,A21,'Electricity Management'!$B:$B,DATE(YEAR(CurrentMonth),MONTH(CurrentMonth),1),'Electricity Management'!$L:$L,B21),0),0)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IF(COUNTIFS($A:$A,A22,$B:$B,B22,$E:$E,"Occupied")=2,"Yes","No")</f>
        <v/>
      </c>
      <c r="G22" s="117">
        <f>DefaultRentPerBed</f>
        <v/>
      </c>
      <c r="H22" s="116">
        <f>IF(E22&lt;&gt;"Occupied",0,COUNTIFS($A:$A,A22,$B:$B,B22,$E:$E,"Occupied"))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Management'!$B:$B,DATE(YEAR(CurrentMonth),MONTH(CurrentMonth),1),'Electricity Management'!$C:$C,B22),0),0)</f>
        <v/>
      </c>
      <c r="K22" s="82">
        <f>IF(E22="Occupied",IFERROR(SUMIFS('Electricity Management'!$T:$T,'Electricity Management'!$K:$K,A22,'Electricity Management'!$B:$B,DATE(YEAR(CurrentMonth),MONTH(CurrentMonth),1),'Electricity Management'!$L:$L,B22),0),0)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IF(COUNTIFS($A:$A,A23,$B:$B,B23,$E:$E,"Occupied")=2,"Yes","No")</f>
        <v/>
      </c>
      <c r="G23" s="117">
        <f>DefaultRentPerBed</f>
        <v/>
      </c>
      <c r="H23" s="116">
        <f>IF(E23&lt;&gt;"Occupied",0,COUNTIFS($A:$A,A23,$B:$B,B23,$E:$E,"Occupied"))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Management'!$B:$B,DATE(YEAR(CurrentMonth),MONTH(CurrentMonth),1),'Electricity Management'!$C:$C,B23),0),0)</f>
        <v/>
      </c>
      <c r="K23" s="82">
        <f>IF(E23="Occupied",IFERROR(SUMIFS('Electricity Management'!$T:$T,'Electricity Management'!$K:$K,A23,'Electricity Management'!$B:$B,DATE(YEAR(CurrentMonth),MONTH(CurrentMonth),1),'Electricity Management'!$L:$L,B23),0),0)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IF(COUNTIFS($A:$A,A24,$B:$B,B24,$E:$E,"Occupied")=2,"Yes","No")</f>
        <v/>
      </c>
      <c r="G24" s="117">
        <f>DefaultRentPerBed</f>
        <v/>
      </c>
      <c r="H24" s="116">
        <f>IF(E24&lt;&gt;"Occupied",0,COUNTIFS($A:$A,A24,$B:$B,B24,$E:$E,"Occupied"))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Management'!$B:$B,DATE(YEAR(CurrentMonth),MONTH(CurrentMonth),1),'Electricity Management'!$C:$C,B24),0),0)</f>
        <v/>
      </c>
      <c r="K24" s="82">
        <f>IF(E24="Occupied",IFERROR(SUMIFS('Electricity Management'!$T:$T,'Electricity Management'!$K:$K,A24,'Electricity Management'!$B:$B,DATE(YEAR(CurrentMonth),MONTH(CurrentMonth),1),'Electricity Management'!$L:$L,B24),0),0)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IF(COUNTIFS($A:$A,A25,$B:$B,B25,$E:$E,"Occupied")=2,"Yes","No")</f>
        <v/>
      </c>
      <c r="G25" s="117">
        <f>DefaultRentPerBed</f>
        <v/>
      </c>
      <c r="H25" s="116">
        <f>IF(E25&lt;&gt;"Occupied",0,COUNTIFS($A:$A,A25,$B:$B,B25,$E:$E,"Occupied"))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Management'!$B:$B,DATE(YEAR(CurrentMonth),MONTH(CurrentMonth),1),'Electricity Management'!$C:$C,B25),0),0)</f>
        <v/>
      </c>
      <c r="K25" s="82">
        <f>IF(E25="Occupied",IFERROR(SUMIFS('Electricity Management'!$T:$T,'Electricity Management'!$K:$K,A25,'Electricity Management'!$B:$B,DATE(YEAR(CurrentMonth),MONTH(CurrentMonth),1),'Electricity Management'!$L:$L,B25),0),0)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IF(COUNTIFS($A:$A,A26,$B:$B,B26,$E:$E,"Occupied")=2,"Yes","No")</f>
        <v/>
      </c>
      <c r="G26" s="117">
        <f>DefaultRentPerBed</f>
        <v/>
      </c>
      <c r="H26" s="116">
        <f>IF(E26&lt;&gt;"Occupied",0,COUNTIFS($A:$A,A26,$B:$B,B26,$E:$E,"Occupied"))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Management'!$B:$B,DATE(YEAR(CurrentMonth),MONTH(CurrentMonth),1),'Electricity Management'!$C:$C,B26),0),0)</f>
        <v/>
      </c>
      <c r="K26" s="82">
        <f>IF(E26="Occupied",IFERROR(SUMIFS('Electricity Management'!$T:$T,'Electricity Management'!$K:$K,A26,'Electricity Management'!$B:$B,DATE(YEAR(CurrentMonth),MONTH(CurrentMonth),1),'Electricity Management'!$L:$L,B26),0),0)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IF(COUNTIFS($A:$A,A27,$B:$B,B27,$E:$E,"Occupied")=2,"Yes","No")</f>
        <v/>
      </c>
      <c r="G27" s="117">
        <f>DefaultRentPerBed</f>
        <v/>
      </c>
      <c r="H27" s="116">
        <f>IF(E27&lt;&gt;"Occupied",0,COUNTIFS($A:$A,A27,$B:$B,B27,$E:$E,"Occupied"))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Management'!$B:$B,DATE(YEAR(CurrentMonth),MONTH(CurrentMonth),1),'Electricity Management'!$C:$C,B27),0),0)</f>
        <v/>
      </c>
      <c r="K27" s="82">
        <f>IF(E27="Occupied",IFERROR(SUMIFS('Electricity Management'!$T:$T,'Electricity Management'!$K:$K,A27,'Electricity Management'!$B:$B,DATE(YEAR(CurrentMonth),MONTH(CurrentMonth),1),'Electricity Management'!$L:$L,B27),0),0)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IF(COUNTIFS($A:$A,A28,$B:$B,B28,$E:$E,"Occupied")=2,"Yes","No")</f>
        <v/>
      </c>
      <c r="G28" s="117">
        <f>DefaultRentPerBed</f>
        <v/>
      </c>
      <c r="H28" s="116">
        <f>IF(E28&lt;&gt;"Occupied",0,COUNTIFS($A:$A,A28,$B:$B,B28,$E:$E,"Occupied"))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Management'!$B:$B,DATE(YEAR(CurrentMonth),MONTH(CurrentMonth),1),'Electricity Management'!$C:$C,B28),0),0)</f>
        <v/>
      </c>
      <c r="K28" s="82">
        <f>IF(E28="Occupied",IFERROR(SUMIFS('Electricity Management'!$T:$T,'Electricity Management'!$K:$K,A28,'Electricity Management'!$B:$B,DATE(YEAR(CurrentMonth),MONTH(CurrentMonth),1),'Electricity Management'!$L:$L,B28),0),0)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IF(COUNTIFS($A:$A,A29,$B:$B,B29,$E:$E,"Occupied")=2,"Yes","No")</f>
        <v/>
      </c>
      <c r="G29" s="117">
        <f>DefaultRentPerBed</f>
        <v/>
      </c>
      <c r="H29" s="116">
        <f>IF(E29&lt;&gt;"Occupied",0,COUNTIFS($A:$A,A29,$B:$B,B29,$E:$E,"Occupied"))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Management'!$B:$B,DATE(YEAR(CurrentMonth),MONTH(CurrentMonth),1),'Electricity Management'!$C:$C,B29),0),0)</f>
        <v/>
      </c>
      <c r="K29" s="82">
        <f>IF(E29="Occupied",IFERROR(SUMIFS('Electricity Management'!$T:$T,'Electricity Management'!$K:$K,A29,'Electricity Management'!$B:$B,DATE(YEAR(CurrentMonth),MONTH(CurrentMonth),1),'Electricity Management'!$L:$L,B29),0),0)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IF(COUNTIFS($A:$A,A30,$B:$B,B30,$E:$E,"Occupied")=2,"Yes","No")</f>
        <v/>
      </c>
      <c r="G30" s="117">
        <f>DefaultRentPerBed</f>
        <v/>
      </c>
      <c r="H30" s="116">
        <f>IF(E30&lt;&gt;"Occupied",0,COUNTIFS($A:$A,A30,$B:$B,B30,$E:$E,"Occupied"))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Management'!$B:$B,DATE(YEAR(CurrentMonth),MONTH(CurrentMonth),1),'Electricity Management'!$C:$C,B30),0),0)</f>
        <v/>
      </c>
      <c r="K30" s="82">
        <f>IF(E30="Occupied",IFERROR(SUMIFS('Electricity Management'!$T:$T,'Electricity Management'!$K:$K,A30,'Electricity Management'!$B:$B,DATE(YEAR(CurrentMonth),MONTH(CurrentMonth),1),'Electricity Management'!$L:$L,B30),0),0)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IF(COUNTIFS($A:$A,A31,$B:$B,B31,$E:$E,"Occupied")=2,"Yes","No")</f>
        <v/>
      </c>
      <c r="G31" s="117">
        <f>DefaultRentPerBed</f>
        <v/>
      </c>
      <c r="H31" s="116">
        <f>IF(E31&lt;&gt;"Occupied",0,COUNTIFS($A:$A,A31,$B:$B,B31,$E:$E,"Occupied"))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Management'!$B:$B,DATE(YEAR(CurrentMonth),MONTH(CurrentMonth),1),'Electricity Management'!$C:$C,B31),0),0)</f>
        <v/>
      </c>
      <c r="K31" s="82">
        <f>IF(E31="Occupied",IFERROR(SUMIFS('Electricity Management'!$T:$T,'Electricity Management'!$K:$K,A31,'Electricity Management'!$B:$B,DATE(YEAR(CurrentMonth),MONTH(CurrentMonth),1),'Electricity Management'!$L:$L,B31),0),0)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IF(COUNTIFS($A:$A,A32,$B:$B,B32,$E:$E,"Occupied")=2,"Yes","No")</f>
        <v/>
      </c>
      <c r="G32" s="117">
        <f>DefaultRentPerBed</f>
        <v/>
      </c>
      <c r="H32" s="116">
        <f>IF(E32&lt;&gt;"Occupied",0,COUNTIFS($A:$A,A32,$B:$B,B32,$E:$E,"Occupied"))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Management'!$B:$B,DATE(YEAR(CurrentMonth),MONTH(CurrentMonth),1),'Electricity Management'!$C:$C,B32),0),0)</f>
        <v/>
      </c>
      <c r="K32" s="82">
        <f>IF(E32="Occupied",IFERROR(SUMIFS('Electricity Management'!$T:$T,'Electricity Management'!$K:$K,A32,'Electricity Management'!$B:$B,DATE(YEAR(CurrentMonth),MONTH(CurrentMonth),1),'Electricity Management'!$L:$L,B32),0),0)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IF(COUNTIFS($A:$A,A33,$B:$B,B33,$E:$E,"Occupied")=2,"Yes","No")</f>
        <v/>
      </c>
      <c r="G33" s="117">
        <f>DefaultRentPerBed</f>
        <v/>
      </c>
      <c r="H33" s="116">
        <f>IF(E33&lt;&gt;"Occupied",0,COUNTIFS($A:$A,A33,$B:$B,B33,$E:$E,"Occupied"))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Management'!$B:$B,DATE(YEAR(CurrentMonth),MONTH(CurrentMonth),1),'Electricity Management'!$C:$C,B33),0),0)</f>
        <v/>
      </c>
      <c r="K33" s="82">
        <f>IF(E33="Occupied",IFERROR(SUMIFS('Electricity Management'!$T:$T,'Electricity Management'!$K:$K,A33,'Electricity Management'!$B:$B,DATE(YEAR(CurrentMonth),MONTH(CurrentMonth),1),'Electricity Management'!$L:$L,B33),0),0)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IF(COUNTIFS($A:$A,A34,$B:$B,B34,$E:$E,"Occupied")=2,"Yes","No")</f>
        <v/>
      </c>
      <c r="G34" s="117">
        <f>DefaultRentPerBed</f>
        <v/>
      </c>
      <c r="H34" s="116">
        <f>IF(E34&lt;&gt;"Occupied",0,COUNTIFS($A:$A,A34,$B:$B,B34,$E:$E,"Occupied"))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Management'!$B:$B,DATE(YEAR(CurrentMonth),MONTH(CurrentMonth),1),'Electricity Management'!$C:$C,B34),0),0)</f>
        <v/>
      </c>
      <c r="K34" s="82">
        <f>IF(E34="Occupied",IFERROR(SUMIFS('Electricity Management'!$T:$T,'Electricity Management'!$K:$K,A34,'Electricity Management'!$B:$B,DATE(YEAR(CurrentMonth),MONTH(CurrentMonth),1),'Electricity Management'!$L:$L,B34),0),0)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IF(COUNTIFS($A:$A,A35,$B:$B,B35,$E:$E,"Occupied")=2,"Yes","No")</f>
        <v/>
      </c>
      <c r="G35" s="117">
        <f>DefaultRentPerBed</f>
        <v/>
      </c>
      <c r="H35" s="116">
        <f>IF(E35&lt;&gt;"Occupied",0,COUNTIFS($A:$A,A35,$B:$B,B35,$E:$E,"Occupied"))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Management'!$B:$B,DATE(YEAR(CurrentMonth),MONTH(CurrentMonth),1),'Electricity Management'!$C:$C,B35),0),0)</f>
        <v/>
      </c>
      <c r="K35" s="82">
        <f>IF(E35="Occupied",IFERROR(SUMIFS('Electricity Management'!$T:$T,'Electricity Management'!$K:$K,A35,'Electricity Management'!$B:$B,DATE(YEAR(CurrentMonth),MONTH(CurrentMonth),1),'Electricity Management'!$L:$L,B35),0),0)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IF(COUNTIFS($A:$A,A36,$B:$B,B36,$E:$E,"Occupied")=2,"Yes","No")</f>
        <v/>
      </c>
      <c r="G36" s="117">
        <f>DefaultRentPerBed</f>
        <v/>
      </c>
      <c r="H36" s="116">
        <f>IF(E36&lt;&gt;"Occupied",0,COUNTIFS($A:$A,A36,$B:$B,B36,$E:$E,"Occupied"))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Management'!$B:$B,DATE(YEAR(CurrentMonth),MONTH(CurrentMonth),1),'Electricity Management'!$C:$C,B36),0),0)</f>
        <v/>
      </c>
      <c r="K36" s="82">
        <f>IF(E36="Occupied",IFERROR(SUMIFS('Electricity Management'!$T:$T,'Electricity Management'!$K:$K,A36,'Electricity Management'!$B:$B,DATE(YEAR(CurrentMonth),MONTH(CurrentMonth),1),'Electricity Management'!$L:$L,B36),0),0)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IF(COUNTIFS($A:$A,A37,$B:$B,B37,$E:$E,"Occupied")=2,"Yes","No")</f>
        <v/>
      </c>
      <c r="G37" s="117">
        <f>DefaultRentPerBed</f>
        <v/>
      </c>
      <c r="H37" s="116">
        <f>IF(E37&lt;&gt;"Occupied",0,COUNTIFS($A:$A,A37,$B:$B,B37,$E:$E,"Occupied"))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Management'!$B:$B,DATE(YEAR(CurrentMonth),MONTH(CurrentMonth),1),'Electricity Management'!$C:$C,B37),0),0)</f>
        <v/>
      </c>
      <c r="K37" s="82">
        <f>IF(E37="Occupied",IFERROR(SUMIFS('Electricity Management'!$T:$T,'Electricity Management'!$K:$K,A37,'Electricity Management'!$B:$B,DATE(YEAR(CurrentMonth),MONTH(CurrentMonth),1),'Electricity Management'!$L:$L,B37),0),0)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IF(COUNTIFS($A:$A,A38,$B:$B,B38,$E:$E,"Occupied")=2,"Yes","No")</f>
        <v/>
      </c>
      <c r="G38" s="117">
        <f>DefaultRentPerBed</f>
        <v/>
      </c>
      <c r="H38" s="116">
        <f>IF(E38&lt;&gt;"Occupied",0,COUNTIFS($A:$A,A38,$B:$B,B38,$E:$E,"Occupied"))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Management'!$B:$B,DATE(YEAR(CurrentMonth),MONTH(CurrentMonth),1),'Electricity Management'!$C:$C,B38),0),0)</f>
        <v/>
      </c>
      <c r="K38" s="82">
        <f>IF(E38="Occupied",IFERROR(SUMIFS('Electricity Management'!$T:$T,'Electricity Management'!$K:$K,A38,'Electricity Management'!$B:$B,DATE(YEAR(CurrentMonth),MONTH(CurrentMonth),1),'Electricity Management'!$L:$L,B38),0),0)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IF(COUNTIFS($A:$A,A39,$B:$B,B39,$E:$E,"Occupied")=2,"Yes","No")</f>
        <v/>
      </c>
      <c r="G39" s="117">
        <f>DefaultRentPerBed</f>
        <v/>
      </c>
      <c r="H39" s="116">
        <f>IF(E39&lt;&gt;"Occupied",0,COUNTIFS($A:$A,A39,$B:$B,B39,$E:$E,"Occupied"))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Management'!$B:$B,DATE(YEAR(CurrentMonth),MONTH(CurrentMonth),1),'Electricity Management'!$C:$C,B39),0),0)</f>
        <v/>
      </c>
      <c r="K39" s="82">
        <f>IF(E39="Occupied",IFERROR(SUMIFS('Electricity Management'!$T:$T,'Electricity Management'!$K:$K,A39,'Electricity Management'!$B:$B,DATE(YEAR(CurrentMonth),MONTH(CurrentMonth),1),'Electricity Management'!$L:$L,B39),0),0)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IF(COUNTIFS($A:$A,A40,$B:$B,B40,$E:$E,"Occupied")=2,"Yes","No")</f>
        <v/>
      </c>
      <c r="G40" s="117">
        <f>DefaultRentPerBed</f>
        <v/>
      </c>
      <c r="H40" s="116">
        <f>IF(E40&lt;&gt;"Occupied",0,COUNTIFS($A:$A,A40,$B:$B,B40,$E:$E,"Occupied"))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Management'!$B:$B,DATE(YEAR(CurrentMonth),MONTH(CurrentMonth),1),'Electricity Management'!$C:$C,B40),0),0)</f>
        <v/>
      </c>
      <c r="K40" s="82">
        <f>IF(E40="Occupied",IFERROR(SUMIFS('Electricity Management'!$T:$T,'Electricity Management'!$K:$K,A40,'Electricity Management'!$B:$B,DATE(YEAR(CurrentMonth),MONTH(CurrentMonth),1),'Electricity Management'!$L:$L,B40),0),0)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>
        <f>IF(COUNTIFS($A:$A,A41,$B:$B,B41,$E:$E,"Occupied")=2,"Yes","No")</f>
        <v/>
      </c>
      <c r="G41" s="117" t="n"/>
      <c r="H41" s="116">
        <f>IF(E41&lt;&gt;"Occupied",0,COUNTIFS($A:$A,A41,$B:$B,B41,$E:$E,"Occupied"))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Management'!$B:$B,DATE(YEAR(CurrentMonth),MONTH(CurrentMonth),1),'Electricity Management'!$C:$C,B41),0),0)</f>
        <v/>
      </c>
      <c r="K41" s="82">
        <f>IF(E41="Occupied",IFERROR(SUMIFS('Electricity Management'!$T:$T,'Electricity Management'!$K:$K,A41,'Electricity Management'!$B:$B,DATE(YEAR(CurrentMonth),MONTH(CurrentMonth),1),'Electricity Management'!$L:$L,B41),0),0)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>
        <f>IF(COUNTIFS($A:$A,A42,$B:$B,B42,$E:$E,"Occupied")=2,"Yes","No")</f>
        <v/>
      </c>
      <c r="G42" s="117" t="n"/>
      <c r="H42" s="116">
        <f>IF(E42&lt;&gt;"Occupied",0,COUNTIFS($A:$A,A42,$B:$B,B42,$E:$E,"Occupied"))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Management'!$B:$B,DATE(YEAR(CurrentMonth),MONTH(CurrentMonth),1),'Electricity Management'!$C:$C,B42),0),0)</f>
        <v/>
      </c>
      <c r="K42" s="82">
        <f>IF(E42="Occupied",IFERROR(SUMIFS('Electricity Management'!$T:$T,'Electricity Management'!$K:$K,A42,'Electricity Management'!$B:$B,DATE(YEAR(CurrentMonth),MONTH(CurrentMonth),1),'Electricity Management'!$L:$L,B42),0),0)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>
        <f>IF(COUNTIFS($A:$A,A43,$B:$B,B43,$E:$E,"Occupied")=2,"Yes","No")</f>
        <v/>
      </c>
      <c r="G43" s="117" t="n"/>
      <c r="H43" s="116">
        <f>IF(E43&lt;&gt;"Occupied",0,COUNTIFS($A:$A,A43,$B:$B,B43,$E:$E,"Occupied"))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Management'!$B:$B,DATE(YEAR(CurrentMonth),MONTH(CurrentMonth),1),'Electricity Management'!$C:$C,B43),0),0)</f>
        <v/>
      </c>
      <c r="K43" s="82">
        <f>IF(E43="Occupied",IFERROR(SUMIFS('Electricity Management'!$T:$T,'Electricity Management'!$K:$K,A43,'Electricity Management'!$B:$B,DATE(YEAR(CurrentMonth),MONTH(CurrentMonth),1),'Electricity Management'!$L:$L,B43),0),0)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>
        <f>IF(COUNTIFS($A:$A,A44,$B:$B,B44,$E:$E,"Occupied")=2,"Yes","No")</f>
        <v/>
      </c>
      <c r="G44" s="117" t="n"/>
      <c r="H44" s="116">
        <f>IF(E44&lt;&gt;"Occupied",0,COUNTIFS($A:$A,A44,$B:$B,B44,$E:$E,"Occupied"))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Management'!$B:$B,DATE(YEAR(CurrentMonth),MONTH(CurrentMonth),1),'Electricity Management'!$C:$C,B44),0),0)</f>
        <v/>
      </c>
      <c r="K44" s="82">
        <f>IF(E44="Occupied",IFERROR(SUMIFS('Electricity Management'!$T:$T,'Electricity Management'!$K:$K,A44,'Electricity Management'!$B:$B,DATE(YEAR(CurrentMonth),MONTH(CurrentMonth),1),'Electricity Management'!$L:$L,B44),0),0)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>
        <f>IF(COUNTIFS($A:$A,A45,$B:$B,B45,$E:$E,"Occupied")=2,"Yes","No")</f>
        <v/>
      </c>
      <c r="G45" s="117" t="n"/>
      <c r="H45" s="116">
        <f>IF(E45&lt;&gt;"Occupied",0,COUNTIFS($A:$A,A45,$B:$B,B45,$E:$E,"Occupied"))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Management'!$B:$B,DATE(YEAR(CurrentMonth),MONTH(CurrentMonth),1),'Electricity Management'!$C:$C,B45),0),0)</f>
        <v/>
      </c>
      <c r="K45" s="82">
        <f>IF(E45="Occupied",IFERROR(SUMIFS('Electricity Management'!$T:$T,'Electricity Management'!$K:$K,A45,'Electricity Management'!$B:$B,DATE(YEAR(CurrentMonth),MONTH(CurrentMonth),1),'Electricity Management'!$L:$L,B45),0),0)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>
        <f>IF(COUNTIFS($A:$A,A46,$B:$B,B46,$E:$E,"Occupied")=2,"Yes","No")</f>
        <v/>
      </c>
      <c r="G46" s="117" t="n"/>
      <c r="H46" s="116">
        <f>IF(E46&lt;&gt;"Occupied",0,COUNTIFS($A:$A,A46,$B:$B,B46,$E:$E,"Occupied"))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Management'!$B:$B,DATE(YEAR(CurrentMonth),MONTH(CurrentMonth),1),'Electricity Management'!$C:$C,B46),0),0)</f>
        <v/>
      </c>
      <c r="K46" s="82">
        <f>IF(E46="Occupied",IFERROR(SUMIFS('Electricity Management'!$T:$T,'Electricity Management'!$K:$K,A46,'Electricity Management'!$B:$B,DATE(YEAR(CurrentMonth),MONTH(CurrentMonth),1),'Electricity Management'!$L:$L,B46),0),0)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>
        <f>IF(COUNTIFS($A:$A,A47,$B:$B,B47,$E:$E,"Occupied")=2,"Yes","No")</f>
        <v/>
      </c>
      <c r="G47" s="117" t="n"/>
      <c r="H47" s="116">
        <f>IF(E47&lt;&gt;"Occupied",0,COUNTIFS($A:$A,A47,$B:$B,B47,$E:$E,"Occupied"))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Management'!$B:$B,DATE(YEAR(CurrentMonth),MONTH(CurrentMonth),1),'Electricity Management'!$C:$C,B47),0),0)</f>
        <v/>
      </c>
      <c r="K47" s="82">
        <f>IF(E47="Occupied",IFERROR(SUMIFS('Electricity Management'!$T:$T,'Electricity Management'!$K:$K,A47,'Electricity Management'!$B:$B,DATE(YEAR(CurrentMonth),MONTH(CurrentMonth),1),'Electricity Management'!$L:$L,B47),0),0)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>
        <f>IF(COUNTIFS($A:$A,A48,$B:$B,B48,$E:$E,"Occupied")=2,"Yes","No")</f>
        <v/>
      </c>
      <c r="G48" s="117" t="n"/>
      <c r="H48" s="116">
        <f>IF(E48&lt;&gt;"Occupied",0,COUNTIFS($A:$A,A48,$B:$B,B48,$E:$E,"Occupied"))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Management'!$B:$B,DATE(YEAR(CurrentMonth),MONTH(CurrentMonth),1),'Electricity Management'!$C:$C,B48),0),0)</f>
        <v/>
      </c>
      <c r="K48" s="82">
        <f>IF(E48="Occupied",IFERROR(SUMIFS('Electricity Management'!$T:$T,'Electricity Management'!$K:$K,A48,'Electricity Management'!$B:$B,DATE(YEAR(CurrentMonth),MONTH(CurrentMonth),1),'Electricity Management'!$L:$L,B48),0),0)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>
        <f>IF(COUNTIFS($A:$A,A49,$B:$B,B49,$E:$E,"Occupied")=2,"Yes","No")</f>
        <v/>
      </c>
      <c r="G49" s="117" t="n"/>
      <c r="H49" s="116">
        <f>IF(E49&lt;&gt;"Occupied",0,COUNTIFS($A:$A,A49,$B:$B,B49,$E:$E,"Occupied"))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Management'!$B:$B,DATE(YEAR(CurrentMonth),MONTH(CurrentMonth),1),'Electricity Management'!$C:$C,B49),0),0)</f>
        <v/>
      </c>
      <c r="K49" s="82">
        <f>IF(E49="Occupied",IFERROR(SUMIFS('Electricity Management'!$T:$T,'Electricity Management'!$K:$K,A49,'Electricity Management'!$B:$B,DATE(YEAR(CurrentMonth),MONTH(CurrentMonth),1),'Electricity Management'!$L:$L,B49),0),0)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>
        <f>IF(COUNTIFS($A:$A,A50,$B:$B,B50,$E:$E,"Occupied")=2,"Yes","No")</f>
        <v/>
      </c>
      <c r="G50" s="117" t="n"/>
      <c r="H50" s="116">
        <f>IF(E50&lt;&gt;"Occupied",0,COUNTIFS($A:$A,A50,$B:$B,B50,$E:$E,"Occupied"))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Management'!$B:$B,DATE(YEAR(CurrentMonth),MONTH(CurrentMonth),1),'Electricity Management'!$C:$C,B50),0),0)</f>
        <v/>
      </c>
      <c r="K50" s="82">
        <f>IF(E50="Occupied",IFERROR(SUMIFS('Electricity Management'!$T:$T,'Electricity Management'!$K:$K,A50,'Electricity Management'!$B:$B,DATE(YEAR(CurrentMonth),MONTH(CurrentMonth),1),'Electricity Management'!$L:$L,B50),0),0)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>
        <f>IF(COUNTIFS($A:$A,A51,$B:$B,B51,$E:$E,"Occupied")=2,"Yes","No")</f>
        <v/>
      </c>
      <c r="G51" s="117" t="n"/>
      <c r="H51" s="116">
        <f>IF(E51&lt;&gt;"Occupied",0,COUNTIFS($A:$A,A51,$B:$B,B51,$E:$E,"Occupied"))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Management'!$B:$B,DATE(YEAR(CurrentMonth),MONTH(CurrentMonth),1),'Electricity Management'!$C:$C,B51),0),0)</f>
        <v/>
      </c>
      <c r="K51" s="82">
        <f>IF(E51="Occupied",IFERROR(SUMIFS('Electricity Management'!$T:$T,'Electricity Management'!$K:$K,A51,'Electricity Management'!$B:$B,DATE(YEAR(CurrentMonth),MONTH(CurrentMonth),1),'Electricity Management'!$L:$L,B51),0),0)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>
        <f>IF(COUNTIFS($A:$A,A52,$B:$B,B52,$E:$E,"Occupied")=2,"Yes","No")</f>
        <v/>
      </c>
      <c r="G52" s="117" t="n"/>
      <c r="H52" s="116">
        <f>IF(E52&lt;&gt;"Occupied",0,COUNTIFS($A:$A,A52,$B:$B,B52,$E:$E,"Occupied"))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Management'!$B:$B,DATE(YEAR(CurrentMonth),MONTH(CurrentMonth),1),'Electricity Management'!$C:$C,B52),0),0)</f>
        <v/>
      </c>
      <c r="K52" s="82">
        <f>IF(E52="Occupied",IFERROR(SUMIFS('Electricity Management'!$T:$T,'Electricity Management'!$K:$K,A52,'Electricity Management'!$B:$B,DATE(YEAR(CurrentMonth),MONTH(CurrentMonth),1),'Electricity Management'!$L:$L,B52),0),0)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>
        <f>IF(COUNTIFS($A:$A,A53,$B:$B,B53,$E:$E,"Occupied")=2,"Yes","No")</f>
        <v/>
      </c>
      <c r="G53" s="117" t="n"/>
      <c r="H53" s="116">
        <f>IF(E53&lt;&gt;"Occupied",0,COUNTIFS($A:$A,A53,$B:$B,B53,$E:$E,"Occupied"))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Management'!$B:$B,DATE(YEAR(CurrentMonth),MONTH(CurrentMonth),1),'Electricity Management'!$C:$C,B53),0),0)</f>
        <v/>
      </c>
      <c r="K53" s="82">
        <f>IF(E53="Occupied",IFERROR(SUMIFS('Electricity Management'!$T:$T,'Electricity Management'!$K:$K,A53,'Electricity Management'!$B:$B,DATE(YEAR(CurrentMonth),MONTH(CurrentMonth),1),'Electricity Management'!$L:$L,B53),0),0)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>
        <f>IF(COUNTIFS($A:$A,A54,$B:$B,B54,$E:$E,"Occupied")=2,"Yes","No")</f>
        <v/>
      </c>
      <c r="G54" s="117" t="n"/>
      <c r="H54" s="116">
        <f>IF(E54&lt;&gt;"Occupied",0,COUNTIFS($A:$A,A54,$B:$B,B54,$E:$E,"Occupied"))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Management'!$B:$B,DATE(YEAR(CurrentMonth),MONTH(CurrentMonth),1),'Electricity Management'!$C:$C,B54),0),0)</f>
        <v/>
      </c>
      <c r="K54" s="82">
        <f>IF(E54="Occupied",IFERROR(SUMIFS('Electricity Management'!$T:$T,'Electricity Management'!$K:$K,A54,'Electricity Management'!$B:$B,DATE(YEAR(CurrentMonth),MONTH(CurrentMonth),1),'Electricity Management'!$L:$L,B54),0),0)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>
        <f>IF(COUNTIFS($A:$A,A55,$B:$B,B55,$E:$E,"Occupied")=2,"Yes","No")</f>
        <v/>
      </c>
      <c r="G55" s="117" t="n"/>
      <c r="H55" s="116">
        <f>IF(E55&lt;&gt;"Occupied",0,COUNTIFS($A:$A,A55,$B:$B,B55,$E:$E,"Occupied"))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Management'!$B:$B,DATE(YEAR(CurrentMonth),MONTH(CurrentMonth),1),'Electricity Management'!$C:$C,B55),0),0)</f>
        <v/>
      </c>
      <c r="K55" s="82">
        <f>IF(E55="Occupied",IFERROR(SUMIFS('Electricity Management'!$T:$T,'Electricity Management'!$K:$K,A55,'Electricity Management'!$B:$B,DATE(YEAR(CurrentMonth),MONTH(CurrentMonth),1),'Electricity Management'!$L:$L,B55),0),0)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>
        <f>IF(COUNTIFS($A:$A,A56,$B:$B,B56,$E:$E,"Occupied")=2,"Yes","No")</f>
        <v/>
      </c>
      <c r="G56" s="117" t="n"/>
      <c r="H56" s="116">
        <f>IF(E56&lt;&gt;"Occupied",0,COUNTIFS($A:$A,A56,$B:$B,B56,$E:$E,"Occupied"))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Management'!$B:$B,DATE(YEAR(CurrentMonth),MONTH(CurrentMonth),1),'Electricity Management'!$C:$C,B56),0),0)</f>
        <v/>
      </c>
      <c r="K56" s="82">
        <f>IF(E56="Occupied",IFERROR(SUMIFS('Electricity Management'!$T:$T,'Electricity Management'!$K:$K,A56,'Electricity Management'!$B:$B,DATE(YEAR(CurrentMonth),MONTH(CurrentMonth),1),'Electricity Management'!$L:$L,B56),0),0)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>
        <f>IF(COUNTIFS($A:$A,A57,$B:$B,B57,$E:$E,"Occupied")=2,"Yes","No")</f>
        <v/>
      </c>
      <c r="G57" s="117" t="n"/>
      <c r="H57" s="116">
        <f>IF(E57&lt;&gt;"Occupied",0,COUNTIFS($A:$A,A57,$B:$B,B57,$E:$E,"Occupied"))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Management'!$B:$B,DATE(YEAR(CurrentMonth),MONTH(CurrentMonth),1),'Electricity Management'!$C:$C,B57),0),0)</f>
        <v/>
      </c>
      <c r="K57" s="82">
        <f>IF(E57="Occupied",IFERROR(SUMIFS('Electricity Management'!$T:$T,'Electricity Management'!$K:$K,A57,'Electricity Management'!$B:$B,DATE(YEAR(CurrentMonth),MONTH(CurrentMonth),1),'Electricity Management'!$L:$L,B57),0),0)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>
        <f>IF(COUNTIFS($A:$A,A58,$B:$B,B58,$E:$E,"Occupied")=2,"Yes","No")</f>
        <v/>
      </c>
      <c r="G58" s="117" t="n"/>
      <c r="H58" s="116">
        <f>IF(E58&lt;&gt;"Occupied",0,COUNTIFS($A:$A,A58,$B:$B,B58,$E:$E,"Occupied"))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Management'!$B:$B,DATE(YEAR(CurrentMonth),MONTH(CurrentMonth),1),'Electricity Management'!$C:$C,B58),0),0)</f>
        <v/>
      </c>
      <c r="K58" s="82">
        <f>IF(E58="Occupied",IFERROR(SUMIFS('Electricity Management'!$T:$T,'Electricity Management'!$K:$K,A58,'Electricity Management'!$B:$B,DATE(YEAR(CurrentMonth),MONTH(CurrentMonth),1),'Electricity Management'!$L:$L,B58),0),0)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>
        <f>IF(COUNTIFS($A:$A,A59,$B:$B,B59,$E:$E,"Occupied")=2,"Yes","No")</f>
        <v/>
      </c>
      <c r="G59" s="117" t="n"/>
      <c r="H59" s="116">
        <f>IF(E59&lt;&gt;"Occupied",0,COUNTIFS($A:$A,A59,$B:$B,B59,$E:$E,"Occupied"))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Management'!$B:$B,DATE(YEAR(CurrentMonth),MONTH(CurrentMonth),1),'Electricity Management'!$C:$C,B59),0),0)</f>
        <v/>
      </c>
      <c r="K59" s="82">
        <f>IF(E59="Occupied",IFERROR(SUMIFS('Electricity Management'!$T:$T,'Electricity Management'!$K:$K,A59,'Electricity Management'!$B:$B,DATE(YEAR(CurrentMonth),MONTH(CurrentMonth),1),'Electricity Management'!$L:$L,B59),0),0)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>
        <f>IF(COUNTIFS($A:$A,A60,$B:$B,B60,$E:$E,"Occupied")=2,"Yes","No")</f>
        <v/>
      </c>
      <c r="G60" s="117" t="n"/>
      <c r="H60" s="116">
        <f>IF(E60&lt;&gt;"Occupied",0,COUNTIFS($A:$A,A60,$B:$B,B60,$E:$E,"Occupied"))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Management'!$B:$B,DATE(YEAR(CurrentMonth),MONTH(CurrentMonth),1),'Electricity Management'!$C:$C,B60),0),0)</f>
        <v/>
      </c>
      <c r="K60" s="82">
        <f>IF(E60="Occupied",IFERROR(SUMIFS('Electricity Management'!$T:$T,'Electricity Management'!$K:$K,A60,'Electricity Management'!$B:$B,DATE(YEAR(CurrentMonth),MONTH(CurrentMonth),1),'Electricity Management'!$L:$L,B60),0),0)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>
        <f>IF(COUNTIFS($A:$A,A61,$B:$B,B61,$E:$E,"Occupied")=2,"Yes","No")</f>
        <v/>
      </c>
      <c r="G61" s="117" t="n"/>
      <c r="H61" s="116">
        <f>IF(E61&lt;&gt;"Occupied",0,COUNTIFS($A:$A,A61,$B:$B,B61,$E:$E,"Occupied"))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Management'!$B:$B,DATE(YEAR(CurrentMonth),MONTH(CurrentMonth),1),'Electricity Management'!$C:$C,B61),0),0)</f>
        <v/>
      </c>
      <c r="K61" s="82">
        <f>IF(E61="Occupied",IFERROR(SUMIFS('Electricity Management'!$T:$T,'Electricity Management'!$K:$K,A61,'Electricity Management'!$B:$B,DATE(YEAR(CurrentMonth),MONTH(CurrentMonth),1),'Electricity Management'!$L:$L,B61),0),0)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>
        <f>IF(COUNTIFS($A:$A,A62,$B:$B,B62,$E:$E,"Occupied")=2,"Yes","No")</f>
        <v/>
      </c>
      <c r="G62" s="117" t="n"/>
      <c r="H62" s="116">
        <f>IF(E62&lt;&gt;"Occupied",0,COUNTIFS($A:$A,A62,$B:$B,B62,$E:$E,"Occupied"))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Management'!$B:$B,DATE(YEAR(CurrentMonth),MONTH(CurrentMonth),1),'Electricity Management'!$C:$C,B62),0),0)</f>
        <v/>
      </c>
      <c r="K62" s="82">
        <f>IF(E62="Occupied",IFERROR(SUMIFS('Electricity Management'!$T:$T,'Electricity Management'!$K:$K,A62,'Electricity Management'!$B:$B,DATE(YEAR(CurrentMonth),MONTH(CurrentMonth),1),'Electricity Management'!$L:$L,B62),0),0)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>
        <f>IF(COUNTIFS($A:$A,A63,$B:$B,B63,$E:$E,"Occupied")=2,"Yes","No")</f>
        <v/>
      </c>
      <c r="G63" s="117" t="n"/>
      <c r="H63" s="116">
        <f>IF(E63&lt;&gt;"Occupied",0,COUNTIFS($A:$A,A63,$B:$B,B63,$E:$E,"Occupied"))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Management'!$B:$B,DATE(YEAR(CurrentMonth),MONTH(CurrentMonth),1),'Electricity Management'!$C:$C,B63),0),0)</f>
        <v/>
      </c>
      <c r="K63" s="82">
        <f>IF(E63="Occupied",IFERROR(SUMIFS('Electricity Management'!$T:$T,'Electricity Management'!$K:$K,A63,'Electricity Management'!$B:$B,DATE(YEAR(CurrentMonth),MONTH(CurrentMonth),1),'Electricity Management'!$L:$L,B63),0),0)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>
        <f>IF(COUNTIFS($A:$A,A64,$B:$B,B64,$E:$E,"Occupied")=2,"Yes","No")</f>
        <v/>
      </c>
      <c r="G64" s="117" t="n"/>
      <c r="H64" s="116">
        <f>IF(E64&lt;&gt;"Occupied",0,COUNTIFS($A:$A,A64,$B:$B,B64,$E:$E,"Occupied"))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Management'!$B:$B,DATE(YEAR(CurrentMonth),MONTH(CurrentMonth),1),'Electricity Management'!$C:$C,B64),0),0)</f>
        <v/>
      </c>
      <c r="K64" s="82">
        <f>IF(E64="Occupied",IFERROR(SUMIFS('Electricity Management'!$T:$T,'Electricity Management'!$K:$K,A64,'Electricity Management'!$B:$B,DATE(YEAR(CurrentMonth),MONTH(CurrentMonth),1),'Electricity Management'!$L:$L,B64),0),0)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>
        <f>IF(COUNTIFS($A:$A,A65,$B:$B,B65,$E:$E,"Occupied")=2,"Yes","No")</f>
        <v/>
      </c>
      <c r="G65" s="117" t="n"/>
      <c r="H65" s="116">
        <f>IF(E65&lt;&gt;"Occupied",0,COUNTIFS($A:$A,A65,$B:$B,B65,$E:$E,"Occupied"))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Management'!$B:$B,DATE(YEAR(CurrentMonth),MONTH(CurrentMonth),1),'Electricity Management'!$C:$C,B65),0),0)</f>
        <v/>
      </c>
      <c r="K65" s="82">
        <f>IF(E65="Occupied",IFERROR(SUMIFS('Electricity Management'!$T:$T,'Electricity Management'!$K:$K,A65,'Electricity Management'!$B:$B,DATE(YEAR(CurrentMonth),MONTH(CurrentMonth),1),'Electricity Management'!$L:$L,B65),0),0)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>
        <f>IF(COUNTIFS($A:$A,A66,$B:$B,B66,$E:$E,"Occupied")=2,"Yes","No")</f>
        <v/>
      </c>
      <c r="G66" s="117" t="n"/>
      <c r="H66" s="116">
        <f>IF(E66&lt;&gt;"Occupied",0,COUNTIFS($A:$A,A66,$B:$B,B66,$E:$E,"Occupied"))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Management'!$B:$B,DATE(YEAR(CurrentMonth),MONTH(CurrentMonth),1),'Electricity Management'!$C:$C,B66),0),0)</f>
        <v/>
      </c>
      <c r="K66" s="82">
        <f>IF(E66="Occupied",IFERROR(SUMIFS('Electricity Management'!$T:$T,'Electricity Management'!$K:$K,A66,'Electricity Management'!$B:$B,DATE(YEAR(CurrentMonth),MONTH(CurrentMonth),1),'Electricity Management'!$L:$L,B66),0),0)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>
        <f>IF(COUNTIFS($A:$A,A67,$B:$B,B67,$E:$E,"Occupied")=2,"Yes","No")</f>
        <v/>
      </c>
      <c r="G67" s="117" t="n"/>
      <c r="H67" s="116">
        <f>IF(E67&lt;&gt;"Occupied",0,COUNTIFS($A:$A,A67,$B:$B,B67,$E:$E,"Occupied"))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Management'!$B:$B,DATE(YEAR(CurrentMonth),MONTH(CurrentMonth),1),'Electricity Management'!$C:$C,B67),0),0)</f>
        <v/>
      </c>
      <c r="K67" s="82">
        <f>IF(E67="Occupied",IFERROR(SUMIFS('Electricity Management'!$T:$T,'Electricity Management'!$K:$K,A67,'Electricity Management'!$B:$B,DATE(YEAR(CurrentMonth),MONTH(CurrentMonth),1),'Electricity Management'!$L:$L,B67),0),0)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>
        <f>IF(COUNTIFS($A:$A,A68,$B:$B,B68,$E:$E,"Occupied")=2,"Yes","No")</f>
        <v/>
      </c>
      <c r="G68" s="117" t="n"/>
      <c r="H68" s="116">
        <f>IF(E68&lt;&gt;"Occupied",0,COUNTIFS($A:$A,A68,$B:$B,B68,$E:$E,"Occupied"))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Management'!$B:$B,DATE(YEAR(CurrentMonth),MONTH(CurrentMonth),1),'Electricity Management'!$C:$C,B68),0),0)</f>
        <v/>
      </c>
      <c r="K68" s="82">
        <f>IF(E68="Occupied",IFERROR(SUMIFS('Electricity Management'!$T:$T,'Electricity Management'!$K:$K,A68,'Electricity Management'!$B:$B,DATE(YEAR(CurrentMonth),MONTH(CurrentMonth),1),'Electricity Management'!$L:$L,B68),0),0)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>
        <f>IF(COUNTIFS($A:$A,A69,$B:$B,B69,$E:$E,"Occupied")=2,"Yes","No")</f>
        <v/>
      </c>
      <c r="G69" s="117" t="n"/>
      <c r="H69" s="116">
        <f>IF(E69&lt;&gt;"Occupied",0,COUNTIFS($A:$A,A69,$B:$B,B69,$E:$E,"Occupied"))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Management'!$B:$B,DATE(YEAR(CurrentMonth),MONTH(CurrentMonth),1),'Electricity Management'!$C:$C,B69),0),0)</f>
        <v/>
      </c>
      <c r="K69" s="82">
        <f>IF(E69="Occupied",IFERROR(SUMIFS('Electricity Management'!$T:$T,'Electricity Management'!$K:$K,A69,'Electricity Management'!$B:$B,DATE(YEAR(CurrentMonth),MONTH(CurrentMonth),1),'Electricity Management'!$L:$L,B69),0),0)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>
        <f>IF(COUNTIFS($A:$A,A70,$B:$B,B70,$E:$E,"Occupied")=2,"Yes","No")</f>
        <v/>
      </c>
      <c r="G70" s="117" t="n"/>
      <c r="H70" s="116">
        <f>IF(E70&lt;&gt;"Occupied",0,COUNTIFS($A:$A,A70,$B:$B,B70,$E:$E,"Occupied"))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Management'!$B:$B,DATE(YEAR(CurrentMonth),MONTH(CurrentMonth),1),'Electricity Management'!$C:$C,B70),0),0)</f>
        <v/>
      </c>
      <c r="K70" s="82">
        <f>IF(E70="Occupied",IFERROR(SUMIFS('Electricity Management'!$T:$T,'Electricity Management'!$K:$K,A70,'Electricity Management'!$B:$B,DATE(YEAR(CurrentMonth),MONTH(CurrentMonth),1),'Electricity Management'!$L:$L,B70),0),0)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>
        <f>IF(COUNTIFS($A:$A,A71,$B:$B,B71,$E:$E,"Occupied")=2,"Yes","No")</f>
        <v/>
      </c>
      <c r="G71" s="117" t="n"/>
      <c r="H71" s="116">
        <f>IF(E71&lt;&gt;"Occupied",0,COUNTIFS($A:$A,A71,$B:$B,B71,$E:$E,"Occupied"))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Management'!$B:$B,DATE(YEAR(CurrentMonth),MONTH(CurrentMonth),1),'Electricity Management'!$C:$C,B71),0),0)</f>
        <v/>
      </c>
      <c r="K71" s="82">
        <f>IF(E71="Occupied",IFERROR(SUMIFS('Electricity Management'!$T:$T,'Electricity Management'!$K:$K,A71,'Electricity Management'!$B:$B,DATE(YEAR(CurrentMonth),MONTH(CurrentMonth),1),'Electricity Management'!$L:$L,B71),0),0)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>
        <f>IF(COUNTIFS($A:$A,A72,$B:$B,B72,$E:$E,"Occupied")=2,"Yes","No")</f>
        <v/>
      </c>
      <c r="G72" s="117" t="n"/>
      <c r="H72" s="116">
        <f>IF(E72&lt;&gt;"Occupied",0,COUNTIFS($A:$A,A72,$B:$B,B72,$E:$E,"Occupied"))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Management'!$B:$B,DATE(YEAR(CurrentMonth),MONTH(CurrentMonth),1),'Electricity Management'!$C:$C,B72),0),0)</f>
        <v/>
      </c>
      <c r="K72" s="82">
        <f>IF(E72="Occupied",IFERROR(SUMIFS('Electricity Management'!$T:$T,'Electricity Management'!$K:$K,A72,'Electricity Management'!$B:$B,DATE(YEAR(CurrentMonth),MONTH(CurrentMonth),1),'Electricity Management'!$L:$L,B72),0),0)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>
        <f>IF(COUNTIFS($A:$A,A73,$B:$B,B73,$E:$E,"Occupied")=2,"Yes","No")</f>
        <v/>
      </c>
      <c r="G73" s="117" t="n"/>
      <c r="H73" s="116">
        <f>IF(E73&lt;&gt;"Occupied",0,COUNTIFS($A:$A,A73,$B:$B,B73,$E:$E,"Occupied"))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Management'!$B:$B,DATE(YEAR(CurrentMonth),MONTH(CurrentMonth),1),'Electricity Management'!$C:$C,B73),0),0)</f>
        <v/>
      </c>
      <c r="K73" s="82">
        <f>IF(E73="Occupied",IFERROR(SUMIFS('Electricity Management'!$T:$T,'Electricity Management'!$K:$K,A73,'Electricity Management'!$B:$B,DATE(YEAR(CurrentMonth),MONTH(CurrentMonth),1),'Electricity Management'!$L:$L,B73),0),0)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>
        <f>IF(COUNTIFS($A:$A,A74,$B:$B,B74,$E:$E,"Occupied")=2,"Yes","No")</f>
        <v/>
      </c>
      <c r="G74" s="117" t="n"/>
      <c r="H74" s="116">
        <f>IF(E74&lt;&gt;"Occupied",0,COUNTIFS($A:$A,A74,$B:$B,B74,$E:$E,"Occupied"))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Management'!$B:$B,DATE(YEAR(CurrentMonth),MONTH(CurrentMonth),1),'Electricity Management'!$C:$C,B74),0),0)</f>
        <v/>
      </c>
      <c r="K74" s="82">
        <f>IF(E74="Occupied",IFERROR(SUMIFS('Electricity Management'!$T:$T,'Electricity Management'!$K:$K,A74,'Electricity Management'!$B:$B,DATE(YEAR(CurrentMonth),MONTH(CurrentMonth),1),'Electricity Management'!$L:$L,B74),0),0)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>
        <f>IF(COUNTIFS($A:$A,A75,$B:$B,B75,$E:$E,"Occupied")=2,"Yes","No")</f>
        <v/>
      </c>
      <c r="G75" s="117" t="n"/>
      <c r="H75" s="116">
        <f>IF(E75&lt;&gt;"Occupied",0,COUNTIFS($A:$A,A75,$B:$B,B75,$E:$E,"Occupied"))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Management'!$B:$B,DATE(YEAR(CurrentMonth),MONTH(CurrentMonth),1),'Electricity Management'!$C:$C,B75),0),0)</f>
        <v/>
      </c>
      <c r="K75" s="82">
        <f>IF(E75="Occupied",IFERROR(SUMIFS('Electricity Management'!$T:$T,'Electricity Management'!$K:$K,A75,'Electricity Management'!$B:$B,DATE(YEAR(CurrentMonth),MONTH(CurrentMonth),1),'Electricity Management'!$L:$L,B75),0),0)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>
        <f>IF(COUNTIFS($A:$A,A76,$B:$B,B76,$E:$E,"Occupied")=2,"Yes","No")</f>
        <v/>
      </c>
      <c r="G76" s="117" t="n"/>
      <c r="H76" s="116">
        <f>IF(E76&lt;&gt;"Occupied",0,COUNTIFS($A:$A,A76,$B:$B,B76,$E:$E,"Occupied"))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Management'!$B:$B,DATE(YEAR(CurrentMonth),MONTH(CurrentMonth),1),'Electricity Management'!$C:$C,B76),0),0)</f>
        <v/>
      </c>
      <c r="K76" s="82">
        <f>IF(E76="Occupied",IFERROR(SUMIFS('Electricity Management'!$T:$T,'Electricity Management'!$K:$K,A76,'Electricity Management'!$B:$B,DATE(YEAR(CurrentMonth),MONTH(CurrentMonth),1),'Electricity Management'!$L:$L,B76),0),0)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>
        <f>IF(COUNTIFS($A:$A,A77,$B:$B,B77,$E:$E,"Occupied")=2,"Yes","No")</f>
        <v/>
      </c>
      <c r="G77" s="117" t="n"/>
      <c r="H77" s="116">
        <f>IF(E77&lt;&gt;"Occupied",0,COUNTIFS($A:$A,A77,$B:$B,B77,$E:$E,"Occupied"))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Management'!$B:$B,DATE(YEAR(CurrentMonth),MONTH(CurrentMonth),1),'Electricity Management'!$C:$C,B77),0),0)</f>
        <v/>
      </c>
      <c r="K77" s="82">
        <f>IF(E77="Occupied",IFERROR(SUMIFS('Electricity Management'!$T:$T,'Electricity Management'!$K:$K,A77,'Electricity Management'!$B:$B,DATE(YEAR(CurrentMonth),MONTH(CurrentMonth),1),'Electricity Management'!$L:$L,B77),0),0)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>
        <f>IF(COUNTIFS($A:$A,A78,$B:$B,B78,$E:$E,"Occupied")=2,"Yes","No")</f>
        <v/>
      </c>
      <c r="G78" s="117" t="n"/>
      <c r="H78" s="116">
        <f>IF(E78&lt;&gt;"Occupied",0,COUNTIFS($A:$A,A78,$B:$B,B78,$E:$E,"Occupied"))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Management'!$B:$B,DATE(YEAR(CurrentMonth),MONTH(CurrentMonth),1),'Electricity Management'!$C:$C,B78),0),0)</f>
        <v/>
      </c>
      <c r="K78" s="82">
        <f>IF(E78="Occupied",IFERROR(SUMIFS('Electricity Management'!$T:$T,'Electricity Management'!$K:$K,A78,'Electricity Management'!$B:$B,DATE(YEAR(CurrentMonth),MONTH(CurrentMonth),1),'Electricity Management'!$L:$L,B78),0),0)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>
        <f>IF(COUNTIFS($A:$A,A79,$B:$B,B79,$E:$E,"Occupied")=2,"Yes","No")</f>
        <v/>
      </c>
      <c r="G79" s="117" t="n"/>
      <c r="H79" s="116">
        <f>IF(E79&lt;&gt;"Occupied",0,COUNTIFS($A:$A,A79,$B:$B,B79,$E:$E,"Occupied"))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Management'!$B:$B,DATE(YEAR(CurrentMonth),MONTH(CurrentMonth),1),'Electricity Management'!$C:$C,B79),0),0)</f>
        <v/>
      </c>
      <c r="K79" s="82">
        <f>IF(E79="Occupied",IFERROR(SUMIFS('Electricity Management'!$T:$T,'Electricity Management'!$K:$K,A79,'Electricity Management'!$B:$B,DATE(YEAR(CurrentMonth),MONTH(CurrentMonth),1),'Electricity Management'!$L:$L,B79),0),0)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>
        <f>IF(COUNTIFS($A:$A,A80,$B:$B,B80,$E:$E,"Occupied")=2,"Yes","No")</f>
        <v/>
      </c>
      <c r="G80" s="117" t="n"/>
      <c r="H80" s="116">
        <f>IF(E80&lt;&gt;"Occupied",0,COUNTIFS($A:$A,A80,$B:$B,B80,$E:$E,"Occupied"))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Management'!$B:$B,DATE(YEAR(CurrentMonth),MONTH(CurrentMonth),1),'Electricity Management'!$C:$C,B80),0),0)</f>
        <v/>
      </c>
      <c r="K80" s="82">
        <f>IF(E80="Occupied",IFERROR(SUMIFS('Electricity Management'!$T:$T,'Electricity Management'!$K:$K,A80,'Electricity Management'!$B:$B,DATE(YEAR(CurrentMonth),MONTH(CurrentMonth),1),'Electricity Management'!$L:$L,B80),0),0)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>
        <f>IF(COUNTIFS($A:$A,A81,$B:$B,B81,$E:$E,"Occupied")=2,"Yes","No")</f>
        <v/>
      </c>
      <c r="G81" s="117" t="n"/>
      <c r="H81" s="116">
        <f>IF(E81&lt;&gt;"Occupied",0,COUNTIFS($A:$A,A81,$B:$B,B81,$E:$E,"Occupied"))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Management'!$B:$B,DATE(YEAR(CurrentMonth),MONTH(CurrentMonth),1),'Electricity Management'!$C:$C,B81),0),0)</f>
        <v/>
      </c>
      <c r="K81" s="82">
        <f>IF(E81="Occupied",IFERROR(SUMIFS('Electricity Management'!$T:$T,'Electricity Management'!$K:$K,A81,'Electricity Management'!$B:$B,DATE(YEAR(CurrentMonth),MONTH(CurrentMonth),1),'Electricity Management'!$L:$L,B81),0),0)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>
        <f>IF(COUNTIFS($A:$A,A82,$B:$B,B82,$E:$E,"Occupied")=2,"Yes","No")</f>
        <v/>
      </c>
      <c r="G82" s="117" t="n"/>
      <c r="H82" s="116">
        <f>IF(E82&lt;&gt;"Occupied",0,COUNTIFS($A:$A,A82,$B:$B,B82,$E:$E,"Occupied"))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Management'!$B:$B,DATE(YEAR(CurrentMonth),MONTH(CurrentMonth),1),'Electricity Management'!$C:$C,B82),0),0)</f>
        <v/>
      </c>
      <c r="K82" s="82">
        <f>IF(E82="Occupied",IFERROR(SUMIFS('Electricity Management'!$T:$T,'Electricity Management'!$K:$K,A82,'Electricity Management'!$B:$B,DATE(YEAR(CurrentMonth),MONTH(CurrentMonth),1),'Electricity Management'!$L:$L,B82),0),0)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>
        <f>IF(COUNTIFS($A:$A,A83,$B:$B,B83,$E:$E,"Occupied")=2,"Yes","No")</f>
        <v/>
      </c>
      <c r="G83" s="117" t="n"/>
      <c r="H83" s="116">
        <f>IF(E83&lt;&gt;"Occupied",0,COUNTIFS($A:$A,A83,$B:$B,B83,$E:$E,"Occupied"))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Management'!$B:$B,DATE(YEAR(CurrentMonth),MONTH(CurrentMonth),1),'Electricity Management'!$C:$C,B83),0),0)</f>
        <v/>
      </c>
      <c r="K83" s="82">
        <f>IF(E83="Occupied",IFERROR(SUMIFS('Electricity Management'!$T:$T,'Electricity Management'!$K:$K,A83,'Electricity Management'!$B:$B,DATE(YEAR(CurrentMonth),MONTH(CurrentMonth),1),'Electricity Management'!$L:$L,B83),0),0)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>
        <f>IF(COUNTIFS($A:$A,A84,$B:$B,B84,$E:$E,"Occupied")=2,"Yes","No")</f>
        <v/>
      </c>
      <c r="G84" s="117" t="n"/>
      <c r="H84" s="116">
        <f>IF(E84&lt;&gt;"Occupied",0,COUNTIFS($A:$A,A84,$B:$B,B84,$E:$E,"Occupied"))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Management'!$B:$B,DATE(YEAR(CurrentMonth),MONTH(CurrentMonth),1),'Electricity Management'!$C:$C,B84),0),0)</f>
        <v/>
      </c>
      <c r="K84" s="82">
        <f>IF(E84="Occupied",IFERROR(SUMIFS('Electricity Management'!$T:$T,'Electricity Management'!$K:$K,A84,'Electricity Management'!$B:$B,DATE(YEAR(CurrentMonth),MONTH(CurrentMonth),1),'Electricity Management'!$L:$L,B84),0),0)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>
        <f>IF(COUNTIFS($A:$A,A85,$B:$B,B85,$E:$E,"Occupied")=2,"Yes","No")</f>
        <v/>
      </c>
      <c r="G85" s="117" t="n"/>
      <c r="H85" s="116">
        <f>IF(E85&lt;&gt;"Occupied",0,COUNTIFS($A:$A,A85,$B:$B,B85,$E:$E,"Occupied"))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Management'!$B:$B,DATE(YEAR(CurrentMonth),MONTH(CurrentMonth),1),'Electricity Management'!$C:$C,B85),0),0)</f>
        <v/>
      </c>
      <c r="K85" s="82">
        <f>IF(E85="Occupied",IFERROR(SUMIFS('Electricity Management'!$T:$T,'Electricity Management'!$K:$K,A85,'Electricity Management'!$B:$B,DATE(YEAR(CurrentMonth),MONTH(CurrentMonth),1),'Electricity Management'!$L:$L,B85),0),0)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>
        <f>IF(COUNTIFS($A:$A,A86,$B:$B,B86,$E:$E,"Occupied")=2,"Yes","No")</f>
        <v/>
      </c>
      <c r="G86" s="117" t="n"/>
      <c r="H86" s="116">
        <f>IF(E86&lt;&gt;"Occupied",0,COUNTIFS($A:$A,A86,$B:$B,B86,$E:$E,"Occupied"))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Management'!$B:$B,DATE(YEAR(CurrentMonth),MONTH(CurrentMonth),1),'Electricity Management'!$C:$C,B86),0),0)</f>
        <v/>
      </c>
      <c r="K86" s="82">
        <f>IF(E86="Occupied",IFERROR(SUMIFS('Electricity Management'!$T:$T,'Electricity Management'!$K:$K,A86,'Electricity Management'!$B:$B,DATE(YEAR(CurrentMonth),MONTH(CurrentMonth),1),'Electricity Management'!$L:$L,B86),0),0)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>
        <f>IF(COUNTIFS($A:$A,A87,$B:$B,B87,$E:$E,"Occupied")=2,"Yes","No")</f>
        <v/>
      </c>
      <c r="G87" s="117" t="n"/>
      <c r="H87" s="116">
        <f>IF(E87&lt;&gt;"Occupied",0,COUNTIFS($A:$A,A87,$B:$B,B87,$E:$E,"Occupied"))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Management'!$B:$B,DATE(YEAR(CurrentMonth),MONTH(CurrentMonth),1),'Electricity Management'!$C:$C,B87),0),0)</f>
        <v/>
      </c>
      <c r="K87" s="82">
        <f>IF(E87="Occupied",IFERROR(SUMIFS('Electricity Management'!$T:$T,'Electricity Management'!$K:$K,A87,'Electricity Management'!$B:$B,DATE(YEAR(CurrentMonth),MONTH(CurrentMonth),1),'Electricity Management'!$L:$L,B87),0),0)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>
        <f>IF(COUNTIFS($A:$A,A88,$B:$B,B88,$E:$E,"Occupied")=2,"Yes","No")</f>
        <v/>
      </c>
      <c r="G88" s="117" t="n"/>
      <c r="H88" s="116">
        <f>IF(E88&lt;&gt;"Occupied",0,COUNTIFS($A:$A,A88,$B:$B,B88,$E:$E,"Occupied"))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Management'!$B:$B,DATE(YEAR(CurrentMonth),MONTH(CurrentMonth),1),'Electricity Management'!$C:$C,B88),0),0)</f>
        <v/>
      </c>
      <c r="K88" s="82">
        <f>IF(E88="Occupied",IFERROR(SUMIFS('Electricity Management'!$T:$T,'Electricity Management'!$K:$K,A88,'Electricity Management'!$B:$B,DATE(YEAR(CurrentMonth),MONTH(CurrentMonth),1),'Electricity Management'!$L:$L,B88),0),0)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>
        <f>IF(COUNTIFS($A:$A,A89,$B:$B,B89,$E:$E,"Occupied")=2,"Yes","No")</f>
        <v/>
      </c>
      <c r="G89" s="117" t="n"/>
      <c r="H89" s="116">
        <f>IF(E89&lt;&gt;"Occupied",0,COUNTIFS($A:$A,A89,$B:$B,B89,$E:$E,"Occupied"))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Management'!$B:$B,DATE(YEAR(CurrentMonth),MONTH(CurrentMonth),1),'Electricity Management'!$C:$C,B89),0),0)</f>
        <v/>
      </c>
      <c r="K89" s="82">
        <f>IF(E89="Occupied",IFERROR(SUMIFS('Electricity Management'!$T:$T,'Electricity Management'!$K:$K,A89,'Electricity Management'!$B:$B,DATE(YEAR(CurrentMonth),MONTH(CurrentMonth),1),'Electricity Management'!$L:$L,B89),0),0)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>
        <f>IF(COUNTIFS($A:$A,A90,$B:$B,B90,$E:$E,"Occupied")=2,"Yes","No")</f>
        <v/>
      </c>
      <c r="G90" s="117" t="n"/>
      <c r="H90" s="116">
        <f>IF(E90&lt;&gt;"Occupied",0,COUNTIFS($A:$A,A90,$B:$B,B90,$E:$E,"Occupied"))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Management'!$B:$B,DATE(YEAR(CurrentMonth),MONTH(CurrentMonth),1),'Electricity Management'!$C:$C,B90),0),0)</f>
        <v/>
      </c>
      <c r="K90" s="82">
        <f>IF(E90="Occupied",IFERROR(SUMIFS('Electricity Management'!$T:$T,'Electricity Management'!$K:$K,A90,'Electricity Management'!$B:$B,DATE(YEAR(CurrentMonth),MONTH(CurrentMonth),1),'Electricity Management'!$L:$L,B90),0),0)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>
        <f>IF(COUNTIFS($A:$A,A91,$B:$B,B91,$E:$E,"Occupied")=2,"Yes","No")</f>
        <v/>
      </c>
      <c r="G91" s="117" t="n"/>
      <c r="H91" s="116">
        <f>IF(E91&lt;&gt;"Occupied",0,COUNTIFS($A:$A,A91,$B:$B,B91,$E:$E,"Occupied"))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Management'!$B:$B,DATE(YEAR(CurrentMonth),MONTH(CurrentMonth),1),'Electricity Management'!$C:$C,B91),0),0)</f>
        <v/>
      </c>
      <c r="K91" s="82">
        <f>IF(E91="Occupied",IFERROR(SUMIFS('Electricity Management'!$T:$T,'Electricity Management'!$K:$K,A91,'Electricity Management'!$B:$B,DATE(YEAR(CurrentMonth),MONTH(CurrentMonth),1),'Electricity Management'!$L:$L,B91),0),0)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>
        <f>IF(COUNTIFS($A:$A,A92,$B:$B,B92,$E:$E,"Occupied")=2,"Yes","No")</f>
        <v/>
      </c>
      <c r="G92" s="117" t="n"/>
      <c r="H92" s="116">
        <f>IF(E92&lt;&gt;"Occupied",0,COUNTIFS($A:$A,A92,$B:$B,B92,$E:$E,"Occupied"))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Management'!$B:$B,DATE(YEAR(CurrentMonth),MONTH(CurrentMonth),1),'Electricity Management'!$C:$C,B92),0),0)</f>
        <v/>
      </c>
      <c r="K92" s="82">
        <f>IF(E92="Occupied",IFERROR(SUMIFS('Electricity Management'!$T:$T,'Electricity Management'!$K:$K,A92,'Electricity Management'!$B:$B,DATE(YEAR(CurrentMonth),MONTH(CurrentMonth),1),'Electricity Management'!$L:$L,B92),0),0)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>
        <f>IF(COUNTIFS($A:$A,A93,$B:$B,B93,$E:$E,"Occupied")=2,"Yes","No")</f>
        <v/>
      </c>
      <c r="G93" s="117" t="n"/>
      <c r="H93" s="116">
        <f>IF(E93&lt;&gt;"Occupied",0,COUNTIFS($A:$A,A93,$B:$B,B93,$E:$E,"Occupied"))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Management'!$B:$B,DATE(YEAR(CurrentMonth),MONTH(CurrentMonth),1),'Electricity Management'!$C:$C,B93),0),0)</f>
        <v/>
      </c>
      <c r="K93" s="82">
        <f>IF(E93="Occupied",IFERROR(SUMIFS('Electricity Management'!$T:$T,'Electricity Management'!$K:$K,A93,'Electricity Management'!$B:$B,DATE(YEAR(CurrentMonth),MONTH(CurrentMonth),1),'Electricity Management'!$L:$L,B93),0),0)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>
        <f>IF(COUNTIFS($A:$A,A94,$B:$B,B94,$E:$E,"Occupied")=2,"Yes","No")</f>
        <v/>
      </c>
      <c r="G94" s="117" t="n"/>
      <c r="H94" s="116">
        <f>IF(E94&lt;&gt;"Occupied",0,COUNTIFS($A:$A,A94,$B:$B,B94,$E:$E,"Occupied"))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Management'!$B:$B,DATE(YEAR(CurrentMonth),MONTH(CurrentMonth),1),'Electricity Management'!$C:$C,B94),0),0)</f>
        <v/>
      </c>
      <c r="K94" s="82">
        <f>IF(E94="Occupied",IFERROR(SUMIFS('Electricity Management'!$T:$T,'Electricity Management'!$K:$K,A94,'Electricity Management'!$B:$B,DATE(YEAR(CurrentMonth),MONTH(CurrentMonth),1),'Electricity Management'!$L:$L,B94),0),0)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>
        <f>IF(COUNTIFS($A:$A,A95,$B:$B,B95,$E:$E,"Occupied")=2,"Yes","No")</f>
        <v/>
      </c>
      <c r="G95" s="117" t="n"/>
      <c r="H95" s="116">
        <f>IF(E95&lt;&gt;"Occupied",0,COUNTIFS($A:$A,A95,$B:$B,B95,$E:$E,"Occupied"))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Management'!$B:$B,DATE(YEAR(CurrentMonth),MONTH(CurrentMonth),1),'Electricity Management'!$C:$C,B95),0),0)</f>
        <v/>
      </c>
      <c r="K95" s="82">
        <f>IF(E95="Occupied",IFERROR(SUMIFS('Electricity Management'!$T:$T,'Electricity Management'!$K:$K,A95,'Electricity Management'!$B:$B,DATE(YEAR(CurrentMonth),MONTH(CurrentMonth),1),'Electricity Management'!$L:$L,B95),0),0)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>
        <f>IF(COUNTIFS($A:$A,A96,$B:$B,B96,$E:$E,"Occupied")=2,"Yes","No")</f>
        <v/>
      </c>
      <c r="G96" s="117" t="n"/>
      <c r="H96" s="116">
        <f>IF(E96&lt;&gt;"Occupied",0,COUNTIFS($A:$A,A96,$B:$B,B96,$E:$E,"Occupied"))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Management'!$B:$B,DATE(YEAR(CurrentMonth),MONTH(CurrentMonth),1),'Electricity Management'!$C:$C,B96),0),0)</f>
        <v/>
      </c>
      <c r="K96" s="82">
        <f>IF(E96="Occupied",IFERROR(SUMIFS('Electricity Management'!$T:$T,'Electricity Management'!$K:$K,A96,'Electricity Management'!$B:$B,DATE(YEAR(CurrentMonth),MONTH(CurrentMonth),1),'Electricity Management'!$L:$L,B96),0),0)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>
        <f>IF(COUNTIFS($A:$A,A97,$B:$B,B97,$E:$E,"Occupied")=2,"Yes","No")</f>
        <v/>
      </c>
      <c r="G97" s="117" t="n"/>
      <c r="H97" s="116">
        <f>IF(E97&lt;&gt;"Occupied",0,COUNTIFS($A:$A,A97,$B:$B,B97,$E:$E,"Occupied"))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Management'!$B:$B,DATE(YEAR(CurrentMonth),MONTH(CurrentMonth),1),'Electricity Management'!$C:$C,B97),0),0)</f>
        <v/>
      </c>
      <c r="K97" s="82">
        <f>IF(E97="Occupied",IFERROR(SUMIFS('Electricity Management'!$T:$T,'Electricity Management'!$K:$K,A97,'Electricity Management'!$B:$B,DATE(YEAR(CurrentMonth),MONTH(CurrentMonth),1),'Electricity Management'!$L:$L,B97),0),0)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>
        <f>IF(COUNTIFS($A:$A,A98,$B:$B,B98,$E:$E,"Occupied")=2,"Yes","No")</f>
        <v/>
      </c>
      <c r="G98" s="117" t="n"/>
      <c r="H98" s="116">
        <f>IF(E98&lt;&gt;"Occupied",0,COUNTIFS($A:$A,A98,$B:$B,B98,$E:$E,"Occupied"))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Management'!$B:$B,DATE(YEAR(CurrentMonth),MONTH(CurrentMonth),1),'Electricity Management'!$C:$C,B98),0),0)</f>
        <v/>
      </c>
      <c r="K98" s="82">
        <f>IF(E98="Occupied",IFERROR(SUMIFS('Electricity Management'!$T:$T,'Electricity Management'!$K:$K,A98,'Electricity Management'!$B:$B,DATE(YEAR(CurrentMonth),MONTH(CurrentMonth),1),'Electricity Management'!$L:$L,B98),0),0)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>
        <f>IF(COUNTIFS($A:$A,A99,$B:$B,B99,$E:$E,"Occupied")=2,"Yes","No")</f>
        <v/>
      </c>
      <c r="G99" s="117" t="n"/>
      <c r="H99" s="116">
        <f>IF(E99&lt;&gt;"Occupied",0,COUNTIFS($A:$A,A99,$B:$B,B99,$E:$E,"Occupied"))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Management'!$B:$B,DATE(YEAR(CurrentMonth),MONTH(CurrentMonth),1),'Electricity Management'!$C:$C,B99),0),0)</f>
        <v/>
      </c>
      <c r="K99" s="82">
        <f>IF(E99="Occupied",IFERROR(SUMIFS('Electricity Management'!$T:$T,'Electricity Management'!$K:$K,A99,'Electricity Management'!$B:$B,DATE(YEAR(CurrentMonth),MONTH(CurrentMonth),1),'Electricity Management'!$L:$L,B99),0),0)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>
        <f>IF(COUNTIFS($A:$A,A100,$B:$B,B100,$E:$E,"Occupied")=2,"Yes","No")</f>
        <v/>
      </c>
      <c r="G100" s="117" t="n"/>
      <c r="H100" s="116">
        <f>IF(E100&lt;&gt;"Occupied",0,COUNTIFS($A:$A,A100,$B:$B,B100,$E:$E,"Occupied"))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Management'!$B:$B,DATE(YEAR(CurrentMonth),MONTH(CurrentMonth),1),'Electricity Management'!$C:$C,B100),0),0)</f>
        <v/>
      </c>
      <c r="K100" s="82">
        <f>IF(E100="Occupied",IFERROR(SUMIFS('Electricity Management'!$T:$T,'Electricity Management'!$K:$K,A100,'Electricity Management'!$B:$B,DATE(YEAR(CurrentMonth),MONTH(CurrentMonth),1),'Electricity Management'!$L:$L,B100),0),0)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>
        <f>IF(COUNTIFS($A:$A,A101,$B:$B,B101,$E:$E,"Occupied")=2,"Yes","No")</f>
        <v/>
      </c>
      <c r="G101" s="117" t="n"/>
      <c r="H101" s="116">
        <f>IF(E101&lt;&gt;"Occupied",0,COUNTIFS($A:$A,A101,$B:$B,B101,$E:$E,"Occupied"))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Management'!$B:$B,DATE(YEAR(CurrentMonth),MONTH(CurrentMonth),1),'Electricity Management'!$C:$C,B101),0),0)</f>
        <v/>
      </c>
      <c r="K101" s="82">
        <f>IF(E101="Occupied",IFERROR(SUMIFS('Electricity Management'!$T:$T,'Electricity Management'!$K:$K,A101,'Electricity Management'!$B:$B,DATE(YEAR(CurrentMonth),MONTH(CurrentMonth),1),'Electricity Management'!$L:$L,B101),0),0)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>
        <f>IF(COUNTIFS($A:$A,A102,$B:$B,B102,$E:$E,"Occupied")=2,"Yes","No")</f>
        <v/>
      </c>
      <c r="G102" s="117" t="n"/>
      <c r="H102" s="116">
        <f>IF(E102&lt;&gt;"Occupied",0,COUNTIFS($A:$A,A102,$B:$B,B102,$E:$E,"Occupied"))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Management'!$B:$B,DATE(YEAR(CurrentMonth),MONTH(CurrentMonth),1),'Electricity Management'!$C:$C,B102),0),0)</f>
        <v/>
      </c>
      <c r="K102" s="82">
        <f>IF(E102="Occupied",IFERROR(SUMIFS('Electricity Management'!$T:$T,'Electricity Management'!$K:$K,A102,'Electricity Management'!$B:$B,DATE(YEAR(CurrentMonth),MONTH(CurrentMonth),1),'Electricity Management'!$L:$L,B102),0),0)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>
        <f>IF(COUNTIFS($A:$A,A103,$B:$B,B103,$E:$E,"Occupied")=2,"Yes","No")</f>
        <v/>
      </c>
      <c r="G103" s="117" t="n"/>
      <c r="H103" s="116">
        <f>IF(E103&lt;&gt;"Occupied",0,COUNTIFS($A:$A,A103,$B:$B,B103,$E:$E,"Occupied"))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Management'!$B:$B,DATE(YEAR(CurrentMonth),MONTH(CurrentMonth),1),'Electricity Management'!$C:$C,B103),0),0)</f>
        <v/>
      </c>
      <c r="K103" s="82">
        <f>IF(E103="Occupied",IFERROR(SUMIFS('Electricity Management'!$T:$T,'Electricity Management'!$K:$K,A103,'Electricity Management'!$B:$B,DATE(YEAR(CurrentMonth),MONTH(CurrentMonth),1),'Electricity Management'!$L:$L,B103),0),0)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>
        <f>IF(COUNTIFS($A:$A,A104,$B:$B,B104,$E:$E,"Occupied")=2,"Yes","No")</f>
        <v/>
      </c>
      <c r="G104" s="117" t="n"/>
      <c r="H104" s="116">
        <f>IF(E104&lt;&gt;"Occupied",0,COUNTIFS($A:$A,A104,$B:$B,B104,$E:$E,"Occupied"))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Management'!$B:$B,DATE(YEAR(CurrentMonth),MONTH(CurrentMonth),1),'Electricity Management'!$C:$C,B104),0),0)</f>
        <v/>
      </c>
      <c r="K104" s="82">
        <f>IF(E104="Occupied",IFERROR(SUMIFS('Electricity Management'!$T:$T,'Electricity Management'!$K:$K,A104,'Electricity Management'!$B:$B,DATE(YEAR(CurrentMonth),MONTH(CurrentMonth),1),'Electricity Management'!$L:$L,B104),0),0)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>
        <f>IF(COUNTIFS($A:$A,A105,$B:$B,B105,$E:$E,"Occupied")=2,"Yes","No")</f>
        <v/>
      </c>
      <c r="G105" s="117" t="n"/>
      <c r="H105" s="116">
        <f>IF(E105&lt;&gt;"Occupied",0,COUNTIFS($A:$A,A105,$B:$B,B105,$E:$E,"Occupied"))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Management'!$B:$B,DATE(YEAR(CurrentMonth),MONTH(CurrentMonth),1),'Electricity Management'!$C:$C,B105),0),0)</f>
        <v/>
      </c>
      <c r="K105" s="82">
        <f>IF(E105="Occupied",IFERROR(SUMIFS('Electricity Management'!$T:$T,'Electricity Management'!$K:$K,A105,'Electricity Management'!$B:$B,DATE(YEAR(CurrentMonth),MONTH(CurrentMonth),1),'Electricity Management'!$L:$L,B105),0),0)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>
        <f>IF(COUNTIFS($A:$A,A106,$B:$B,B106,$E:$E,"Occupied")=2,"Yes","No")</f>
        <v/>
      </c>
      <c r="G106" s="117" t="n"/>
      <c r="H106" s="116">
        <f>IF(E106&lt;&gt;"Occupied",0,COUNTIFS($A:$A,A106,$B:$B,B106,$E:$E,"Occupied"))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Management'!$B:$B,DATE(YEAR(CurrentMonth),MONTH(CurrentMonth),1),'Electricity Management'!$C:$C,B106),0),0)</f>
        <v/>
      </c>
      <c r="K106" s="82">
        <f>IF(E106="Occupied",IFERROR(SUMIFS('Electricity Management'!$T:$T,'Electricity Management'!$K:$K,A106,'Electricity Management'!$B:$B,DATE(YEAR(CurrentMonth),MONTH(CurrentMonth),1),'Electricity Management'!$L:$L,B106),0),0)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>
        <f>IF(COUNTIFS($A:$A,A107,$B:$B,B107,$E:$E,"Occupied")=2,"Yes","No")</f>
        <v/>
      </c>
      <c r="G107" s="117" t="n"/>
      <c r="H107" s="116">
        <f>IF(E107&lt;&gt;"Occupied",0,COUNTIFS($A:$A,A107,$B:$B,B107,$E:$E,"Occupied"))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Management'!$B:$B,DATE(YEAR(CurrentMonth),MONTH(CurrentMonth),1),'Electricity Management'!$C:$C,B107),0),0)</f>
        <v/>
      </c>
      <c r="K107" s="82">
        <f>IF(E107="Occupied",IFERROR(SUMIFS('Electricity Management'!$T:$T,'Electricity Management'!$K:$K,A107,'Electricity Management'!$B:$B,DATE(YEAR(CurrentMonth),MONTH(CurrentMonth),1),'Electricity Management'!$L:$L,B107),0),0)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>
        <f>IF(COUNTIFS($A:$A,A108,$B:$B,B108,$E:$E,"Occupied")=2,"Yes","No")</f>
        <v/>
      </c>
      <c r="G108" s="117" t="n"/>
      <c r="H108" s="116">
        <f>IF(E108&lt;&gt;"Occupied",0,COUNTIFS($A:$A,A108,$B:$B,B108,$E:$E,"Occupied"))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Management'!$B:$B,DATE(YEAR(CurrentMonth),MONTH(CurrentMonth),1),'Electricity Management'!$C:$C,B108),0),0)</f>
        <v/>
      </c>
      <c r="K108" s="82">
        <f>IF(E108="Occupied",IFERROR(SUMIFS('Electricity Management'!$T:$T,'Electricity Management'!$K:$K,A108,'Electricity Management'!$B:$B,DATE(YEAR(CurrentMonth),MONTH(CurrentMonth),1),'Electricity Management'!$L:$L,B108),0),0)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>
        <f>IF(COUNTIFS($A:$A,A109,$B:$B,B109,$E:$E,"Occupied")=2,"Yes","No")</f>
        <v/>
      </c>
      <c r="G109" s="117" t="n"/>
      <c r="H109" s="116">
        <f>IF(E109&lt;&gt;"Occupied",0,COUNTIFS($A:$A,A109,$B:$B,B109,$E:$E,"Occupied"))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Management'!$B:$B,DATE(YEAR(CurrentMonth),MONTH(CurrentMonth),1),'Electricity Management'!$C:$C,B109),0),0)</f>
        <v/>
      </c>
      <c r="K109" s="82">
        <f>IF(E109="Occupied",IFERROR(SUMIFS('Electricity Management'!$T:$T,'Electricity Management'!$K:$K,A109,'Electricity Management'!$B:$B,DATE(YEAR(CurrentMonth),MONTH(CurrentMonth),1),'Electricity Management'!$L:$L,B109),0),0)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>
        <f>IF(COUNTIFS($A:$A,A110,$B:$B,B110,$E:$E,"Occupied")=2,"Yes","No")</f>
        <v/>
      </c>
      <c r="G110" s="117" t="n"/>
      <c r="H110" s="116">
        <f>IF(E110&lt;&gt;"Occupied",0,COUNTIFS($A:$A,A110,$B:$B,B110,$E:$E,"Occupied"))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Management'!$B:$B,DATE(YEAR(CurrentMonth),MONTH(CurrentMonth),1),'Electricity Management'!$C:$C,B110),0),0)</f>
        <v/>
      </c>
      <c r="K110" s="82">
        <f>IF(E110="Occupied",IFERROR(SUMIFS('Electricity Management'!$T:$T,'Electricity Management'!$K:$K,A110,'Electricity Management'!$B:$B,DATE(YEAR(CurrentMonth),MONTH(CurrentMonth),1),'Electricity Management'!$L:$L,B110),0),0)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>
        <f>IF(COUNTIFS($A:$A,A111,$B:$B,B111,$E:$E,"Occupied")=2,"Yes","No")</f>
        <v/>
      </c>
      <c r="G111" s="117" t="n"/>
      <c r="H111" s="116">
        <f>IF(E111&lt;&gt;"Occupied",0,COUNTIFS($A:$A,A111,$B:$B,B111,$E:$E,"Occupied"))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Management'!$B:$B,DATE(YEAR(CurrentMonth),MONTH(CurrentMonth),1),'Electricity Management'!$C:$C,B111),0),0)</f>
        <v/>
      </c>
      <c r="K111" s="82">
        <f>IF(E111="Occupied",IFERROR(SUMIFS('Electricity Management'!$T:$T,'Electricity Management'!$K:$K,A111,'Electricity Management'!$B:$B,DATE(YEAR(CurrentMonth),MONTH(CurrentMonth),1),'Electricity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>
        <f>IF(COUNTIFS($A:$A,A112,$B:$B,B112,$E:$E,"Occupied")=2,"Yes","No")</f>
        <v/>
      </c>
      <c r="G112" s="117" t="n"/>
      <c r="H112" s="116">
        <f>IF(E112&lt;&gt;"Occupied",0,COUNTIFS($A:$A,A112,$B:$B,B112,$E:$E,"Occupied"))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Management'!$B:$B,DATE(YEAR(CurrentMonth),MONTH(CurrentMonth),1),'Electricity Management'!$C:$C,B112),0),0)</f>
        <v/>
      </c>
      <c r="K112" s="82">
        <f>IF(E112="Occupied",IFERROR(SUMIFS('Electricity Management'!$T:$T,'Electricity Management'!$K:$K,A112,'Electricity Management'!$B:$B,DATE(YEAR(CurrentMonth),MONTH(CurrentMonth),1),'Electricity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>
        <f>IF(COUNTIFS($A:$A,A113,$B:$B,B113,$E:$E,"Occupied")=2,"Yes","No")</f>
        <v/>
      </c>
      <c r="G113" s="117" t="n"/>
      <c r="H113" s="116">
        <f>IF(E113&lt;&gt;"Occupied",0,COUNTIFS($A:$A,A113,$B:$B,B113,$E:$E,"Occupied"))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Management'!$B:$B,DATE(YEAR(CurrentMonth),MONTH(CurrentMonth),1),'Electricity Management'!$C:$C,B113),0),0)</f>
        <v/>
      </c>
      <c r="K113" s="82">
        <f>IF(E113="Occupied",IFERROR(SUMIFS('Electricity Management'!$T:$T,'Electricity Management'!$K:$K,A113,'Electricity Management'!$B:$B,DATE(YEAR(CurrentMonth),MONTH(CurrentMonth),1),'Electricity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>
        <f>IF(COUNTIFS($A:$A,A114,$B:$B,B114,$E:$E,"Occupied")=2,"Yes","No")</f>
        <v/>
      </c>
      <c r="G114" s="117" t="n"/>
      <c r="H114" s="116">
        <f>IF(E114&lt;&gt;"Occupied",0,COUNTIFS($A:$A,A114,$B:$B,B114,$E:$E,"Occupied"))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Management'!$B:$B,DATE(YEAR(CurrentMonth),MONTH(CurrentMonth),1),'Electricity Management'!$C:$C,B114),0),0)</f>
        <v/>
      </c>
      <c r="K114" s="82">
        <f>IF(E114="Occupied",IFERROR(SUMIFS('Electricity Management'!$T:$T,'Electricity Management'!$K:$K,A114,'Electricity Management'!$B:$B,DATE(YEAR(CurrentMonth),MONTH(CurrentMonth),1),'Electricity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>
        <f>IF(COUNTIFS($A:$A,A115,$B:$B,B115,$E:$E,"Occupied")=2,"Yes","No")</f>
        <v/>
      </c>
      <c r="G115" s="117" t="n"/>
      <c r="H115" s="116">
        <f>IF(E115&lt;&gt;"Occupied",0,COUNTIFS($A:$A,A115,$B:$B,B115,$E:$E,"Occupied"))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Management'!$B:$B,DATE(YEAR(CurrentMonth),MONTH(CurrentMonth),1),'Electricity Management'!$C:$C,B115),0),0)</f>
        <v/>
      </c>
      <c r="K115" s="82">
        <f>IF(E115="Occupied",IFERROR(SUMIFS('Electricity Management'!$T:$T,'Electricity Management'!$K:$K,A115,'Electricity Management'!$B:$B,DATE(YEAR(CurrentMonth),MONTH(CurrentMonth),1),'Electricity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>
        <f>IF(COUNTIFS($A:$A,A116,$B:$B,B116,$E:$E,"Occupied")=2,"Yes","No")</f>
        <v/>
      </c>
      <c r="G116" s="117" t="n"/>
      <c r="H116" s="116">
        <f>IF(E116&lt;&gt;"Occupied",0,COUNTIFS($A:$A,A116,$B:$B,B116,$E:$E,"Occupied"))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Management'!$B:$B,DATE(YEAR(CurrentMonth),MONTH(CurrentMonth),1),'Electricity Management'!$C:$C,B116),0),0)</f>
        <v/>
      </c>
      <c r="K116" s="82">
        <f>IF(E116="Occupied",IFERROR(SUMIFS('Electricity Management'!$T:$T,'Electricity Management'!$K:$K,A116,'Electricity Management'!$B:$B,DATE(YEAR(CurrentMonth),MONTH(CurrentMonth),1),'Electricity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>
        <f>IF(COUNTIFS($A:$A,A117,$B:$B,B117,$E:$E,"Occupied")=2,"Yes","No")</f>
        <v/>
      </c>
      <c r="G117" s="117" t="n"/>
      <c r="H117" s="116">
        <f>IF(E117&lt;&gt;"Occupied",0,COUNTIFS($A:$A,A117,$B:$B,B117,$E:$E,"Occupied"))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Management'!$B:$B,DATE(YEAR(CurrentMonth),MONTH(CurrentMonth),1),'Electricity Management'!$C:$C,B117),0),0)</f>
        <v/>
      </c>
      <c r="K117" s="82">
        <f>IF(E117="Occupied",IFERROR(SUMIFS('Electricity Management'!$T:$T,'Electricity Management'!$K:$K,A117,'Electricity Management'!$B:$B,DATE(YEAR(CurrentMonth),MONTH(CurrentMonth),1),'Electricity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>
        <f>IF(COUNTIFS($A:$A,A118,$B:$B,B118,$E:$E,"Occupied")=2,"Yes","No")</f>
        <v/>
      </c>
      <c r="G118" s="117" t="n"/>
      <c r="H118" s="116">
        <f>IF(E118&lt;&gt;"Occupied",0,COUNTIFS($A:$A,A118,$B:$B,B118,$E:$E,"Occupied"))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Management'!$B:$B,DATE(YEAR(CurrentMonth),MONTH(CurrentMonth),1),'Electricity Management'!$C:$C,B118),0),0)</f>
        <v/>
      </c>
      <c r="K118" s="82">
        <f>IF(E118="Occupied",IFERROR(SUMIFS('Electricity Management'!$T:$T,'Electricity Management'!$K:$K,A118,'Electricity Management'!$B:$B,DATE(YEAR(CurrentMonth),MONTH(CurrentMonth),1),'Electricity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>
        <f>IF(COUNTIFS($A:$A,A119,$B:$B,B119,$E:$E,"Occupied")=2,"Yes","No")</f>
        <v/>
      </c>
      <c r="G119" s="117" t="n"/>
      <c r="H119" s="116">
        <f>IF(E119&lt;&gt;"Occupied",0,COUNTIFS($A:$A,A119,$B:$B,B119,$E:$E,"Occupied"))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Management'!$B:$B,DATE(YEAR(CurrentMonth),MONTH(CurrentMonth),1),'Electricity Management'!$C:$C,B119),0),0)</f>
        <v/>
      </c>
      <c r="K119" s="82">
        <f>IF(E119="Occupied",IFERROR(SUMIFS('Electricity Management'!$T:$T,'Electricity Management'!$K:$K,A119,'Electricity Management'!$B:$B,DATE(YEAR(CurrentMonth),MONTH(CurrentMonth),1),'Electricity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>
        <f>IF(COUNTIFS($A:$A,A120,$B:$B,B120,$E:$E,"Occupied")=2,"Yes","No")</f>
        <v/>
      </c>
      <c r="G120" s="117" t="n"/>
      <c r="H120" s="116">
        <f>IF(E120&lt;&gt;"Occupied",0,COUNTIFS($A:$A,A120,$B:$B,B120,$E:$E,"Occupied"))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Management'!$B:$B,DATE(YEAR(CurrentMonth),MONTH(CurrentMonth),1),'Electricity Management'!$C:$C,B120),0),0)</f>
        <v/>
      </c>
      <c r="K120" s="82">
        <f>IF(E120="Occupied",IFERROR(SUMIFS('Electricity Management'!$T:$T,'Electricity Management'!$K:$K,A120,'Electricity Management'!$B:$B,DATE(YEAR(CurrentMonth),MONTH(CurrentMonth),1),'Electricity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>
        <f>IF(COUNTIFS($A:$A,A121,$B:$B,B121,$E:$E,"Occupied")=2,"Yes","No")</f>
        <v/>
      </c>
      <c r="G121" s="117" t="n"/>
      <c r="H121" s="116">
        <f>IF(E121&lt;&gt;"Occupied",0,COUNTIFS($A:$A,A121,$B:$B,B121,$E:$E,"Occupied"))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Management'!$B:$B,DATE(YEAR(CurrentMonth),MONTH(CurrentMonth),1),'Electricity Management'!$C:$C,B121),0),0)</f>
        <v/>
      </c>
      <c r="K121" s="82">
        <f>IF(E121="Occupied",IFERROR(SUMIFS('Electricity Management'!$T:$T,'Electricity Management'!$K:$K,A121,'Electricity Management'!$B:$B,DATE(YEAR(CurrentMonth),MONTH(CurrentMonth),1),'Electricity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>
        <f>IF(COUNTIFS($A:$A,A122,$B:$B,B122,$E:$E,"Occupied")=2,"Yes","No")</f>
        <v/>
      </c>
      <c r="G122" s="117" t="n"/>
      <c r="H122" s="116">
        <f>IF(E122&lt;&gt;"Occupied",0,COUNTIFS($A:$A,A122,$B:$B,B122,$E:$E,"Occupied"))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Management'!$B:$B,DATE(YEAR(CurrentMonth),MONTH(CurrentMonth),1),'Electricity Management'!$C:$C,B122),0),0)</f>
        <v/>
      </c>
      <c r="K122" s="82">
        <f>IF(E122="Occupied",IFERROR(SUMIFS('Electricity Management'!$T:$T,'Electricity Management'!$K:$K,A122,'Electricity Management'!$B:$B,DATE(YEAR(CurrentMonth),MONTH(CurrentMonth),1),'Electricity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>
        <f>IF(COUNTIFS($A:$A,A123,$B:$B,B123,$E:$E,"Occupied")=2,"Yes","No")</f>
        <v/>
      </c>
      <c r="G123" s="117" t="n"/>
      <c r="H123" s="116">
        <f>IF(E123&lt;&gt;"Occupied",0,COUNTIFS($A:$A,A123,$B:$B,B123,$E:$E,"Occupied"))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Management'!$B:$B,DATE(YEAR(CurrentMonth),MONTH(CurrentMonth),1),'Electricity Management'!$C:$C,B123),0),0)</f>
        <v/>
      </c>
      <c r="K123" s="82">
        <f>IF(E123="Occupied",IFERROR(SUMIFS('Electricity Management'!$T:$T,'Electricity Management'!$K:$K,A123,'Electricity Management'!$B:$B,DATE(YEAR(CurrentMonth),MONTH(CurrentMonth),1),'Electricity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>
        <f>IF(COUNTIFS($A:$A,A124,$B:$B,B124,$E:$E,"Occupied")=2,"Yes","No")</f>
        <v/>
      </c>
      <c r="G124" s="117" t="n"/>
      <c r="H124" s="116">
        <f>IF(E124&lt;&gt;"Occupied",0,COUNTIFS($A:$A,A124,$B:$B,B124,$E:$E,"Occupied"))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Management'!$B:$B,DATE(YEAR(CurrentMonth),MONTH(CurrentMonth),1),'Electricity Management'!$C:$C,B124),0),0)</f>
        <v/>
      </c>
      <c r="K124" s="82">
        <f>IF(E124="Occupied",IFERROR(SUMIFS('Electricity Management'!$T:$T,'Electricity Management'!$K:$K,A124,'Electricity Management'!$B:$B,DATE(YEAR(CurrentMonth),MONTH(CurrentMonth),1),'Electricity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>
        <f>IF(COUNTIFS($A:$A,A125,$B:$B,B125,$E:$E,"Occupied")=2,"Yes","No")</f>
        <v/>
      </c>
      <c r="G125" s="117" t="n"/>
      <c r="H125" s="116">
        <f>IF(E125&lt;&gt;"Occupied",0,COUNTIFS($A:$A,A125,$B:$B,B125,$E:$E,"Occupied"))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Management'!$B:$B,DATE(YEAR(CurrentMonth),MONTH(CurrentMonth),1),'Electricity Management'!$C:$C,B125),0),0)</f>
        <v/>
      </c>
      <c r="K125" s="82">
        <f>IF(E125="Occupied",IFERROR(SUMIFS('Electricity Management'!$T:$T,'Electricity Management'!$K:$K,A125,'Electricity Management'!$B:$B,DATE(YEAR(CurrentMonth),MONTH(CurrentMonth),1),'Electricity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>
        <f>IF(COUNTIFS($A:$A,A126,$B:$B,B126,$E:$E,"Occupied")=2,"Yes","No")</f>
        <v/>
      </c>
      <c r="G126" s="117" t="n"/>
      <c r="H126" s="116">
        <f>IF(E126&lt;&gt;"Occupied",0,COUNTIFS($A:$A,A126,$B:$B,B126,$E:$E,"Occupied"))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Management'!$B:$B,DATE(YEAR(CurrentMonth),MONTH(CurrentMonth),1),'Electricity Management'!$C:$C,B126),0),0)</f>
        <v/>
      </c>
      <c r="K126" s="82">
        <f>IF(E126="Occupied",IFERROR(SUMIFS('Electricity Management'!$T:$T,'Electricity Management'!$K:$K,A126,'Electricity Management'!$B:$B,DATE(YEAR(CurrentMonth),MONTH(CurrentMonth),1),'Electricity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>
        <f>IF(COUNTIFS($A:$A,A127,$B:$B,B127,$E:$E,"Occupied")=2,"Yes","No")</f>
        <v/>
      </c>
      <c r="G127" s="117" t="n"/>
      <c r="H127" s="116">
        <f>IF(E127&lt;&gt;"Occupied",0,COUNTIFS($A:$A,A127,$B:$B,B127,$E:$E,"Occupied"))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Management'!$B:$B,DATE(YEAR(CurrentMonth),MONTH(CurrentMonth),1),'Electricity Management'!$C:$C,B127),0),0)</f>
        <v/>
      </c>
      <c r="K127" s="82">
        <f>IF(E127="Occupied",IFERROR(SUMIFS('Electricity Management'!$T:$T,'Electricity Management'!$K:$K,A127,'Electricity Management'!$B:$B,DATE(YEAR(CurrentMonth),MONTH(CurrentMonth),1),'Electricity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>
        <f>IF(COUNTIFS($A:$A,A128,$B:$B,B128,$E:$E,"Occupied")=2,"Yes","No")</f>
        <v/>
      </c>
      <c r="G128" s="117" t="n"/>
      <c r="H128" s="116">
        <f>IF(E128&lt;&gt;"Occupied",0,COUNTIFS($A:$A,A128,$B:$B,B128,$E:$E,"Occupied"))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Management'!$B:$B,DATE(YEAR(CurrentMonth),MONTH(CurrentMonth),1),'Electricity Management'!$C:$C,B128),0),0)</f>
        <v/>
      </c>
      <c r="K128" s="82">
        <f>IF(E128="Occupied",IFERROR(SUMIFS('Electricity Management'!$T:$T,'Electricity Management'!$K:$K,A128,'Electricity Management'!$B:$B,DATE(YEAR(CurrentMonth),MONTH(CurrentMonth),1),'Electricity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>
        <f>IF(COUNTIFS($A:$A,A129,$B:$B,B129,$E:$E,"Occupied")=2,"Yes","No")</f>
        <v/>
      </c>
      <c r="G129" s="117" t="n"/>
      <c r="H129" s="116">
        <f>IF(E129&lt;&gt;"Occupied",0,COUNTIFS($A:$A,A129,$B:$B,B129,$E:$E,"Occupied"))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Management'!$B:$B,DATE(YEAR(CurrentMonth),MONTH(CurrentMonth),1),'Electricity Management'!$C:$C,B129),0),0)</f>
        <v/>
      </c>
      <c r="K129" s="82">
        <f>IF(E129="Occupied",IFERROR(SUMIFS('Electricity Management'!$T:$T,'Electricity Management'!$K:$K,A129,'Electricity Management'!$B:$B,DATE(YEAR(CurrentMonth),MONTH(CurrentMonth),1),'Electricity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>
        <f>IF(COUNTIFS($A:$A,A130,$B:$B,B130,$E:$E,"Occupied")=2,"Yes","No")</f>
        <v/>
      </c>
      <c r="G130" s="117" t="n"/>
      <c r="H130" s="116">
        <f>IF(E130&lt;&gt;"Occupied",0,COUNTIFS($A:$A,A130,$B:$B,B130,$E:$E,"Occupied"))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Management'!$B:$B,DATE(YEAR(CurrentMonth),MONTH(CurrentMonth),1),'Electricity Management'!$C:$C,B130),0),0)</f>
        <v/>
      </c>
      <c r="K130" s="82">
        <f>IF(E130="Occupied",IFERROR(SUMIFS('Electricity Management'!$T:$T,'Electricity Management'!$K:$K,A130,'Electricity Management'!$B:$B,DATE(YEAR(CurrentMonth),MONTH(CurrentMonth),1),'Electricity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>
        <f>IF(COUNTIFS($A:$A,A131,$B:$B,B131,$E:$E,"Occupied")=2,"Yes","No")</f>
        <v/>
      </c>
      <c r="G131" s="117" t="n"/>
      <c r="H131" s="116">
        <f>IF(E131&lt;&gt;"Occupied",0,COUNTIFS($A:$A,A131,$B:$B,B131,$E:$E,"Occupied"))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Management'!$B:$B,DATE(YEAR(CurrentMonth),MONTH(CurrentMonth),1),'Electricity Management'!$C:$C,B131),0),0)</f>
        <v/>
      </c>
      <c r="K131" s="82">
        <f>IF(E131="Occupied",IFERROR(SUMIFS('Electricity Management'!$T:$T,'Electricity Management'!$K:$K,A131,'Electricity Management'!$B:$B,DATE(YEAR(CurrentMonth),MONTH(CurrentMonth),1),'Electricity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>
        <f>IF(COUNTIFS($A:$A,A132,$B:$B,B132,$E:$E,"Occupied")=2,"Yes","No")</f>
        <v/>
      </c>
      <c r="G132" s="117" t="n"/>
      <c r="H132" s="116">
        <f>IF(E132&lt;&gt;"Occupied",0,COUNTIFS($A:$A,A132,$B:$B,B132,$E:$E,"Occupied"))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Management'!$B:$B,DATE(YEAR(CurrentMonth),MONTH(CurrentMonth),1),'Electricity Management'!$C:$C,B132),0),0)</f>
        <v/>
      </c>
      <c r="K132" s="82">
        <f>IF(E132="Occupied",IFERROR(SUMIFS('Electricity Management'!$T:$T,'Electricity Management'!$K:$K,A132,'Electricity Management'!$B:$B,DATE(YEAR(CurrentMonth),MONTH(CurrentMonth),1),'Electricity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>
        <f>IF(COUNTIFS($A:$A,A133,$B:$B,B133,$E:$E,"Occupied")=2,"Yes","No")</f>
        <v/>
      </c>
      <c r="G133" s="117" t="n"/>
      <c r="H133" s="116">
        <f>IF(E133&lt;&gt;"Occupied",0,COUNTIFS($A:$A,A133,$B:$B,B133,$E:$E,"Occupied"))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Management'!$B:$B,DATE(YEAR(CurrentMonth),MONTH(CurrentMonth),1),'Electricity Management'!$C:$C,B133),0),0)</f>
        <v/>
      </c>
      <c r="K133" s="82">
        <f>IF(E133="Occupied",IFERROR(SUMIFS('Electricity Management'!$T:$T,'Electricity Management'!$K:$K,A133,'Electricity Management'!$B:$B,DATE(YEAR(CurrentMonth),MONTH(CurrentMonth),1),'Electricity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>
        <f>IF(COUNTIFS($A:$A,A134,$B:$B,B134,$E:$E,"Occupied")=2,"Yes","No")</f>
        <v/>
      </c>
      <c r="G134" s="117" t="n"/>
      <c r="H134" s="116">
        <f>IF(E134&lt;&gt;"Occupied",0,COUNTIFS($A:$A,A134,$B:$B,B134,$E:$E,"Occupied"))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Management'!$B:$B,DATE(YEAR(CurrentMonth),MONTH(CurrentMonth),1),'Electricity Management'!$C:$C,B134),0),0)</f>
        <v/>
      </c>
      <c r="K134" s="82">
        <f>IF(E134="Occupied",IFERROR(SUMIFS('Electricity Management'!$T:$T,'Electricity Management'!$K:$K,A134,'Electricity Management'!$B:$B,DATE(YEAR(CurrentMonth),MONTH(CurrentMonth),1),'Electricity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>
        <f>IF(COUNTIFS($A:$A,A135,$B:$B,B135,$E:$E,"Occupied")=2,"Yes","No")</f>
        <v/>
      </c>
      <c r="G135" s="117" t="n"/>
      <c r="H135" s="116">
        <f>IF(E135&lt;&gt;"Occupied",0,COUNTIFS($A:$A,A135,$B:$B,B135,$E:$E,"Occupied"))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Management'!$B:$B,DATE(YEAR(CurrentMonth),MONTH(CurrentMonth),1),'Electricity Management'!$C:$C,B135),0),0)</f>
        <v/>
      </c>
      <c r="K135" s="82">
        <f>IF(E135="Occupied",IFERROR(SUMIFS('Electricity Management'!$T:$T,'Electricity Management'!$K:$K,A135,'Electricity Management'!$B:$B,DATE(YEAR(CurrentMonth),MONTH(CurrentMonth),1),'Electricity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>
        <f>IF(COUNTIFS($A:$A,A136,$B:$B,B136,$E:$E,"Occupied")=2,"Yes","No")</f>
        <v/>
      </c>
      <c r="G136" s="117" t="n"/>
      <c r="H136" s="116">
        <f>IF(E136&lt;&gt;"Occupied",0,COUNTIFS($A:$A,A136,$B:$B,B136,$E:$E,"Occupied"))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Management'!$B:$B,DATE(YEAR(CurrentMonth),MONTH(CurrentMonth),1),'Electricity Management'!$C:$C,B136),0),0)</f>
        <v/>
      </c>
      <c r="K136" s="82">
        <f>IF(E136="Occupied",IFERROR(SUMIFS('Electricity Management'!$T:$T,'Electricity Management'!$K:$K,A136,'Electricity Management'!$B:$B,DATE(YEAR(CurrentMonth),MONTH(CurrentMonth),1),'Electricity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>
        <f>IF(COUNTIFS($A:$A,A137,$B:$B,B137,$E:$E,"Occupied")=2,"Yes","No")</f>
        <v/>
      </c>
      <c r="G137" s="117" t="n"/>
      <c r="H137" s="116">
        <f>IF(E137&lt;&gt;"Occupied",0,COUNTIFS($A:$A,A137,$B:$B,B137,$E:$E,"Occupied"))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Management'!$B:$B,DATE(YEAR(CurrentMonth),MONTH(CurrentMonth),1),'Electricity Management'!$C:$C,B137),0),0)</f>
        <v/>
      </c>
      <c r="K137" s="82">
        <f>IF(E137="Occupied",IFERROR(SUMIFS('Electricity Management'!$T:$T,'Electricity Management'!$K:$K,A137,'Electricity Management'!$B:$B,DATE(YEAR(CurrentMonth),MONTH(CurrentMonth),1),'Electricity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>
        <f>IF(COUNTIFS($A:$A,A138,$B:$B,B138,$E:$E,"Occupied")=2,"Yes","No")</f>
        <v/>
      </c>
      <c r="G138" s="117" t="n"/>
      <c r="H138" s="116">
        <f>IF(E138&lt;&gt;"Occupied",0,COUNTIFS($A:$A,A138,$B:$B,B138,$E:$E,"Occupied"))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Management'!$B:$B,DATE(YEAR(CurrentMonth),MONTH(CurrentMonth),1),'Electricity Management'!$C:$C,B138),0),0)</f>
        <v/>
      </c>
      <c r="K138" s="82">
        <f>IF(E138="Occupied",IFERROR(SUMIFS('Electricity Management'!$T:$T,'Electricity Management'!$K:$K,A138,'Electricity Management'!$B:$B,DATE(YEAR(CurrentMonth),MONTH(CurrentMonth),1),'Electricity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>
        <f>IF(COUNTIFS($A:$A,A139,$B:$B,B139,$E:$E,"Occupied")=2,"Yes","No")</f>
        <v/>
      </c>
      <c r="G139" s="117" t="n"/>
      <c r="H139" s="116">
        <f>IF(E139&lt;&gt;"Occupied",0,COUNTIFS($A:$A,A139,$B:$B,B139,$E:$E,"Occupied"))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Management'!$B:$B,DATE(YEAR(CurrentMonth),MONTH(CurrentMonth),1),'Electricity Management'!$C:$C,B139),0),0)</f>
        <v/>
      </c>
      <c r="K139" s="82">
        <f>IF(E139="Occupied",IFERROR(SUMIFS('Electricity Management'!$T:$T,'Electricity Management'!$K:$K,A139,'Electricity Management'!$B:$B,DATE(YEAR(CurrentMonth),MONTH(CurrentMonth),1),'Electricity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>
        <f>IF(COUNTIFS($A:$A,A140,$B:$B,B140,$E:$E,"Occupied")=2,"Yes","No")</f>
        <v/>
      </c>
      <c r="G140" s="117" t="n"/>
      <c r="H140" s="116">
        <f>IF(E140&lt;&gt;"Occupied",0,COUNTIFS($A:$A,A140,$B:$B,B140,$E:$E,"Occupied"))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Management'!$B:$B,DATE(YEAR(CurrentMonth),MONTH(CurrentMonth),1),'Electricity Management'!$C:$C,B140),0),0)</f>
        <v/>
      </c>
      <c r="K140" s="82">
        <f>IF(E140="Occupied",IFERROR(SUMIFS('Electricity Management'!$T:$T,'Electricity Management'!$K:$K,A140,'Electricity Management'!$B:$B,DATE(YEAR(CurrentMonth),MONTH(CurrentMonth),1),'Electricity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>
        <f>IF(COUNTIFS($A:$A,A141,$B:$B,B141,$E:$E,"Occupied")=2,"Yes","No")</f>
        <v/>
      </c>
      <c r="G141" s="117" t="n"/>
      <c r="H141" s="116">
        <f>IF(E141&lt;&gt;"Occupied",0,COUNTIFS($A:$A,A141,$B:$B,B141,$E:$E,"Occupied"))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Management'!$B:$B,DATE(YEAR(CurrentMonth),MONTH(CurrentMonth),1),'Electricity Management'!$C:$C,B141),0),0)</f>
        <v/>
      </c>
      <c r="K141" s="82">
        <f>IF(E141="Occupied",IFERROR(SUMIFS('Electricity Management'!$T:$T,'Electricity Management'!$K:$K,A141,'Electricity Management'!$B:$B,DATE(YEAR(CurrentMonth),MONTH(CurrentMonth),1),'Electricity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>
        <f>IF(COUNTIFS($A:$A,A142,$B:$B,B142,$E:$E,"Occupied")=2,"Yes","No")</f>
        <v/>
      </c>
      <c r="G142" s="117" t="n"/>
      <c r="H142" s="116">
        <f>IF(E142&lt;&gt;"Occupied",0,COUNTIFS($A:$A,A142,$B:$B,B142,$E:$E,"Occupied"))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Management'!$B:$B,DATE(YEAR(CurrentMonth),MONTH(CurrentMonth),1),'Electricity Management'!$C:$C,B142),0),0)</f>
        <v/>
      </c>
      <c r="K142" s="82">
        <f>IF(E142="Occupied",IFERROR(SUMIFS('Electricity Management'!$T:$T,'Electricity Management'!$K:$K,A142,'Electricity Management'!$B:$B,DATE(YEAR(CurrentMonth),MONTH(CurrentMonth),1),'Electricity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>
        <f>IF(COUNTIFS($A:$A,A143,$B:$B,B143,$E:$E,"Occupied")=2,"Yes","No")</f>
        <v/>
      </c>
      <c r="G143" s="117" t="n"/>
      <c r="H143" s="116">
        <f>IF(E143&lt;&gt;"Occupied",0,COUNTIFS($A:$A,A143,$B:$B,B143,$E:$E,"Occupied"))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Management'!$B:$B,DATE(YEAR(CurrentMonth),MONTH(CurrentMonth),1),'Electricity Management'!$C:$C,B143),0),0)</f>
        <v/>
      </c>
      <c r="K143" s="82">
        <f>IF(E143="Occupied",IFERROR(SUMIFS('Electricity Management'!$T:$T,'Electricity Management'!$K:$K,A143,'Electricity Management'!$B:$B,DATE(YEAR(CurrentMonth),MONTH(CurrentMonth),1),'Electricity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>
        <f>IF(COUNTIFS($A:$A,A144,$B:$B,B144,$E:$E,"Occupied")=2,"Yes","No")</f>
        <v/>
      </c>
      <c r="G144" s="117" t="n"/>
      <c r="H144" s="116">
        <f>IF(E144&lt;&gt;"Occupied",0,COUNTIFS($A:$A,A144,$B:$B,B144,$E:$E,"Occupied"))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Management'!$B:$B,DATE(YEAR(CurrentMonth),MONTH(CurrentMonth),1),'Electricity Management'!$C:$C,B144),0),0)</f>
        <v/>
      </c>
      <c r="K144" s="82">
        <f>IF(E144="Occupied",IFERROR(SUMIFS('Electricity Management'!$T:$T,'Electricity Management'!$K:$K,A144,'Electricity Management'!$B:$B,DATE(YEAR(CurrentMonth),MONTH(CurrentMonth),1),'Electricity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>
        <f>IF(COUNTIFS($A:$A,A145,$B:$B,B145,$E:$E,"Occupied")=2,"Yes","No")</f>
        <v/>
      </c>
      <c r="G145" s="117" t="n"/>
      <c r="H145" s="116">
        <f>IF(E145&lt;&gt;"Occupied",0,COUNTIFS($A:$A,A145,$B:$B,B145,$E:$E,"Occupied"))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Management'!$B:$B,DATE(YEAR(CurrentMonth),MONTH(CurrentMonth),1),'Electricity Management'!$C:$C,B145),0),0)</f>
        <v/>
      </c>
      <c r="K145" s="82">
        <f>IF(E145="Occupied",IFERROR(SUMIFS('Electricity Management'!$T:$T,'Electricity Management'!$K:$K,A145,'Electricity Management'!$B:$B,DATE(YEAR(CurrentMonth),MONTH(CurrentMonth),1),'Electricity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>
        <f>IF(COUNTIFS($A:$A,A146,$B:$B,B146,$E:$E,"Occupied")=2,"Yes","No")</f>
        <v/>
      </c>
      <c r="G146" s="117" t="n"/>
      <c r="H146" s="116">
        <f>IF(E146&lt;&gt;"Occupied",0,COUNTIFS($A:$A,A146,$B:$B,B146,$E:$E,"Occupied"))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Management'!$B:$B,DATE(YEAR(CurrentMonth),MONTH(CurrentMonth),1),'Electricity Management'!$C:$C,B146),0),0)</f>
        <v/>
      </c>
      <c r="K146" s="82">
        <f>IF(E146="Occupied",IFERROR(SUMIFS('Electricity Management'!$T:$T,'Electricity Management'!$K:$K,A146,'Electricity Management'!$B:$B,DATE(YEAR(CurrentMonth),MONTH(CurrentMonth),1),'Electricity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>
        <f>IF(COUNTIFS($A:$A,A147,$B:$B,B147,$E:$E,"Occupied")=2,"Yes","No")</f>
        <v/>
      </c>
      <c r="G147" s="117" t="n"/>
      <c r="H147" s="116">
        <f>IF(E147&lt;&gt;"Occupied",0,COUNTIFS($A:$A,A147,$B:$B,B147,$E:$E,"Occupied"))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Management'!$B:$B,DATE(YEAR(CurrentMonth),MONTH(CurrentMonth),1),'Electricity Management'!$C:$C,B147),0),0)</f>
        <v/>
      </c>
      <c r="K147" s="82">
        <f>IF(E147="Occupied",IFERROR(SUMIFS('Electricity Management'!$T:$T,'Electricity Management'!$K:$K,A147,'Electricity Management'!$B:$B,DATE(YEAR(CurrentMonth),MONTH(CurrentMonth),1),'Electricity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>
        <f>IF(COUNTIFS($A:$A,A148,$B:$B,B148,$E:$E,"Occupied")=2,"Yes","No")</f>
        <v/>
      </c>
      <c r="G148" s="117" t="n"/>
      <c r="H148" s="116">
        <f>IF(E148&lt;&gt;"Occupied",0,COUNTIFS($A:$A,A148,$B:$B,B148,$E:$E,"Occupied"))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Management'!$B:$B,DATE(YEAR(CurrentMonth),MONTH(CurrentMonth),1),'Electricity Management'!$C:$C,B148),0),0)</f>
        <v/>
      </c>
      <c r="K148" s="82">
        <f>IF(E148="Occupied",IFERROR(SUMIFS('Electricity Management'!$T:$T,'Electricity Management'!$K:$K,A148,'Electricity Management'!$B:$B,DATE(YEAR(CurrentMonth),MONTH(CurrentMonth),1),'Electricity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>
        <f>IF(COUNTIFS($A:$A,A149,$B:$B,B149,$E:$E,"Occupied")=2,"Yes","No")</f>
        <v/>
      </c>
      <c r="G149" s="117" t="n"/>
      <c r="H149" s="116">
        <f>IF(E149&lt;&gt;"Occupied",0,COUNTIFS($A:$A,A149,$B:$B,B149,$E:$E,"Occupied"))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Management'!$B:$B,DATE(YEAR(CurrentMonth),MONTH(CurrentMonth),1),'Electricity Management'!$C:$C,B149),0),0)</f>
        <v/>
      </c>
      <c r="K149" s="82">
        <f>IF(E149="Occupied",IFERROR(SUMIFS('Electricity Management'!$T:$T,'Electricity Management'!$K:$K,A149,'Electricity Management'!$B:$B,DATE(YEAR(CurrentMonth),MONTH(CurrentMonth),1),'Electricity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>
        <f>IF(COUNTIFS($A:$A,A150,$B:$B,B150,$E:$E,"Occupied")=2,"Yes","No")</f>
        <v/>
      </c>
      <c r="G150" s="117" t="n"/>
      <c r="H150" s="116">
        <f>IF(E150&lt;&gt;"Occupied",0,COUNTIFS($A:$A,A150,$B:$B,B150,$E:$E,"Occupied"))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Management'!$B:$B,DATE(YEAR(CurrentMonth),MONTH(CurrentMonth),1),'Electricity Management'!$C:$C,B150),0),0)</f>
        <v/>
      </c>
      <c r="K150" s="82">
        <f>IF(E150="Occupied",IFERROR(SUMIFS('Electricity Management'!$T:$T,'Electricity Management'!$K:$K,A150,'Electricity Management'!$B:$B,DATE(YEAR(CurrentMonth),MONTH(CurrentMonth),1),'Electricity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>
        <f>IF(COUNTIFS($A:$A,A151,$B:$B,B151,$E:$E,"Occupied")=2,"Yes","No")</f>
        <v/>
      </c>
      <c r="G151" s="117" t="n"/>
      <c r="H151" s="116">
        <f>IF(E151&lt;&gt;"Occupied",0,COUNTIFS($A:$A,A151,$B:$B,B151,$E:$E,"Occupied"))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Management'!$B:$B,DATE(YEAR(CurrentMonth),MONTH(CurrentMonth),1),'Electricity Management'!$C:$C,B151),0),0)</f>
        <v/>
      </c>
      <c r="K151" s="82">
        <f>IF(E151="Occupied",IFERROR(SUMIFS('Electricity Management'!$T:$T,'Electricity Management'!$K:$K,A151,'Electricity Management'!$B:$B,DATE(YEAR(CurrentMonth),MONTH(CurrentMonth),1),'Electricity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>
        <f>IF(COUNTIFS($A:$A,A152,$B:$B,B152,$E:$E,"Occupied")=2,"Yes","No")</f>
        <v/>
      </c>
      <c r="G152" s="117" t="n"/>
      <c r="H152" s="116">
        <f>IF(E152&lt;&gt;"Occupied",0,COUNTIFS($A:$A,A152,$B:$B,B152,$E:$E,"Occupied"))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Management'!$B:$B,DATE(YEAR(CurrentMonth),MONTH(CurrentMonth),1),'Electricity Management'!$C:$C,B152),0),0)</f>
        <v/>
      </c>
      <c r="K152" s="82">
        <f>IF(E152="Occupied",IFERROR(SUMIFS('Electricity Management'!$T:$T,'Electricity Management'!$K:$K,A152,'Electricity Management'!$B:$B,DATE(YEAR(CurrentMonth),MONTH(CurrentMonth),1),'Electricity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>
        <f>IF(COUNTIFS($A:$A,A153,$B:$B,B153,$E:$E,"Occupied")=2,"Yes","No")</f>
        <v/>
      </c>
      <c r="G153" s="117" t="n"/>
      <c r="H153" s="116">
        <f>IF(E153&lt;&gt;"Occupied",0,COUNTIFS($A:$A,A153,$B:$B,B153,$E:$E,"Occupied"))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Management'!$B:$B,DATE(YEAR(CurrentMonth),MONTH(CurrentMonth),1),'Electricity Management'!$C:$C,B153),0),0)</f>
        <v/>
      </c>
      <c r="K153" s="82">
        <f>IF(E153="Occupied",IFERROR(SUMIFS('Electricity Management'!$T:$T,'Electricity Management'!$K:$K,A153,'Electricity Management'!$B:$B,DATE(YEAR(CurrentMonth),MONTH(CurrentMonth),1),'Electricity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>
        <f>IF(COUNTIFS($A:$A,A154,$B:$B,B154,$E:$E,"Occupied")=2,"Yes","No")</f>
        <v/>
      </c>
      <c r="G154" s="117" t="n"/>
      <c r="H154" s="116">
        <f>IF(E154&lt;&gt;"Occupied",0,COUNTIFS($A:$A,A154,$B:$B,B154,$E:$E,"Occupied"))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Management'!$B:$B,DATE(YEAR(CurrentMonth),MONTH(CurrentMonth),1),'Electricity Management'!$C:$C,B154),0),0)</f>
        <v/>
      </c>
      <c r="K154" s="82">
        <f>IF(E154="Occupied",IFERROR(SUMIFS('Electricity Management'!$T:$T,'Electricity Management'!$K:$K,A154,'Electricity Management'!$B:$B,DATE(YEAR(CurrentMonth),MONTH(CurrentMonth),1),'Electricity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>
        <f>IF(COUNTIFS($A:$A,A155,$B:$B,B155,$E:$E,"Occupied")=2,"Yes","No")</f>
        <v/>
      </c>
      <c r="G155" s="117" t="n"/>
      <c r="H155" s="116">
        <f>IF(E155&lt;&gt;"Occupied",0,COUNTIFS($A:$A,A155,$B:$B,B155,$E:$E,"Occupied"))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Management'!$B:$B,DATE(YEAR(CurrentMonth),MONTH(CurrentMonth),1),'Electricity Management'!$C:$C,B155),0),0)</f>
        <v/>
      </c>
      <c r="K155" s="82">
        <f>IF(E155="Occupied",IFERROR(SUMIFS('Electricity Management'!$T:$T,'Electricity Management'!$K:$K,A155,'Electricity Management'!$B:$B,DATE(YEAR(CurrentMonth),MONTH(CurrentMonth),1),'Electricity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>
        <f>IF(COUNTIFS($A:$A,A156,$B:$B,B156,$E:$E,"Occupied")=2,"Yes","No")</f>
        <v/>
      </c>
      <c r="G156" s="117" t="n"/>
      <c r="H156" s="116">
        <f>IF(E156&lt;&gt;"Occupied",0,COUNTIFS($A:$A,A156,$B:$B,B156,$E:$E,"Occupied"))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Management'!$B:$B,DATE(YEAR(CurrentMonth),MONTH(CurrentMonth),1),'Electricity Management'!$C:$C,B156),0),0)</f>
        <v/>
      </c>
      <c r="K156" s="82">
        <f>IF(E156="Occupied",IFERROR(SUMIFS('Electricity Management'!$T:$T,'Electricity Management'!$K:$K,A156,'Electricity Management'!$B:$B,DATE(YEAR(CurrentMonth),MONTH(CurrentMonth),1),'Electricity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>
        <f>IF(COUNTIFS($A:$A,A157,$B:$B,B157,$E:$E,"Occupied")=2,"Yes","No")</f>
        <v/>
      </c>
      <c r="G157" s="117" t="n"/>
      <c r="H157" s="116">
        <f>IF(E157&lt;&gt;"Occupied",0,COUNTIFS($A:$A,A157,$B:$B,B157,$E:$E,"Occupied"))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Management'!$B:$B,DATE(YEAR(CurrentMonth),MONTH(CurrentMonth),1),'Electricity Management'!$C:$C,B157),0),0)</f>
        <v/>
      </c>
      <c r="K157" s="82">
        <f>IF(E157="Occupied",IFERROR(SUMIFS('Electricity Management'!$T:$T,'Electricity Management'!$K:$K,A157,'Electricity Management'!$B:$B,DATE(YEAR(CurrentMonth),MONTH(CurrentMonth),1),'Electricity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>
        <f>IF(COUNTIFS($A:$A,A158,$B:$B,B158,$E:$E,"Occupied")=2,"Yes","No")</f>
        <v/>
      </c>
      <c r="G158" s="117" t="n"/>
      <c r="H158" s="116">
        <f>IF(E158&lt;&gt;"Occupied",0,COUNTIFS($A:$A,A158,$B:$B,B158,$E:$E,"Occupied"))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Management'!$B:$B,DATE(YEAR(CurrentMonth),MONTH(CurrentMonth),1),'Electricity Management'!$C:$C,B158),0),0)</f>
        <v/>
      </c>
      <c r="K158" s="82">
        <f>IF(E158="Occupied",IFERROR(SUMIFS('Electricity Management'!$T:$T,'Electricity Management'!$K:$K,A158,'Electricity Management'!$B:$B,DATE(YEAR(CurrentMonth),MONTH(CurrentMonth),1),'Electricity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>
        <f>IF(COUNTIFS($A:$A,A159,$B:$B,B159,$E:$E,"Occupied")=2,"Yes","No")</f>
        <v/>
      </c>
      <c r="G159" s="117" t="n"/>
      <c r="H159" s="116">
        <f>IF(E159&lt;&gt;"Occupied",0,COUNTIFS($A:$A,A159,$B:$B,B159,$E:$E,"Occupied"))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Management'!$B:$B,DATE(YEAR(CurrentMonth),MONTH(CurrentMonth),1),'Electricity Management'!$C:$C,B159),0),0)</f>
        <v/>
      </c>
      <c r="K159" s="82">
        <f>IF(E159="Occupied",IFERROR(SUMIFS('Electricity Management'!$T:$T,'Electricity Management'!$K:$K,A159,'Electricity Management'!$B:$B,DATE(YEAR(CurrentMonth),MONTH(CurrentMonth),1),'Electricity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>
        <f>IF(COUNTIFS($A:$A,A160,$B:$B,B160,$E:$E,"Occupied")=2,"Yes","No")</f>
        <v/>
      </c>
      <c r="G160" s="117" t="n"/>
      <c r="H160" s="116">
        <f>IF(E160&lt;&gt;"Occupied",0,COUNTIFS($A:$A,A160,$B:$B,B160,$E:$E,"Occupied"))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Management'!$B:$B,DATE(YEAR(CurrentMonth),MONTH(CurrentMonth),1),'Electricity Management'!$C:$C,B160),0),0)</f>
        <v/>
      </c>
      <c r="K160" s="82">
        <f>IF(E160="Occupied",IFERROR(SUMIFS('Electricity Management'!$T:$T,'Electricity Management'!$K:$K,A160,'Electricity Management'!$B:$B,DATE(YEAR(CurrentMonth),MONTH(CurrentMonth),1),'Electricity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>
        <f>IF(COUNTIFS($A:$A,A161,$B:$B,B161,$E:$E,"Occupied")=2,"Yes","No")</f>
        <v/>
      </c>
      <c r="G161" s="117" t="n"/>
      <c r="H161" s="116">
        <f>IF(E161&lt;&gt;"Occupied",0,COUNTIFS($A:$A,A161,$B:$B,B161,$E:$E,"Occupied"))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Management'!$B:$B,DATE(YEAR(CurrentMonth),MONTH(CurrentMonth),1),'Electricity Management'!$C:$C,B161),0),0)</f>
        <v/>
      </c>
      <c r="K161" s="82">
        <f>IF(E161="Occupied",IFERROR(SUMIFS('Electricity Management'!$T:$T,'Electricity Management'!$K:$K,A161,'Electricity Management'!$B:$B,DATE(YEAR(CurrentMonth),MONTH(CurrentMonth),1),'Electricity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>
        <f>IF(COUNTIFS($A:$A,A162,$B:$B,B162,$E:$E,"Occupied")=2,"Yes","No")</f>
        <v/>
      </c>
      <c r="G162" s="117" t="n"/>
      <c r="H162" s="116">
        <f>IF(E162&lt;&gt;"Occupied",0,COUNTIFS($A:$A,A162,$B:$B,B162,$E:$E,"Occupied"))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Management'!$B:$B,DATE(YEAR(CurrentMonth),MONTH(CurrentMonth),1),'Electricity Management'!$C:$C,B162),0),0)</f>
        <v/>
      </c>
      <c r="K162" s="82">
        <f>IF(E162="Occupied",IFERROR(SUMIFS('Electricity Management'!$T:$T,'Electricity Management'!$K:$K,A162,'Electricity Management'!$B:$B,DATE(YEAR(CurrentMonth),MONTH(CurrentMonth),1),'Electricity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>
        <f>IF(COUNTIFS($A:$A,A163,$B:$B,B163,$E:$E,"Occupied")=2,"Yes","No")</f>
        <v/>
      </c>
      <c r="G163" s="117" t="n"/>
      <c r="H163" s="116">
        <f>IF(E163&lt;&gt;"Occupied",0,COUNTIFS($A:$A,A163,$B:$B,B163,$E:$E,"Occupied"))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Management'!$B:$B,DATE(YEAR(CurrentMonth),MONTH(CurrentMonth),1),'Electricity Management'!$C:$C,B163),0),0)</f>
        <v/>
      </c>
      <c r="K163" s="82">
        <f>IF(E163="Occupied",IFERROR(SUMIFS('Electricity Management'!$T:$T,'Electricity Management'!$K:$K,A163,'Electricity Management'!$B:$B,DATE(YEAR(CurrentMonth),MONTH(CurrentMonth),1),'Electricity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>
        <f>IF(COUNTIFS($A:$A,A164,$B:$B,B164,$E:$E,"Occupied")=2,"Yes","No")</f>
        <v/>
      </c>
      <c r="G164" s="117" t="n"/>
      <c r="H164" s="116">
        <f>IF(E164&lt;&gt;"Occupied",0,COUNTIFS($A:$A,A164,$B:$B,B164,$E:$E,"Occupied"))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Management'!$B:$B,DATE(YEAR(CurrentMonth),MONTH(CurrentMonth),1),'Electricity Management'!$C:$C,B164),0),0)</f>
        <v/>
      </c>
      <c r="K164" s="82">
        <f>IF(E164="Occupied",IFERROR(SUMIFS('Electricity Management'!$T:$T,'Electricity Management'!$K:$K,A164,'Electricity Management'!$B:$B,DATE(YEAR(CurrentMonth),MONTH(CurrentMonth),1),'Electricity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>
        <f>IF(COUNTIFS($A:$A,A165,$B:$B,B165,$E:$E,"Occupied")=2,"Yes","No")</f>
        <v/>
      </c>
      <c r="G165" s="117" t="n"/>
      <c r="H165" s="116">
        <f>IF(E165&lt;&gt;"Occupied",0,COUNTIFS($A:$A,A165,$B:$B,B165,$E:$E,"Occupied"))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Management'!$B:$B,DATE(YEAR(CurrentMonth),MONTH(CurrentMonth),1),'Electricity Management'!$C:$C,B165),0),0)</f>
        <v/>
      </c>
      <c r="K165" s="82">
        <f>IF(E165="Occupied",IFERROR(SUMIFS('Electricity Management'!$T:$T,'Electricity Management'!$K:$K,A165,'Electricity Management'!$B:$B,DATE(YEAR(CurrentMonth),MONTH(CurrentMonth),1),'Electricity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>
        <f>IF(COUNTIFS($A:$A,A166,$B:$B,B166,$E:$E,"Occupied")=2,"Yes","No")</f>
        <v/>
      </c>
      <c r="G166" s="117" t="n"/>
      <c r="H166" s="116">
        <f>IF(E166&lt;&gt;"Occupied",0,COUNTIFS($A:$A,A166,$B:$B,B166,$E:$E,"Occupied"))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Management'!$B:$B,DATE(YEAR(CurrentMonth),MONTH(CurrentMonth),1),'Electricity Management'!$C:$C,B166),0),0)</f>
        <v/>
      </c>
      <c r="K166" s="82">
        <f>IF(E166="Occupied",IFERROR(SUMIFS('Electricity Management'!$T:$T,'Electricity Management'!$K:$K,A166,'Electricity Management'!$B:$B,DATE(YEAR(CurrentMonth),MONTH(CurrentMonth),1),'Electricity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>
        <f>IF(COUNTIFS($A:$A,A167,$B:$B,B167,$E:$E,"Occupied")=2,"Yes","No")</f>
        <v/>
      </c>
      <c r="G167" s="117" t="n"/>
      <c r="H167" s="116">
        <f>IF(E167&lt;&gt;"Occupied",0,COUNTIFS($A:$A,A167,$B:$B,B167,$E:$E,"Occupied"))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Management'!$B:$B,DATE(YEAR(CurrentMonth),MONTH(CurrentMonth),1),'Electricity Management'!$C:$C,B167),0),0)</f>
        <v/>
      </c>
      <c r="K167" s="82">
        <f>IF(E167="Occupied",IFERROR(SUMIFS('Electricity Management'!$T:$T,'Electricity Management'!$K:$K,A167,'Electricity Management'!$B:$B,DATE(YEAR(CurrentMonth),MONTH(CurrentMonth),1),'Electricity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>
        <f>IF(COUNTIFS($A:$A,A168,$B:$B,B168,$E:$E,"Occupied")=2,"Yes","No")</f>
        <v/>
      </c>
      <c r="G168" s="117" t="n"/>
      <c r="H168" s="116">
        <f>IF(E168&lt;&gt;"Occupied",0,COUNTIFS($A:$A,A168,$B:$B,B168,$E:$E,"Occupied"))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Management'!$B:$B,DATE(YEAR(CurrentMonth),MONTH(CurrentMonth),1),'Electricity Management'!$C:$C,B168),0),0)</f>
        <v/>
      </c>
      <c r="K168" s="82">
        <f>IF(E168="Occupied",IFERROR(SUMIFS('Electricity Management'!$T:$T,'Electricity Management'!$K:$K,A168,'Electricity Management'!$B:$B,DATE(YEAR(CurrentMonth),MONTH(CurrentMonth),1),'Electricity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>
        <f>IF(COUNTIFS($A:$A,A169,$B:$B,B169,$E:$E,"Occupied")=2,"Yes","No")</f>
        <v/>
      </c>
      <c r="G169" s="117" t="n"/>
      <c r="H169" s="116">
        <f>IF(E169&lt;&gt;"Occupied",0,COUNTIFS($A:$A,A169,$B:$B,B169,$E:$E,"Occupied"))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Management'!$B:$B,DATE(YEAR(CurrentMonth),MONTH(CurrentMonth),1),'Electricity Management'!$C:$C,B169),0),0)</f>
        <v/>
      </c>
      <c r="K169" s="82">
        <f>IF(E169="Occupied",IFERROR(SUMIFS('Electricity Management'!$T:$T,'Electricity Management'!$K:$K,A169,'Electricity Management'!$B:$B,DATE(YEAR(CurrentMonth),MONTH(CurrentMonth),1),'Electricity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>
        <f>IF(COUNTIFS($A:$A,A170,$B:$B,B170,$E:$E,"Occupied")=2,"Yes","No")</f>
        <v/>
      </c>
      <c r="G170" s="117" t="n"/>
      <c r="H170" s="116">
        <f>IF(E170&lt;&gt;"Occupied",0,COUNTIFS($A:$A,A170,$B:$B,B170,$E:$E,"Occupied"))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Management'!$B:$B,DATE(YEAR(CurrentMonth),MONTH(CurrentMonth),1),'Electricity Management'!$C:$C,B170),0),0)</f>
        <v/>
      </c>
      <c r="K170" s="82">
        <f>IF(E170="Occupied",IFERROR(SUMIFS('Electricity Management'!$T:$T,'Electricity Management'!$K:$K,A170,'Electricity Management'!$B:$B,DATE(YEAR(CurrentMonth),MONTH(CurrentMonth),1),'Electricity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>
        <f>IF(COUNTIFS($A:$A,A171,$B:$B,B171,$E:$E,"Occupied")=2,"Yes","No")</f>
        <v/>
      </c>
      <c r="G171" s="117" t="n"/>
      <c r="H171" s="116">
        <f>IF(E171&lt;&gt;"Occupied",0,COUNTIFS($A:$A,A171,$B:$B,B171,$E:$E,"Occupied"))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Management'!$B:$B,DATE(YEAR(CurrentMonth),MONTH(CurrentMonth),1),'Electricity Management'!$C:$C,B171),0),0)</f>
        <v/>
      </c>
      <c r="K171" s="82">
        <f>IF(E171="Occupied",IFERROR(SUMIFS('Electricity Management'!$T:$T,'Electricity Management'!$K:$K,A171,'Electricity Management'!$B:$B,DATE(YEAR(CurrentMonth),MONTH(CurrentMonth),1),'Electricity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>
        <f>IF(COUNTIFS($A:$A,A172,$B:$B,B172,$E:$E,"Occupied")=2,"Yes","No")</f>
        <v/>
      </c>
      <c r="G172" s="117" t="n"/>
      <c r="H172" s="116">
        <f>IF(E172&lt;&gt;"Occupied",0,COUNTIFS($A:$A,A172,$B:$B,B172,$E:$E,"Occupied"))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Management'!$B:$B,DATE(YEAR(CurrentMonth),MONTH(CurrentMonth),1),'Electricity Management'!$C:$C,B172),0),0)</f>
        <v/>
      </c>
      <c r="K172" s="82">
        <f>IF(E172="Occupied",IFERROR(SUMIFS('Electricity Management'!$T:$T,'Electricity Management'!$K:$K,A172,'Electricity Management'!$B:$B,DATE(YEAR(CurrentMonth),MONTH(CurrentMonth),1),'Electricity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>
        <f>IF(COUNTIFS($A:$A,A173,$B:$B,B173,$E:$E,"Occupied")=2,"Yes","No")</f>
        <v/>
      </c>
      <c r="G173" s="117" t="n"/>
      <c r="H173" s="116">
        <f>IF(E173&lt;&gt;"Occupied",0,COUNTIFS($A:$A,A173,$B:$B,B173,$E:$E,"Occupied"))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Management'!$B:$B,DATE(YEAR(CurrentMonth),MONTH(CurrentMonth),1),'Electricity Management'!$C:$C,B173),0),0)</f>
        <v/>
      </c>
      <c r="K173" s="82">
        <f>IF(E173="Occupied",IFERROR(SUMIFS('Electricity Management'!$T:$T,'Electricity Management'!$K:$K,A173,'Electricity Management'!$B:$B,DATE(YEAR(CurrentMonth),MONTH(CurrentMonth),1),'Electricity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>
        <f>IF(COUNTIFS($A:$A,A174,$B:$B,B174,$E:$E,"Occupied")=2,"Yes","No")</f>
        <v/>
      </c>
      <c r="G174" s="117" t="n"/>
      <c r="H174" s="116">
        <f>IF(E174&lt;&gt;"Occupied",0,COUNTIFS($A:$A,A174,$B:$B,B174,$E:$E,"Occupied"))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Management'!$B:$B,DATE(YEAR(CurrentMonth),MONTH(CurrentMonth),1),'Electricity Management'!$C:$C,B174),0),0)</f>
        <v/>
      </c>
      <c r="K174" s="82">
        <f>IF(E174="Occupied",IFERROR(SUMIFS('Electricity Management'!$T:$T,'Electricity Management'!$K:$K,A174,'Electricity Management'!$B:$B,DATE(YEAR(CurrentMonth),MONTH(CurrentMonth),1),'Electricity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>
        <f>IF(COUNTIFS($A:$A,A175,$B:$B,B175,$E:$E,"Occupied")=2,"Yes","No")</f>
        <v/>
      </c>
      <c r="G175" s="117" t="n"/>
      <c r="H175" s="116">
        <f>IF(E175&lt;&gt;"Occupied",0,COUNTIFS($A:$A,A175,$B:$B,B175,$E:$E,"Occupied"))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Management'!$B:$B,DATE(YEAR(CurrentMonth),MONTH(CurrentMonth),1),'Electricity Management'!$C:$C,B175),0),0)</f>
        <v/>
      </c>
      <c r="K175" s="82">
        <f>IF(E175="Occupied",IFERROR(SUMIFS('Electricity Management'!$T:$T,'Electricity Management'!$K:$K,A175,'Electricity Management'!$B:$B,DATE(YEAR(CurrentMonth),MONTH(CurrentMonth),1),'Electricity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>
        <f>IF(COUNTIFS($A:$A,A176,$B:$B,B176,$E:$E,"Occupied")=2,"Yes","No")</f>
        <v/>
      </c>
      <c r="G176" s="117" t="n"/>
      <c r="H176" s="116">
        <f>IF(E176&lt;&gt;"Occupied",0,COUNTIFS($A:$A,A176,$B:$B,B176,$E:$E,"Occupied"))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Management'!$B:$B,DATE(YEAR(CurrentMonth),MONTH(CurrentMonth),1),'Electricity Management'!$C:$C,B176),0),0)</f>
        <v/>
      </c>
      <c r="K176" s="82">
        <f>IF(E176="Occupied",IFERROR(SUMIFS('Electricity Management'!$T:$T,'Electricity Management'!$K:$K,A176,'Electricity Management'!$B:$B,DATE(YEAR(CurrentMonth),MONTH(CurrentMonth),1),'Electricity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>
        <f>IF(COUNTIFS($A:$A,A177,$B:$B,B177,$E:$E,"Occupied")=2,"Yes","No")</f>
        <v/>
      </c>
      <c r="G177" s="117" t="n"/>
      <c r="H177" s="116">
        <f>IF(E177&lt;&gt;"Occupied",0,COUNTIFS($A:$A,A177,$B:$B,B177,$E:$E,"Occupied"))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Management'!$B:$B,DATE(YEAR(CurrentMonth),MONTH(CurrentMonth),1),'Electricity Management'!$C:$C,B177),0),0)</f>
        <v/>
      </c>
      <c r="K177" s="82">
        <f>IF(E177="Occupied",IFERROR(SUMIFS('Electricity Management'!$T:$T,'Electricity Management'!$K:$K,A177,'Electricity Management'!$B:$B,DATE(YEAR(CurrentMonth),MONTH(CurrentMonth),1),'Electricity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>
        <f>IF(COUNTIFS($A:$A,A178,$B:$B,B178,$E:$E,"Occupied")=2,"Yes","No")</f>
        <v/>
      </c>
      <c r="G178" s="117" t="n"/>
      <c r="H178" s="116">
        <f>IF(E178&lt;&gt;"Occupied",0,COUNTIFS($A:$A,A178,$B:$B,B178,$E:$E,"Occupied"))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Management'!$B:$B,DATE(YEAR(CurrentMonth),MONTH(CurrentMonth),1),'Electricity Management'!$C:$C,B178),0),0)</f>
        <v/>
      </c>
      <c r="K178" s="82">
        <f>IF(E178="Occupied",IFERROR(SUMIFS('Electricity Management'!$T:$T,'Electricity Management'!$K:$K,A178,'Electricity Management'!$B:$B,DATE(YEAR(CurrentMonth),MONTH(CurrentMonth),1),'Electricity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>
        <f>IF(COUNTIFS($A:$A,A179,$B:$B,B179,$E:$E,"Occupied")=2,"Yes","No")</f>
        <v/>
      </c>
      <c r="G179" s="117" t="n"/>
      <c r="H179" s="116">
        <f>IF(E179&lt;&gt;"Occupied",0,COUNTIFS($A:$A,A179,$B:$B,B179,$E:$E,"Occupied"))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Management'!$B:$B,DATE(YEAR(CurrentMonth),MONTH(CurrentMonth),1),'Electricity Management'!$C:$C,B179),0),0)</f>
        <v/>
      </c>
      <c r="K179" s="82">
        <f>IF(E179="Occupied",IFERROR(SUMIFS('Electricity Management'!$T:$T,'Electricity Management'!$K:$K,A179,'Electricity Management'!$B:$B,DATE(YEAR(CurrentMonth),MONTH(CurrentMonth),1),'Electricity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>
        <f>IF(COUNTIFS($A:$A,A180,$B:$B,B180,$E:$E,"Occupied")=2,"Yes","No")</f>
        <v/>
      </c>
      <c r="G180" s="117" t="n"/>
      <c r="H180" s="116">
        <f>IF(E180&lt;&gt;"Occupied",0,COUNTIFS($A:$A,A180,$B:$B,B180,$E:$E,"Occupied"))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Management'!$B:$B,DATE(YEAR(CurrentMonth),MONTH(CurrentMonth),1),'Electricity Management'!$C:$C,B180),0),0)</f>
        <v/>
      </c>
      <c r="K180" s="82">
        <f>IF(E180="Occupied",IFERROR(SUMIFS('Electricity Management'!$T:$T,'Electricity Management'!$K:$K,A180,'Electricity Management'!$B:$B,DATE(YEAR(CurrentMonth),MONTH(CurrentMonth),1),'Electricity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>
        <f>IF(COUNTIFS($A:$A,A181,$B:$B,B181,$E:$E,"Occupied")=2,"Yes","No")</f>
        <v/>
      </c>
      <c r="G181" s="117" t="n"/>
      <c r="H181" s="116">
        <f>IF(E181&lt;&gt;"Occupied",0,COUNTIFS($A:$A,A181,$B:$B,B181,$E:$E,"Occupied"))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Management'!$B:$B,DATE(YEAR(CurrentMonth),MONTH(CurrentMonth),1),'Electricity Management'!$C:$C,B181),0),0)</f>
        <v/>
      </c>
      <c r="K181" s="82">
        <f>IF(E181="Occupied",IFERROR(SUMIFS('Electricity Management'!$T:$T,'Electricity Management'!$K:$K,A181,'Electricity Management'!$B:$B,DATE(YEAR(CurrentMonth),MONTH(CurrentMonth),1),'Electricity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>
        <f>IF(COUNTIFS($A:$A,A182,$B:$B,B182,$E:$E,"Occupied")=2,"Yes","No")</f>
        <v/>
      </c>
      <c r="G182" s="117" t="n"/>
      <c r="H182" s="116">
        <f>IF(E182&lt;&gt;"Occupied",0,COUNTIFS($A:$A,A182,$B:$B,B182,$E:$E,"Occupied"))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Management'!$B:$B,DATE(YEAR(CurrentMonth),MONTH(CurrentMonth),1),'Electricity Management'!$C:$C,B182),0),0)</f>
        <v/>
      </c>
      <c r="K182" s="82">
        <f>IF(E182="Occupied",IFERROR(SUMIFS('Electricity Management'!$T:$T,'Electricity Management'!$K:$K,A182,'Electricity Management'!$B:$B,DATE(YEAR(CurrentMonth),MONTH(CurrentMonth),1),'Electricity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>
        <f>IF(COUNTIFS($A:$A,A183,$B:$B,B183,$E:$E,"Occupied")=2,"Yes","No")</f>
        <v/>
      </c>
      <c r="G183" s="117" t="n"/>
      <c r="H183" s="116">
        <f>IF(E183&lt;&gt;"Occupied",0,COUNTIFS($A:$A,A183,$B:$B,B183,$E:$E,"Occupied"))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Management'!$B:$B,DATE(YEAR(CurrentMonth),MONTH(CurrentMonth),1),'Electricity Management'!$C:$C,B183),0),0)</f>
        <v/>
      </c>
      <c r="K183" s="82">
        <f>IF(E183="Occupied",IFERROR(SUMIFS('Electricity Management'!$T:$T,'Electricity Management'!$K:$K,A183,'Electricity Management'!$B:$B,DATE(YEAR(CurrentMonth),MONTH(CurrentMonth),1),'Electricity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>
        <f>IF(COUNTIFS($A:$A,A184,$B:$B,B184,$E:$E,"Occupied")=2,"Yes","No")</f>
        <v/>
      </c>
      <c r="G184" s="117" t="n"/>
      <c r="H184" s="116">
        <f>IF(E184&lt;&gt;"Occupied",0,COUNTIFS($A:$A,A184,$B:$B,B184,$E:$E,"Occupied"))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Management'!$B:$B,DATE(YEAR(CurrentMonth),MONTH(CurrentMonth),1),'Electricity Management'!$C:$C,B184),0),0)</f>
        <v/>
      </c>
      <c r="K184" s="82">
        <f>IF(E184="Occupied",IFERROR(SUMIFS('Electricity Management'!$T:$T,'Electricity Management'!$K:$K,A184,'Electricity Management'!$B:$B,DATE(YEAR(CurrentMonth),MONTH(CurrentMonth),1),'Electricity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>
        <f>IF(COUNTIFS($A:$A,A185,$B:$B,B185,$E:$E,"Occupied")=2,"Yes","No")</f>
        <v/>
      </c>
      <c r="G185" s="117" t="n"/>
      <c r="H185" s="116">
        <f>IF(E185&lt;&gt;"Occupied",0,COUNTIFS($A:$A,A185,$B:$B,B185,$E:$E,"Occupied"))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Management'!$B:$B,DATE(YEAR(CurrentMonth),MONTH(CurrentMonth),1),'Electricity Management'!$C:$C,B185),0),0)</f>
        <v/>
      </c>
      <c r="K185" s="82">
        <f>IF(E185="Occupied",IFERROR(SUMIFS('Electricity Management'!$T:$T,'Electricity Management'!$K:$K,A185,'Electricity Management'!$B:$B,DATE(YEAR(CurrentMonth),MONTH(CurrentMonth),1),'Electricity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>
        <f>IF(COUNTIFS($A:$A,A186,$B:$B,B186,$E:$E,"Occupied")=2,"Yes","No")</f>
        <v/>
      </c>
      <c r="G186" s="117" t="n"/>
      <c r="H186" s="116">
        <f>IF(E186&lt;&gt;"Occupied",0,COUNTIFS($A:$A,A186,$B:$B,B186,$E:$E,"Occupied"))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Management'!$B:$B,DATE(YEAR(CurrentMonth),MONTH(CurrentMonth),1),'Electricity Management'!$C:$C,B186),0),0)</f>
        <v/>
      </c>
      <c r="K186" s="82">
        <f>IF(E186="Occupied",IFERROR(SUMIFS('Electricity Management'!$T:$T,'Electricity Management'!$K:$K,A186,'Electricity Management'!$B:$B,DATE(YEAR(CurrentMonth),MONTH(CurrentMonth),1),'Electricity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>
        <f>IF(COUNTIFS($A:$A,A187,$B:$B,B187,$E:$E,"Occupied")=2,"Yes","No")</f>
        <v/>
      </c>
      <c r="G187" s="117" t="n"/>
      <c r="H187" s="116">
        <f>IF(E187&lt;&gt;"Occupied",0,COUNTIFS($A:$A,A187,$B:$B,B187,$E:$E,"Occupied"))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Management'!$B:$B,DATE(YEAR(CurrentMonth),MONTH(CurrentMonth),1),'Electricity Management'!$C:$C,B187),0),0)</f>
        <v/>
      </c>
      <c r="K187" s="82">
        <f>IF(E187="Occupied",IFERROR(SUMIFS('Electricity Management'!$T:$T,'Electricity Management'!$K:$K,A187,'Electricity Management'!$B:$B,DATE(YEAR(CurrentMonth),MONTH(CurrentMonth),1),'Electricity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>
        <f>IF(COUNTIFS($A:$A,A188,$B:$B,B188,$E:$E,"Occupied")=2,"Yes","No")</f>
        <v/>
      </c>
      <c r="G188" s="117" t="n"/>
      <c r="H188" s="116">
        <f>IF(E188&lt;&gt;"Occupied",0,COUNTIFS($A:$A,A188,$B:$B,B188,$E:$E,"Occupied"))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Management'!$B:$B,DATE(YEAR(CurrentMonth),MONTH(CurrentMonth),1),'Electricity Management'!$C:$C,B188),0),0)</f>
        <v/>
      </c>
      <c r="K188" s="82">
        <f>IF(E188="Occupied",IFERROR(SUMIFS('Electricity Management'!$T:$T,'Electricity Management'!$K:$K,A188,'Electricity Management'!$B:$B,DATE(YEAR(CurrentMonth),MONTH(CurrentMonth),1),'Electricity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>
        <f>IF(COUNTIFS($A:$A,A189,$B:$B,B189,$E:$E,"Occupied")=2,"Yes","No")</f>
        <v/>
      </c>
      <c r="G189" s="117" t="n"/>
      <c r="H189" s="116">
        <f>IF(E189&lt;&gt;"Occupied",0,COUNTIFS($A:$A,A189,$B:$B,B189,$E:$E,"Occupied"))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Management'!$B:$B,DATE(YEAR(CurrentMonth),MONTH(CurrentMonth),1),'Electricity Management'!$C:$C,B189),0),0)</f>
        <v/>
      </c>
      <c r="K189" s="82">
        <f>IF(E189="Occupied",IFERROR(SUMIFS('Electricity Management'!$T:$T,'Electricity Management'!$K:$K,A189,'Electricity Management'!$B:$B,DATE(YEAR(CurrentMonth),MONTH(CurrentMonth),1),'Electricity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>
        <f>IF(COUNTIFS($A:$A,A190,$B:$B,B190,$E:$E,"Occupied")=2,"Yes","No")</f>
        <v/>
      </c>
      <c r="G190" s="117" t="n"/>
      <c r="H190" s="116">
        <f>IF(E190&lt;&gt;"Occupied",0,COUNTIFS($A:$A,A190,$B:$B,B190,$E:$E,"Occupied"))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Management'!$B:$B,DATE(YEAR(CurrentMonth),MONTH(CurrentMonth),1),'Electricity Management'!$C:$C,B190),0),0)</f>
        <v/>
      </c>
      <c r="K190" s="82">
        <f>IF(E190="Occupied",IFERROR(SUMIFS('Electricity Management'!$T:$T,'Electricity Management'!$K:$K,A190,'Electricity Management'!$B:$B,DATE(YEAR(CurrentMonth),MONTH(CurrentMonth),1),'Electricity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>
        <f>IF(COUNTIFS($A:$A,A191,$B:$B,B191,$E:$E,"Occupied")=2,"Yes","No")</f>
        <v/>
      </c>
      <c r="G191" s="117" t="n"/>
      <c r="H191" s="116">
        <f>IF(E191&lt;&gt;"Occupied",0,COUNTIFS($A:$A,A191,$B:$B,B191,$E:$E,"Occupied"))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Management'!$B:$B,DATE(YEAR(CurrentMonth),MONTH(CurrentMonth),1),'Electricity Management'!$C:$C,B191),0),0)</f>
        <v/>
      </c>
      <c r="K191" s="82">
        <f>IF(E191="Occupied",IFERROR(SUMIFS('Electricity Management'!$T:$T,'Electricity Management'!$K:$K,A191,'Electricity Management'!$B:$B,DATE(YEAR(CurrentMonth),MONTH(CurrentMonth),1),'Electricity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>
        <f>IF(COUNTIFS($A:$A,A192,$B:$B,B192,$E:$E,"Occupied")=2,"Yes","No")</f>
        <v/>
      </c>
      <c r="G192" s="117" t="n"/>
      <c r="H192" s="116">
        <f>IF(E192&lt;&gt;"Occupied",0,COUNTIFS($A:$A,A192,$B:$B,B192,$E:$E,"Occupied"))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Management'!$B:$B,DATE(YEAR(CurrentMonth),MONTH(CurrentMonth),1),'Electricity Management'!$C:$C,B192),0),0)</f>
        <v/>
      </c>
      <c r="K192" s="82">
        <f>IF(E192="Occupied",IFERROR(SUMIFS('Electricity Management'!$T:$T,'Electricity Management'!$K:$K,A192,'Electricity Management'!$B:$B,DATE(YEAR(CurrentMonth),MONTH(CurrentMonth),1),'Electricity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>
        <f>IF(COUNTIFS($A:$A,A193,$B:$B,B193,$E:$E,"Occupied")=2,"Yes","No")</f>
        <v/>
      </c>
      <c r="G193" s="117" t="n"/>
      <c r="H193" s="116">
        <f>IF(E193&lt;&gt;"Occupied",0,COUNTIFS($A:$A,A193,$B:$B,B193,$E:$E,"Occupied"))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Management'!$B:$B,DATE(YEAR(CurrentMonth),MONTH(CurrentMonth),1),'Electricity Management'!$C:$C,B193),0),0)</f>
        <v/>
      </c>
      <c r="K193" s="82">
        <f>IF(E193="Occupied",IFERROR(SUMIFS('Electricity Management'!$T:$T,'Electricity Management'!$K:$K,A193,'Electricity Management'!$B:$B,DATE(YEAR(CurrentMonth),MONTH(CurrentMonth),1),'Electricity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>
        <f>IF(COUNTIFS($A:$A,A194,$B:$B,B194,$E:$E,"Occupied")=2,"Yes","No")</f>
        <v/>
      </c>
      <c r="G194" s="117" t="n"/>
      <c r="H194" s="116">
        <f>IF(E194&lt;&gt;"Occupied",0,COUNTIFS($A:$A,A194,$B:$B,B194,$E:$E,"Occupied"))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Management'!$B:$B,DATE(YEAR(CurrentMonth),MONTH(CurrentMonth),1),'Electricity Management'!$C:$C,B194),0),0)</f>
        <v/>
      </c>
      <c r="K194" s="82">
        <f>IF(E194="Occupied",IFERROR(SUMIFS('Electricity Management'!$T:$T,'Electricity Management'!$K:$K,A194,'Electricity Management'!$B:$B,DATE(YEAR(CurrentMonth),MONTH(CurrentMonth),1),'Electricity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>
        <f>IF(COUNTIFS($A:$A,A195,$B:$B,B195,$E:$E,"Occupied")=2,"Yes","No")</f>
        <v/>
      </c>
      <c r="G195" s="117" t="n"/>
      <c r="H195" s="116">
        <f>IF(E195&lt;&gt;"Occupied",0,COUNTIFS($A:$A,A195,$B:$B,B195,$E:$E,"Occupied"))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Management'!$B:$B,DATE(YEAR(CurrentMonth),MONTH(CurrentMonth),1),'Electricity Management'!$C:$C,B195),0),0)</f>
        <v/>
      </c>
      <c r="K195" s="82">
        <f>IF(E195="Occupied",IFERROR(SUMIFS('Electricity Management'!$T:$T,'Electricity Management'!$K:$K,A195,'Electricity Management'!$B:$B,DATE(YEAR(CurrentMonth),MONTH(CurrentMonth),1),'Electricity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>
        <f>IF(COUNTIFS($A:$A,A196,$B:$B,B196,$E:$E,"Occupied")=2,"Yes","No")</f>
        <v/>
      </c>
      <c r="G196" s="117" t="n"/>
      <c r="H196" s="116">
        <f>IF(E196&lt;&gt;"Occupied",0,COUNTIFS($A:$A,A196,$B:$B,B196,$E:$E,"Occupied"))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Management'!$B:$B,DATE(YEAR(CurrentMonth),MONTH(CurrentMonth),1),'Electricity Management'!$C:$C,B196),0),0)</f>
        <v/>
      </c>
      <c r="K196" s="82">
        <f>IF(E196="Occupied",IFERROR(SUMIFS('Electricity Management'!$T:$T,'Electricity Management'!$K:$K,A196,'Electricity Management'!$B:$B,DATE(YEAR(CurrentMonth),MONTH(CurrentMonth),1),'Electricity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>
        <f>IF(COUNTIFS($A:$A,A197,$B:$B,B197,$E:$E,"Occupied")=2,"Yes","No")</f>
        <v/>
      </c>
      <c r="G197" s="117" t="n"/>
      <c r="H197" s="116">
        <f>IF(E197&lt;&gt;"Occupied",0,COUNTIFS($A:$A,A197,$B:$B,B197,$E:$E,"Occupied"))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Management'!$B:$B,DATE(YEAR(CurrentMonth),MONTH(CurrentMonth),1),'Electricity Management'!$C:$C,B197),0),0)</f>
        <v/>
      </c>
      <c r="K197" s="82">
        <f>IF(E197="Occupied",IFERROR(SUMIFS('Electricity Management'!$T:$T,'Electricity Management'!$K:$K,A197,'Electricity Management'!$B:$B,DATE(YEAR(CurrentMonth),MONTH(CurrentMonth),1),'Electricity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>
        <f>IF(COUNTIFS($A:$A,A198,$B:$B,B198,$E:$E,"Occupied")=2,"Yes","No")</f>
        <v/>
      </c>
      <c r="G198" s="117" t="n"/>
      <c r="H198" s="116">
        <f>IF(E198&lt;&gt;"Occupied",0,COUNTIFS($A:$A,A198,$B:$B,B198,$E:$E,"Occupied"))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Management'!$B:$B,DATE(YEAR(CurrentMonth),MONTH(CurrentMonth),1),'Electricity Management'!$C:$C,B198),0),0)</f>
        <v/>
      </c>
      <c r="K198" s="82">
        <f>IF(E198="Occupied",IFERROR(SUMIFS('Electricity Management'!$T:$T,'Electricity Management'!$K:$K,A198,'Electricity Management'!$B:$B,DATE(YEAR(CurrentMonth),MONTH(CurrentMonth),1),'Electricity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>
        <f>IF(COUNTIFS($A:$A,A199,$B:$B,B199,$E:$E,"Occupied")=2,"Yes","No")</f>
        <v/>
      </c>
      <c r="G199" s="117" t="n"/>
      <c r="H199" s="116">
        <f>IF(E199&lt;&gt;"Occupied",0,COUNTIFS($A:$A,A199,$B:$B,B199,$E:$E,"Occupied"))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Management'!$B:$B,DATE(YEAR(CurrentMonth),MONTH(CurrentMonth),1),'Electricity Management'!$C:$C,B199),0),0)</f>
        <v/>
      </c>
      <c r="K199" s="82">
        <f>IF(E199="Occupied",IFERROR(SUMIFS('Electricity Management'!$T:$T,'Electricity Management'!$K:$K,A199,'Electricity Management'!$B:$B,DATE(YEAR(CurrentMonth),MONTH(CurrentMonth),1),'Electricity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>
        <f>IF(COUNTIFS($A:$A,A200,$B:$B,B200,$E:$E,"Occupied")=2,"Yes","No")</f>
        <v/>
      </c>
      <c r="G200" s="117" t="n"/>
      <c r="H200" s="116">
        <f>IF(E200&lt;&gt;"Occupied",0,COUNTIFS($A:$A,A200,$B:$B,B200,$E:$E,"Occupied"))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Management'!$B:$B,DATE(YEAR(CurrentMonth),MONTH(CurrentMonth),1),'Electricity Management'!$C:$C,B200),0),0)</f>
        <v/>
      </c>
      <c r="K200" s="82">
        <f>IF(E200="Occupied",IFERROR(SUMIFS('Electricity Management'!$T:$T,'Electricity Management'!$K:$K,A200,'Electricity Management'!$B:$B,DATE(YEAR(CurrentMonth),MONTH(CurrentMonth),1),'Electricity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>
        <f>IF(COUNTIFS($A:$A,A201,$B:$B,B201,$E:$E,"Occupied")=2,"Yes","No")</f>
        <v/>
      </c>
      <c r="G201" s="117" t="n"/>
      <c r="H201" s="116">
        <f>IF(E201&lt;&gt;"Occupied",0,COUNTIFS($A:$A,A201,$B:$B,B201,$E:$E,"Occupied"))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Management'!$B:$B,DATE(YEAR(CurrentMonth),MONTH(CurrentMonth),1),'Electricity Management'!$C:$C,B201),0),0)</f>
        <v/>
      </c>
      <c r="K201" s="82">
        <f>IF(E201="Occupied",IFERROR(SUMIFS('Electricity Management'!$T:$T,'Electricity Management'!$K:$K,A201,'Electricity Management'!$B:$B,DATE(YEAR(CurrentMonth),MONTH(CurrentMonth),1),'Electricity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>
        <f>IF(COUNTIFS($A:$A,A202,$B:$B,B202,$E:$E,"Occupied")=2,"Yes","No")</f>
        <v/>
      </c>
      <c r="G202" s="117" t="n"/>
      <c r="H202" s="116">
        <f>IF(E202&lt;&gt;"Occupied",0,COUNTIFS($A:$A,A202,$B:$B,B202,$E:$E,"Occupied"))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Management'!$B:$B,DATE(YEAR(CurrentMonth),MONTH(CurrentMonth),1),'Electricity Management'!$C:$C,B202),0),0)</f>
        <v/>
      </c>
      <c r="K202" s="82">
        <f>IF(E202="Occupied",IFERROR(SUMIFS('Electricity Management'!$T:$T,'Electricity Management'!$K:$K,A202,'Electricity Management'!$B:$B,DATE(YEAR(CurrentMonth),MONTH(CurrentMonth),1),'Electricity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>
        <f>IF(COUNTIFS($A:$A,A203,$B:$B,B203,$E:$E,"Occupied")=2,"Yes","No")</f>
        <v/>
      </c>
      <c r="G203" s="117" t="n"/>
      <c r="H203" s="116">
        <f>IF(E203&lt;&gt;"Occupied",0,COUNTIFS($A:$A,A203,$B:$B,B203,$E:$E,"Occupied"))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Management'!$B:$B,DATE(YEAR(CurrentMonth),MONTH(CurrentMonth),1),'Electricity Management'!$C:$C,B203),0),0)</f>
        <v/>
      </c>
      <c r="K203" s="82">
        <f>IF(E203="Occupied",IFERROR(SUMIFS('Electricity Management'!$T:$T,'Electricity Management'!$K:$K,A203,'Electricity Management'!$B:$B,DATE(YEAR(CurrentMonth),MONTH(CurrentMonth),1),'Electricity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>
        <f>IF(COUNTIFS($A:$A,A204,$B:$B,B204,$E:$E,"Occupied")=2,"Yes","No")</f>
        <v/>
      </c>
      <c r="G204" s="117" t="n"/>
      <c r="H204" s="116">
        <f>IF(E204&lt;&gt;"Occupied",0,COUNTIFS($A:$A,A204,$B:$B,B204,$E:$E,"Occupied"))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Management'!$B:$B,DATE(YEAR(CurrentMonth),MONTH(CurrentMonth),1),'Electricity Management'!$C:$C,B204),0),0)</f>
        <v/>
      </c>
      <c r="K204" s="82">
        <f>IF(E204="Occupied",IFERROR(SUMIFS('Electricity Management'!$T:$T,'Electricity Management'!$K:$K,A204,'Electricity Management'!$B:$B,DATE(YEAR(CurrentMonth),MONTH(CurrentMonth),1),'Electricity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>
        <f>IF(COUNTIFS($A:$A,A205,$B:$B,B205,$E:$E,"Occupied")=2,"Yes","No")</f>
        <v/>
      </c>
      <c r="G205" s="117" t="n"/>
      <c r="H205" s="116">
        <f>IF(E205&lt;&gt;"Occupied",0,COUNTIFS($A:$A,A205,$B:$B,B205,$E:$E,"Occupied"))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Management'!$B:$B,DATE(YEAR(CurrentMonth),MONTH(CurrentMonth),1),'Electricity Management'!$C:$C,B205),0),0)</f>
        <v/>
      </c>
      <c r="K205" s="82">
        <f>IF(E205="Occupied",IFERROR(SUMIFS('Electricity Management'!$T:$T,'Electricity Management'!$K:$K,A205,'Electricity Management'!$B:$B,DATE(YEAR(CurrentMonth),MONTH(CurrentMonth),1),'Electricity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>
        <f>IF(COUNTIFS($A:$A,A206,$B:$B,B206,$E:$E,"Occupied")=2,"Yes","No")</f>
        <v/>
      </c>
      <c r="G206" s="117" t="n"/>
      <c r="H206" s="116">
        <f>IF(E206&lt;&gt;"Occupied",0,COUNTIFS($A:$A,A206,$B:$B,B206,$E:$E,"Occupied"))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Management'!$B:$B,DATE(YEAR(CurrentMonth),MONTH(CurrentMonth),1),'Electricity Management'!$C:$C,B206),0),0)</f>
        <v/>
      </c>
      <c r="K206" s="82">
        <f>IF(E206="Occupied",IFERROR(SUMIFS('Electricity Management'!$T:$T,'Electricity Management'!$K:$K,A206,'Electricity Management'!$B:$B,DATE(YEAR(CurrentMonth),MONTH(CurrentMonth),1),'Electricity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>
        <f>IF(COUNTIFS($A:$A,A207,$B:$B,B207,$E:$E,"Occupied")=2,"Yes","No")</f>
        <v/>
      </c>
      <c r="G207" s="117" t="n"/>
      <c r="H207" s="116">
        <f>IF(E207&lt;&gt;"Occupied",0,COUNTIFS($A:$A,A207,$B:$B,B207,$E:$E,"Occupied"))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Management'!$B:$B,DATE(YEAR(CurrentMonth),MONTH(CurrentMonth),1),'Electricity Management'!$C:$C,B207),0),0)</f>
        <v/>
      </c>
      <c r="K207" s="82">
        <f>IF(E207="Occupied",IFERROR(SUMIFS('Electricity Management'!$T:$T,'Electricity Management'!$K:$K,A207,'Electricity Management'!$B:$B,DATE(YEAR(CurrentMonth),MONTH(CurrentMonth),1),'Electricity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>
        <f>IF(COUNTIFS($A:$A,A208,$B:$B,B208,$E:$E,"Occupied")=2,"Yes","No")</f>
        <v/>
      </c>
      <c r="G208" s="117" t="n"/>
      <c r="H208" s="116">
        <f>IF(E208&lt;&gt;"Occupied",0,COUNTIFS($A:$A,A208,$B:$B,B208,$E:$E,"Occupied"))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Management'!$B:$B,DATE(YEAR(CurrentMonth),MONTH(CurrentMonth),1),'Electricity Management'!$C:$C,B208),0),0)</f>
        <v/>
      </c>
      <c r="K208" s="82">
        <f>IF(E208="Occupied",IFERROR(SUMIFS('Electricity Management'!$T:$T,'Electricity Management'!$K:$K,A208,'Electricity Management'!$B:$B,DATE(YEAR(CurrentMonth),MONTH(CurrentMonth),1),'Electricity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>
        <f>IF(COUNTIFS($A:$A,A209,$B:$B,B209,$E:$E,"Occupied")=2,"Yes","No")</f>
        <v/>
      </c>
      <c r="G209" s="117" t="n"/>
      <c r="H209" s="116">
        <f>IF(E209&lt;&gt;"Occupied",0,COUNTIFS($A:$A,A209,$B:$B,B209,$E:$E,"Occupied"))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Management'!$B:$B,DATE(YEAR(CurrentMonth),MONTH(CurrentMonth),1),'Electricity Management'!$C:$C,B209),0),0)</f>
        <v/>
      </c>
      <c r="K209" s="82">
        <f>IF(E209="Occupied",IFERROR(SUMIFS('Electricity Management'!$T:$T,'Electricity Management'!$K:$K,A209,'Electricity Management'!$B:$B,DATE(YEAR(CurrentMonth),MONTH(CurrentMonth),1),'Electricity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>
        <f>IF(COUNTIFS($A:$A,A210,$B:$B,B210,$E:$E,"Occupied")=2,"Yes","No")</f>
        <v/>
      </c>
      <c r="G210" s="117" t="n"/>
      <c r="H210" s="116">
        <f>IF(E210&lt;&gt;"Occupied",0,COUNTIFS($A:$A,A210,$B:$B,B210,$E:$E,"Occupied"))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Management'!$B:$B,DATE(YEAR(CurrentMonth),MONTH(CurrentMonth),1),'Electricity Management'!$C:$C,B210),0),0)</f>
        <v/>
      </c>
      <c r="K210" s="82">
        <f>IF(E210="Occupied",IFERROR(SUMIFS('Electricity Management'!$T:$T,'Electricity Management'!$K:$K,A210,'Electricity Management'!$B:$B,DATE(YEAR(CurrentMonth),MONTH(CurrentMonth),1),'Electricity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>
        <f>IF(COUNTIFS($A:$A,A211,$B:$B,B211,$E:$E,"Occupied")=2,"Yes","No")</f>
        <v/>
      </c>
      <c r="G211" s="117" t="n"/>
      <c r="H211" s="116">
        <f>IF(E211&lt;&gt;"Occupied",0,COUNTIFS($A:$A,A211,$B:$B,B211,$E:$E,"Occupied"))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Management'!$B:$B,DATE(YEAR(CurrentMonth),MONTH(CurrentMonth),1),'Electricity Management'!$C:$C,B211),0),0)</f>
        <v/>
      </c>
      <c r="K211" s="82">
        <f>IF(E211="Occupied",IFERROR(SUMIFS('Electricity Management'!$T:$T,'Electricity Management'!$K:$K,A211,'Electricity Management'!$B:$B,DATE(YEAR(CurrentMonth),MONTH(CurrentMonth),1),'Electricity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>
        <f>IF(COUNTIFS($A:$A,A212,$B:$B,B212,$E:$E,"Occupied")=2,"Yes","No")</f>
        <v/>
      </c>
      <c r="G212" s="117" t="n"/>
      <c r="H212" s="116">
        <f>IF(E212&lt;&gt;"Occupied",0,COUNTIFS($A:$A,A212,$B:$B,B212,$E:$E,"Occupied"))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Management'!$B:$B,DATE(YEAR(CurrentMonth),MONTH(CurrentMonth),1),'Electricity Management'!$C:$C,B212),0),0)</f>
        <v/>
      </c>
      <c r="K212" s="82">
        <f>IF(E212="Occupied",IFERROR(SUMIFS('Electricity Management'!$T:$T,'Electricity Management'!$K:$K,A212,'Electricity Management'!$B:$B,DATE(YEAR(CurrentMonth),MONTH(CurrentMonth),1),'Electricity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>
        <f>IF(COUNTIFS($A:$A,A213,$B:$B,B213,$E:$E,"Occupied")=2,"Yes","No")</f>
        <v/>
      </c>
      <c r="G213" s="117" t="n"/>
      <c r="H213" s="116">
        <f>IF(E213&lt;&gt;"Occupied",0,COUNTIFS($A:$A,A213,$B:$B,B213,$E:$E,"Occupied"))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Management'!$B:$B,DATE(YEAR(CurrentMonth),MONTH(CurrentMonth),1),'Electricity Management'!$C:$C,B213),0),0)</f>
        <v/>
      </c>
      <c r="K213" s="82">
        <f>IF(E213="Occupied",IFERROR(SUMIFS('Electricity Management'!$T:$T,'Electricity Management'!$K:$K,A213,'Electricity Management'!$B:$B,DATE(YEAR(CurrentMonth),MONTH(CurrentMonth),1),'Electricity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>
        <f>IF(COUNTIFS($A:$A,A214,$B:$B,B214,$E:$E,"Occupied")=2,"Yes","No")</f>
        <v/>
      </c>
      <c r="G214" s="117" t="n"/>
      <c r="H214" s="116">
        <f>IF(E214&lt;&gt;"Occupied",0,COUNTIFS($A:$A,A214,$B:$B,B214,$E:$E,"Occupied"))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Management'!$B:$B,DATE(YEAR(CurrentMonth),MONTH(CurrentMonth),1),'Electricity Management'!$C:$C,B214),0),0)</f>
        <v/>
      </c>
      <c r="K214" s="82">
        <f>IF(E214="Occupied",IFERROR(SUMIFS('Electricity Management'!$T:$T,'Electricity Management'!$K:$K,A214,'Electricity Management'!$B:$B,DATE(YEAR(CurrentMonth),MONTH(CurrentMonth),1),'Electricity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>
        <f>IF(COUNTIFS($A:$A,A215,$B:$B,B215,$E:$E,"Occupied")=2,"Yes","No")</f>
        <v/>
      </c>
      <c r="G215" s="117" t="n"/>
      <c r="H215" s="116">
        <f>IF(E215&lt;&gt;"Occupied",0,COUNTIFS($A:$A,A215,$B:$B,B215,$E:$E,"Occupied"))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Management'!$B:$B,DATE(YEAR(CurrentMonth),MONTH(CurrentMonth),1),'Electricity Management'!$C:$C,B215),0),0)</f>
        <v/>
      </c>
      <c r="K215" s="82">
        <f>IF(E215="Occupied",IFERROR(SUMIFS('Electricity Management'!$T:$T,'Electricity Management'!$K:$K,A215,'Electricity Management'!$B:$B,DATE(YEAR(CurrentMonth),MONTH(CurrentMonth),1),'Electricity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>
        <f>IF(COUNTIFS($A:$A,A216,$B:$B,B216,$E:$E,"Occupied")=2,"Yes","No")</f>
        <v/>
      </c>
      <c r="G216" s="117" t="n"/>
      <c r="H216" s="116">
        <f>IF(E216&lt;&gt;"Occupied",0,COUNTIFS($A:$A,A216,$B:$B,B216,$E:$E,"Occupied"))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Management'!$B:$B,DATE(YEAR(CurrentMonth),MONTH(CurrentMonth),1),'Electricity Management'!$C:$C,B216),0),0)</f>
        <v/>
      </c>
      <c r="K216" s="82">
        <f>IF(E216="Occupied",IFERROR(SUMIFS('Electricity Management'!$T:$T,'Electricity Management'!$K:$K,A216,'Electricity Management'!$B:$B,DATE(YEAR(CurrentMonth),MONTH(CurrentMonth),1),'Electricity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>
        <f>IF(COUNTIFS($A:$A,A217,$B:$B,B217,$E:$E,"Occupied")=2,"Yes","No")</f>
        <v/>
      </c>
      <c r="G217" s="117" t="n"/>
      <c r="H217" s="116">
        <f>IF(E217&lt;&gt;"Occupied",0,COUNTIFS($A:$A,A217,$B:$B,B217,$E:$E,"Occupied"))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Management'!$B:$B,DATE(YEAR(CurrentMonth),MONTH(CurrentMonth),1),'Electricity Management'!$C:$C,B217),0),0)</f>
        <v/>
      </c>
      <c r="K217" s="82">
        <f>IF(E217="Occupied",IFERROR(SUMIFS('Electricity Management'!$T:$T,'Electricity Management'!$K:$K,A217,'Electricity Management'!$B:$B,DATE(YEAR(CurrentMonth),MONTH(CurrentMonth),1),'Electricity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>
        <f>IF(COUNTIFS($A:$A,A218,$B:$B,B218,$E:$E,"Occupied")=2,"Yes","No")</f>
        <v/>
      </c>
      <c r="G218" s="117" t="n"/>
      <c r="H218" s="116">
        <f>IF(E218&lt;&gt;"Occupied",0,COUNTIFS($A:$A,A218,$B:$B,B218,$E:$E,"Occupied"))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Management'!$B:$B,DATE(YEAR(CurrentMonth),MONTH(CurrentMonth),1),'Electricity Management'!$C:$C,B218),0),0)</f>
        <v/>
      </c>
      <c r="K218" s="82">
        <f>IF(E218="Occupied",IFERROR(SUMIFS('Electricity Management'!$T:$T,'Electricity Management'!$K:$K,A218,'Electricity Management'!$B:$B,DATE(YEAR(CurrentMonth),MONTH(CurrentMonth),1),'Electricity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>
        <f>IF(COUNTIFS($A:$A,A219,$B:$B,B219,$E:$E,"Occupied")=2,"Yes","No")</f>
        <v/>
      </c>
      <c r="G219" s="117" t="n"/>
      <c r="H219" s="116">
        <f>IF(E219&lt;&gt;"Occupied",0,COUNTIFS($A:$A,A219,$B:$B,B219,$E:$E,"Occupied"))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Management'!$B:$B,DATE(YEAR(CurrentMonth),MONTH(CurrentMonth),1),'Electricity Management'!$C:$C,B219),0),0)</f>
        <v/>
      </c>
      <c r="K219" s="82">
        <f>IF(E219="Occupied",IFERROR(SUMIFS('Electricity Management'!$T:$T,'Electricity Management'!$K:$K,A219,'Electricity Management'!$B:$B,DATE(YEAR(CurrentMonth),MONTH(CurrentMonth),1),'Electricity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>
        <f>IF(COUNTIFS($A:$A,A220,$B:$B,B220,$E:$E,"Occupied")=2,"Yes","No")</f>
        <v/>
      </c>
      <c r="G220" s="117" t="n"/>
      <c r="H220" s="116">
        <f>IF(E220&lt;&gt;"Occupied",0,COUNTIFS($A:$A,A220,$B:$B,B220,$E:$E,"Occupied"))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Management'!$B:$B,DATE(YEAR(CurrentMonth),MONTH(CurrentMonth),1),'Electricity Management'!$C:$C,B220),0),0)</f>
        <v/>
      </c>
      <c r="K220" s="82">
        <f>IF(E220="Occupied",IFERROR(SUMIFS('Electricity Management'!$T:$T,'Electricity Management'!$K:$K,A220,'Electricity Management'!$B:$B,DATE(YEAR(CurrentMonth),MONTH(CurrentMonth),1),'Electricity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>
        <f>IF(COUNTIFS($A:$A,A221,$B:$B,B221,$E:$E,"Occupied")=2,"Yes","No")</f>
        <v/>
      </c>
      <c r="G221" s="117" t="n"/>
      <c r="H221" s="116">
        <f>IF(E221&lt;&gt;"Occupied",0,COUNTIFS($A:$A,A221,$B:$B,B221,$E:$E,"Occupied"))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Management'!$B:$B,DATE(YEAR(CurrentMonth),MONTH(CurrentMonth),1),'Electricity Management'!$C:$C,B221),0),0)</f>
        <v/>
      </c>
      <c r="K221" s="82">
        <f>IF(E221="Occupied",IFERROR(SUMIFS('Electricity Management'!$T:$T,'Electricity Management'!$K:$K,A221,'Electricity Management'!$B:$B,DATE(YEAR(CurrentMonth),MONTH(CurrentMonth),1),'Electricity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>
        <f>IF(COUNTIFS($A:$A,A222,$B:$B,B222,$E:$E,"Occupied")=2,"Yes","No")</f>
        <v/>
      </c>
      <c r="G222" s="117" t="n"/>
      <c r="H222" s="116">
        <f>IF(E222&lt;&gt;"Occupied",0,COUNTIFS($A:$A,A222,$B:$B,B222,$E:$E,"Occupied"))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Management'!$B:$B,DATE(YEAR(CurrentMonth),MONTH(CurrentMonth),1),'Electricity Management'!$C:$C,B222),0),0)</f>
        <v/>
      </c>
      <c r="K222" s="82">
        <f>IF(E222="Occupied",IFERROR(SUMIFS('Electricity Management'!$T:$T,'Electricity Management'!$K:$K,A222,'Electricity Management'!$B:$B,DATE(YEAR(CurrentMonth),MONTH(CurrentMonth),1),'Electricity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>
        <f>IF(COUNTIFS($A:$A,A223,$B:$B,B223,$E:$E,"Occupied")=2,"Yes","No")</f>
        <v/>
      </c>
      <c r="G223" s="117" t="n"/>
      <c r="H223" s="116">
        <f>IF(E223&lt;&gt;"Occupied",0,COUNTIFS($A:$A,A223,$B:$B,B223,$E:$E,"Occupied"))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Management'!$B:$B,DATE(YEAR(CurrentMonth),MONTH(CurrentMonth),1),'Electricity Management'!$C:$C,B223),0),0)</f>
        <v/>
      </c>
      <c r="K223" s="82">
        <f>IF(E223="Occupied",IFERROR(SUMIFS('Electricity Management'!$T:$T,'Electricity Management'!$K:$K,A223,'Electricity Management'!$B:$B,DATE(YEAR(CurrentMonth),MONTH(CurrentMonth),1),'Electricity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>
        <f>IF(COUNTIFS($A:$A,A224,$B:$B,B224,$E:$E,"Occupied")=2,"Yes","No")</f>
        <v/>
      </c>
      <c r="G224" s="117" t="n"/>
      <c r="H224" s="116">
        <f>IF(E224&lt;&gt;"Occupied",0,COUNTIFS($A:$A,A224,$B:$B,B224,$E:$E,"Occupied"))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Management'!$B:$B,DATE(YEAR(CurrentMonth),MONTH(CurrentMonth),1),'Electricity Management'!$C:$C,B224),0),0)</f>
        <v/>
      </c>
      <c r="K224" s="82">
        <f>IF(E224="Occupied",IFERROR(SUMIFS('Electricity Management'!$T:$T,'Electricity Management'!$K:$K,A224,'Electricity Management'!$B:$B,DATE(YEAR(CurrentMonth),MONTH(CurrentMonth),1),'Electricity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>
        <f>IF(COUNTIFS($A:$A,A225,$B:$B,B225,$E:$E,"Occupied")=2,"Yes","No")</f>
        <v/>
      </c>
      <c r="G225" s="117" t="n"/>
      <c r="H225" s="116">
        <f>IF(E225&lt;&gt;"Occupied",0,COUNTIFS($A:$A,A225,$B:$B,B225,$E:$E,"Occupied"))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Management'!$B:$B,DATE(YEAR(CurrentMonth),MONTH(CurrentMonth),1),'Electricity Management'!$C:$C,B225),0),0)</f>
        <v/>
      </c>
      <c r="K225" s="82">
        <f>IF(E225="Occupied",IFERROR(SUMIFS('Electricity Management'!$T:$T,'Electricity Management'!$K:$K,A225,'Electricity Management'!$B:$B,DATE(YEAR(CurrentMonth),MONTH(CurrentMonth),1),'Electricity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>
        <f>IF(COUNTIFS($A:$A,A226,$B:$B,B226,$E:$E,"Occupied")=2,"Yes","No")</f>
        <v/>
      </c>
      <c r="G226" s="117" t="n"/>
      <c r="H226" s="116">
        <f>IF(E226&lt;&gt;"Occupied",0,COUNTIFS($A:$A,A226,$B:$B,B226,$E:$E,"Occupied"))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Management'!$B:$B,DATE(YEAR(CurrentMonth),MONTH(CurrentMonth),1),'Electricity Management'!$C:$C,B226),0),0)</f>
        <v/>
      </c>
      <c r="K226" s="82">
        <f>IF(E226="Occupied",IFERROR(SUMIFS('Electricity Management'!$T:$T,'Electricity Management'!$K:$K,A226,'Electricity Management'!$B:$B,DATE(YEAR(CurrentMonth),MONTH(CurrentMonth),1),'Electricity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>
        <f>IF(COUNTIFS($A:$A,A227,$B:$B,B227,$E:$E,"Occupied")=2,"Yes","No")</f>
        <v/>
      </c>
      <c r="G227" s="117" t="n"/>
      <c r="H227" s="116">
        <f>IF(E227&lt;&gt;"Occupied",0,COUNTIFS($A:$A,A227,$B:$B,B227,$E:$E,"Occupied"))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Management'!$B:$B,DATE(YEAR(CurrentMonth),MONTH(CurrentMonth),1),'Electricity Management'!$C:$C,B227),0),0)</f>
        <v/>
      </c>
      <c r="K227" s="82">
        <f>IF(E227="Occupied",IFERROR(SUMIFS('Electricity Management'!$T:$T,'Electricity Management'!$K:$K,A227,'Electricity Management'!$B:$B,DATE(YEAR(CurrentMonth),MONTH(CurrentMonth),1),'Electricity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>
        <f>IF(COUNTIFS($A:$A,A228,$B:$B,B228,$E:$E,"Occupied")=2,"Yes","No")</f>
        <v/>
      </c>
      <c r="G228" s="117" t="n"/>
      <c r="H228" s="116">
        <f>IF(E228&lt;&gt;"Occupied",0,COUNTIFS($A:$A,A228,$B:$B,B228,$E:$E,"Occupied"))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Management'!$B:$B,DATE(YEAR(CurrentMonth),MONTH(CurrentMonth),1),'Electricity Management'!$C:$C,B228),0),0)</f>
        <v/>
      </c>
      <c r="K228" s="82">
        <f>IF(E228="Occupied",IFERROR(SUMIFS('Electricity Management'!$T:$T,'Electricity Management'!$K:$K,A228,'Electricity Management'!$B:$B,DATE(YEAR(CurrentMonth),MONTH(CurrentMonth),1),'Electricity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>
        <f>IF(COUNTIFS($A:$A,A229,$B:$B,B229,$E:$E,"Occupied")=2,"Yes","No")</f>
        <v/>
      </c>
      <c r="G229" s="117" t="n"/>
      <c r="H229" s="116">
        <f>IF(E229&lt;&gt;"Occupied",0,COUNTIFS($A:$A,A229,$B:$B,B229,$E:$E,"Occupied"))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Management'!$B:$B,DATE(YEAR(CurrentMonth),MONTH(CurrentMonth),1),'Electricity Management'!$C:$C,B229),0),0)</f>
        <v/>
      </c>
      <c r="K229" s="82">
        <f>IF(E229="Occupied",IFERROR(SUMIFS('Electricity Management'!$T:$T,'Electricity Management'!$K:$K,A229,'Electricity Management'!$B:$B,DATE(YEAR(CurrentMonth),MONTH(CurrentMonth),1),'Electricity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>
        <f>IF(COUNTIFS($A:$A,A230,$B:$B,B230,$E:$E,"Occupied")=2,"Yes","No")</f>
        <v/>
      </c>
      <c r="G230" s="117" t="n"/>
      <c r="H230" s="116">
        <f>IF(E230&lt;&gt;"Occupied",0,COUNTIFS($A:$A,A230,$B:$B,B230,$E:$E,"Occupied"))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Management'!$B:$B,DATE(YEAR(CurrentMonth),MONTH(CurrentMonth),1),'Electricity Management'!$C:$C,B230),0),0)</f>
        <v/>
      </c>
      <c r="K230" s="82">
        <f>IF(E230="Occupied",IFERROR(SUMIFS('Electricity Management'!$T:$T,'Electricity Management'!$K:$K,A230,'Electricity Management'!$B:$B,DATE(YEAR(CurrentMonth),MONTH(CurrentMonth),1),'Electricity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>
        <f>IF(COUNTIFS($A:$A,A231,$B:$B,B231,$E:$E,"Occupied")=2,"Yes","No")</f>
        <v/>
      </c>
      <c r="G231" s="117" t="n"/>
      <c r="H231" s="116">
        <f>IF(E231&lt;&gt;"Occupied",0,COUNTIFS($A:$A,A231,$B:$B,B231,$E:$E,"Occupied"))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Management'!$B:$B,DATE(YEAR(CurrentMonth),MONTH(CurrentMonth),1),'Electricity Management'!$C:$C,B231),0),0)</f>
        <v/>
      </c>
      <c r="K231" s="82">
        <f>IF(E231="Occupied",IFERROR(SUMIFS('Electricity Management'!$T:$T,'Electricity Management'!$K:$K,A231,'Electricity Management'!$B:$B,DATE(YEAR(CurrentMonth),MONTH(CurrentMonth),1),'Electricity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>
        <f>IF(COUNTIFS($A:$A,A232,$B:$B,B232,$E:$E,"Occupied")=2,"Yes","No")</f>
        <v/>
      </c>
      <c r="G232" s="117" t="n"/>
      <c r="H232" s="116">
        <f>IF(E232&lt;&gt;"Occupied",0,COUNTIFS($A:$A,A232,$B:$B,B232,$E:$E,"Occupied"))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Management'!$B:$B,DATE(YEAR(CurrentMonth),MONTH(CurrentMonth),1),'Electricity Management'!$C:$C,B232),0),0)</f>
        <v/>
      </c>
      <c r="K232" s="82">
        <f>IF(E232="Occupied",IFERROR(SUMIFS('Electricity Management'!$T:$T,'Electricity Management'!$K:$K,A232,'Electricity Management'!$B:$B,DATE(YEAR(CurrentMonth),MONTH(CurrentMonth),1),'Electricity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>
        <f>IF(COUNTIFS($A:$A,A233,$B:$B,B233,$E:$E,"Occupied")=2,"Yes","No")</f>
        <v/>
      </c>
      <c r="G233" s="117" t="n"/>
      <c r="H233" s="116">
        <f>IF(E233&lt;&gt;"Occupied",0,COUNTIFS($A:$A,A233,$B:$B,B233,$E:$E,"Occupied"))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Management'!$B:$B,DATE(YEAR(CurrentMonth),MONTH(CurrentMonth),1),'Electricity Management'!$C:$C,B233),0),0)</f>
        <v/>
      </c>
      <c r="K233" s="82">
        <f>IF(E233="Occupied",IFERROR(SUMIFS('Electricity Management'!$T:$T,'Electricity Management'!$K:$K,A233,'Electricity Management'!$B:$B,DATE(YEAR(CurrentMonth),MONTH(CurrentMonth),1),'Electricity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>
        <f>IF(COUNTIFS($A:$A,A234,$B:$B,B234,$E:$E,"Occupied")=2,"Yes","No")</f>
        <v/>
      </c>
      <c r="G234" s="117" t="n"/>
      <c r="H234" s="116">
        <f>IF(E234&lt;&gt;"Occupied",0,COUNTIFS($A:$A,A234,$B:$B,B234,$E:$E,"Occupied"))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Management'!$B:$B,DATE(YEAR(CurrentMonth),MONTH(CurrentMonth),1),'Electricity Management'!$C:$C,B234),0),0)</f>
        <v/>
      </c>
      <c r="K234" s="82">
        <f>IF(E234="Occupied",IFERROR(SUMIFS('Electricity Management'!$T:$T,'Electricity Management'!$K:$K,A234,'Electricity Management'!$B:$B,DATE(YEAR(CurrentMonth),MONTH(CurrentMonth),1),'Electricity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>
        <f>IF(COUNTIFS($A:$A,A235,$B:$B,B235,$E:$E,"Occupied")=2,"Yes","No")</f>
        <v/>
      </c>
      <c r="G235" s="117" t="n"/>
      <c r="H235" s="116">
        <f>IF(E235&lt;&gt;"Occupied",0,COUNTIFS($A:$A,A235,$B:$B,B235,$E:$E,"Occupied"))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Management'!$B:$B,DATE(YEAR(CurrentMonth),MONTH(CurrentMonth),1),'Electricity Management'!$C:$C,B235),0),0)</f>
        <v/>
      </c>
      <c r="K235" s="82">
        <f>IF(E235="Occupied",IFERROR(SUMIFS('Electricity Management'!$T:$T,'Electricity Management'!$K:$K,A235,'Electricity Management'!$B:$B,DATE(YEAR(CurrentMonth),MONTH(CurrentMonth),1),'Electricity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>
        <f>IF(COUNTIFS($A:$A,A236,$B:$B,B236,$E:$E,"Occupied")=2,"Yes","No")</f>
        <v/>
      </c>
      <c r="G236" s="117" t="n"/>
      <c r="H236" s="116">
        <f>IF(E236&lt;&gt;"Occupied",0,COUNTIFS($A:$A,A236,$B:$B,B236,$E:$E,"Occupied"))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Management'!$B:$B,DATE(YEAR(CurrentMonth),MONTH(CurrentMonth),1),'Electricity Management'!$C:$C,B236),0),0)</f>
        <v/>
      </c>
      <c r="K236" s="82">
        <f>IF(E236="Occupied",IFERROR(SUMIFS('Electricity Management'!$T:$T,'Electricity Management'!$K:$K,A236,'Electricity Management'!$B:$B,DATE(YEAR(CurrentMonth),MONTH(CurrentMonth),1),'Electricity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>
        <f>IF(COUNTIFS($A:$A,A237,$B:$B,B237,$E:$E,"Occupied")=2,"Yes","No")</f>
        <v/>
      </c>
      <c r="G237" s="117" t="n"/>
      <c r="H237" s="116">
        <f>IF(E237&lt;&gt;"Occupied",0,COUNTIFS($A:$A,A237,$B:$B,B237,$E:$E,"Occupied"))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Management'!$B:$B,DATE(YEAR(CurrentMonth),MONTH(CurrentMonth),1),'Electricity Management'!$C:$C,B237),0),0)</f>
        <v/>
      </c>
      <c r="K237" s="82">
        <f>IF(E237="Occupied",IFERROR(SUMIFS('Electricity Management'!$T:$T,'Electricity Management'!$K:$K,A237,'Electricity Management'!$B:$B,DATE(YEAR(CurrentMonth),MONTH(CurrentMonth),1),'Electricity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>
        <f>IF(COUNTIFS($A:$A,A238,$B:$B,B238,$E:$E,"Occupied")=2,"Yes","No")</f>
        <v/>
      </c>
      <c r="G238" s="117" t="n"/>
      <c r="H238" s="116">
        <f>IF(E238&lt;&gt;"Occupied",0,COUNTIFS($A:$A,A238,$B:$B,B238,$E:$E,"Occupied"))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Management'!$B:$B,DATE(YEAR(CurrentMonth),MONTH(CurrentMonth),1),'Electricity Management'!$C:$C,B238),0),0)</f>
        <v/>
      </c>
      <c r="K238" s="82">
        <f>IF(E238="Occupied",IFERROR(SUMIFS('Electricity Management'!$T:$T,'Electricity Management'!$K:$K,A238,'Electricity Management'!$B:$B,DATE(YEAR(CurrentMonth),MONTH(CurrentMonth),1),'Electricity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>
        <f>IF(COUNTIFS($A:$A,A239,$B:$B,B239,$E:$E,"Occupied")=2,"Yes","No")</f>
        <v/>
      </c>
      <c r="G239" s="117" t="n"/>
      <c r="H239" s="116">
        <f>IF(E239&lt;&gt;"Occupied",0,COUNTIFS($A:$A,A239,$B:$B,B239,$E:$E,"Occupied"))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Management'!$B:$B,DATE(YEAR(CurrentMonth),MONTH(CurrentMonth),1),'Electricity Management'!$C:$C,B239),0),0)</f>
        <v/>
      </c>
      <c r="K239" s="82">
        <f>IF(E239="Occupied",IFERROR(SUMIFS('Electricity Management'!$T:$T,'Electricity Management'!$K:$K,A239,'Electricity Management'!$B:$B,DATE(YEAR(CurrentMonth),MONTH(CurrentMonth),1),'Electricity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>
        <f>IF(COUNTIFS($A:$A,A240,$B:$B,B240,$E:$E,"Occupied")=2,"Yes","No")</f>
        <v/>
      </c>
      <c r="G240" s="117" t="n"/>
      <c r="H240" s="116">
        <f>IF(E240&lt;&gt;"Occupied",0,COUNTIFS($A:$A,A240,$B:$B,B240,$E:$E,"Occupied"))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Management'!$B:$B,DATE(YEAR(CurrentMonth),MONTH(CurrentMonth),1),'Electricity Management'!$C:$C,B240),0),0)</f>
        <v/>
      </c>
      <c r="K240" s="82">
        <f>IF(E240="Occupied",IFERROR(SUMIFS('Electricity Management'!$T:$T,'Electricity Management'!$K:$K,A240,'Electricity Management'!$B:$B,DATE(YEAR(CurrentMonth),MONTH(CurrentMonth),1),'Electricity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>
        <f>IF(COUNTIFS($A:$A,A241,$B:$B,B241,$E:$E,"Occupied")=2,"Yes","No")</f>
        <v/>
      </c>
      <c r="G241" s="117" t="n"/>
      <c r="H241" s="116">
        <f>IF(E241&lt;&gt;"Occupied",0,COUNTIFS($A:$A,A241,$B:$B,B241,$E:$E,"Occupied"))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Management'!$B:$B,DATE(YEAR(CurrentMonth),MONTH(CurrentMonth),1),'Electricity Management'!$C:$C,B241),0),0)</f>
        <v/>
      </c>
      <c r="K241" s="82">
        <f>IF(E241="Occupied",IFERROR(SUMIFS('Electricity Management'!$T:$T,'Electricity Management'!$K:$K,A241,'Electricity Management'!$B:$B,DATE(YEAR(CurrentMonth),MONTH(CurrentMonth),1),'Electricity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>
        <f>IF(COUNTIFS($A:$A,A242,$B:$B,B242,$E:$E,"Occupied")=2,"Yes","No")</f>
        <v/>
      </c>
      <c r="G242" s="117" t="n"/>
      <c r="H242" s="116">
        <f>IF(E242&lt;&gt;"Occupied",0,COUNTIFS($A:$A,A242,$B:$B,B242,$E:$E,"Occupied"))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Management'!$B:$B,DATE(YEAR(CurrentMonth),MONTH(CurrentMonth),1),'Electricity Management'!$C:$C,B242),0),0)</f>
        <v/>
      </c>
      <c r="K242" s="82">
        <f>IF(E242="Occupied",IFERROR(SUMIFS('Electricity Management'!$T:$T,'Electricity Management'!$K:$K,A242,'Electricity Management'!$B:$B,DATE(YEAR(CurrentMonth),MONTH(CurrentMonth),1),'Electricity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>
        <f>IF(COUNTIFS($A:$A,A243,$B:$B,B243,$E:$E,"Occupied")=2,"Yes","No")</f>
        <v/>
      </c>
      <c r="G243" s="117" t="n"/>
      <c r="H243" s="116">
        <f>IF(E243&lt;&gt;"Occupied",0,COUNTIFS($A:$A,A243,$B:$B,B243,$E:$E,"Occupied"))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Management'!$B:$B,DATE(YEAR(CurrentMonth),MONTH(CurrentMonth),1),'Electricity Management'!$C:$C,B243),0),0)</f>
        <v/>
      </c>
      <c r="K243" s="82">
        <f>IF(E243="Occupied",IFERROR(SUMIFS('Electricity Management'!$T:$T,'Electricity Management'!$K:$K,A243,'Electricity Management'!$B:$B,DATE(YEAR(CurrentMonth),MONTH(CurrentMonth),1),'Electricity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>
        <f>IF(COUNTIFS($A:$A,A244,$B:$B,B244,$E:$E,"Occupied")=2,"Yes","No")</f>
        <v/>
      </c>
      <c r="G244" s="117" t="n"/>
      <c r="H244" s="116">
        <f>IF(E244&lt;&gt;"Occupied",0,COUNTIFS($A:$A,A244,$B:$B,B244,$E:$E,"Occupied"))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Management'!$B:$B,DATE(YEAR(CurrentMonth),MONTH(CurrentMonth),1),'Electricity Management'!$C:$C,B244),0),0)</f>
        <v/>
      </c>
      <c r="K244" s="82">
        <f>IF(E244="Occupied",IFERROR(SUMIFS('Electricity Management'!$T:$T,'Electricity Management'!$K:$K,A244,'Electricity Management'!$B:$B,DATE(YEAR(CurrentMonth),MONTH(CurrentMonth),1),'Electricity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>
        <f>IF(COUNTIFS($A:$A,A245,$B:$B,B245,$E:$E,"Occupied")=2,"Yes","No")</f>
        <v/>
      </c>
      <c r="G245" s="117" t="n"/>
      <c r="H245" s="116">
        <f>IF(E245&lt;&gt;"Occupied",0,COUNTIFS($A:$A,A245,$B:$B,B245,$E:$E,"Occupied"))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Management'!$B:$B,DATE(YEAR(CurrentMonth),MONTH(CurrentMonth),1),'Electricity Management'!$C:$C,B245),0),0)</f>
        <v/>
      </c>
      <c r="K245" s="82">
        <f>IF(E245="Occupied",IFERROR(SUMIFS('Electricity Management'!$T:$T,'Electricity Management'!$K:$K,A245,'Electricity Management'!$B:$B,DATE(YEAR(CurrentMonth),MONTH(CurrentMonth),1),'Electricity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>
        <f>IF(COUNTIFS($A:$A,A246,$B:$B,B246,$E:$E,"Occupied")=2,"Yes","No")</f>
        <v/>
      </c>
      <c r="G246" s="117" t="n"/>
      <c r="H246" s="116">
        <f>IF(E246&lt;&gt;"Occupied",0,COUNTIFS($A:$A,A246,$B:$B,B246,$E:$E,"Occupied"))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Management'!$B:$B,DATE(YEAR(CurrentMonth),MONTH(CurrentMonth),1),'Electricity Management'!$C:$C,B246),0),0)</f>
        <v/>
      </c>
      <c r="K246" s="82">
        <f>IF(E246="Occupied",IFERROR(SUMIFS('Electricity Management'!$T:$T,'Electricity Management'!$K:$K,A246,'Electricity Management'!$B:$B,DATE(YEAR(CurrentMonth),MONTH(CurrentMonth),1),'Electricity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>
        <f>IF(COUNTIFS($A:$A,A247,$B:$B,B247,$E:$E,"Occupied")=2,"Yes","No")</f>
        <v/>
      </c>
      <c r="G247" s="117" t="n"/>
      <c r="H247" s="116">
        <f>IF(E247&lt;&gt;"Occupied",0,COUNTIFS($A:$A,A247,$B:$B,B247,$E:$E,"Occupied"))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Management'!$B:$B,DATE(YEAR(CurrentMonth),MONTH(CurrentMonth),1),'Electricity Management'!$C:$C,B247),0),0)</f>
        <v/>
      </c>
      <c r="K247" s="82">
        <f>IF(E247="Occupied",IFERROR(SUMIFS('Electricity Management'!$T:$T,'Electricity Management'!$K:$K,A247,'Electricity Management'!$B:$B,DATE(YEAR(CurrentMonth),MONTH(CurrentMonth),1),'Electricity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>
        <f>IF(COUNTIFS($A:$A,A248,$B:$B,B248,$E:$E,"Occupied")=2,"Yes","No")</f>
        <v/>
      </c>
      <c r="G248" s="117" t="n"/>
      <c r="H248" s="116">
        <f>IF(E248&lt;&gt;"Occupied",0,COUNTIFS($A:$A,A248,$B:$B,B248,$E:$E,"Occupied"))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Management'!$B:$B,DATE(YEAR(CurrentMonth),MONTH(CurrentMonth),1),'Electricity Management'!$C:$C,B248),0),0)</f>
        <v/>
      </c>
      <c r="K248" s="82">
        <f>IF(E248="Occupied",IFERROR(SUMIFS('Electricity Management'!$T:$T,'Electricity Management'!$K:$K,A248,'Electricity Management'!$B:$B,DATE(YEAR(CurrentMonth),MONTH(CurrentMonth),1),'Electricity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>
        <f>IF(COUNTIFS($A:$A,A249,$B:$B,B249,$E:$E,"Occupied")=2,"Yes","No")</f>
        <v/>
      </c>
      <c r="G249" s="117" t="n"/>
      <c r="H249" s="116">
        <f>IF(E249&lt;&gt;"Occupied",0,COUNTIFS($A:$A,A249,$B:$B,B249,$E:$E,"Occupied"))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Management'!$B:$B,DATE(YEAR(CurrentMonth),MONTH(CurrentMonth),1),'Electricity Management'!$C:$C,B249),0),0)</f>
        <v/>
      </c>
      <c r="K249" s="82">
        <f>IF(E249="Occupied",IFERROR(SUMIFS('Electricity Management'!$T:$T,'Electricity Management'!$K:$K,A249,'Electricity Management'!$B:$B,DATE(YEAR(CurrentMonth),MONTH(CurrentMonth),1),'Electricity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>
        <f>IF(COUNTIFS($A:$A,A250,$B:$B,B250,$E:$E,"Occupied")=2,"Yes","No")</f>
        <v/>
      </c>
      <c r="G250" s="117" t="n"/>
      <c r="H250" s="116">
        <f>IF(E250&lt;&gt;"Occupied",0,COUNTIFS($A:$A,A250,$B:$B,B250,$E:$E,"Occupied"))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Management'!$B:$B,DATE(YEAR(CurrentMonth),MONTH(CurrentMonth),1),'Electricity Management'!$C:$C,B250),0),0)</f>
        <v/>
      </c>
      <c r="K250" s="82">
        <f>IF(E250="Occupied",IFERROR(SUMIFS('Electricity Management'!$T:$T,'Electricity Management'!$K:$K,A250,'Electricity Management'!$B:$B,DATE(YEAR(CurrentMonth),MONTH(CurrentMonth),1),'Electricity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>
        <f>IF(COUNTIFS($A:$A,A251,$B:$B,B251,$E:$E,"Occupied")=2,"Yes","No")</f>
        <v/>
      </c>
      <c r="G251" s="117" t="n"/>
      <c r="H251" s="116">
        <f>IF(E251&lt;&gt;"Occupied",0,COUNTIFS($A:$A,A251,$B:$B,B251,$E:$E,"Occupied"))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Management'!$B:$B,DATE(YEAR(CurrentMonth),MONTH(CurrentMonth),1),'Electricity Management'!$C:$C,B251),0),0)</f>
        <v/>
      </c>
      <c r="K251" s="82">
        <f>IF(E251="Occupied",IFERROR(SUMIFS('Electricity Management'!$T:$T,'Electricity Management'!$K:$K,A251,'Electricity Management'!$B:$B,DATE(YEAR(CurrentMonth),MONTH(CurrentMonth),1),'Electricity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>
        <f>IF(COUNTIFS($A:$A,A252,$B:$B,B252,$E:$E,"Occupied")=2,"Yes","No")</f>
        <v/>
      </c>
      <c r="G252" s="117" t="n"/>
      <c r="H252" s="116">
        <f>IF(E252&lt;&gt;"Occupied",0,COUNTIFS($A:$A,A252,$B:$B,B252,$E:$E,"Occupied"))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Management'!$B:$B,DATE(YEAR(CurrentMonth),MONTH(CurrentMonth),1),'Electricity Management'!$C:$C,B252),0),0)</f>
        <v/>
      </c>
      <c r="K252" s="82">
        <f>IF(E252="Occupied",IFERROR(SUMIFS('Electricity Management'!$T:$T,'Electricity Management'!$K:$K,A252,'Electricity Management'!$B:$B,DATE(YEAR(CurrentMonth),MONTH(CurrentMonth),1),'Electricity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>
        <f>IF(COUNTIFS($A:$A,A253,$B:$B,B253,$E:$E,"Occupied")=2,"Yes","No")</f>
        <v/>
      </c>
      <c r="G253" s="117" t="n"/>
      <c r="H253" s="116">
        <f>IF(E253&lt;&gt;"Occupied",0,COUNTIFS($A:$A,A253,$B:$B,B253,$E:$E,"Occupied"))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Management'!$B:$B,DATE(YEAR(CurrentMonth),MONTH(CurrentMonth),1),'Electricity Management'!$C:$C,B253),0),0)</f>
        <v/>
      </c>
      <c r="K253" s="82">
        <f>IF(E253="Occupied",IFERROR(SUMIFS('Electricity Management'!$T:$T,'Electricity Management'!$K:$K,A253,'Electricity Management'!$B:$B,DATE(YEAR(CurrentMonth),MONTH(CurrentMonth),1),'Electricity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>
        <f>IF(COUNTIFS($A:$A,A254,$B:$B,B254,$E:$E,"Occupied")=2,"Yes","No")</f>
        <v/>
      </c>
      <c r="G254" s="117" t="n"/>
      <c r="H254" s="116">
        <f>IF(E254&lt;&gt;"Occupied",0,COUNTIFS($A:$A,A254,$B:$B,B254,$E:$E,"Occupied"))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Management'!$B:$B,DATE(YEAR(CurrentMonth),MONTH(CurrentMonth),1),'Electricity Management'!$C:$C,B254),0),0)</f>
        <v/>
      </c>
      <c r="K254" s="82">
        <f>IF(E254="Occupied",IFERROR(SUMIFS('Electricity Management'!$T:$T,'Electricity Management'!$K:$K,A254,'Electricity Management'!$B:$B,DATE(YEAR(CurrentMonth),MONTH(CurrentMonth),1),'Electricity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>
        <f>IF(COUNTIFS($A:$A,A255,$B:$B,B255,$E:$E,"Occupied")=2,"Yes","No")</f>
        <v/>
      </c>
      <c r="G255" s="117" t="n"/>
      <c r="H255" s="116">
        <f>IF(E255&lt;&gt;"Occupied",0,COUNTIFS($A:$A,A255,$B:$B,B255,$E:$E,"Occupied"))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Management'!$B:$B,DATE(YEAR(CurrentMonth),MONTH(CurrentMonth),1),'Electricity Management'!$C:$C,B255),0),0)</f>
        <v/>
      </c>
      <c r="K255" s="82">
        <f>IF(E255="Occupied",IFERROR(SUMIFS('Electricity Management'!$T:$T,'Electricity Management'!$K:$K,A255,'Electricity Management'!$B:$B,DATE(YEAR(CurrentMonth),MONTH(CurrentMonth),1),'Electricity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>
        <f>IF(COUNTIFS($A:$A,A256,$B:$B,B256,$E:$E,"Occupied")=2,"Yes","No")</f>
        <v/>
      </c>
      <c r="G256" s="117" t="n"/>
      <c r="H256" s="116">
        <f>IF(E256&lt;&gt;"Occupied",0,COUNTIFS($A:$A,A256,$B:$B,B256,$E:$E,"Occupied"))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Management'!$B:$B,DATE(YEAR(CurrentMonth),MONTH(CurrentMonth),1),'Electricity Management'!$C:$C,B256),0),0)</f>
        <v/>
      </c>
      <c r="K256" s="82">
        <f>IF(E256="Occupied",IFERROR(SUMIFS('Electricity Management'!$T:$T,'Electricity Management'!$K:$K,A256,'Electricity Management'!$B:$B,DATE(YEAR(CurrentMonth),MONTH(CurrentMonth),1),'Electricity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>
        <f>IF(COUNTIFS($A:$A,A257,$B:$B,B257,$E:$E,"Occupied")=2,"Yes","No")</f>
        <v/>
      </c>
      <c r="G257" s="117" t="n"/>
      <c r="H257" s="116">
        <f>IF(E257&lt;&gt;"Occupied",0,COUNTIFS($A:$A,A257,$B:$B,B257,$E:$E,"Occupied"))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Management'!$B:$B,DATE(YEAR(CurrentMonth),MONTH(CurrentMonth),1),'Electricity Management'!$C:$C,B257),0),0)</f>
        <v/>
      </c>
      <c r="K257" s="82">
        <f>IF(E257="Occupied",IFERROR(SUMIFS('Electricity Management'!$T:$T,'Electricity Management'!$K:$K,A257,'Electricity Management'!$B:$B,DATE(YEAR(CurrentMonth),MONTH(CurrentMonth),1),'Electricity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>
        <f>IF(COUNTIFS($A:$A,A258,$B:$B,B258,$E:$E,"Occupied")=2,"Yes","No")</f>
        <v/>
      </c>
      <c r="G258" s="117" t="n"/>
      <c r="H258" s="116">
        <f>IF(E258&lt;&gt;"Occupied",0,COUNTIFS($A:$A,A258,$B:$B,B258,$E:$E,"Occupied"))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Management'!$B:$B,DATE(YEAR(CurrentMonth),MONTH(CurrentMonth),1),'Electricity Management'!$C:$C,B258),0),0)</f>
        <v/>
      </c>
      <c r="K258" s="82">
        <f>IF(E258="Occupied",IFERROR(SUMIFS('Electricity Management'!$T:$T,'Electricity Management'!$K:$K,A258,'Electricity Management'!$B:$B,DATE(YEAR(CurrentMonth),MONTH(CurrentMonth),1),'Electricity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>
        <f>IF(COUNTIFS($A:$A,A259,$B:$B,B259,$E:$E,"Occupied")=2,"Yes","No")</f>
        <v/>
      </c>
      <c r="G259" s="117" t="n"/>
      <c r="H259" s="116">
        <f>IF(E259&lt;&gt;"Occupied",0,COUNTIFS($A:$A,A259,$B:$B,B259,$E:$E,"Occupied"))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Management'!$B:$B,DATE(YEAR(CurrentMonth),MONTH(CurrentMonth),1),'Electricity Management'!$C:$C,B259),0),0)</f>
        <v/>
      </c>
      <c r="K259" s="82">
        <f>IF(E259="Occupied",IFERROR(SUMIFS('Electricity Management'!$T:$T,'Electricity Management'!$K:$K,A259,'Electricity Management'!$B:$B,DATE(YEAR(CurrentMonth),MONTH(CurrentMonth),1),'Electricity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>
        <f>IF(COUNTIFS($A:$A,A260,$B:$B,B260,$E:$E,"Occupied")=2,"Yes","No")</f>
        <v/>
      </c>
      <c r="G260" s="117" t="n"/>
      <c r="H260" s="116">
        <f>IF(E260&lt;&gt;"Occupied",0,COUNTIFS($A:$A,A260,$B:$B,B260,$E:$E,"Occupied"))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Management'!$B:$B,DATE(YEAR(CurrentMonth),MONTH(CurrentMonth),1),'Electricity Management'!$C:$C,B260),0),0)</f>
        <v/>
      </c>
      <c r="K260" s="82">
        <f>IF(E260="Occupied",IFERROR(SUMIFS('Electricity Management'!$T:$T,'Electricity Management'!$K:$K,A260,'Electricity Management'!$B:$B,DATE(YEAR(CurrentMonth),MONTH(CurrentMonth),1),'Electricity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>
        <f>IF(COUNTIFS($A:$A,A261,$B:$B,B261,$E:$E,"Occupied")=2,"Yes","No")</f>
        <v/>
      </c>
      <c r="G261" s="117" t="n"/>
      <c r="H261" s="116">
        <f>IF(E261&lt;&gt;"Occupied",0,COUNTIFS($A:$A,A261,$B:$B,B261,$E:$E,"Occupied"))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Management'!$B:$B,DATE(YEAR(CurrentMonth),MONTH(CurrentMonth),1),'Electricity Management'!$C:$C,B261),0),0)</f>
        <v/>
      </c>
      <c r="K261" s="82">
        <f>IF(E261="Occupied",IFERROR(SUMIFS('Electricity Management'!$T:$T,'Electricity Management'!$K:$K,A261,'Electricity Management'!$B:$B,DATE(YEAR(CurrentMonth),MONTH(CurrentMonth),1),'Electricity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>
        <f>IF(COUNTIFS($A:$A,A262,$B:$B,B262,$E:$E,"Occupied")=2,"Yes","No")</f>
        <v/>
      </c>
      <c r="G262" s="117" t="n"/>
      <c r="H262" s="116">
        <f>IF(E262&lt;&gt;"Occupied",0,COUNTIFS($A:$A,A262,$B:$B,B262,$E:$E,"Occupied"))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Management'!$B:$B,DATE(YEAR(CurrentMonth),MONTH(CurrentMonth),1),'Electricity Management'!$C:$C,B262),0),0)</f>
        <v/>
      </c>
      <c r="K262" s="82">
        <f>IF(E262="Occupied",IFERROR(SUMIFS('Electricity Management'!$T:$T,'Electricity Management'!$K:$K,A262,'Electricity Management'!$B:$B,DATE(YEAR(CurrentMonth),MONTH(CurrentMonth),1),'Electricity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>
        <f>IF(COUNTIFS($A:$A,A263,$B:$B,B263,$E:$E,"Occupied")=2,"Yes","No")</f>
        <v/>
      </c>
      <c r="G263" s="117" t="n"/>
      <c r="H263" s="116">
        <f>IF(E263&lt;&gt;"Occupied",0,COUNTIFS($A:$A,A263,$B:$B,B263,$E:$E,"Occupied"))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Management'!$B:$B,DATE(YEAR(CurrentMonth),MONTH(CurrentMonth),1),'Electricity Management'!$C:$C,B263),0),0)</f>
        <v/>
      </c>
      <c r="K263" s="82">
        <f>IF(E263="Occupied",IFERROR(SUMIFS('Electricity Management'!$T:$T,'Electricity Management'!$K:$K,A263,'Electricity Management'!$B:$B,DATE(YEAR(CurrentMonth),MONTH(CurrentMonth),1),'Electricity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>
        <f>IF(COUNTIFS($A:$A,A264,$B:$B,B264,$E:$E,"Occupied")=2,"Yes","No")</f>
        <v/>
      </c>
      <c r="G264" s="117" t="n"/>
      <c r="H264" s="116">
        <f>IF(E264&lt;&gt;"Occupied",0,COUNTIFS($A:$A,A264,$B:$B,B264,$E:$E,"Occupied"))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Management'!$B:$B,DATE(YEAR(CurrentMonth),MONTH(CurrentMonth),1),'Electricity Management'!$C:$C,B264),0),0)</f>
        <v/>
      </c>
      <c r="K264" s="82">
        <f>IF(E264="Occupied",IFERROR(SUMIFS('Electricity Management'!$T:$T,'Electricity Management'!$K:$K,A264,'Electricity Management'!$B:$B,DATE(YEAR(CurrentMonth),MONTH(CurrentMonth),1),'Electricity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>
        <f>IF(COUNTIFS($A:$A,A265,$B:$B,B265,$E:$E,"Occupied")=2,"Yes","No")</f>
        <v/>
      </c>
      <c r="G265" s="117" t="n"/>
      <c r="H265" s="116">
        <f>IF(E265&lt;&gt;"Occupied",0,COUNTIFS($A:$A,A265,$B:$B,B265,$E:$E,"Occupied"))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Management'!$B:$B,DATE(YEAR(CurrentMonth),MONTH(CurrentMonth),1),'Electricity Management'!$C:$C,B265),0),0)</f>
        <v/>
      </c>
      <c r="K265" s="82">
        <f>IF(E265="Occupied",IFERROR(SUMIFS('Electricity Management'!$T:$T,'Electricity Management'!$K:$K,A265,'Electricity Management'!$B:$B,DATE(YEAR(CurrentMonth),MONTH(CurrentMonth),1),'Electricity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>
        <f>IF(COUNTIFS($A:$A,A266,$B:$B,B266,$E:$E,"Occupied")=2,"Yes","No")</f>
        <v/>
      </c>
      <c r="G266" s="117" t="n"/>
      <c r="H266" s="116">
        <f>IF(E266&lt;&gt;"Occupied",0,COUNTIFS($A:$A,A266,$B:$B,B266,$E:$E,"Occupied"))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Management'!$B:$B,DATE(YEAR(CurrentMonth),MONTH(CurrentMonth),1),'Electricity Management'!$C:$C,B266),0),0)</f>
        <v/>
      </c>
      <c r="K266" s="82">
        <f>IF(E266="Occupied",IFERROR(SUMIFS('Electricity Management'!$T:$T,'Electricity Management'!$K:$K,A266,'Electricity Management'!$B:$B,DATE(YEAR(CurrentMonth),MONTH(CurrentMonth),1),'Electricity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>
        <f>IF(COUNTIFS($A:$A,A267,$B:$B,B267,$E:$E,"Occupied")=2,"Yes","No")</f>
        <v/>
      </c>
      <c r="G267" s="117" t="n"/>
      <c r="H267" s="116">
        <f>IF(E267&lt;&gt;"Occupied",0,COUNTIFS($A:$A,A267,$B:$B,B267,$E:$E,"Occupied"))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Management'!$B:$B,DATE(YEAR(CurrentMonth),MONTH(CurrentMonth),1),'Electricity Management'!$C:$C,B267),0),0)</f>
        <v/>
      </c>
      <c r="K267" s="82">
        <f>IF(E267="Occupied",IFERROR(SUMIFS('Electricity Management'!$T:$T,'Electricity Management'!$K:$K,A267,'Electricity Management'!$B:$B,DATE(YEAR(CurrentMonth),MONTH(CurrentMonth),1),'Electricity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>
        <f>IF(COUNTIFS($A:$A,A268,$B:$B,B268,$E:$E,"Occupied")=2,"Yes","No")</f>
        <v/>
      </c>
      <c r="G268" s="117" t="n"/>
      <c r="H268" s="116">
        <f>IF(E268&lt;&gt;"Occupied",0,COUNTIFS($A:$A,A268,$B:$B,B268,$E:$E,"Occupied"))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Management'!$B:$B,DATE(YEAR(CurrentMonth),MONTH(CurrentMonth),1),'Electricity Management'!$C:$C,B268),0),0)</f>
        <v/>
      </c>
      <c r="K268" s="82">
        <f>IF(E268="Occupied",IFERROR(SUMIFS('Electricity Management'!$T:$T,'Electricity Management'!$K:$K,A268,'Electricity Management'!$B:$B,DATE(YEAR(CurrentMonth),MONTH(CurrentMonth),1),'Electricity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>
        <f>IF(COUNTIFS($A:$A,A269,$B:$B,B269,$E:$E,"Occupied")=2,"Yes","No")</f>
        <v/>
      </c>
      <c r="G269" s="117" t="n"/>
      <c r="H269" s="116">
        <f>IF(E269&lt;&gt;"Occupied",0,COUNTIFS($A:$A,A269,$B:$B,B269,$E:$E,"Occupied"))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Management'!$B:$B,DATE(YEAR(CurrentMonth),MONTH(CurrentMonth),1),'Electricity Management'!$C:$C,B269),0),0)</f>
        <v/>
      </c>
      <c r="K269" s="82">
        <f>IF(E269="Occupied",IFERROR(SUMIFS('Electricity Management'!$T:$T,'Electricity Management'!$K:$K,A269,'Electricity Management'!$B:$B,DATE(YEAR(CurrentMonth),MONTH(CurrentMonth),1),'Electricity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>
        <f>IF(COUNTIFS($A:$A,A270,$B:$B,B270,$E:$E,"Occupied")=2,"Yes","No")</f>
        <v/>
      </c>
      <c r="G270" s="117" t="n"/>
      <c r="H270" s="116">
        <f>IF(E270&lt;&gt;"Occupied",0,COUNTIFS($A:$A,A270,$B:$B,B270,$E:$E,"Occupied"))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Management'!$B:$B,DATE(YEAR(CurrentMonth),MONTH(CurrentMonth),1),'Electricity Management'!$C:$C,B270),0),0)</f>
        <v/>
      </c>
      <c r="K270" s="82">
        <f>IF(E270="Occupied",IFERROR(SUMIFS('Electricity Management'!$T:$T,'Electricity Management'!$K:$K,A270,'Electricity Management'!$B:$B,DATE(YEAR(CurrentMonth),MONTH(CurrentMonth),1),'Electricity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>
        <f>IF(COUNTIFS($A:$A,A271,$B:$B,B271,$E:$E,"Occupied")=2,"Yes","No")</f>
        <v/>
      </c>
      <c r="G271" s="117" t="n"/>
      <c r="H271" s="116">
        <f>IF(E271&lt;&gt;"Occupied",0,COUNTIFS($A:$A,A271,$B:$B,B271,$E:$E,"Occupied"))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Management'!$B:$B,DATE(YEAR(CurrentMonth),MONTH(CurrentMonth),1),'Electricity Management'!$C:$C,B271),0),0)</f>
        <v/>
      </c>
      <c r="K271" s="82">
        <f>IF(E271="Occupied",IFERROR(SUMIFS('Electricity Management'!$T:$T,'Electricity Management'!$K:$K,A271,'Electricity Management'!$B:$B,DATE(YEAR(CurrentMonth),MONTH(CurrentMonth),1),'Electricity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>
        <f>IF(COUNTIFS($A:$A,A272,$B:$B,B272,$E:$E,"Occupied")=2,"Yes","No")</f>
        <v/>
      </c>
      <c r="G272" s="117" t="n"/>
      <c r="H272" s="116">
        <f>IF(E272&lt;&gt;"Occupied",0,COUNTIFS($A:$A,A272,$B:$B,B272,$E:$E,"Occupied"))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Management'!$B:$B,DATE(YEAR(CurrentMonth),MONTH(CurrentMonth),1),'Electricity Management'!$C:$C,B272),0),0)</f>
        <v/>
      </c>
      <c r="K272" s="82">
        <f>IF(E272="Occupied",IFERROR(SUMIFS('Electricity Management'!$T:$T,'Electricity Management'!$K:$K,A272,'Electricity Management'!$B:$B,DATE(YEAR(CurrentMonth),MONTH(CurrentMonth),1),'Electricity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>
        <f>IF(COUNTIFS($A:$A,A273,$B:$B,B273,$E:$E,"Occupied")=2,"Yes","No")</f>
        <v/>
      </c>
      <c r="G273" s="117" t="n"/>
      <c r="H273" s="116">
        <f>IF(E273&lt;&gt;"Occupied",0,COUNTIFS($A:$A,A273,$B:$B,B273,$E:$E,"Occupied"))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Management'!$B:$B,DATE(YEAR(CurrentMonth),MONTH(CurrentMonth),1),'Electricity Management'!$C:$C,B273),0),0)</f>
        <v/>
      </c>
      <c r="K273" s="82">
        <f>IF(E273="Occupied",IFERROR(SUMIFS('Electricity Management'!$T:$T,'Electricity Management'!$K:$K,A273,'Electricity Management'!$B:$B,DATE(YEAR(CurrentMonth),MONTH(CurrentMonth),1),'Electricity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>
        <f>IF(COUNTIFS($A:$A,A274,$B:$B,B274,$E:$E,"Occupied")=2,"Yes","No")</f>
        <v/>
      </c>
      <c r="G274" s="117" t="n"/>
      <c r="H274" s="116">
        <f>IF(E274&lt;&gt;"Occupied",0,COUNTIFS($A:$A,A274,$B:$B,B274,$E:$E,"Occupied"))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Management'!$B:$B,DATE(YEAR(CurrentMonth),MONTH(CurrentMonth),1),'Electricity Management'!$C:$C,B274),0),0)</f>
        <v/>
      </c>
      <c r="K274" s="82">
        <f>IF(E274="Occupied",IFERROR(SUMIFS('Electricity Management'!$T:$T,'Electricity Management'!$K:$K,A274,'Electricity Management'!$B:$B,DATE(YEAR(CurrentMonth),MONTH(CurrentMonth),1),'Electricity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>
        <f>IF(COUNTIFS($A:$A,A275,$B:$B,B275,$E:$E,"Occupied")=2,"Yes","No")</f>
        <v/>
      </c>
      <c r="G275" s="117" t="n"/>
      <c r="H275" s="116">
        <f>IF(E275&lt;&gt;"Occupied",0,COUNTIFS($A:$A,A275,$B:$B,B275,$E:$E,"Occupied"))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Management'!$B:$B,DATE(YEAR(CurrentMonth),MONTH(CurrentMonth),1),'Electricity Management'!$C:$C,B275),0),0)</f>
        <v/>
      </c>
      <c r="K275" s="82">
        <f>IF(E275="Occupied",IFERROR(SUMIFS('Electricity Management'!$T:$T,'Electricity Management'!$K:$K,A275,'Electricity Management'!$B:$B,DATE(YEAR(CurrentMonth),MONTH(CurrentMonth),1),'Electricity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>
        <f>IF(COUNTIFS($A:$A,A276,$B:$B,B276,$E:$E,"Occupied")=2,"Yes","No")</f>
        <v/>
      </c>
      <c r="G276" s="117" t="n"/>
      <c r="H276" s="116">
        <f>IF(E276&lt;&gt;"Occupied",0,COUNTIFS($A:$A,A276,$B:$B,B276,$E:$E,"Occupied"))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Management'!$B:$B,DATE(YEAR(CurrentMonth),MONTH(CurrentMonth),1),'Electricity Management'!$C:$C,B276),0),0)</f>
        <v/>
      </c>
      <c r="K276" s="82">
        <f>IF(E276="Occupied",IFERROR(SUMIFS('Electricity Management'!$T:$T,'Electricity Management'!$K:$K,A276,'Electricity Management'!$B:$B,DATE(YEAR(CurrentMonth),MONTH(CurrentMonth),1),'Electricity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>
        <f>IF(COUNTIFS($A:$A,A277,$B:$B,B277,$E:$E,"Occupied")=2,"Yes","No")</f>
        <v/>
      </c>
      <c r="G277" s="117" t="n"/>
      <c r="H277" s="116">
        <f>IF(E277&lt;&gt;"Occupied",0,COUNTIFS($A:$A,A277,$B:$B,B277,$E:$E,"Occupied"))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Management'!$B:$B,DATE(YEAR(CurrentMonth),MONTH(CurrentMonth),1),'Electricity Management'!$C:$C,B277),0),0)</f>
        <v/>
      </c>
      <c r="K277" s="82">
        <f>IF(E277="Occupied",IFERROR(SUMIFS('Electricity Management'!$T:$T,'Electricity Management'!$K:$K,A277,'Electricity Management'!$B:$B,DATE(YEAR(CurrentMonth),MONTH(CurrentMonth),1),'Electricity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>
        <f>IF(COUNTIFS($A:$A,A278,$B:$B,B278,$E:$E,"Occupied")=2,"Yes","No")</f>
        <v/>
      </c>
      <c r="G278" s="117" t="n"/>
      <c r="H278" s="116">
        <f>IF(E278&lt;&gt;"Occupied",0,COUNTIFS($A:$A,A278,$B:$B,B278,$E:$E,"Occupied"))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Management'!$B:$B,DATE(YEAR(CurrentMonth),MONTH(CurrentMonth),1),'Electricity Management'!$C:$C,B278),0),0)</f>
        <v/>
      </c>
      <c r="K278" s="82">
        <f>IF(E278="Occupied",IFERROR(SUMIFS('Electricity Management'!$T:$T,'Electricity Management'!$K:$K,A278,'Electricity Management'!$B:$B,DATE(YEAR(CurrentMonth),MONTH(CurrentMonth),1),'Electricity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>
        <f>IF(COUNTIFS($A:$A,A279,$B:$B,B279,$E:$E,"Occupied")=2,"Yes","No")</f>
        <v/>
      </c>
      <c r="G279" s="117" t="n"/>
      <c r="H279" s="116">
        <f>IF(E279&lt;&gt;"Occupied",0,COUNTIFS($A:$A,A279,$B:$B,B279,$E:$E,"Occupied"))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Management'!$B:$B,DATE(YEAR(CurrentMonth),MONTH(CurrentMonth),1),'Electricity Management'!$C:$C,B279),0),0)</f>
        <v/>
      </c>
      <c r="K279" s="82">
        <f>IF(E279="Occupied",IFERROR(SUMIFS('Electricity Management'!$T:$T,'Electricity Management'!$K:$K,A279,'Electricity Management'!$B:$B,DATE(YEAR(CurrentMonth),MONTH(CurrentMonth),1),'Electricity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>
        <f>IF(COUNTIFS($A:$A,A280,$B:$B,B280,$E:$E,"Occupied")=2,"Yes","No")</f>
        <v/>
      </c>
      <c r="G280" s="117" t="n"/>
      <c r="H280" s="116">
        <f>IF(E280&lt;&gt;"Occupied",0,COUNTIFS($A:$A,A280,$B:$B,B280,$E:$E,"Occupied"))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Management'!$B:$B,DATE(YEAR(CurrentMonth),MONTH(CurrentMonth),1),'Electricity Management'!$C:$C,B280),0),0)</f>
        <v/>
      </c>
      <c r="K280" s="82">
        <f>IF(E280="Occupied",IFERROR(SUMIFS('Electricity Management'!$T:$T,'Electricity Management'!$K:$K,A280,'Electricity Management'!$B:$B,DATE(YEAR(CurrentMonth),MONTH(CurrentMonth),1),'Electricity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>
        <f>IF(COUNTIFS($A:$A,A281,$B:$B,B281,$E:$E,"Occupied")=2,"Yes","No")</f>
        <v/>
      </c>
      <c r="G281" s="117" t="n"/>
      <c r="H281" s="116">
        <f>IF(E281&lt;&gt;"Occupied",0,COUNTIFS($A:$A,A281,$B:$B,B281,$E:$E,"Occupied"))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Management'!$B:$B,DATE(YEAR(CurrentMonth),MONTH(CurrentMonth),1),'Electricity Management'!$C:$C,B281),0),0)</f>
        <v/>
      </c>
      <c r="K281" s="82">
        <f>IF(E281="Occupied",IFERROR(SUMIFS('Electricity Management'!$T:$T,'Electricity Management'!$K:$K,A281,'Electricity Management'!$B:$B,DATE(YEAR(CurrentMonth),MONTH(CurrentMonth),1),'Electricity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>
        <f>IF(COUNTIFS($A:$A,A282,$B:$B,B282,$E:$E,"Occupied")=2,"Yes","No")</f>
        <v/>
      </c>
      <c r="G282" s="117" t="n"/>
      <c r="H282" s="116">
        <f>IF(E282&lt;&gt;"Occupied",0,COUNTIFS($A:$A,A282,$B:$B,B282,$E:$E,"Occupied"))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Management'!$B:$B,DATE(YEAR(CurrentMonth),MONTH(CurrentMonth),1),'Electricity Management'!$C:$C,B282),0),0)</f>
        <v/>
      </c>
      <c r="K282" s="82">
        <f>IF(E282="Occupied",IFERROR(SUMIFS('Electricity Management'!$T:$T,'Electricity Management'!$K:$K,A282,'Electricity Management'!$B:$B,DATE(YEAR(CurrentMonth),MONTH(CurrentMonth),1),'Electricity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>
        <f>IF(COUNTIFS($A:$A,A283,$B:$B,B283,$E:$E,"Occupied")=2,"Yes","No")</f>
        <v/>
      </c>
      <c r="G283" s="117" t="n"/>
      <c r="H283" s="116">
        <f>IF(E283&lt;&gt;"Occupied",0,COUNTIFS($A:$A,A283,$B:$B,B283,$E:$E,"Occupied"))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Management'!$B:$B,DATE(YEAR(CurrentMonth),MONTH(CurrentMonth),1),'Electricity Management'!$C:$C,B283),0),0)</f>
        <v/>
      </c>
      <c r="K283" s="82">
        <f>IF(E283="Occupied",IFERROR(SUMIFS('Electricity Management'!$T:$T,'Electricity Management'!$K:$K,A283,'Electricity Management'!$B:$B,DATE(YEAR(CurrentMonth),MONTH(CurrentMonth),1),'Electricity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>
        <f>IF(COUNTIFS($A:$A,A284,$B:$B,B284,$E:$E,"Occupied")=2,"Yes","No")</f>
        <v/>
      </c>
      <c r="G284" s="117" t="n"/>
      <c r="H284" s="116">
        <f>IF(E284&lt;&gt;"Occupied",0,COUNTIFS($A:$A,A284,$B:$B,B284,$E:$E,"Occupied"))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Management'!$B:$B,DATE(YEAR(CurrentMonth),MONTH(CurrentMonth),1),'Electricity Management'!$C:$C,B284),0),0)</f>
        <v/>
      </c>
      <c r="K284" s="82">
        <f>IF(E284="Occupied",IFERROR(SUMIFS('Electricity Management'!$T:$T,'Electricity Management'!$K:$K,A284,'Electricity Management'!$B:$B,DATE(YEAR(CurrentMonth),MONTH(CurrentMonth),1),'Electricity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>
        <f>IF(COUNTIFS($A:$A,A285,$B:$B,B285,$E:$E,"Occupied")=2,"Yes","No")</f>
        <v/>
      </c>
      <c r="G285" s="117" t="n"/>
      <c r="H285" s="116">
        <f>IF(E285&lt;&gt;"Occupied",0,COUNTIFS($A:$A,A285,$B:$B,B285,$E:$E,"Occupied"))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Management'!$B:$B,DATE(YEAR(CurrentMonth),MONTH(CurrentMonth),1),'Electricity Management'!$C:$C,B285),0),0)</f>
        <v/>
      </c>
      <c r="K285" s="82">
        <f>IF(E285="Occupied",IFERROR(SUMIFS('Electricity Management'!$T:$T,'Electricity Management'!$K:$K,A285,'Electricity Management'!$B:$B,DATE(YEAR(CurrentMonth),MONTH(CurrentMonth),1),'Electricity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>
        <f>IF(COUNTIFS($A:$A,A286,$B:$B,B286,$E:$E,"Occupied")=2,"Yes","No")</f>
        <v/>
      </c>
      <c r="G286" s="117" t="n"/>
      <c r="H286" s="116">
        <f>IF(E286&lt;&gt;"Occupied",0,COUNTIFS($A:$A,A286,$B:$B,B286,$E:$E,"Occupied"))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Management'!$B:$B,DATE(YEAR(CurrentMonth),MONTH(CurrentMonth),1),'Electricity Management'!$C:$C,B286),0),0)</f>
        <v/>
      </c>
      <c r="K286" s="82">
        <f>IF(E286="Occupied",IFERROR(SUMIFS('Electricity Management'!$T:$T,'Electricity Management'!$K:$K,A286,'Electricity Management'!$B:$B,DATE(YEAR(CurrentMonth),MONTH(CurrentMonth),1),'Electricity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>
        <f>IF(COUNTIFS($A:$A,A287,$B:$B,B287,$E:$E,"Occupied")=2,"Yes","No")</f>
        <v/>
      </c>
      <c r="G287" s="117" t="n"/>
      <c r="H287" s="116">
        <f>IF(E287&lt;&gt;"Occupied",0,COUNTIFS($A:$A,A287,$B:$B,B287,$E:$E,"Occupied"))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Management'!$B:$B,DATE(YEAR(CurrentMonth),MONTH(CurrentMonth),1),'Electricity Management'!$C:$C,B287),0),0)</f>
        <v/>
      </c>
      <c r="K287" s="82">
        <f>IF(E287="Occupied",IFERROR(SUMIFS('Electricity Management'!$T:$T,'Electricity Management'!$K:$K,A287,'Electricity Management'!$B:$B,DATE(YEAR(CurrentMonth),MONTH(CurrentMonth),1),'Electricity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>
        <f>IF(COUNTIFS($A:$A,A288,$B:$B,B288,$E:$E,"Occupied")=2,"Yes","No")</f>
        <v/>
      </c>
      <c r="G288" s="117" t="n"/>
      <c r="H288" s="116">
        <f>IF(E288&lt;&gt;"Occupied",0,COUNTIFS($A:$A,A288,$B:$B,B288,$E:$E,"Occupied"))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Management'!$B:$B,DATE(YEAR(CurrentMonth),MONTH(CurrentMonth),1),'Electricity Management'!$C:$C,B288),0),0)</f>
        <v/>
      </c>
      <c r="K288" s="82">
        <f>IF(E288="Occupied",IFERROR(SUMIFS('Electricity Management'!$T:$T,'Electricity Management'!$K:$K,A288,'Electricity Management'!$B:$B,DATE(YEAR(CurrentMonth),MONTH(CurrentMonth),1),'Electricity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>
        <f>IF(COUNTIFS($A:$A,A289,$B:$B,B289,$E:$E,"Occupied")=2,"Yes","No")</f>
        <v/>
      </c>
      <c r="G289" s="117" t="n"/>
      <c r="H289" s="116">
        <f>IF(E289&lt;&gt;"Occupied",0,COUNTIFS($A:$A,A289,$B:$B,B289,$E:$E,"Occupied"))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Management'!$B:$B,DATE(YEAR(CurrentMonth),MONTH(CurrentMonth),1),'Electricity Management'!$C:$C,B289),0),0)</f>
        <v/>
      </c>
      <c r="K289" s="82">
        <f>IF(E289="Occupied",IFERROR(SUMIFS('Electricity Management'!$T:$T,'Electricity Management'!$K:$K,A289,'Electricity Management'!$B:$B,DATE(YEAR(CurrentMonth),MONTH(CurrentMonth),1),'Electricity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>
        <f>IF(COUNTIFS($A:$A,A290,$B:$B,B290,$E:$E,"Occupied")=2,"Yes","No")</f>
        <v/>
      </c>
      <c r="G290" s="117" t="n"/>
      <c r="H290" s="116">
        <f>IF(E290&lt;&gt;"Occupied",0,COUNTIFS($A:$A,A290,$B:$B,B290,$E:$E,"Occupied"))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Management'!$B:$B,DATE(YEAR(CurrentMonth),MONTH(CurrentMonth),1),'Electricity Management'!$C:$C,B290),0),0)</f>
        <v/>
      </c>
      <c r="K290" s="82">
        <f>IF(E290="Occupied",IFERROR(SUMIFS('Electricity Management'!$T:$T,'Electricity Management'!$K:$K,A290,'Electricity Management'!$B:$B,DATE(YEAR(CurrentMonth),MONTH(CurrentMonth),1),'Electricity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>
        <f>IF(COUNTIFS($A:$A,A291,$B:$B,B291,$E:$E,"Occupied")=2,"Yes","No")</f>
        <v/>
      </c>
      <c r="G291" s="117" t="n"/>
      <c r="H291" s="116">
        <f>IF(E291&lt;&gt;"Occupied",0,COUNTIFS($A:$A,A291,$B:$B,B291,$E:$E,"Occupied"))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Management'!$B:$B,DATE(YEAR(CurrentMonth),MONTH(CurrentMonth),1),'Electricity Management'!$C:$C,B291),0),0)</f>
        <v/>
      </c>
      <c r="K291" s="82">
        <f>IF(E291="Occupied",IFERROR(SUMIFS('Electricity Management'!$T:$T,'Electricity Management'!$K:$K,A291,'Electricity Management'!$B:$B,DATE(YEAR(CurrentMonth),MONTH(CurrentMonth),1),'Electricity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>
        <f>IF(COUNTIFS($A:$A,A292,$B:$B,B292,$E:$E,"Occupied")=2,"Yes","No")</f>
        <v/>
      </c>
      <c r="G292" s="117" t="n"/>
      <c r="H292" s="116">
        <f>IF(E292&lt;&gt;"Occupied",0,COUNTIFS($A:$A,A292,$B:$B,B292,$E:$E,"Occupied"))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Management'!$B:$B,DATE(YEAR(CurrentMonth),MONTH(CurrentMonth),1),'Electricity Management'!$C:$C,B292),0),0)</f>
        <v/>
      </c>
      <c r="K292" s="82">
        <f>IF(E292="Occupied",IFERROR(SUMIFS('Electricity Management'!$T:$T,'Electricity Management'!$K:$K,A292,'Electricity Management'!$B:$B,DATE(YEAR(CurrentMonth),MONTH(CurrentMonth),1),'Electricity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>
        <f>IF(COUNTIFS($A:$A,A293,$B:$B,B293,$E:$E,"Occupied")=2,"Yes","No")</f>
        <v/>
      </c>
      <c r="G293" s="117" t="n"/>
      <c r="H293" s="116">
        <f>IF(E293&lt;&gt;"Occupied",0,COUNTIFS($A:$A,A293,$B:$B,B293,$E:$E,"Occupied"))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Management'!$B:$B,DATE(YEAR(CurrentMonth),MONTH(CurrentMonth),1),'Electricity Management'!$C:$C,B293),0),0)</f>
        <v/>
      </c>
      <c r="K293" s="82">
        <f>IF(E293="Occupied",IFERROR(SUMIFS('Electricity Management'!$T:$T,'Electricity Management'!$K:$K,A293,'Electricity Management'!$B:$B,DATE(YEAR(CurrentMonth),MONTH(CurrentMonth),1),'Electricity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>
        <f>IF(COUNTIFS($A:$A,A294,$B:$B,B294,$E:$E,"Occupied")=2,"Yes","No")</f>
        <v/>
      </c>
      <c r="G294" s="117" t="n"/>
      <c r="H294" s="116">
        <f>IF(E294&lt;&gt;"Occupied",0,COUNTIFS($A:$A,A294,$B:$B,B294,$E:$E,"Occupied"))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Management'!$B:$B,DATE(YEAR(CurrentMonth),MONTH(CurrentMonth),1),'Electricity Management'!$C:$C,B294),0),0)</f>
        <v/>
      </c>
      <c r="K294" s="82">
        <f>IF(E294="Occupied",IFERROR(SUMIFS('Electricity Management'!$T:$T,'Electricity Management'!$K:$K,A294,'Electricity Management'!$B:$B,DATE(YEAR(CurrentMonth),MONTH(CurrentMonth),1),'Electricity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>
        <f>IF(COUNTIFS($A:$A,A295,$B:$B,B295,$E:$E,"Occupied")=2,"Yes","No")</f>
        <v/>
      </c>
      <c r="G295" s="117" t="n"/>
      <c r="H295" s="116">
        <f>IF(E295&lt;&gt;"Occupied",0,COUNTIFS($A:$A,A295,$B:$B,B295,$E:$E,"Occupied"))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Management'!$B:$B,DATE(YEAR(CurrentMonth),MONTH(CurrentMonth),1),'Electricity Management'!$C:$C,B295),0),0)</f>
        <v/>
      </c>
      <c r="K295" s="82">
        <f>IF(E295="Occupied",IFERROR(SUMIFS('Electricity Management'!$T:$T,'Electricity Management'!$K:$K,A295,'Electricity Management'!$B:$B,DATE(YEAR(CurrentMonth),MONTH(CurrentMonth),1),'Electricity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>
        <f>IF(COUNTIFS($A:$A,A296,$B:$B,B296,$E:$E,"Occupied")=2,"Yes","No")</f>
        <v/>
      </c>
      <c r="G296" s="117" t="n"/>
      <c r="H296" s="116">
        <f>IF(E296&lt;&gt;"Occupied",0,COUNTIFS($A:$A,A296,$B:$B,B296,$E:$E,"Occupied"))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Management'!$B:$B,DATE(YEAR(CurrentMonth),MONTH(CurrentMonth),1),'Electricity Management'!$C:$C,B296),0),0)</f>
        <v/>
      </c>
      <c r="K296" s="82">
        <f>IF(E296="Occupied",IFERROR(SUMIFS('Electricity Management'!$T:$T,'Electricity Management'!$K:$K,A296,'Electricity Management'!$B:$B,DATE(YEAR(CurrentMonth),MONTH(CurrentMonth),1),'Electricity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>
        <f>IF(COUNTIFS($A:$A,A297,$B:$B,B297,$E:$E,"Occupied")=2,"Yes","No")</f>
        <v/>
      </c>
      <c r="G297" s="117" t="n"/>
      <c r="H297" s="116">
        <f>IF(E297&lt;&gt;"Occupied",0,COUNTIFS($A:$A,A297,$B:$B,B297,$E:$E,"Occupied"))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Management'!$B:$B,DATE(YEAR(CurrentMonth),MONTH(CurrentMonth),1),'Electricity Management'!$C:$C,B297),0),0)</f>
        <v/>
      </c>
      <c r="K297" s="82">
        <f>IF(E297="Occupied",IFERROR(SUMIFS('Electricity Management'!$T:$T,'Electricity Management'!$K:$K,A297,'Electricity Management'!$B:$B,DATE(YEAR(CurrentMonth),MONTH(CurrentMonth),1),'Electricity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>
        <f>IF(COUNTIFS($A:$A,A298,$B:$B,B298,$E:$E,"Occupied")=2,"Yes","No")</f>
        <v/>
      </c>
      <c r="G298" s="117" t="n"/>
      <c r="H298" s="116">
        <f>IF(E298&lt;&gt;"Occupied",0,COUNTIFS($A:$A,A298,$B:$B,B298,$E:$E,"Occupied"))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Management'!$B:$B,DATE(YEAR(CurrentMonth),MONTH(CurrentMonth),1),'Electricity Management'!$C:$C,B298),0),0)</f>
        <v/>
      </c>
      <c r="K298" s="82">
        <f>IF(E298="Occupied",IFERROR(SUMIFS('Electricity Management'!$T:$T,'Electricity Management'!$K:$K,A298,'Electricity Management'!$B:$B,DATE(YEAR(CurrentMonth),MONTH(CurrentMonth),1),'Electricity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>
        <f>IF(COUNTIFS($A:$A,A299,$B:$B,B299,$E:$E,"Occupied")=2,"Yes","No")</f>
        <v/>
      </c>
      <c r="G299" s="117" t="n"/>
      <c r="H299" s="116">
        <f>IF(E299&lt;&gt;"Occupied",0,COUNTIFS($A:$A,A299,$B:$B,B299,$E:$E,"Occupied"))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Management'!$B:$B,DATE(YEAR(CurrentMonth),MONTH(CurrentMonth),1),'Electricity Management'!$C:$C,B299),0),0)</f>
        <v/>
      </c>
      <c r="K299" s="82">
        <f>IF(E299="Occupied",IFERROR(SUMIFS('Electricity Management'!$T:$T,'Electricity Management'!$K:$K,A299,'Electricity Management'!$B:$B,DATE(YEAR(CurrentMonth),MONTH(CurrentMonth),1),'Electricity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>
        <f>IF(COUNTIFS($A:$A,A300,$B:$B,B300,$E:$E,"Occupied")=2,"Yes","No")</f>
        <v/>
      </c>
      <c r="G300" s="117" t="n"/>
      <c r="H300" s="116">
        <f>IF(E300&lt;&gt;"Occupied",0,COUNTIFS($A:$A,A300,$B:$B,B300,$E:$E,"Occupied"))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Management'!$B:$B,DATE(YEAR(CurrentMonth),MONTH(CurrentMonth),1),'Electricity Management'!$C:$C,B300),0),0)</f>
        <v/>
      </c>
      <c r="K300" s="82">
        <f>IF(E300="Occupied",IFERROR(SUMIFS('Electricity Management'!$T:$T,'Electricity Management'!$K:$K,A300,'Electricity Management'!$B:$B,DATE(YEAR(CurrentMonth),MONTH(CurrentMonth),1),'Electricity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>
        <f>IF(COUNTIFS($A:$A,A301,$B:$B,B301,$E:$E,"Occupied")=2,"Yes","No")</f>
        <v/>
      </c>
      <c r="G301" s="117" t="n"/>
      <c r="H301" s="116">
        <f>IF(E301&lt;&gt;"Occupied",0,COUNTIFS($A:$A,A301,$B:$B,B301,$E:$E,"Occupied"))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Management'!$B:$B,DATE(YEAR(CurrentMonth),MONTH(CurrentMonth),1),'Electricity Management'!$C:$C,B301),0),0)</f>
        <v/>
      </c>
      <c r="K301" s="82">
        <f>IF(E301="Occupied",IFERROR(SUMIFS('Electricity Management'!$T:$T,'Electricity Management'!$K:$K,A301,'Electricity Management'!$B:$B,DATE(YEAR(CurrentMonth),MONTH(CurrentMonth),1),'Electricity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>
        <f>IF(COUNTIFS($A:$A,A302,$B:$B,B302,$E:$E,"Occupied")=2,"Yes","No")</f>
        <v/>
      </c>
      <c r="G302" s="117" t="n"/>
      <c r="H302" s="116">
        <f>IF(E302&lt;&gt;"Occupied",0,COUNTIFS($A:$A,A302,$B:$B,B302,$E:$E,"Occupied"))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Management'!$B:$B,DATE(YEAR(CurrentMonth),MONTH(CurrentMonth),1),'Electricity Management'!$C:$C,B302),0),0)</f>
        <v/>
      </c>
      <c r="K302" s="82">
        <f>IF(E302="Occupied",IFERROR(SUMIFS('Electricity Management'!$T:$T,'Electricity Management'!$K:$K,A302,'Electricity Management'!$B:$B,DATE(YEAR(CurrentMonth),MONTH(CurrentMonth),1),'Electricity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>
        <f>IF(COUNTIFS($A:$A,A303,$B:$B,B303,$E:$E,"Occupied")=2,"Yes","No")</f>
        <v/>
      </c>
      <c r="G303" s="117" t="n"/>
      <c r="H303" s="116">
        <f>IF(E303&lt;&gt;"Occupied",0,COUNTIFS($A:$A,A303,$B:$B,B303,$E:$E,"Occupied"))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Management'!$B:$B,DATE(YEAR(CurrentMonth),MONTH(CurrentMonth),1),'Electricity Management'!$C:$C,B303),0),0)</f>
        <v/>
      </c>
      <c r="K303" s="82">
        <f>IF(E303="Occupied",IFERROR(SUMIFS('Electricity Management'!$T:$T,'Electricity Management'!$K:$K,A303,'Electricity Management'!$B:$B,DATE(YEAR(CurrentMonth),MONTH(CurrentMonth),1),'Electricity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>
        <f>IF(COUNTIFS($A:$A,A304,$B:$B,B304,$E:$E,"Occupied")=2,"Yes","No")</f>
        <v/>
      </c>
      <c r="G304" s="117" t="n"/>
      <c r="H304" s="116">
        <f>IF(E304&lt;&gt;"Occupied",0,COUNTIFS($A:$A,A304,$B:$B,B304,$E:$E,"Occupied"))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Management'!$B:$B,DATE(YEAR(CurrentMonth),MONTH(CurrentMonth),1),'Electricity Management'!$C:$C,B304),0),0)</f>
        <v/>
      </c>
      <c r="K304" s="82">
        <f>IF(E304="Occupied",IFERROR(SUMIFS('Electricity Management'!$T:$T,'Electricity Management'!$K:$K,A304,'Electricity Management'!$B:$B,DATE(YEAR(CurrentMonth),MONTH(CurrentMonth),1),'Electricity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>
        <f>IF(COUNTIFS($A:$A,A305,$B:$B,B305,$E:$E,"Occupied")=2,"Yes","No")</f>
        <v/>
      </c>
      <c r="G305" s="117" t="n"/>
      <c r="H305" s="116">
        <f>IF(E305&lt;&gt;"Occupied",0,COUNTIFS($A:$A,A305,$B:$B,B305,$E:$E,"Occupied"))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Management'!$B:$B,DATE(YEAR(CurrentMonth),MONTH(CurrentMonth),1),'Electricity Management'!$C:$C,B305),0),0)</f>
        <v/>
      </c>
      <c r="K305" s="82">
        <f>IF(E305="Occupied",IFERROR(SUMIFS('Electricity Management'!$T:$T,'Electricity Management'!$K:$K,A305,'Electricity Management'!$B:$B,DATE(YEAR(CurrentMonth),MONTH(CurrentMonth),1),'Electricity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>
        <f>IF(COUNTIFS($A:$A,A306,$B:$B,B306,$E:$E,"Occupied")=2,"Yes","No")</f>
        <v/>
      </c>
      <c r="G306" s="117" t="n"/>
      <c r="H306" s="116">
        <f>IF(E306&lt;&gt;"Occupied",0,COUNTIFS($A:$A,A306,$B:$B,B306,$E:$E,"Occupied"))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Management'!$B:$B,DATE(YEAR(CurrentMonth),MONTH(CurrentMonth),1),'Electricity Management'!$C:$C,B306),0),0)</f>
        <v/>
      </c>
      <c r="K306" s="82">
        <f>IF(E306="Occupied",IFERROR(SUMIFS('Electricity Management'!$T:$T,'Electricity Management'!$K:$K,A306,'Electricity Management'!$B:$B,DATE(YEAR(CurrentMonth),MONTH(CurrentMonth),1),'Electricity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>
        <f>IF(COUNTIFS($A:$A,A307,$B:$B,B307,$E:$E,"Occupied")=2,"Yes","No")</f>
        <v/>
      </c>
      <c r="G307" s="117" t="n"/>
      <c r="H307" s="116">
        <f>IF(E307&lt;&gt;"Occupied",0,COUNTIFS($A:$A,A307,$B:$B,B307,$E:$E,"Occupied"))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Management'!$B:$B,DATE(YEAR(CurrentMonth),MONTH(CurrentMonth),1),'Electricity Management'!$C:$C,B307),0),0)</f>
        <v/>
      </c>
      <c r="K307" s="82">
        <f>IF(E307="Occupied",IFERROR(SUMIFS('Electricity Management'!$T:$T,'Electricity Management'!$K:$K,A307,'Electricity Management'!$B:$B,DATE(YEAR(CurrentMonth),MONTH(CurrentMonth),1),'Electricity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>
        <f>IF(COUNTIFS($A:$A,A308,$B:$B,B308,$E:$E,"Occupied")=2,"Yes","No")</f>
        <v/>
      </c>
      <c r="G308" s="117" t="n"/>
      <c r="H308" s="116">
        <f>IF(E308&lt;&gt;"Occupied",0,COUNTIFS($A:$A,A308,$B:$B,B308,$E:$E,"Occupied"))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Management'!$B:$B,DATE(YEAR(CurrentMonth),MONTH(CurrentMonth),1),'Electricity Management'!$C:$C,B308),0),0)</f>
        <v/>
      </c>
      <c r="K308" s="82">
        <f>IF(E308="Occupied",IFERROR(SUMIFS('Electricity Management'!$T:$T,'Electricity Management'!$K:$K,A308,'Electricity Management'!$B:$B,DATE(YEAR(CurrentMonth),MONTH(CurrentMonth),1),'Electricity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>
        <f>IF(COUNTIFS($A:$A,A309,$B:$B,B309,$E:$E,"Occupied")=2,"Yes","No")</f>
        <v/>
      </c>
      <c r="G309" s="117" t="n"/>
      <c r="H309" s="116">
        <f>IF(E309&lt;&gt;"Occupied",0,COUNTIFS($A:$A,A309,$B:$B,B309,$E:$E,"Occupied"))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Management'!$B:$B,DATE(YEAR(CurrentMonth),MONTH(CurrentMonth),1),'Electricity Management'!$C:$C,B309),0),0)</f>
        <v/>
      </c>
      <c r="K309" s="82">
        <f>IF(E309="Occupied",IFERROR(SUMIFS('Electricity Management'!$T:$T,'Electricity Management'!$K:$K,A309,'Electricity Management'!$B:$B,DATE(YEAR(CurrentMonth),MONTH(CurrentMonth),1),'Electricity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>
        <f>IF(COUNTIFS($A:$A,A310,$B:$B,B310,$E:$E,"Occupied")=2,"Yes","No")</f>
        <v/>
      </c>
      <c r="G310" s="117" t="n"/>
      <c r="H310" s="116">
        <f>IF(E310&lt;&gt;"Occupied",0,COUNTIFS($A:$A,A310,$B:$B,B310,$E:$E,"Occupied"))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Management'!$B:$B,DATE(YEAR(CurrentMonth),MONTH(CurrentMonth),1),'Electricity Management'!$C:$C,B310),0),0)</f>
        <v/>
      </c>
      <c r="K310" s="82">
        <f>IF(E310="Occupied",IFERROR(SUMIFS('Electricity Management'!$T:$T,'Electricity Management'!$K:$K,A310,'Electricity Management'!$B:$B,DATE(YEAR(CurrentMonth),MONTH(CurrentMonth),1),'Electricity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>
        <f>IF(COUNTIFS($A:$A,A311,$B:$B,B311,$E:$E,"Occupied")=2,"Yes","No")</f>
        <v/>
      </c>
      <c r="G311" s="117" t="n"/>
      <c r="H311" s="116">
        <f>IF(E311&lt;&gt;"Occupied",0,COUNTIFS($A:$A,A311,$B:$B,B311,$E:$E,"Occupied"))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Management'!$B:$B,DATE(YEAR(CurrentMonth),MONTH(CurrentMonth),1),'Electricity Management'!$C:$C,B311),0),0)</f>
        <v/>
      </c>
      <c r="K311" s="82">
        <f>IF(E311="Occupied",IFERROR(SUMIFS('Electricity Management'!$T:$T,'Electricity Management'!$K:$K,A311,'Electricity Management'!$B:$B,DATE(YEAR(CurrentMonth),MONTH(CurrentMonth),1),'Electricity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>
        <f>IF(COUNTIFS($A:$A,A312,$B:$B,B312,$E:$E,"Occupied")=2,"Yes","No")</f>
        <v/>
      </c>
      <c r="G312" s="117" t="n"/>
      <c r="H312" s="116">
        <f>IF(E312&lt;&gt;"Occupied",0,COUNTIFS($A:$A,A312,$B:$B,B312,$E:$E,"Occupied"))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Management'!$B:$B,DATE(YEAR(CurrentMonth),MONTH(CurrentMonth),1),'Electricity Management'!$C:$C,B312),0),0)</f>
        <v/>
      </c>
      <c r="K312" s="82">
        <f>IF(E312="Occupied",IFERROR(SUMIFS('Electricity Management'!$T:$T,'Electricity Management'!$K:$K,A312,'Electricity Management'!$B:$B,DATE(YEAR(CurrentMonth),MONTH(CurrentMonth),1),'Electricity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>
        <f>IF(COUNTIFS($A:$A,A313,$B:$B,B313,$E:$E,"Occupied")=2,"Yes","No")</f>
        <v/>
      </c>
      <c r="G313" s="117" t="n"/>
      <c r="H313" s="116">
        <f>IF(E313&lt;&gt;"Occupied",0,COUNTIFS($A:$A,A313,$B:$B,B313,$E:$E,"Occupied"))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Management'!$B:$B,DATE(YEAR(CurrentMonth),MONTH(CurrentMonth),1),'Electricity Management'!$C:$C,B313),0),0)</f>
        <v/>
      </c>
      <c r="K313" s="82">
        <f>IF(E313="Occupied",IFERROR(SUMIFS('Electricity Management'!$T:$T,'Electricity Management'!$K:$K,A313,'Electricity Management'!$B:$B,DATE(YEAR(CurrentMonth),MONTH(CurrentMonth),1),'Electricity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>
        <f>IF(COUNTIFS($A:$A,A314,$B:$B,B314,$E:$E,"Occupied")=2,"Yes","No")</f>
        <v/>
      </c>
      <c r="G314" s="117" t="n"/>
      <c r="H314" s="116">
        <f>IF(E314&lt;&gt;"Occupied",0,COUNTIFS($A:$A,A314,$B:$B,B314,$E:$E,"Occupied"))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Management'!$B:$B,DATE(YEAR(CurrentMonth),MONTH(CurrentMonth),1),'Electricity Management'!$C:$C,B314),0),0)</f>
        <v/>
      </c>
      <c r="K314" s="82">
        <f>IF(E314="Occupied",IFERROR(SUMIFS('Electricity Management'!$T:$T,'Electricity Management'!$K:$K,A314,'Electricity Management'!$B:$B,DATE(YEAR(CurrentMonth),MONTH(CurrentMonth),1),'Electricity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>
        <f>IF(COUNTIFS($A:$A,A315,$B:$B,B315,$E:$E,"Occupied")=2,"Yes","No")</f>
        <v/>
      </c>
      <c r="G315" s="117" t="n"/>
      <c r="H315" s="116">
        <f>IF(E315&lt;&gt;"Occupied",0,COUNTIFS($A:$A,A315,$B:$B,B315,$E:$E,"Occupied"))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Management'!$B:$B,DATE(YEAR(CurrentMonth),MONTH(CurrentMonth),1),'Electricity Management'!$C:$C,B315),0),0)</f>
        <v/>
      </c>
      <c r="K315" s="82">
        <f>IF(E315="Occupied",IFERROR(SUMIFS('Electricity Management'!$T:$T,'Electricity Management'!$K:$K,A315,'Electricity Management'!$B:$B,DATE(YEAR(CurrentMonth),MONTH(CurrentMonth),1),'Electricity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>
        <f>IF(COUNTIFS($A:$A,A316,$B:$B,B316,$E:$E,"Occupied")=2,"Yes","No")</f>
        <v/>
      </c>
      <c r="G316" s="117" t="n"/>
      <c r="H316" s="116">
        <f>IF(E316&lt;&gt;"Occupied",0,COUNTIFS($A:$A,A316,$B:$B,B316,$E:$E,"Occupied"))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Management'!$B:$B,DATE(YEAR(CurrentMonth),MONTH(CurrentMonth),1),'Electricity Management'!$C:$C,B316),0),0)</f>
        <v/>
      </c>
      <c r="K316" s="82">
        <f>IF(E316="Occupied",IFERROR(SUMIFS('Electricity Management'!$T:$T,'Electricity Management'!$K:$K,A316,'Electricity Management'!$B:$B,DATE(YEAR(CurrentMonth),MONTH(CurrentMonth),1),'Electricity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>
        <f>IF(COUNTIFS($A:$A,A317,$B:$B,B317,$E:$E,"Occupied")=2,"Yes","No")</f>
        <v/>
      </c>
      <c r="G317" s="117" t="n"/>
      <c r="H317" s="116">
        <f>IF(E317&lt;&gt;"Occupied",0,COUNTIFS($A:$A,A317,$B:$B,B317,$E:$E,"Occupied"))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Management'!$B:$B,DATE(YEAR(CurrentMonth),MONTH(CurrentMonth),1),'Electricity Management'!$C:$C,B317),0),0)</f>
        <v/>
      </c>
      <c r="K317" s="82">
        <f>IF(E317="Occupied",IFERROR(SUMIFS('Electricity Management'!$T:$T,'Electricity Management'!$K:$K,A317,'Electricity Management'!$B:$B,DATE(YEAR(CurrentMonth),MONTH(CurrentMonth),1),'Electricity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>
        <f>IF(COUNTIFS($A:$A,A318,$B:$B,B318,$E:$E,"Occupied")=2,"Yes","No")</f>
        <v/>
      </c>
      <c r="G318" s="117" t="n"/>
      <c r="H318" s="116">
        <f>IF(E318&lt;&gt;"Occupied",0,COUNTIFS($A:$A,A318,$B:$B,B318,$E:$E,"Occupied"))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Management'!$B:$B,DATE(YEAR(CurrentMonth),MONTH(CurrentMonth),1),'Electricity Management'!$C:$C,B318),0),0)</f>
        <v/>
      </c>
      <c r="K318" s="82">
        <f>IF(E318="Occupied",IFERROR(SUMIFS('Electricity Management'!$T:$T,'Electricity Management'!$K:$K,A318,'Electricity Management'!$B:$B,DATE(YEAR(CurrentMonth),MONTH(CurrentMonth),1),'Electricity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>
        <f>IF(COUNTIFS($A:$A,A319,$B:$B,B319,$E:$E,"Occupied")=2,"Yes","No")</f>
        <v/>
      </c>
      <c r="G319" s="117" t="n"/>
      <c r="H319" s="116">
        <f>IF(E319&lt;&gt;"Occupied",0,COUNTIFS($A:$A,A319,$B:$B,B319,$E:$E,"Occupied"))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Management'!$B:$B,DATE(YEAR(CurrentMonth),MONTH(CurrentMonth),1),'Electricity Management'!$C:$C,B319),0),0)</f>
        <v/>
      </c>
      <c r="K319" s="82">
        <f>IF(E319="Occupied",IFERROR(SUMIFS('Electricity Management'!$T:$T,'Electricity Management'!$K:$K,A319,'Electricity Management'!$B:$B,DATE(YEAR(CurrentMonth),MONTH(CurrentMonth),1),'Electricity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>
        <f>IF(COUNTIFS($A:$A,A320,$B:$B,B320,$E:$E,"Occupied")=2,"Yes","No")</f>
        <v/>
      </c>
      <c r="G320" s="117" t="n"/>
      <c r="H320" s="116">
        <f>IF(E320&lt;&gt;"Occupied",0,COUNTIFS($A:$A,A320,$B:$B,B320,$E:$E,"Occupied"))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Management'!$B:$B,DATE(YEAR(CurrentMonth),MONTH(CurrentMonth),1),'Electricity Management'!$C:$C,B320),0),0)</f>
        <v/>
      </c>
      <c r="K320" s="82">
        <f>IF(E320="Occupied",IFERROR(SUMIFS('Electricity Management'!$T:$T,'Electricity Management'!$K:$K,A320,'Electricity Management'!$B:$B,DATE(YEAR(CurrentMonth),MONTH(CurrentMonth),1),'Electricity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>
        <f>IF(COUNTIFS($A:$A,A321,$B:$B,B321,$E:$E,"Occupied")=2,"Yes","No")</f>
        <v/>
      </c>
      <c r="G321" s="117" t="n"/>
      <c r="H321" s="116">
        <f>IF(E321&lt;&gt;"Occupied",0,COUNTIFS($A:$A,A321,$B:$B,B321,$E:$E,"Occupied"))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Management'!$B:$B,DATE(YEAR(CurrentMonth),MONTH(CurrentMonth),1),'Electricity Management'!$C:$C,B321),0),0)</f>
        <v/>
      </c>
      <c r="K321" s="82">
        <f>IF(E321="Occupied",IFERROR(SUMIFS('Electricity Management'!$T:$T,'Electricity Management'!$K:$K,A321,'Electricity Management'!$B:$B,DATE(YEAR(CurrentMonth),MONTH(CurrentMonth),1),'Electricity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>
        <f>IF(COUNTIFS($A:$A,A322,$B:$B,B322,$E:$E,"Occupied")=2,"Yes","No")</f>
        <v/>
      </c>
      <c r="G322" s="117" t="n"/>
      <c r="H322" s="116">
        <f>IF(E322&lt;&gt;"Occupied",0,COUNTIFS($A:$A,A322,$B:$B,B322,$E:$E,"Occupied"))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Management'!$B:$B,DATE(YEAR(CurrentMonth),MONTH(CurrentMonth),1),'Electricity Management'!$C:$C,B322),0),0)</f>
        <v/>
      </c>
      <c r="K322" s="82">
        <f>IF(E322="Occupied",IFERROR(SUMIFS('Electricity Management'!$T:$T,'Electricity Management'!$K:$K,A322,'Electricity Management'!$B:$B,DATE(YEAR(CurrentMonth),MONTH(CurrentMonth),1),'Electricity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>
        <f>IF(COUNTIFS($A:$A,A323,$B:$B,B323,$E:$E,"Occupied")=2,"Yes","No")</f>
        <v/>
      </c>
      <c r="G323" s="117" t="n"/>
      <c r="H323" s="116">
        <f>IF(E323&lt;&gt;"Occupied",0,COUNTIFS($A:$A,A323,$B:$B,B323,$E:$E,"Occupied"))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Management'!$B:$B,DATE(YEAR(CurrentMonth),MONTH(CurrentMonth),1),'Electricity Management'!$C:$C,B323),0),0)</f>
        <v/>
      </c>
      <c r="K323" s="82">
        <f>IF(E323="Occupied",IFERROR(SUMIFS('Electricity Management'!$T:$T,'Electricity Management'!$K:$K,A323,'Electricity Management'!$B:$B,DATE(YEAR(CurrentMonth),MONTH(CurrentMonth),1),'Electricity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>
        <f>IF(COUNTIFS($A:$A,A324,$B:$B,B324,$E:$E,"Occupied")=2,"Yes","No")</f>
        <v/>
      </c>
      <c r="G324" s="117" t="n"/>
      <c r="H324" s="116">
        <f>IF(E324&lt;&gt;"Occupied",0,COUNTIFS($A:$A,A324,$B:$B,B324,$E:$E,"Occupied"))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Management'!$B:$B,DATE(YEAR(CurrentMonth),MONTH(CurrentMonth),1),'Electricity Management'!$C:$C,B324),0),0)</f>
        <v/>
      </c>
      <c r="K324" s="82">
        <f>IF(E324="Occupied",IFERROR(SUMIFS('Electricity Management'!$T:$T,'Electricity Management'!$K:$K,A324,'Electricity Management'!$B:$B,DATE(YEAR(CurrentMonth),MONTH(CurrentMonth),1),'Electricity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>
        <f>IF(COUNTIFS($A:$A,A325,$B:$B,B325,$E:$E,"Occupied")=2,"Yes","No")</f>
        <v/>
      </c>
      <c r="G325" s="117" t="n"/>
      <c r="H325" s="116">
        <f>IF(E325&lt;&gt;"Occupied",0,COUNTIFS($A:$A,A325,$B:$B,B325,$E:$E,"Occupied"))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Management'!$B:$B,DATE(YEAR(CurrentMonth),MONTH(CurrentMonth),1),'Electricity Management'!$C:$C,B325),0),0)</f>
        <v/>
      </c>
      <c r="K325" s="82">
        <f>IF(E325="Occupied",IFERROR(SUMIFS('Electricity Management'!$T:$T,'Electricity Management'!$K:$K,A325,'Electricity Management'!$B:$B,DATE(YEAR(CurrentMonth),MONTH(CurrentMonth),1),'Electricity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>
        <f>IF(COUNTIFS($A:$A,A326,$B:$B,B326,$E:$E,"Occupied")=2,"Yes","No")</f>
        <v/>
      </c>
      <c r="G326" s="117" t="n"/>
      <c r="H326" s="116">
        <f>IF(E326&lt;&gt;"Occupied",0,COUNTIFS($A:$A,A326,$B:$B,B326,$E:$E,"Occupied"))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Management'!$B:$B,DATE(YEAR(CurrentMonth),MONTH(CurrentMonth),1),'Electricity Management'!$C:$C,B326),0),0)</f>
        <v/>
      </c>
      <c r="K326" s="82">
        <f>IF(E326="Occupied",IFERROR(SUMIFS('Electricity Management'!$T:$T,'Electricity Management'!$K:$K,A326,'Electricity Management'!$B:$B,DATE(YEAR(CurrentMonth),MONTH(CurrentMonth),1),'Electricity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>
        <f>IF(COUNTIFS($A:$A,A327,$B:$B,B327,$E:$E,"Occupied")=2,"Yes","No")</f>
        <v/>
      </c>
      <c r="G327" s="117" t="n"/>
      <c r="H327" s="116">
        <f>IF(E327&lt;&gt;"Occupied",0,COUNTIFS($A:$A,A327,$B:$B,B327,$E:$E,"Occupied"))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Management'!$B:$B,DATE(YEAR(CurrentMonth),MONTH(CurrentMonth),1),'Electricity Management'!$C:$C,B327),0),0)</f>
        <v/>
      </c>
      <c r="K327" s="82">
        <f>IF(E327="Occupied",IFERROR(SUMIFS('Electricity Management'!$T:$T,'Electricity Management'!$K:$K,A327,'Electricity Management'!$B:$B,DATE(YEAR(CurrentMonth),MONTH(CurrentMonth),1),'Electricity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>
        <f>IF(COUNTIFS($A:$A,A328,$B:$B,B328,$E:$E,"Occupied")=2,"Yes","No")</f>
        <v/>
      </c>
      <c r="G328" s="117" t="n"/>
      <c r="H328" s="116">
        <f>IF(E328&lt;&gt;"Occupied",0,COUNTIFS($A:$A,A328,$B:$B,B328,$E:$E,"Occupied"))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Management'!$B:$B,DATE(YEAR(CurrentMonth),MONTH(CurrentMonth),1),'Electricity Management'!$C:$C,B328),0),0)</f>
        <v/>
      </c>
      <c r="K328" s="82">
        <f>IF(E328="Occupied",IFERROR(SUMIFS('Electricity Management'!$T:$T,'Electricity Management'!$K:$K,A328,'Electricity Management'!$B:$B,DATE(YEAR(CurrentMonth),MONTH(CurrentMonth),1),'Electricity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>
        <f>IF(COUNTIFS($A:$A,A329,$B:$B,B329,$E:$E,"Occupied")=2,"Yes","No")</f>
        <v/>
      </c>
      <c r="G329" s="117" t="n"/>
      <c r="H329" s="116">
        <f>IF(E329&lt;&gt;"Occupied",0,COUNTIFS($A:$A,A329,$B:$B,B329,$E:$E,"Occupied"))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Management'!$B:$B,DATE(YEAR(CurrentMonth),MONTH(CurrentMonth),1),'Electricity Management'!$C:$C,B329),0),0)</f>
        <v/>
      </c>
      <c r="K329" s="82">
        <f>IF(E329="Occupied",IFERROR(SUMIFS('Electricity Management'!$T:$T,'Electricity Management'!$K:$K,A329,'Electricity Management'!$B:$B,DATE(YEAR(CurrentMonth),MONTH(CurrentMonth),1),'Electricity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>
        <f>IF(COUNTIFS($A:$A,A330,$B:$B,B330,$E:$E,"Occupied")=2,"Yes","No")</f>
        <v/>
      </c>
      <c r="G330" s="117" t="n"/>
      <c r="H330" s="116">
        <f>IF(E330&lt;&gt;"Occupied",0,COUNTIFS($A:$A,A330,$B:$B,B330,$E:$E,"Occupied"))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Management'!$B:$B,DATE(YEAR(CurrentMonth),MONTH(CurrentMonth),1),'Electricity Management'!$C:$C,B330),0),0)</f>
        <v/>
      </c>
      <c r="K330" s="82">
        <f>IF(E330="Occupied",IFERROR(SUMIFS('Electricity Management'!$T:$T,'Electricity Management'!$K:$K,A330,'Electricity Management'!$B:$B,DATE(YEAR(CurrentMonth),MONTH(CurrentMonth),1),'Electricity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>
        <f>IF(COUNTIFS($A:$A,A331,$B:$B,B331,$E:$E,"Occupied")=2,"Yes","No")</f>
        <v/>
      </c>
      <c r="G331" s="117" t="n"/>
      <c r="H331" s="116">
        <f>IF(E331&lt;&gt;"Occupied",0,COUNTIFS($A:$A,A331,$B:$B,B331,$E:$E,"Occupied"))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Management'!$B:$B,DATE(YEAR(CurrentMonth),MONTH(CurrentMonth),1),'Electricity Management'!$C:$C,B331),0),0)</f>
        <v/>
      </c>
      <c r="K331" s="82">
        <f>IF(E331="Occupied",IFERROR(SUMIFS('Electricity Management'!$T:$T,'Electricity Management'!$K:$K,A331,'Electricity Management'!$B:$B,DATE(YEAR(CurrentMonth),MONTH(CurrentMonth),1),'Electricity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>
        <f>IF(COUNTIFS($A:$A,A332,$B:$B,B332,$E:$E,"Occupied")=2,"Yes","No")</f>
        <v/>
      </c>
      <c r="G332" s="117" t="n"/>
      <c r="H332" s="116">
        <f>IF(E332&lt;&gt;"Occupied",0,COUNTIFS($A:$A,A332,$B:$B,B332,$E:$E,"Occupied"))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Management'!$B:$B,DATE(YEAR(CurrentMonth),MONTH(CurrentMonth),1),'Electricity Management'!$C:$C,B332),0),0)</f>
        <v/>
      </c>
      <c r="K332" s="82">
        <f>IF(E332="Occupied",IFERROR(SUMIFS('Electricity Management'!$T:$T,'Electricity Management'!$K:$K,A332,'Electricity Management'!$B:$B,DATE(YEAR(CurrentMonth),MONTH(CurrentMonth),1),'Electricity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>
        <f>IF(COUNTIFS($A:$A,A333,$B:$B,B333,$E:$E,"Occupied")=2,"Yes","No")</f>
        <v/>
      </c>
      <c r="G333" s="117" t="n"/>
      <c r="H333" s="116">
        <f>IF(E333&lt;&gt;"Occupied",0,COUNTIFS($A:$A,A333,$B:$B,B333,$E:$E,"Occupied"))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Management'!$B:$B,DATE(YEAR(CurrentMonth),MONTH(CurrentMonth),1),'Electricity Management'!$C:$C,B333),0),0)</f>
        <v/>
      </c>
      <c r="K333" s="82">
        <f>IF(E333="Occupied",IFERROR(SUMIFS('Electricity Management'!$T:$T,'Electricity Management'!$K:$K,A333,'Electricity Management'!$B:$B,DATE(YEAR(CurrentMonth),MONTH(CurrentMonth),1),'Electricity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>
        <f>IF(COUNTIFS($A:$A,A334,$B:$B,B334,$E:$E,"Occupied")=2,"Yes","No")</f>
        <v/>
      </c>
      <c r="G334" s="117" t="n"/>
      <c r="H334" s="116">
        <f>IF(E334&lt;&gt;"Occupied",0,COUNTIFS($A:$A,A334,$B:$B,B334,$E:$E,"Occupied"))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Management'!$B:$B,DATE(YEAR(CurrentMonth),MONTH(CurrentMonth),1),'Electricity Management'!$C:$C,B334),0),0)</f>
        <v/>
      </c>
      <c r="K334" s="82">
        <f>IF(E334="Occupied",IFERROR(SUMIFS('Electricity Management'!$T:$T,'Electricity Management'!$K:$K,A334,'Electricity Management'!$B:$B,DATE(YEAR(CurrentMonth),MONTH(CurrentMonth),1),'Electricity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>
        <f>IF(COUNTIFS($A:$A,A335,$B:$B,B335,$E:$E,"Occupied")=2,"Yes","No")</f>
        <v/>
      </c>
      <c r="G335" s="117" t="n"/>
      <c r="H335" s="116">
        <f>IF(E335&lt;&gt;"Occupied",0,COUNTIFS($A:$A,A335,$B:$B,B335,$E:$E,"Occupied"))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Management'!$B:$B,DATE(YEAR(CurrentMonth),MONTH(CurrentMonth),1),'Electricity Management'!$C:$C,B335),0),0)</f>
        <v/>
      </c>
      <c r="K335" s="82">
        <f>IF(E335="Occupied",IFERROR(SUMIFS('Electricity Management'!$T:$T,'Electricity Management'!$K:$K,A335,'Electricity Management'!$B:$B,DATE(YEAR(CurrentMonth),MONTH(CurrentMonth),1),'Electricity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>
        <f>IF(COUNTIFS($A:$A,A336,$B:$B,B336,$E:$E,"Occupied")=2,"Yes","No")</f>
        <v/>
      </c>
      <c r="G336" s="117" t="n"/>
      <c r="H336" s="116">
        <f>IF(E336&lt;&gt;"Occupied",0,COUNTIFS($A:$A,A336,$B:$B,B336,$E:$E,"Occupied"))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Management'!$B:$B,DATE(YEAR(CurrentMonth),MONTH(CurrentMonth),1),'Electricity Management'!$C:$C,B336),0),0)</f>
        <v/>
      </c>
      <c r="K336" s="82">
        <f>IF(E336="Occupied",IFERROR(SUMIFS('Electricity Management'!$T:$T,'Electricity Management'!$K:$K,A336,'Electricity Management'!$B:$B,DATE(YEAR(CurrentMonth),MONTH(CurrentMonth),1),'Electricity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>
        <f>IF(COUNTIFS($A:$A,A337,$B:$B,B337,$E:$E,"Occupied")=2,"Yes","No")</f>
        <v/>
      </c>
      <c r="G337" s="117" t="n"/>
      <c r="H337" s="116">
        <f>IF(E337&lt;&gt;"Occupied",0,COUNTIFS($A:$A,A337,$B:$B,B337,$E:$E,"Occupied"))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Management'!$B:$B,DATE(YEAR(CurrentMonth),MONTH(CurrentMonth),1),'Electricity Management'!$C:$C,B337),0),0)</f>
        <v/>
      </c>
      <c r="K337" s="82">
        <f>IF(E337="Occupied",IFERROR(SUMIFS('Electricity Management'!$T:$T,'Electricity Management'!$K:$K,A337,'Electricity Management'!$B:$B,DATE(YEAR(CurrentMonth),MONTH(CurrentMonth),1),'Electricity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>
        <f>IF(COUNTIFS($A:$A,A338,$B:$B,B338,$E:$E,"Occupied")=2,"Yes","No")</f>
        <v/>
      </c>
      <c r="G338" s="117" t="n"/>
      <c r="H338" s="116">
        <f>IF(E338&lt;&gt;"Occupied",0,COUNTIFS($A:$A,A338,$B:$B,B338,$E:$E,"Occupied"))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Management'!$B:$B,DATE(YEAR(CurrentMonth),MONTH(CurrentMonth),1),'Electricity Management'!$C:$C,B338),0),0)</f>
        <v/>
      </c>
      <c r="K338" s="82">
        <f>IF(E338="Occupied",IFERROR(SUMIFS('Electricity Management'!$T:$T,'Electricity Management'!$K:$K,A338,'Electricity Management'!$B:$B,DATE(YEAR(CurrentMonth),MONTH(CurrentMonth),1),'Electricity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>
        <f>IF(COUNTIFS($A:$A,A339,$B:$B,B339,$E:$E,"Occupied")=2,"Yes","No")</f>
        <v/>
      </c>
      <c r="G339" s="117" t="n"/>
      <c r="H339" s="116">
        <f>IF(E339&lt;&gt;"Occupied",0,COUNTIFS($A:$A,A339,$B:$B,B339,$E:$E,"Occupied"))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Management'!$B:$B,DATE(YEAR(CurrentMonth),MONTH(CurrentMonth),1),'Electricity Management'!$C:$C,B339),0),0)</f>
        <v/>
      </c>
      <c r="K339" s="82">
        <f>IF(E339="Occupied",IFERROR(SUMIFS('Electricity Management'!$T:$T,'Electricity Management'!$K:$K,A339,'Electricity Management'!$B:$B,DATE(YEAR(CurrentMonth),MONTH(CurrentMonth),1),'Electricity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>
        <f>IF(COUNTIFS($A:$A,A340,$B:$B,B340,$E:$E,"Occupied")=2,"Yes","No")</f>
        <v/>
      </c>
      <c r="G340" s="117" t="n"/>
      <c r="H340" s="116">
        <f>IF(E340&lt;&gt;"Occupied",0,COUNTIFS($A:$A,A340,$B:$B,B340,$E:$E,"Occupied"))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Management'!$B:$B,DATE(YEAR(CurrentMonth),MONTH(CurrentMonth),1),'Electricity Management'!$C:$C,B340),0),0)</f>
        <v/>
      </c>
      <c r="K340" s="82">
        <f>IF(E340="Occupied",IFERROR(SUMIFS('Electricity Management'!$T:$T,'Electricity Management'!$K:$K,A340,'Electricity Management'!$B:$B,DATE(YEAR(CurrentMonth),MONTH(CurrentMonth),1),'Electricity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>
        <f>IF(COUNTIFS($A:$A,A341,$B:$B,B341,$E:$E,"Occupied")=2,"Yes","No")</f>
        <v/>
      </c>
      <c r="G341" s="117" t="n"/>
      <c r="H341" s="116">
        <f>IF(E341&lt;&gt;"Occupied",0,COUNTIFS($A:$A,A341,$B:$B,B341,$E:$E,"Occupied"))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Management'!$B:$B,DATE(YEAR(CurrentMonth),MONTH(CurrentMonth),1),'Electricity Management'!$C:$C,B341),0),0)</f>
        <v/>
      </c>
      <c r="K341" s="82">
        <f>IF(E341="Occupied",IFERROR(SUMIFS('Electricity Management'!$T:$T,'Electricity Management'!$K:$K,A341,'Electricity Management'!$B:$B,DATE(YEAR(CurrentMonth),MONTH(CurrentMonth),1),'Electricity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>
        <f>IF(COUNTIFS($A:$A,A342,$B:$B,B342,$E:$E,"Occupied")=2,"Yes","No")</f>
        <v/>
      </c>
      <c r="G342" s="117" t="n"/>
      <c r="H342" s="116">
        <f>IF(E342&lt;&gt;"Occupied",0,COUNTIFS($A:$A,A342,$B:$B,B342,$E:$E,"Occupied"))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Management'!$B:$B,DATE(YEAR(CurrentMonth),MONTH(CurrentMonth),1),'Electricity Management'!$C:$C,B342),0),0)</f>
        <v/>
      </c>
      <c r="K342" s="82">
        <f>IF(E342="Occupied",IFERROR(SUMIFS('Electricity Management'!$T:$T,'Electricity Management'!$K:$K,A342,'Electricity Management'!$B:$B,DATE(YEAR(CurrentMonth),MONTH(CurrentMonth),1),'Electricity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>
        <f>IF(COUNTIFS($A:$A,A343,$B:$B,B343,$E:$E,"Occupied")=2,"Yes","No")</f>
        <v/>
      </c>
      <c r="G343" s="117" t="n"/>
      <c r="H343" s="116">
        <f>IF(E343&lt;&gt;"Occupied",0,COUNTIFS($A:$A,A343,$B:$B,B343,$E:$E,"Occupied"))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Management'!$B:$B,DATE(YEAR(CurrentMonth),MONTH(CurrentMonth),1),'Electricity Management'!$C:$C,B343),0),0)</f>
        <v/>
      </c>
      <c r="K343" s="82">
        <f>IF(E343="Occupied",IFERROR(SUMIFS('Electricity Management'!$T:$T,'Electricity Management'!$K:$K,A343,'Electricity Management'!$B:$B,DATE(YEAR(CurrentMonth),MONTH(CurrentMonth),1),'Electricity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>
        <f>IF(COUNTIFS($A:$A,A344,$B:$B,B344,$E:$E,"Occupied")=2,"Yes","No")</f>
        <v/>
      </c>
      <c r="G344" s="117" t="n"/>
      <c r="H344" s="116">
        <f>IF(E344&lt;&gt;"Occupied",0,COUNTIFS($A:$A,A344,$B:$B,B344,$E:$E,"Occupied"))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Management'!$B:$B,DATE(YEAR(CurrentMonth),MONTH(CurrentMonth),1),'Electricity Management'!$C:$C,B344),0),0)</f>
        <v/>
      </c>
      <c r="K344" s="82">
        <f>IF(E344="Occupied",IFERROR(SUMIFS('Electricity Management'!$T:$T,'Electricity Management'!$K:$K,A344,'Electricity Management'!$B:$B,DATE(YEAR(CurrentMonth),MONTH(CurrentMonth),1),'Electricity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>
        <f>IF(COUNTIFS($A:$A,A345,$B:$B,B345,$E:$E,"Occupied")=2,"Yes","No")</f>
        <v/>
      </c>
      <c r="G345" s="117" t="n"/>
      <c r="H345" s="116">
        <f>IF(E345&lt;&gt;"Occupied",0,COUNTIFS($A:$A,A345,$B:$B,B345,$E:$E,"Occupied"))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Management'!$B:$B,DATE(YEAR(CurrentMonth),MONTH(CurrentMonth),1),'Electricity Management'!$C:$C,B345),0),0)</f>
        <v/>
      </c>
      <c r="K345" s="82">
        <f>IF(E345="Occupied",IFERROR(SUMIFS('Electricity Management'!$T:$T,'Electricity Management'!$K:$K,A345,'Electricity Management'!$B:$B,DATE(YEAR(CurrentMonth),MONTH(CurrentMonth),1),'Electricity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>
        <f>IF(COUNTIFS($A:$A,A346,$B:$B,B346,$E:$E,"Occupied")=2,"Yes","No")</f>
        <v/>
      </c>
      <c r="G346" s="117" t="n"/>
      <c r="H346" s="116">
        <f>IF(E346&lt;&gt;"Occupied",0,COUNTIFS($A:$A,A346,$B:$B,B346,$E:$E,"Occupied"))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Management'!$B:$B,DATE(YEAR(CurrentMonth),MONTH(CurrentMonth),1),'Electricity Management'!$C:$C,B346),0),0)</f>
        <v/>
      </c>
      <c r="K346" s="82">
        <f>IF(E346="Occupied",IFERROR(SUMIFS('Electricity Management'!$T:$T,'Electricity Management'!$K:$K,A346,'Electricity Management'!$B:$B,DATE(YEAR(CurrentMonth),MONTH(CurrentMonth),1),'Electricity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>
        <f>IF(COUNTIFS($A:$A,A347,$B:$B,B347,$E:$E,"Occupied")=2,"Yes","No")</f>
        <v/>
      </c>
      <c r="G347" s="117" t="n"/>
      <c r="H347" s="116">
        <f>IF(E347&lt;&gt;"Occupied",0,COUNTIFS($A:$A,A347,$B:$B,B347,$E:$E,"Occupied"))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Management'!$B:$B,DATE(YEAR(CurrentMonth),MONTH(CurrentMonth),1),'Electricity Management'!$C:$C,B347),0),0)</f>
        <v/>
      </c>
      <c r="K347" s="82">
        <f>IF(E347="Occupied",IFERROR(SUMIFS('Electricity Management'!$T:$T,'Electricity Management'!$K:$K,A347,'Electricity Management'!$B:$B,DATE(YEAR(CurrentMonth),MONTH(CurrentMonth),1),'Electricity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>
        <f>IF(COUNTIFS($A:$A,A348,$B:$B,B348,$E:$E,"Occupied")=2,"Yes","No")</f>
        <v/>
      </c>
      <c r="G348" s="117" t="n"/>
      <c r="H348" s="116">
        <f>IF(E348&lt;&gt;"Occupied",0,COUNTIFS($A:$A,A348,$B:$B,B348,$E:$E,"Occupied"))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Management'!$B:$B,DATE(YEAR(CurrentMonth),MONTH(CurrentMonth),1),'Electricity Management'!$C:$C,B348),0),0)</f>
        <v/>
      </c>
      <c r="K348" s="82">
        <f>IF(E348="Occupied",IFERROR(SUMIFS('Electricity Management'!$T:$T,'Electricity Management'!$K:$K,A348,'Electricity Management'!$B:$B,DATE(YEAR(CurrentMonth),MONTH(CurrentMonth),1),'Electricity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>
        <f>IF(COUNTIFS($A:$A,A349,$B:$B,B349,$E:$E,"Occupied")=2,"Yes","No")</f>
        <v/>
      </c>
      <c r="G349" s="117" t="n"/>
      <c r="H349" s="116">
        <f>IF(E349&lt;&gt;"Occupied",0,COUNTIFS($A:$A,A349,$B:$B,B349,$E:$E,"Occupied"))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Management'!$B:$B,DATE(YEAR(CurrentMonth),MONTH(CurrentMonth),1),'Electricity Management'!$C:$C,B349),0),0)</f>
        <v/>
      </c>
      <c r="K349" s="82">
        <f>IF(E349="Occupied",IFERROR(SUMIFS('Electricity Management'!$T:$T,'Electricity Management'!$K:$K,A349,'Electricity Management'!$B:$B,DATE(YEAR(CurrentMonth),MONTH(CurrentMonth),1),'Electricity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>
        <f>IF(COUNTIFS($A:$A,A350,$B:$B,B350,$E:$E,"Occupied")=2,"Yes","No")</f>
        <v/>
      </c>
      <c r="G350" s="117" t="n"/>
      <c r="H350" s="116">
        <f>IF(E350&lt;&gt;"Occupied",0,COUNTIFS($A:$A,A350,$B:$B,B350,$E:$E,"Occupied"))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Management'!$B:$B,DATE(YEAR(CurrentMonth),MONTH(CurrentMonth),1),'Electricity Management'!$C:$C,B350),0),0)</f>
        <v/>
      </c>
      <c r="K350" s="82">
        <f>IF(E350="Occupied",IFERROR(SUMIFS('Electricity Management'!$T:$T,'Electricity Management'!$K:$K,A350,'Electricity Management'!$B:$B,DATE(YEAR(CurrentMonth),MONTH(CurrentMonth),1),'Electricity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>
        <f>IF(COUNTIFS($A:$A,A351,$B:$B,B351,$E:$E,"Occupied")=2,"Yes","No")</f>
        <v/>
      </c>
      <c r="G351" s="117" t="n"/>
      <c r="H351" s="116">
        <f>IF(E351&lt;&gt;"Occupied",0,COUNTIFS($A:$A,A351,$B:$B,B351,$E:$E,"Occupied"))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Management'!$B:$B,DATE(YEAR(CurrentMonth),MONTH(CurrentMonth),1),'Electricity Management'!$C:$C,B351),0),0)</f>
        <v/>
      </c>
      <c r="K351" s="82">
        <f>IF(E351="Occupied",IFERROR(SUMIFS('Electricity Management'!$T:$T,'Electricity Management'!$K:$K,A351,'Electricity Management'!$B:$B,DATE(YEAR(CurrentMonth),MONTH(CurrentMonth),1),'Electricity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>
        <f>IF(COUNTIFS($A:$A,A352,$B:$B,B352,$E:$E,"Occupied")=2,"Yes","No")</f>
        <v/>
      </c>
      <c r="G352" s="117" t="n"/>
      <c r="H352" s="116">
        <f>IF(E352&lt;&gt;"Occupied",0,COUNTIFS($A:$A,A352,$B:$B,B352,$E:$E,"Occupied"))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Management'!$B:$B,DATE(YEAR(CurrentMonth),MONTH(CurrentMonth),1),'Electricity Management'!$C:$C,B352),0),0)</f>
        <v/>
      </c>
      <c r="K352" s="82">
        <f>IF(E352="Occupied",IFERROR(SUMIFS('Electricity Management'!$T:$T,'Electricity Management'!$K:$K,A352,'Electricity Management'!$B:$B,DATE(YEAR(CurrentMonth),MONTH(CurrentMonth),1),'Electricity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>
        <f>IF(COUNTIFS($A:$A,A353,$B:$B,B353,$E:$E,"Occupied")=2,"Yes","No")</f>
        <v/>
      </c>
      <c r="G353" s="117" t="n"/>
      <c r="H353" s="116">
        <f>IF(E353&lt;&gt;"Occupied",0,COUNTIFS($A:$A,A353,$B:$B,B353,$E:$E,"Occupied"))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Management'!$B:$B,DATE(YEAR(CurrentMonth),MONTH(CurrentMonth),1),'Electricity Management'!$C:$C,B353),0),0)</f>
        <v/>
      </c>
      <c r="K353" s="82">
        <f>IF(E353="Occupied",IFERROR(SUMIFS('Electricity Management'!$T:$T,'Electricity Management'!$K:$K,A353,'Electricity Management'!$B:$B,DATE(YEAR(CurrentMonth),MONTH(CurrentMonth),1),'Electricity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>
        <f>IF(COUNTIFS($A:$A,A354,$B:$B,B354,$E:$E,"Occupied")=2,"Yes","No")</f>
        <v/>
      </c>
      <c r="G354" s="117" t="n"/>
      <c r="H354" s="116">
        <f>IF(E354&lt;&gt;"Occupied",0,COUNTIFS($A:$A,A354,$B:$B,B354,$E:$E,"Occupied"))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Management'!$B:$B,DATE(YEAR(CurrentMonth),MONTH(CurrentMonth),1),'Electricity Management'!$C:$C,B354),0),0)</f>
        <v/>
      </c>
      <c r="K354" s="82">
        <f>IF(E354="Occupied",IFERROR(SUMIFS('Electricity Management'!$T:$T,'Electricity Management'!$K:$K,A354,'Electricity Management'!$B:$B,DATE(YEAR(CurrentMonth),MONTH(CurrentMonth),1),'Electricity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>
        <f>IF(COUNTIFS($A:$A,A355,$B:$B,B355,$E:$E,"Occupied")=2,"Yes","No")</f>
        <v/>
      </c>
      <c r="G355" s="117" t="n"/>
      <c r="H355" s="116">
        <f>IF(E355&lt;&gt;"Occupied",0,COUNTIFS($A:$A,A355,$B:$B,B355,$E:$E,"Occupied"))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Management'!$B:$B,DATE(YEAR(CurrentMonth),MONTH(CurrentMonth),1),'Electricity Management'!$C:$C,B355),0),0)</f>
        <v/>
      </c>
      <c r="K355" s="82">
        <f>IF(E355="Occupied",IFERROR(SUMIFS('Electricity Management'!$T:$T,'Electricity Management'!$K:$K,A355,'Electricity Management'!$B:$B,DATE(YEAR(CurrentMonth),MONTH(CurrentMonth),1),'Electricity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>
        <f>IF(COUNTIFS($A:$A,A356,$B:$B,B356,$E:$E,"Occupied")=2,"Yes","No")</f>
        <v/>
      </c>
      <c r="G356" s="117" t="n"/>
      <c r="H356" s="116">
        <f>IF(E356&lt;&gt;"Occupied",0,COUNTIFS($A:$A,A356,$B:$B,B356,$E:$E,"Occupied"))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Management'!$B:$B,DATE(YEAR(CurrentMonth),MONTH(CurrentMonth),1),'Electricity Management'!$C:$C,B356),0),0)</f>
        <v/>
      </c>
      <c r="K356" s="82">
        <f>IF(E356="Occupied",IFERROR(SUMIFS('Electricity Management'!$T:$T,'Electricity Management'!$K:$K,A356,'Electricity Management'!$B:$B,DATE(YEAR(CurrentMonth),MONTH(CurrentMonth),1),'Electricity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>
        <f>IF(COUNTIFS($A:$A,A357,$B:$B,B357,$E:$E,"Occupied")=2,"Yes","No")</f>
        <v/>
      </c>
      <c r="G357" s="117" t="n"/>
      <c r="H357" s="116">
        <f>IF(E357&lt;&gt;"Occupied",0,COUNTIFS($A:$A,A357,$B:$B,B357,$E:$E,"Occupied"))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Management'!$B:$B,DATE(YEAR(CurrentMonth),MONTH(CurrentMonth),1),'Electricity Management'!$C:$C,B357),0),0)</f>
        <v/>
      </c>
      <c r="K357" s="82">
        <f>IF(E357="Occupied",IFERROR(SUMIFS('Electricity Management'!$T:$T,'Electricity Management'!$K:$K,A357,'Electricity Management'!$B:$B,DATE(YEAR(CurrentMonth),MONTH(CurrentMonth),1),'Electricity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>
        <f>IF(COUNTIFS($A:$A,A358,$B:$B,B358,$E:$E,"Occupied")=2,"Yes","No")</f>
        <v/>
      </c>
      <c r="G358" s="117" t="n"/>
      <c r="H358" s="116">
        <f>IF(E358&lt;&gt;"Occupied",0,COUNTIFS($A:$A,A358,$B:$B,B358,$E:$E,"Occupied"))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Management'!$B:$B,DATE(YEAR(CurrentMonth),MONTH(CurrentMonth),1),'Electricity Management'!$C:$C,B358),0),0)</f>
        <v/>
      </c>
      <c r="K358" s="82">
        <f>IF(E358="Occupied",IFERROR(SUMIFS('Electricity Management'!$T:$T,'Electricity Management'!$K:$K,A358,'Electricity Management'!$B:$B,DATE(YEAR(CurrentMonth),MONTH(CurrentMonth),1),'Electricity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>
        <f>IF(COUNTIFS($A:$A,A359,$B:$B,B359,$E:$E,"Occupied")=2,"Yes","No")</f>
        <v/>
      </c>
      <c r="G359" s="117" t="n"/>
      <c r="H359" s="116">
        <f>IF(E359&lt;&gt;"Occupied",0,COUNTIFS($A:$A,A359,$B:$B,B359,$E:$E,"Occupied"))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Management'!$B:$B,DATE(YEAR(CurrentMonth),MONTH(CurrentMonth),1),'Electricity Management'!$C:$C,B359),0),0)</f>
        <v/>
      </c>
      <c r="K359" s="82">
        <f>IF(E359="Occupied",IFERROR(SUMIFS('Electricity Management'!$T:$T,'Electricity Management'!$K:$K,A359,'Electricity Management'!$B:$B,DATE(YEAR(CurrentMonth),MONTH(CurrentMonth),1),'Electricity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>
        <f>IF(COUNTIFS($A:$A,A360,$B:$B,B360,$E:$E,"Occupied")=2,"Yes","No")</f>
        <v/>
      </c>
      <c r="G360" s="117" t="n"/>
      <c r="H360" s="116">
        <f>IF(E360&lt;&gt;"Occupied",0,COUNTIFS($A:$A,A360,$B:$B,B360,$E:$E,"Occupied"))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Management'!$B:$B,DATE(YEAR(CurrentMonth),MONTH(CurrentMonth),1),'Electricity Management'!$C:$C,B360),0),0)</f>
        <v/>
      </c>
      <c r="K360" s="82">
        <f>IF(E360="Occupied",IFERROR(SUMIFS('Electricity Management'!$T:$T,'Electricity Management'!$K:$K,A360,'Electricity Management'!$B:$B,DATE(YEAR(CurrentMonth),MONTH(CurrentMonth),1),'Electricity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>
        <f>IF(COUNTIFS($A:$A,A361,$B:$B,B361,$E:$E,"Occupied")=2,"Yes","No")</f>
        <v/>
      </c>
      <c r="G361" s="117" t="n"/>
      <c r="H361" s="116">
        <f>IF(E361&lt;&gt;"Occupied",0,COUNTIFS($A:$A,A361,$B:$B,B361,$E:$E,"Occupied"))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Management'!$B:$B,DATE(YEAR(CurrentMonth),MONTH(CurrentMonth),1),'Electricity Management'!$C:$C,B361),0),0)</f>
        <v/>
      </c>
      <c r="K361" s="82">
        <f>IF(E361="Occupied",IFERROR(SUMIFS('Electricity Management'!$T:$T,'Electricity Management'!$K:$K,A361,'Electricity Management'!$B:$B,DATE(YEAR(CurrentMonth),MONTH(CurrentMonth),1),'Electricity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>
        <f>IF(COUNTIFS($A:$A,A362,$B:$B,B362,$E:$E,"Occupied")=2,"Yes","No")</f>
        <v/>
      </c>
      <c r="G362" s="117" t="n"/>
      <c r="H362" s="116">
        <f>IF(E362&lt;&gt;"Occupied",0,COUNTIFS($A:$A,A362,$B:$B,B362,$E:$E,"Occupied"))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Management'!$B:$B,DATE(YEAR(CurrentMonth),MONTH(CurrentMonth),1),'Electricity Management'!$C:$C,B362),0),0)</f>
        <v/>
      </c>
      <c r="K362" s="82">
        <f>IF(E362="Occupied",IFERROR(SUMIFS('Electricity Management'!$T:$T,'Electricity Management'!$K:$K,A362,'Electricity Management'!$B:$B,DATE(YEAR(CurrentMonth),MONTH(CurrentMonth),1),'Electricity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>
        <f>IF(COUNTIFS($A:$A,A363,$B:$B,B363,$E:$E,"Occupied")=2,"Yes","No")</f>
        <v/>
      </c>
      <c r="G363" s="117" t="n"/>
      <c r="H363" s="116">
        <f>IF(E363&lt;&gt;"Occupied",0,COUNTIFS($A:$A,A363,$B:$B,B363,$E:$E,"Occupied"))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Management'!$B:$B,DATE(YEAR(CurrentMonth),MONTH(CurrentMonth),1),'Electricity Management'!$C:$C,B363),0),0)</f>
        <v/>
      </c>
      <c r="K363" s="82">
        <f>IF(E363="Occupied",IFERROR(SUMIFS('Electricity Management'!$T:$T,'Electricity Management'!$K:$K,A363,'Electricity Management'!$B:$B,DATE(YEAR(CurrentMonth),MONTH(CurrentMonth),1),'Electricity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>
        <f>IF(COUNTIFS($A:$A,A364,$B:$B,B364,$E:$E,"Occupied")=2,"Yes","No")</f>
        <v/>
      </c>
      <c r="G364" s="117" t="n"/>
      <c r="H364" s="116">
        <f>IF(E364&lt;&gt;"Occupied",0,COUNTIFS($A:$A,A364,$B:$B,B364,$E:$E,"Occupied"))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Management'!$B:$B,DATE(YEAR(CurrentMonth),MONTH(CurrentMonth),1),'Electricity Management'!$C:$C,B364),0),0)</f>
        <v/>
      </c>
      <c r="K364" s="82">
        <f>IF(E364="Occupied",IFERROR(SUMIFS('Electricity Management'!$T:$T,'Electricity Management'!$K:$K,A364,'Electricity Management'!$B:$B,DATE(YEAR(CurrentMonth),MONTH(CurrentMonth),1),'Electricity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>
        <f>IF(COUNTIFS($A:$A,A365,$B:$B,B365,$E:$E,"Occupied")=2,"Yes","No")</f>
        <v/>
      </c>
      <c r="G365" s="117" t="n"/>
      <c r="H365" s="116">
        <f>IF(E365&lt;&gt;"Occupied",0,COUNTIFS($A:$A,A365,$B:$B,B365,$E:$E,"Occupied"))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Management'!$B:$B,DATE(YEAR(CurrentMonth),MONTH(CurrentMonth),1),'Electricity Management'!$C:$C,B365),0),0)</f>
        <v/>
      </c>
      <c r="K365" s="82">
        <f>IF(E365="Occupied",IFERROR(SUMIFS('Electricity Management'!$T:$T,'Electricity Management'!$K:$K,A365,'Electricity Management'!$B:$B,DATE(YEAR(CurrentMonth),MONTH(CurrentMonth),1),'Electricity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>
        <f>IF(COUNTIFS($A:$A,A366,$B:$B,B366,$E:$E,"Occupied")=2,"Yes","No")</f>
        <v/>
      </c>
      <c r="G366" s="117" t="n"/>
      <c r="H366" s="116">
        <f>IF(E366&lt;&gt;"Occupied",0,COUNTIFS($A:$A,A366,$B:$B,B366,$E:$E,"Occupied"))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Management'!$B:$B,DATE(YEAR(CurrentMonth),MONTH(CurrentMonth),1),'Electricity Management'!$C:$C,B366),0),0)</f>
        <v/>
      </c>
      <c r="K366" s="82">
        <f>IF(E366="Occupied",IFERROR(SUMIFS('Electricity Management'!$T:$T,'Electricity Management'!$K:$K,A366,'Electricity Management'!$B:$B,DATE(YEAR(CurrentMonth),MONTH(CurrentMonth),1),'Electricity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>
        <f>IF(COUNTIFS($A:$A,A367,$B:$B,B367,$E:$E,"Occupied")=2,"Yes","No")</f>
        <v/>
      </c>
      <c r="G367" s="117" t="n"/>
      <c r="H367" s="116">
        <f>IF(E367&lt;&gt;"Occupied",0,COUNTIFS($A:$A,A367,$B:$B,B367,$E:$E,"Occupied"))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Management'!$B:$B,DATE(YEAR(CurrentMonth),MONTH(CurrentMonth),1),'Electricity Management'!$C:$C,B367),0),0)</f>
        <v/>
      </c>
      <c r="K367" s="82">
        <f>IF(E367="Occupied",IFERROR(SUMIFS('Electricity Management'!$T:$T,'Electricity Management'!$K:$K,A367,'Electricity Management'!$B:$B,DATE(YEAR(CurrentMonth),MONTH(CurrentMonth),1),'Electricity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>
        <f>IF(COUNTIFS($A:$A,A368,$B:$B,B368,$E:$E,"Occupied")=2,"Yes","No")</f>
        <v/>
      </c>
      <c r="G368" s="117" t="n"/>
      <c r="H368" s="116">
        <f>IF(E368&lt;&gt;"Occupied",0,COUNTIFS($A:$A,A368,$B:$B,B368,$E:$E,"Occupied"))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Management'!$B:$B,DATE(YEAR(CurrentMonth),MONTH(CurrentMonth),1),'Electricity Management'!$C:$C,B368),0),0)</f>
        <v/>
      </c>
      <c r="K368" s="82">
        <f>IF(E368="Occupied",IFERROR(SUMIFS('Electricity Management'!$T:$T,'Electricity Management'!$K:$K,A368,'Electricity Management'!$B:$B,DATE(YEAR(CurrentMonth),MONTH(CurrentMonth),1),'Electricity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>
        <f>IF(COUNTIFS($A:$A,A369,$B:$B,B369,$E:$E,"Occupied")=2,"Yes","No")</f>
        <v/>
      </c>
      <c r="G369" s="117" t="n"/>
      <c r="H369" s="116">
        <f>IF(E369&lt;&gt;"Occupied",0,COUNTIFS($A:$A,A369,$B:$B,B369,$E:$E,"Occupied"))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Management'!$B:$B,DATE(YEAR(CurrentMonth),MONTH(CurrentMonth),1),'Electricity Management'!$C:$C,B369),0),0)</f>
        <v/>
      </c>
      <c r="K369" s="82">
        <f>IF(E369="Occupied",IFERROR(SUMIFS('Electricity Management'!$T:$T,'Electricity Management'!$K:$K,A369,'Electricity Management'!$B:$B,DATE(YEAR(CurrentMonth),MONTH(CurrentMonth),1),'Electricity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>
        <f>IF(COUNTIFS($A:$A,A370,$B:$B,B370,$E:$E,"Occupied")=2,"Yes","No")</f>
        <v/>
      </c>
      <c r="G370" s="117" t="n"/>
      <c r="H370" s="116">
        <f>IF(E370&lt;&gt;"Occupied",0,COUNTIFS($A:$A,A370,$B:$B,B370,$E:$E,"Occupied"))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Management'!$B:$B,DATE(YEAR(CurrentMonth),MONTH(CurrentMonth),1),'Electricity Management'!$C:$C,B370),0),0)</f>
        <v/>
      </c>
      <c r="K370" s="82">
        <f>IF(E370="Occupied",IFERROR(SUMIFS('Electricity Management'!$T:$T,'Electricity Management'!$K:$K,A370,'Electricity Management'!$B:$B,DATE(YEAR(CurrentMonth),MONTH(CurrentMonth),1),'Electricity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>
        <f>IF(COUNTIFS($A:$A,A371,$B:$B,B371,$E:$E,"Occupied")=2,"Yes","No")</f>
        <v/>
      </c>
      <c r="G371" s="117" t="n"/>
      <c r="H371" s="116">
        <f>IF(E371&lt;&gt;"Occupied",0,COUNTIFS($A:$A,A371,$B:$B,B371,$E:$E,"Occupied"))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Management'!$B:$B,DATE(YEAR(CurrentMonth),MONTH(CurrentMonth),1),'Electricity Management'!$C:$C,B371),0),0)</f>
        <v/>
      </c>
      <c r="K371" s="82">
        <f>IF(E371="Occupied",IFERROR(SUMIFS('Electricity Management'!$T:$T,'Electricity Management'!$K:$K,A371,'Electricity Management'!$B:$B,DATE(YEAR(CurrentMonth),MONTH(CurrentMonth),1),'Electricity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>
        <f>IF(COUNTIFS($A:$A,A372,$B:$B,B372,$E:$E,"Occupied")=2,"Yes","No")</f>
        <v/>
      </c>
      <c r="G372" s="117" t="n"/>
      <c r="H372" s="116">
        <f>IF(E372&lt;&gt;"Occupied",0,COUNTIFS($A:$A,A372,$B:$B,B372,$E:$E,"Occupied"))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Management'!$B:$B,DATE(YEAR(CurrentMonth),MONTH(CurrentMonth),1),'Electricity Management'!$C:$C,B372),0),0)</f>
        <v/>
      </c>
      <c r="K372" s="82">
        <f>IF(E372="Occupied",IFERROR(SUMIFS('Electricity Management'!$T:$T,'Electricity Management'!$K:$K,A372,'Electricity Management'!$B:$B,DATE(YEAR(CurrentMonth),MONTH(CurrentMonth),1),'Electricity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>
        <f>IF(COUNTIFS($A:$A,A373,$B:$B,B373,$E:$E,"Occupied")=2,"Yes","No")</f>
        <v/>
      </c>
      <c r="G373" s="117" t="n"/>
      <c r="H373" s="116">
        <f>IF(E373&lt;&gt;"Occupied",0,COUNTIFS($A:$A,A373,$B:$B,B373,$E:$E,"Occupied"))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Management'!$B:$B,DATE(YEAR(CurrentMonth),MONTH(CurrentMonth),1),'Electricity Management'!$C:$C,B373),0),0)</f>
        <v/>
      </c>
      <c r="K373" s="82">
        <f>IF(E373="Occupied",IFERROR(SUMIFS('Electricity Management'!$T:$T,'Electricity Management'!$K:$K,A373,'Electricity Management'!$B:$B,DATE(YEAR(CurrentMonth),MONTH(CurrentMonth),1),'Electricity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>
        <f>IF(COUNTIFS($A:$A,A374,$B:$B,B374,$E:$E,"Occupied")=2,"Yes","No")</f>
        <v/>
      </c>
      <c r="G374" s="117" t="n"/>
      <c r="H374" s="116">
        <f>IF(E374&lt;&gt;"Occupied",0,COUNTIFS($A:$A,A374,$B:$B,B374,$E:$E,"Occupied"))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Management'!$B:$B,DATE(YEAR(CurrentMonth),MONTH(CurrentMonth),1),'Electricity Management'!$C:$C,B374),0),0)</f>
        <v/>
      </c>
      <c r="K374" s="82">
        <f>IF(E374="Occupied",IFERROR(SUMIFS('Electricity Management'!$T:$T,'Electricity Management'!$K:$K,A374,'Electricity Management'!$B:$B,DATE(YEAR(CurrentMonth),MONTH(CurrentMonth),1),'Electricity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>
        <f>IF(COUNTIFS($A:$A,A375,$B:$B,B375,$E:$E,"Occupied")=2,"Yes","No")</f>
        <v/>
      </c>
      <c r="G375" s="117" t="n"/>
      <c r="H375" s="116">
        <f>IF(E375&lt;&gt;"Occupied",0,COUNTIFS($A:$A,A375,$B:$B,B375,$E:$E,"Occupied"))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Management'!$B:$B,DATE(YEAR(CurrentMonth),MONTH(CurrentMonth),1),'Electricity Management'!$C:$C,B375),0),0)</f>
        <v/>
      </c>
      <c r="K375" s="82">
        <f>IF(E375="Occupied",IFERROR(SUMIFS('Electricity Management'!$T:$T,'Electricity Management'!$K:$K,A375,'Electricity Management'!$B:$B,DATE(YEAR(CurrentMonth),MONTH(CurrentMonth),1),'Electricity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>
        <f>IF(COUNTIFS($A:$A,A376,$B:$B,B376,$E:$E,"Occupied")=2,"Yes","No")</f>
        <v/>
      </c>
      <c r="G376" s="117" t="n"/>
      <c r="H376" s="116">
        <f>IF(E376&lt;&gt;"Occupied",0,COUNTIFS($A:$A,A376,$B:$B,B376,$E:$E,"Occupied"))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Management'!$B:$B,DATE(YEAR(CurrentMonth),MONTH(CurrentMonth),1),'Electricity Management'!$C:$C,B376),0),0)</f>
        <v/>
      </c>
      <c r="K376" s="82">
        <f>IF(E376="Occupied",IFERROR(SUMIFS('Electricity Management'!$T:$T,'Electricity Management'!$K:$K,A376,'Electricity Management'!$B:$B,DATE(YEAR(CurrentMonth),MONTH(CurrentMonth),1),'Electricity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>
        <f>IF(COUNTIFS($A:$A,A377,$B:$B,B377,$E:$E,"Occupied")=2,"Yes","No")</f>
        <v/>
      </c>
      <c r="G377" s="117" t="n"/>
      <c r="H377" s="116">
        <f>IF(E377&lt;&gt;"Occupied",0,COUNTIFS($A:$A,A377,$B:$B,B377,$E:$E,"Occupied"))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Management'!$B:$B,DATE(YEAR(CurrentMonth),MONTH(CurrentMonth),1),'Electricity Management'!$C:$C,B377),0),0)</f>
        <v/>
      </c>
      <c r="K377" s="82">
        <f>IF(E377="Occupied",IFERROR(SUMIFS('Electricity Management'!$T:$T,'Electricity Management'!$K:$K,A377,'Electricity Management'!$B:$B,DATE(YEAR(CurrentMonth),MONTH(CurrentMonth),1),'Electricity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>
        <f>IF(COUNTIFS($A:$A,A378,$B:$B,B378,$E:$E,"Occupied")=2,"Yes","No")</f>
        <v/>
      </c>
      <c r="G378" s="117" t="n"/>
      <c r="H378" s="116">
        <f>IF(E378&lt;&gt;"Occupied",0,COUNTIFS($A:$A,A378,$B:$B,B378,$E:$E,"Occupied"))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Management'!$B:$B,DATE(YEAR(CurrentMonth),MONTH(CurrentMonth),1),'Electricity Management'!$C:$C,B378),0),0)</f>
        <v/>
      </c>
      <c r="K378" s="82">
        <f>IF(E378="Occupied",IFERROR(SUMIFS('Electricity Management'!$T:$T,'Electricity Management'!$K:$K,A378,'Electricity Management'!$B:$B,DATE(YEAR(CurrentMonth),MONTH(CurrentMonth),1),'Electricity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>
        <f>IF(COUNTIFS($A:$A,A379,$B:$B,B379,$E:$E,"Occupied")=2,"Yes","No")</f>
        <v/>
      </c>
      <c r="G379" s="117" t="n"/>
      <c r="H379" s="116">
        <f>IF(E379&lt;&gt;"Occupied",0,COUNTIFS($A:$A,A379,$B:$B,B379,$E:$E,"Occupied"))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Management'!$B:$B,DATE(YEAR(CurrentMonth),MONTH(CurrentMonth),1),'Electricity Management'!$C:$C,B379),0),0)</f>
        <v/>
      </c>
      <c r="K379" s="82">
        <f>IF(E379="Occupied",IFERROR(SUMIFS('Electricity Management'!$T:$T,'Electricity Management'!$K:$K,A379,'Electricity Management'!$B:$B,DATE(YEAR(CurrentMonth),MONTH(CurrentMonth),1),'Electricity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>
        <f>IF(COUNTIFS($A:$A,A380,$B:$B,B380,$E:$E,"Occupied")=2,"Yes","No")</f>
        <v/>
      </c>
      <c r="G380" s="117" t="n"/>
      <c r="H380" s="116">
        <f>IF(E380&lt;&gt;"Occupied",0,COUNTIFS($A:$A,A380,$B:$B,B380,$E:$E,"Occupied"))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Management'!$B:$B,DATE(YEAR(CurrentMonth),MONTH(CurrentMonth),1),'Electricity Management'!$C:$C,B380),0),0)</f>
        <v/>
      </c>
      <c r="K380" s="82">
        <f>IF(E380="Occupied",IFERROR(SUMIFS('Electricity Management'!$T:$T,'Electricity Management'!$K:$K,A380,'Electricity Management'!$B:$B,DATE(YEAR(CurrentMonth),MONTH(CurrentMonth),1),'Electricity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>
        <f>IF(COUNTIFS($A:$A,A381,$B:$B,B381,$E:$E,"Occupied")=2,"Yes","No")</f>
        <v/>
      </c>
      <c r="G381" s="117" t="n"/>
      <c r="H381" s="116">
        <f>IF(E381&lt;&gt;"Occupied",0,COUNTIFS($A:$A,A381,$B:$B,B381,$E:$E,"Occupied"))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Management'!$B:$B,DATE(YEAR(CurrentMonth),MONTH(CurrentMonth),1),'Electricity Management'!$C:$C,B381),0),0)</f>
        <v/>
      </c>
      <c r="K381" s="82">
        <f>IF(E381="Occupied",IFERROR(SUMIFS('Electricity Management'!$T:$T,'Electricity Management'!$K:$K,A381,'Electricity Management'!$B:$B,DATE(YEAR(CurrentMonth),MONTH(CurrentMonth),1),'Electricity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>
        <f>IF(COUNTIFS($A:$A,A382,$B:$B,B382,$E:$E,"Occupied")=2,"Yes","No")</f>
        <v/>
      </c>
      <c r="G382" s="117" t="n"/>
      <c r="H382" s="116">
        <f>IF(E382&lt;&gt;"Occupied",0,COUNTIFS($A:$A,A382,$B:$B,B382,$E:$E,"Occupied"))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Management'!$B:$B,DATE(YEAR(CurrentMonth),MONTH(CurrentMonth),1),'Electricity Management'!$C:$C,B382),0),0)</f>
        <v/>
      </c>
      <c r="K382" s="82">
        <f>IF(E382="Occupied",IFERROR(SUMIFS('Electricity Management'!$T:$T,'Electricity Management'!$K:$K,A382,'Electricity Management'!$B:$B,DATE(YEAR(CurrentMonth),MONTH(CurrentMonth),1),'Electricity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>
        <f>IF(COUNTIFS($A:$A,A383,$B:$B,B383,$E:$E,"Occupied")=2,"Yes","No")</f>
        <v/>
      </c>
      <c r="G383" s="117" t="n"/>
      <c r="H383" s="116">
        <f>IF(E383&lt;&gt;"Occupied",0,COUNTIFS($A:$A,A383,$B:$B,B383,$E:$E,"Occupied"))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Management'!$B:$B,DATE(YEAR(CurrentMonth),MONTH(CurrentMonth),1),'Electricity Management'!$C:$C,B383),0),0)</f>
        <v/>
      </c>
      <c r="K383" s="82">
        <f>IF(E383="Occupied",IFERROR(SUMIFS('Electricity Management'!$T:$T,'Electricity Management'!$K:$K,A383,'Electricity Management'!$B:$B,DATE(YEAR(CurrentMonth),MONTH(CurrentMonth),1),'Electricity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>
        <f>IF(COUNTIFS($A:$A,A384,$B:$B,B384,$E:$E,"Occupied")=2,"Yes","No")</f>
        <v/>
      </c>
      <c r="G384" s="117" t="n"/>
      <c r="H384" s="116">
        <f>IF(E384&lt;&gt;"Occupied",0,COUNTIFS($A:$A,A384,$B:$B,B384,$E:$E,"Occupied"))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Management'!$B:$B,DATE(YEAR(CurrentMonth),MONTH(CurrentMonth),1),'Electricity Management'!$C:$C,B384),0),0)</f>
        <v/>
      </c>
      <c r="K384" s="82">
        <f>IF(E384="Occupied",IFERROR(SUMIFS('Electricity Management'!$T:$T,'Electricity Management'!$K:$K,A384,'Electricity Management'!$B:$B,DATE(YEAR(CurrentMonth),MONTH(CurrentMonth),1),'Electricity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>
        <f>IF(COUNTIFS($A:$A,A385,$B:$B,B385,$E:$E,"Occupied")=2,"Yes","No")</f>
        <v/>
      </c>
      <c r="G385" s="117" t="n"/>
      <c r="H385" s="116">
        <f>IF(E385&lt;&gt;"Occupied",0,COUNTIFS($A:$A,A385,$B:$B,B385,$E:$E,"Occupied"))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Management'!$B:$B,DATE(YEAR(CurrentMonth),MONTH(CurrentMonth),1),'Electricity Management'!$C:$C,B385),0),0)</f>
        <v/>
      </c>
      <c r="K385" s="82">
        <f>IF(E385="Occupied",IFERROR(SUMIFS('Electricity Management'!$T:$T,'Electricity Management'!$K:$K,A385,'Electricity Management'!$B:$B,DATE(YEAR(CurrentMonth),MONTH(CurrentMonth),1),'Electricity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>
        <f>IF(COUNTIFS($A:$A,A386,$B:$B,B386,$E:$E,"Occupied")=2,"Yes","No")</f>
        <v/>
      </c>
      <c r="G386" s="117" t="n"/>
      <c r="H386" s="116">
        <f>IF(E386&lt;&gt;"Occupied",0,COUNTIFS($A:$A,A386,$B:$B,B386,$E:$E,"Occupied"))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Management'!$B:$B,DATE(YEAR(CurrentMonth),MONTH(CurrentMonth),1),'Electricity Management'!$C:$C,B386),0),0)</f>
        <v/>
      </c>
      <c r="K386" s="82">
        <f>IF(E386="Occupied",IFERROR(SUMIFS('Electricity Management'!$T:$T,'Electricity Management'!$K:$K,A386,'Electricity Management'!$B:$B,DATE(YEAR(CurrentMonth),MONTH(CurrentMonth),1),'Electricity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>
        <f>IF(COUNTIFS($A:$A,A387,$B:$B,B387,$E:$E,"Occupied")=2,"Yes","No")</f>
        <v/>
      </c>
      <c r="G387" s="117" t="n"/>
      <c r="H387" s="116">
        <f>IF(E387&lt;&gt;"Occupied",0,COUNTIFS($A:$A,A387,$B:$B,B387,$E:$E,"Occupied"))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Management'!$B:$B,DATE(YEAR(CurrentMonth),MONTH(CurrentMonth),1),'Electricity Management'!$C:$C,B387),0),0)</f>
        <v/>
      </c>
      <c r="K387" s="82">
        <f>IF(E387="Occupied",IFERROR(SUMIFS('Electricity Management'!$T:$T,'Electricity Management'!$K:$K,A387,'Electricity Management'!$B:$B,DATE(YEAR(CurrentMonth),MONTH(CurrentMonth),1),'Electricity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>
        <f>IF(COUNTIFS($A:$A,A388,$B:$B,B388,$E:$E,"Occupied")=2,"Yes","No")</f>
        <v/>
      </c>
      <c r="G388" s="117" t="n"/>
      <c r="H388" s="116">
        <f>IF(E388&lt;&gt;"Occupied",0,COUNTIFS($A:$A,A388,$B:$B,B388,$E:$E,"Occupied"))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Management'!$B:$B,DATE(YEAR(CurrentMonth),MONTH(CurrentMonth),1),'Electricity Management'!$C:$C,B388),0),0)</f>
        <v/>
      </c>
      <c r="K388" s="82">
        <f>IF(E388="Occupied",IFERROR(SUMIFS('Electricity Management'!$T:$T,'Electricity Management'!$K:$K,A388,'Electricity Management'!$B:$B,DATE(YEAR(CurrentMonth),MONTH(CurrentMonth),1),'Electricity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>
        <f>IF(COUNTIFS($A:$A,A389,$B:$B,B389,$E:$E,"Occupied")=2,"Yes","No")</f>
        <v/>
      </c>
      <c r="G389" s="117" t="n"/>
      <c r="H389" s="116">
        <f>IF(E389&lt;&gt;"Occupied",0,COUNTIFS($A:$A,A389,$B:$B,B389,$E:$E,"Occupied"))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Management'!$B:$B,DATE(YEAR(CurrentMonth),MONTH(CurrentMonth),1),'Electricity Management'!$C:$C,B389),0),0)</f>
        <v/>
      </c>
      <c r="K389" s="82">
        <f>IF(E389="Occupied",IFERROR(SUMIFS('Electricity Management'!$T:$T,'Electricity Management'!$K:$K,A389,'Electricity Management'!$B:$B,DATE(YEAR(CurrentMonth),MONTH(CurrentMonth),1),'Electricity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>
        <f>IF(COUNTIFS($A:$A,A390,$B:$B,B390,$E:$E,"Occupied")=2,"Yes","No")</f>
        <v/>
      </c>
      <c r="G390" s="117" t="n"/>
      <c r="H390" s="116">
        <f>IF(E390&lt;&gt;"Occupied",0,COUNTIFS($A:$A,A390,$B:$B,B390,$E:$E,"Occupied"))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Management'!$B:$B,DATE(YEAR(CurrentMonth),MONTH(CurrentMonth),1),'Electricity Management'!$C:$C,B390),0),0)</f>
        <v/>
      </c>
      <c r="K390" s="82">
        <f>IF(E390="Occupied",IFERROR(SUMIFS('Electricity Management'!$T:$T,'Electricity Management'!$K:$K,A390,'Electricity Management'!$B:$B,DATE(YEAR(CurrentMonth),MONTH(CurrentMonth),1),'Electricity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>
        <f>IF(COUNTIFS($A:$A,A391,$B:$B,B391,$E:$E,"Occupied")=2,"Yes","No")</f>
        <v/>
      </c>
      <c r="G391" s="117" t="n"/>
      <c r="H391" s="116">
        <f>IF(E391&lt;&gt;"Occupied",0,COUNTIFS($A:$A,A391,$B:$B,B391,$E:$E,"Occupied"))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Management'!$B:$B,DATE(YEAR(CurrentMonth),MONTH(CurrentMonth),1),'Electricity Management'!$C:$C,B391),0),0)</f>
        <v/>
      </c>
      <c r="K391" s="82">
        <f>IF(E391="Occupied",IFERROR(SUMIFS('Electricity Management'!$T:$T,'Electricity Management'!$K:$K,A391,'Electricity Management'!$B:$B,DATE(YEAR(CurrentMonth),MONTH(CurrentMonth),1),'Electricity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>
        <f>IF(COUNTIFS($A:$A,A392,$B:$B,B392,$E:$E,"Occupied")=2,"Yes","No")</f>
        <v/>
      </c>
      <c r="G392" s="117" t="n"/>
      <c r="H392" s="116">
        <f>IF(E392&lt;&gt;"Occupied",0,COUNTIFS($A:$A,A392,$B:$B,B392,$E:$E,"Occupied"))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Management'!$B:$B,DATE(YEAR(CurrentMonth),MONTH(CurrentMonth),1),'Electricity Management'!$C:$C,B392),0),0)</f>
        <v/>
      </c>
      <c r="K392" s="82">
        <f>IF(E392="Occupied",IFERROR(SUMIFS('Electricity Management'!$T:$T,'Electricity Management'!$K:$K,A392,'Electricity Management'!$B:$B,DATE(YEAR(CurrentMonth),MONTH(CurrentMonth),1),'Electricity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>
        <f>IF(COUNTIFS($A:$A,A393,$B:$B,B393,$E:$E,"Occupied")=2,"Yes","No")</f>
        <v/>
      </c>
      <c r="G393" s="117" t="n"/>
      <c r="H393" s="116">
        <f>IF(E393&lt;&gt;"Occupied",0,COUNTIFS($A:$A,A393,$B:$B,B393,$E:$E,"Occupied"))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Management'!$B:$B,DATE(YEAR(CurrentMonth),MONTH(CurrentMonth),1),'Electricity Management'!$C:$C,B393),0),0)</f>
        <v/>
      </c>
      <c r="K393" s="82">
        <f>IF(E393="Occupied",IFERROR(SUMIFS('Electricity Management'!$T:$T,'Electricity Management'!$K:$K,A393,'Electricity Management'!$B:$B,DATE(YEAR(CurrentMonth),MONTH(CurrentMonth),1),'Electricity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>
        <f>IF(COUNTIFS($A:$A,A394,$B:$B,B394,$E:$E,"Occupied")=2,"Yes","No")</f>
        <v/>
      </c>
      <c r="G394" s="117" t="n"/>
      <c r="H394" s="116">
        <f>IF(E394&lt;&gt;"Occupied",0,COUNTIFS($A:$A,A394,$B:$B,B394,$E:$E,"Occupied"))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Management'!$B:$B,DATE(YEAR(CurrentMonth),MONTH(CurrentMonth),1),'Electricity Management'!$C:$C,B394),0),0)</f>
        <v/>
      </c>
      <c r="K394" s="82">
        <f>IF(E394="Occupied",IFERROR(SUMIFS('Electricity Management'!$T:$T,'Electricity Management'!$K:$K,A394,'Electricity Management'!$B:$B,DATE(YEAR(CurrentMonth),MONTH(CurrentMonth),1),'Electricity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>
        <f>IF(COUNTIFS($A:$A,A395,$B:$B,B395,$E:$E,"Occupied")=2,"Yes","No")</f>
        <v/>
      </c>
      <c r="G395" s="117" t="n"/>
      <c r="H395" s="116">
        <f>IF(E395&lt;&gt;"Occupied",0,COUNTIFS($A:$A,A395,$B:$B,B395,$E:$E,"Occupied"))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Management'!$B:$B,DATE(YEAR(CurrentMonth),MONTH(CurrentMonth),1),'Electricity Management'!$C:$C,B395),0),0)</f>
        <v/>
      </c>
      <c r="K395" s="82">
        <f>IF(E395="Occupied",IFERROR(SUMIFS('Electricity Management'!$T:$T,'Electricity Management'!$K:$K,A395,'Electricity Management'!$B:$B,DATE(YEAR(CurrentMonth),MONTH(CurrentMonth),1),'Electricity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>
        <f>IF(COUNTIFS($A:$A,A396,$B:$B,B396,$E:$E,"Occupied")=2,"Yes","No")</f>
        <v/>
      </c>
      <c r="G396" s="117" t="n"/>
      <c r="H396" s="116">
        <f>IF(E396&lt;&gt;"Occupied",0,COUNTIFS($A:$A,A396,$B:$B,B396,$E:$E,"Occupied"))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Management'!$B:$B,DATE(YEAR(CurrentMonth),MONTH(CurrentMonth),1),'Electricity Management'!$C:$C,B396),0),0)</f>
        <v/>
      </c>
      <c r="K396" s="82">
        <f>IF(E396="Occupied",IFERROR(SUMIFS('Electricity Management'!$T:$T,'Electricity Management'!$K:$K,A396,'Electricity Management'!$B:$B,DATE(YEAR(CurrentMonth),MONTH(CurrentMonth),1),'Electricity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>
        <f>IF(COUNTIFS($A:$A,A397,$B:$B,B397,$E:$E,"Occupied")=2,"Yes","No")</f>
        <v/>
      </c>
      <c r="G397" s="117" t="n"/>
      <c r="H397" s="116">
        <f>IF(E397&lt;&gt;"Occupied",0,COUNTIFS($A:$A,A397,$B:$B,B397,$E:$E,"Occupied"))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Management'!$B:$B,DATE(YEAR(CurrentMonth),MONTH(CurrentMonth),1),'Electricity Management'!$C:$C,B397),0),0)</f>
        <v/>
      </c>
      <c r="K397" s="82">
        <f>IF(E397="Occupied",IFERROR(SUMIFS('Electricity Management'!$T:$T,'Electricity Management'!$K:$K,A397,'Electricity Management'!$B:$B,DATE(YEAR(CurrentMonth),MONTH(CurrentMonth),1),'Electricity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>
        <f>IF(COUNTIFS($A:$A,A398,$B:$B,B398,$E:$E,"Occupied")=2,"Yes","No")</f>
        <v/>
      </c>
      <c r="G398" s="117" t="n"/>
      <c r="H398" s="116">
        <f>IF(E398&lt;&gt;"Occupied",0,COUNTIFS($A:$A,A398,$B:$B,B398,$E:$E,"Occupied"))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Management'!$B:$B,DATE(YEAR(CurrentMonth),MONTH(CurrentMonth),1),'Electricity Management'!$C:$C,B398),0),0)</f>
        <v/>
      </c>
      <c r="K398" s="82">
        <f>IF(E398="Occupied",IFERROR(SUMIFS('Electricity Management'!$T:$T,'Electricity Management'!$K:$K,A398,'Electricity Management'!$B:$B,DATE(YEAR(CurrentMonth),MONTH(CurrentMonth),1),'Electricity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>
        <f>IF(COUNTIFS($A:$A,A399,$B:$B,B399,$E:$E,"Occupied")=2,"Yes","No")</f>
        <v/>
      </c>
      <c r="G399" s="117" t="n"/>
      <c r="H399" s="116">
        <f>IF(E399&lt;&gt;"Occupied",0,COUNTIFS($A:$A,A399,$B:$B,B399,$E:$E,"Occupied"))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Management'!$B:$B,DATE(YEAR(CurrentMonth),MONTH(CurrentMonth),1),'Electricity Management'!$C:$C,B399),0),0)</f>
        <v/>
      </c>
      <c r="K399" s="82">
        <f>IF(E399="Occupied",IFERROR(SUMIFS('Electricity Management'!$T:$T,'Electricity Management'!$K:$K,A399,'Electricity Management'!$B:$B,DATE(YEAR(CurrentMonth),MONTH(CurrentMonth),1),'Electricity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>
        <f>IF(COUNTIFS($A:$A,A400,$B:$B,B400,$E:$E,"Occupied")=2,"Yes","No")</f>
        <v/>
      </c>
      <c r="G400" s="117" t="n"/>
      <c r="H400" s="116">
        <f>IF(E400&lt;&gt;"Occupied",0,COUNTIFS($A:$A,A400,$B:$B,B400,$E:$E,"Occupied"))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Management'!$B:$B,DATE(YEAR(CurrentMonth),MONTH(CurrentMonth),1),'Electricity Management'!$C:$C,B400),0),0)</f>
        <v/>
      </c>
      <c r="K400" s="82">
        <f>IF(E400="Occupied",IFERROR(SUMIFS('Electricity Management'!$T:$T,'Electricity Management'!$K:$K,A400,'Electricity Management'!$B:$B,DATE(YEAR(CurrentMonth),MONTH(CurrentMonth),1),'Electricity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>
        <f>IF(COUNTIFS($A:$A,A401,$B:$B,B401,$E:$E,"Occupied")=2,"Yes","No")</f>
        <v/>
      </c>
      <c r="G401" s="117" t="n"/>
      <c r="H401" s="116">
        <f>IF(E401&lt;&gt;"Occupied",0,COUNTIFS($A:$A,A401,$B:$B,B401,$E:$E,"Occupied"))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Management'!$B:$B,DATE(YEAR(CurrentMonth),MONTH(CurrentMonth),1),'Electricity Management'!$C:$C,B401),0),0)</f>
        <v/>
      </c>
      <c r="K401" s="82">
        <f>IF(E401="Occupied",IFERROR(SUMIFS('Electricity Management'!$T:$T,'Electricity Management'!$K:$K,A401,'Electricity Management'!$B:$B,DATE(YEAR(CurrentMonth),MONTH(CurrentMonth),1),'Electricity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>
        <f>IF(COUNTIFS($A:$A,A402,$B:$B,B402,$E:$E,"Occupied")=2,"Yes","No")</f>
        <v/>
      </c>
      <c r="G402" s="117" t="n"/>
      <c r="H402" s="116">
        <f>IF(E402&lt;&gt;"Occupied",0,COUNTIFS($A:$A,A402,$B:$B,B402,$E:$E,"Occupied"))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Management'!$B:$B,DATE(YEAR(CurrentMonth),MONTH(CurrentMonth),1),'Electricity Management'!$C:$C,B402),0),0)</f>
        <v/>
      </c>
      <c r="K402" s="82">
        <f>IF(E402="Occupied",IFERROR(SUMIFS('Electricity Management'!$T:$T,'Electricity Management'!$K:$K,A402,'Electricity Management'!$B:$B,DATE(YEAR(CurrentMonth),MONTH(CurrentMonth),1),'Electricity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>
        <f>IF(COUNTIFS($A:$A,A403,$B:$B,B403,$E:$E,"Occupied")=2,"Yes","No")</f>
        <v/>
      </c>
      <c r="G403" s="117" t="n"/>
      <c r="H403" s="116">
        <f>IF(E403&lt;&gt;"Occupied",0,COUNTIFS($A:$A,A403,$B:$B,B403,$E:$E,"Occupied"))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Management'!$B:$B,DATE(YEAR(CurrentMonth),MONTH(CurrentMonth),1),'Electricity Management'!$C:$C,B403),0),0)</f>
        <v/>
      </c>
      <c r="K403" s="82">
        <f>IF(E403="Occupied",IFERROR(SUMIFS('Electricity Management'!$T:$T,'Electricity Management'!$K:$K,A403,'Electricity Management'!$B:$B,DATE(YEAR(CurrentMonth),MONTH(CurrentMonth),1),'Electricity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>
        <f>IF(COUNTIFS($A:$A,A404,$B:$B,B404,$E:$E,"Occupied")=2,"Yes","No")</f>
        <v/>
      </c>
      <c r="G404" s="117" t="n"/>
      <c r="H404" s="116">
        <f>IF(E404&lt;&gt;"Occupied",0,COUNTIFS($A:$A,A404,$B:$B,B404,$E:$E,"Occupied"))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Management'!$B:$B,DATE(YEAR(CurrentMonth),MONTH(CurrentMonth),1),'Electricity Management'!$C:$C,B404),0),0)</f>
        <v/>
      </c>
      <c r="K404" s="82">
        <f>IF(E404="Occupied",IFERROR(SUMIFS('Electricity Management'!$T:$T,'Electricity Management'!$K:$K,A404,'Electricity Management'!$B:$B,DATE(YEAR(CurrentMonth),MONTH(CurrentMonth),1),'Electricity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>
        <f>IF(COUNTIFS($A:$A,A405,$B:$B,B405,$E:$E,"Occupied")=2,"Yes","No")</f>
        <v/>
      </c>
      <c r="G405" s="117" t="n"/>
      <c r="H405" s="116">
        <f>IF(E405&lt;&gt;"Occupied",0,COUNTIFS($A:$A,A405,$B:$B,B405,$E:$E,"Occupied"))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Management'!$B:$B,DATE(YEAR(CurrentMonth),MONTH(CurrentMonth),1),'Electricity Management'!$C:$C,B405),0),0)</f>
        <v/>
      </c>
      <c r="K405" s="82">
        <f>IF(E405="Occupied",IFERROR(SUMIFS('Electricity Management'!$T:$T,'Electricity Management'!$K:$K,A405,'Electricity Management'!$B:$B,DATE(YEAR(CurrentMonth),MONTH(CurrentMonth),1),'Electricity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>
        <f>IF(COUNTIFS($A:$A,A406,$B:$B,B406,$E:$E,"Occupied")=2,"Yes","No")</f>
        <v/>
      </c>
      <c r="G406" s="117" t="n"/>
      <c r="H406" s="116">
        <f>IF(E406&lt;&gt;"Occupied",0,COUNTIFS($A:$A,A406,$B:$B,B406,$E:$E,"Occupied"))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Management'!$B:$B,DATE(YEAR(CurrentMonth),MONTH(CurrentMonth),1),'Electricity Management'!$C:$C,B406),0),0)</f>
        <v/>
      </c>
      <c r="K406" s="82">
        <f>IF(E406="Occupied",IFERROR(SUMIFS('Electricity Management'!$T:$T,'Electricity Management'!$K:$K,A406,'Electricity Management'!$B:$B,DATE(YEAR(CurrentMonth),MONTH(CurrentMonth),1),'Electricity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>
        <f>IF(COUNTIFS($A:$A,A407,$B:$B,B407,$E:$E,"Occupied")=2,"Yes","No")</f>
        <v/>
      </c>
      <c r="G407" s="117" t="n"/>
      <c r="H407" s="116">
        <f>IF(E407&lt;&gt;"Occupied",0,COUNTIFS($A:$A,A407,$B:$B,B407,$E:$E,"Occupied"))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Management'!$B:$B,DATE(YEAR(CurrentMonth),MONTH(CurrentMonth),1),'Electricity Management'!$C:$C,B407),0),0)</f>
        <v/>
      </c>
      <c r="K407" s="82">
        <f>IF(E407="Occupied",IFERROR(SUMIFS('Electricity Management'!$T:$T,'Electricity Management'!$K:$K,A407,'Electricity Management'!$B:$B,DATE(YEAR(CurrentMonth),MONTH(CurrentMonth),1),'Electricity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>
        <f>IF(COUNTIFS($A:$A,A408,$B:$B,B408,$E:$E,"Occupied")=2,"Yes","No")</f>
        <v/>
      </c>
      <c r="G408" s="117" t="n"/>
      <c r="H408" s="116">
        <f>IF(E408&lt;&gt;"Occupied",0,COUNTIFS($A:$A,A408,$B:$B,B408,$E:$E,"Occupied"))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Management'!$B:$B,DATE(YEAR(CurrentMonth),MONTH(CurrentMonth),1),'Electricity Management'!$C:$C,B408),0),0)</f>
        <v/>
      </c>
      <c r="K408" s="82">
        <f>IF(E408="Occupied",IFERROR(SUMIFS('Electricity Management'!$T:$T,'Electricity Management'!$K:$K,A408,'Electricity Management'!$B:$B,DATE(YEAR(CurrentMonth),MONTH(CurrentMonth),1),'Electricity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>
        <f>IF(COUNTIFS($A:$A,A409,$B:$B,B409,$E:$E,"Occupied")=2,"Yes","No")</f>
        <v/>
      </c>
      <c r="G409" s="117" t="n"/>
      <c r="H409" s="116">
        <f>IF(E409&lt;&gt;"Occupied",0,COUNTIFS($A:$A,A409,$B:$B,B409,$E:$E,"Occupied"))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Management'!$B:$B,DATE(YEAR(CurrentMonth),MONTH(CurrentMonth),1),'Electricity Management'!$C:$C,B409),0),0)</f>
        <v/>
      </c>
      <c r="K409" s="82">
        <f>IF(E409="Occupied",IFERROR(SUMIFS('Electricity Management'!$T:$T,'Electricity Management'!$K:$K,A409,'Electricity Management'!$B:$B,DATE(YEAR(CurrentMonth),MONTH(CurrentMonth),1),'Electricity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>
        <f>IF(COUNTIFS($A:$A,A410,$B:$B,B410,$E:$E,"Occupied")=2,"Yes","No")</f>
        <v/>
      </c>
      <c r="G410" s="117" t="n"/>
      <c r="H410" s="116">
        <f>IF(E410&lt;&gt;"Occupied",0,COUNTIFS($A:$A,A410,$B:$B,B410,$E:$E,"Occupied"))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Management'!$B:$B,DATE(YEAR(CurrentMonth),MONTH(CurrentMonth),1),'Electricity Management'!$C:$C,B410),0),0)</f>
        <v/>
      </c>
      <c r="K410" s="82">
        <f>IF(E410="Occupied",IFERROR(SUMIFS('Electricity Management'!$T:$T,'Electricity Management'!$K:$K,A410,'Electricity Management'!$B:$B,DATE(YEAR(CurrentMonth),MONTH(CurrentMonth),1),'Electricity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>
        <f>IF(COUNTIFS($A:$A,A411,$B:$B,B411,$E:$E,"Occupied")=2,"Yes","No")</f>
        <v/>
      </c>
      <c r="G411" s="117" t="n"/>
      <c r="H411" s="116">
        <f>IF(E411&lt;&gt;"Occupied",0,COUNTIFS($A:$A,A411,$B:$B,B411,$E:$E,"Occupied"))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Management'!$B:$B,DATE(YEAR(CurrentMonth),MONTH(CurrentMonth),1),'Electricity Management'!$C:$C,B411),0),0)</f>
        <v/>
      </c>
      <c r="K411" s="82">
        <f>IF(E411="Occupied",IFERROR(SUMIFS('Electricity Management'!$T:$T,'Electricity Management'!$K:$K,A411,'Electricity Management'!$B:$B,DATE(YEAR(CurrentMonth),MONTH(CurrentMonth),1),'Electricity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>
        <f>IF(COUNTIFS($A:$A,A412,$B:$B,B412,$E:$E,"Occupied")=2,"Yes","No")</f>
        <v/>
      </c>
      <c r="G412" s="117" t="n"/>
      <c r="H412" s="116">
        <f>IF(E412&lt;&gt;"Occupied",0,COUNTIFS($A:$A,A412,$B:$B,B412,$E:$E,"Occupied"))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Management'!$B:$B,DATE(YEAR(CurrentMonth),MONTH(CurrentMonth),1),'Electricity Management'!$C:$C,B412),0),0)</f>
        <v/>
      </c>
      <c r="K412" s="82">
        <f>IF(E412="Occupied",IFERROR(SUMIFS('Electricity Management'!$T:$T,'Electricity Management'!$K:$K,A412,'Electricity Management'!$B:$B,DATE(YEAR(CurrentMonth),MONTH(CurrentMonth),1),'Electricity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>
        <f>IF(COUNTIFS($A:$A,A413,$B:$B,B413,$E:$E,"Occupied")=2,"Yes","No")</f>
        <v/>
      </c>
      <c r="G413" s="117" t="n"/>
      <c r="H413" s="116">
        <f>IF(E413&lt;&gt;"Occupied",0,COUNTIFS($A:$A,A413,$B:$B,B413,$E:$E,"Occupied"))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Management'!$B:$B,DATE(YEAR(CurrentMonth),MONTH(CurrentMonth),1),'Electricity Management'!$C:$C,B413),0),0)</f>
        <v/>
      </c>
      <c r="K413" s="82">
        <f>IF(E413="Occupied",IFERROR(SUMIFS('Electricity Management'!$T:$T,'Electricity Management'!$K:$K,A413,'Electricity Management'!$B:$B,DATE(YEAR(CurrentMonth),MONTH(CurrentMonth),1),'Electricity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>
        <f>IF(COUNTIFS($A:$A,A414,$B:$B,B414,$E:$E,"Occupied")=2,"Yes","No")</f>
        <v/>
      </c>
      <c r="G414" s="117" t="n"/>
      <c r="H414" s="116">
        <f>IF(E414&lt;&gt;"Occupied",0,COUNTIFS($A:$A,A414,$B:$B,B414,$E:$E,"Occupied"))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Management'!$B:$B,DATE(YEAR(CurrentMonth),MONTH(CurrentMonth),1),'Electricity Management'!$C:$C,B414),0),0)</f>
        <v/>
      </c>
      <c r="K414" s="82">
        <f>IF(E414="Occupied",IFERROR(SUMIFS('Electricity Management'!$T:$T,'Electricity Management'!$K:$K,A414,'Electricity Management'!$B:$B,DATE(YEAR(CurrentMonth),MONTH(CurrentMonth),1),'Electricity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>
        <f>IF(COUNTIFS($A:$A,A415,$B:$B,B415,$E:$E,"Occupied")=2,"Yes","No")</f>
        <v/>
      </c>
      <c r="G415" s="117" t="n"/>
      <c r="H415" s="116">
        <f>IF(E415&lt;&gt;"Occupied",0,COUNTIFS($A:$A,A415,$B:$B,B415,$E:$E,"Occupied"))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Management'!$B:$B,DATE(YEAR(CurrentMonth),MONTH(CurrentMonth),1),'Electricity Management'!$C:$C,B415),0),0)</f>
        <v/>
      </c>
      <c r="K415" s="82">
        <f>IF(E415="Occupied",IFERROR(SUMIFS('Electricity Management'!$T:$T,'Electricity Management'!$K:$K,A415,'Electricity Management'!$B:$B,DATE(YEAR(CurrentMonth),MONTH(CurrentMonth),1),'Electricity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>
        <f>IF(COUNTIFS($A:$A,A416,$B:$B,B416,$E:$E,"Occupied")=2,"Yes","No")</f>
        <v/>
      </c>
      <c r="G416" s="117" t="n"/>
      <c r="H416" s="116">
        <f>IF(E416&lt;&gt;"Occupied",0,COUNTIFS($A:$A,A416,$B:$B,B416,$E:$E,"Occupied"))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Management'!$B:$B,DATE(YEAR(CurrentMonth),MONTH(CurrentMonth),1),'Electricity Management'!$C:$C,B416),0),0)</f>
        <v/>
      </c>
      <c r="K416" s="82">
        <f>IF(E416="Occupied",IFERROR(SUMIFS('Electricity Management'!$T:$T,'Electricity Management'!$K:$K,A416,'Electricity Management'!$B:$B,DATE(YEAR(CurrentMonth),MONTH(CurrentMonth),1),'Electricity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>
        <f>IF(COUNTIFS($A:$A,A417,$B:$B,B417,$E:$E,"Occupied")=2,"Yes","No")</f>
        <v/>
      </c>
      <c r="G417" s="117" t="n"/>
      <c r="H417" s="116">
        <f>IF(E417&lt;&gt;"Occupied",0,COUNTIFS($A:$A,A417,$B:$B,B417,$E:$E,"Occupied"))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Management'!$B:$B,DATE(YEAR(CurrentMonth),MONTH(CurrentMonth),1),'Electricity Management'!$C:$C,B417),0),0)</f>
        <v/>
      </c>
      <c r="K417" s="82">
        <f>IF(E417="Occupied",IFERROR(SUMIFS('Electricity Management'!$T:$T,'Electricity Management'!$K:$K,A417,'Electricity Management'!$B:$B,DATE(YEAR(CurrentMonth),MONTH(CurrentMonth),1),'Electricity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>
        <f>IF(COUNTIFS($A:$A,A418,$B:$B,B418,$E:$E,"Occupied")=2,"Yes","No")</f>
        <v/>
      </c>
      <c r="G418" s="117" t="n"/>
      <c r="H418" s="116">
        <f>IF(E418&lt;&gt;"Occupied",0,COUNTIFS($A:$A,A418,$B:$B,B418,$E:$E,"Occupied"))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Management'!$B:$B,DATE(YEAR(CurrentMonth),MONTH(CurrentMonth),1),'Electricity Management'!$C:$C,B418),0),0)</f>
        <v/>
      </c>
      <c r="K418" s="82">
        <f>IF(E418="Occupied",IFERROR(SUMIFS('Electricity Management'!$T:$T,'Electricity Management'!$K:$K,A418,'Electricity Management'!$B:$B,DATE(YEAR(CurrentMonth),MONTH(CurrentMonth),1),'Electricity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>
        <f>IF(COUNTIFS($A:$A,A419,$B:$B,B419,$E:$E,"Occupied")=2,"Yes","No")</f>
        <v/>
      </c>
      <c r="G419" s="117" t="n"/>
      <c r="H419" s="116">
        <f>IF(E419&lt;&gt;"Occupied",0,COUNTIFS($A:$A,A419,$B:$B,B419,$E:$E,"Occupied"))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Management'!$B:$B,DATE(YEAR(CurrentMonth),MONTH(CurrentMonth),1),'Electricity Management'!$C:$C,B419),0),0)</f>
        <v/>
      </c>
      <c r="K419" s="82">
        <f>IF(E419="Occupied",IFERROR(SUMIFS('Electricity Management'!$T:$T,'Electricity Management'!$K:$K,A419,'Electricity Management'!$B:$B,DATE(YEAR(CurrentMonth),MONTH(CurrentMonth),1),'Electricity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>
        <f>IF(COUNTIFS($A:$A,A420,$B:$B,B420,$E:$E,"Occupied")=2,"Yes","No")</f>
        <v/>
      </c>
      <c r="G420" s="117" t="n"/>
      <c r="H420" s="116">
        <f>IF(E420&lt;&gt;"Occupied",0,COUNTIFS($A:$A,A420,$B:$B,B420,$E:$E,"Occupied"))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Management'!$B:$B,DATE(YEAR(CurrentMonth),MONTH(CurrentMonth),1),'Electricity Management'!$C:$C,B420),0),0)</f>
        <v/>
      </c>
      <c r="K420" s="82">
        <f>IF(E420="Occupied",IFERROR(SUMIFS('Electricity Management'!$T:$T,'Electricity Management'!$K:$K,A420,'Electricity Management'!$B:$B,DATE(YEAR(CurrentMonth),MONTH(CurrentMonth),1),'Electricity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>
        <f>IF(COUNTIFS($A:$A,A421,$B:$B,B421,$E:$E,"Occupied")=2,"Yes","No")</f>
        <v/>
      </c>
      <c r="G421" s="117" t="n"/>
      <c r="H421" s="116">
        <f>IF(E421&lt;&gt;"Occupied",0,COUNTIFS($A:$A,A421,$B:$B,B421,$E:$E,"Occupied"))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Management'!$B:$B,DATE(YEAR(CurrentMonth),MONTH(CurrentMonth),1),'Electricity Management'!$C:$C,B421),0),0)</f>
        <v/>
      </c>
      <c r="K421" s="82">
        <f>IF(E421="Occupied",IFERROR(SUMIFS('Electricity Management'!$T:$T,'Electricity Management'!$K:$K,A421,'Electricity Management'!$B:$B,DATE(YEAR(CurrentMonth),MONTH(CurrentMonth),1),'Electricity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>
        <f>IF(COUNTIFS($A:$A,A422,$B:$B,B422,$E:$E,"Occupied")=2,"Yes","No")</f>
        <v/>
      </c>
      <c r="G422" s="117" t="n"/>
      <c r="H422" s="116">
        <f>IF(E422&lt;&gt;"Occupied",0,COUNTIFS($A:$A,A422,$B:$B,B422,$E:$E,"Occupied"))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Management'!$B:$B,DATE(YEAR(CurrentMonth),MONTH(CurrentMonth),1),'Electricity Management'!$C:$C,B422),0),0)</f>
        <v/>
      </c>
      <c r="K422" s="82">
        <f>IF(E422="Occupied",IFERROR(SUMIFS('Electricity Management'!$T:$T,'Electricity Management'!$K:$K,A422,'Electricity Management'!$B:$B,DATE(YEAR(CurrentMonth),MONTH(CurrentMonth),1),'Electricity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>
        <f>IF(COUNTIFS($A:$A,A423,$B:$B,B423,$E:$E,"Occupied")=2,"Yes","No")</f>
        <v/>
      </c>
      <c r="G423" s="117" t="n"/>
      <c r="H423" s="116">
        <f>IF(E423&lt;&gt;"Occupied",0,COUNTIFS($A:$A,A423,$B:$B,B423,$E:$E,"Occupied"))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Management'!$B:$B,DATE(YEAR(CurrentMonth),MONTH(CurrentMonth),1),'Electricity Management'!$C:$C,B423),0),0)</f>
        <v/>
      </c>
      <c r="K423" s="82">
        <f>IF(E423="Occupied",IFERROR(SUMIFS('Electricity Management'!$T:$T,'Electricity Management'!$K:$K,A423,'Electricity Management'!$B:$B,DATE(YEAR(CurrentMonth),MONTH(CurrentMonth),1),'Electricity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>
        <f>IF(COUNTIFS($A:$A,A424,$B:$B,B424,$E:$E,"Occupied")=2,"Yes","No")</f>
        <v/>
      </c>
      <c r="G424" s="117" t="n"/>
      <c r="H424" s="116">
        <f>IF(E424&lt;&gt;"Occupied",0,COUNTIFS($A:$A,A424,$B:$B,B424,$E:$E,"Occupied"))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Management'!$B:$B,DATE(YEAR(CurrentMonth),MONTH(CurrentMonth),1),'Electricity Management'!$C:$C,B424),0),0)</f>
        <v/>
      </c>
      <c r="K424" s="82">
        <f>IF(E424="Occupied",IFERROR(SUMIFS('Electricity Management'!$T:$T,'Electricity Management'!$K:$K,A424,'Electricity Management'!$B:$B,DATE(YEAR(CurrentMonth),MONTH(CurrentMonth),1),'Electricity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>
        <f>IF(COUNTIFS($A:$A,A425,$B:$B,B425,$E:$E,"Occupied")=2,"Yes","No")</f>
        <v/>
      </c>
      <c r="G425" s="117" t="n"/>
      <c r="H425" s="116">
        <f>IF(E425&lt;&gt;"Occupied",0,COUNTIFS($A:$A,A425,$B:$B,B425,$E:$E,"Occupied"))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Management'!$B:$B,DATE(YEAR(CurrentMonth),MONTH(CurrentMonth),1),'Electricity Management'!$C:$C,B425),0),0)</f>
        <v/>
      </c>
      <c r="K425" s="82">
        <f>IF(E425="Occupied",IFERROR(SUMIFS('Electricity Management'!$T:$T,'Electricity Management'!$K:$K,A425,'Electricity Management'!$B:$B,DATE(YEAR(CurrentMonth),MONTH(CurrentMonth),1),'Electricity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>
        <f>IF(COUNTIFS($A:$A,A426,$B:$B,B426,$E:$E,"Occupied")=2,"Yes","No")</f>
        <v/>
      </c>
      <c r="G426" s="117" t="n"/>
      <c r="H426" s="116">
        <f>IF(E426&lt;&gt;"Occupied",0,COUNTIFS($A:$A,A426,$B:$B,B426,$E:$E,"Occupied"))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Management'!$B:$B,DATE(YEAR(CurrentMonth),MONTH(CurrentMonth),1),'Electricity Management'!$C:$C,B426),0),0)</f>
        <v/>
      </c>
      <c r="K426" s="82">
        <f>IF(E426="Occupied",IFERROR(SUMIFS('Electricity Management'!$T:$T,'Electricity Management'!$K:$K,A426,'Electricity Management'!$B:$B,DATE(YEAR(CurrentMonth),MONTH(CurrentMonth),1),'Electricity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>
        <f>IF(COUNTIFS($A:$A,A427,$B:$B,B427,$E:$E,"Occupied")=2,"Yes","No")</f>
        <v/>
      </c>
      <c r="G427" s="117" t="n"/>
      <c r="H427" s="116">
        <f>IF(E427&lt;&gt;"Occupied",0,COUNTIFS($A:$A,A427,$B:$B,B427,$E:$E,"Occupied"))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Management'!$B:$B,DATE(YEAR(CurrentMonth),MONTH(CurrentMonth),1),'Electricity Management'!$C:$C,B427),0),0)</f>
        <v/>
      </c>
      <c r="K427" s="82">
        <f>IF(E427="Occupied",IFERROR(SUMIFS('Electricity Management'!$T:$T,'Electricity Management'!$K:$K,A427,'Electricity Management'!$B:$B,DATE(YEAR(CurrentMonth),MONTH(CurrentMonth),1),'Electricity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>
        <f>IF(COUNTIFS($A:$A,A428,$B:$B,B428,$E:$E,"Occupied")=2,"Yes","No")</f>
        <v/>
      </c>
      <c r="G428" s="117" t="n"/>
      <c r="H428" s="116">
        <f>IF(E428&lt;&gt;"Occupied",0,COUNTIFS($A:$A,A428,$B:$B,B428,$E:$E,"Occupied"))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Management'!$B:$B,DATE(YEAR(CurrentMonth),MONTH(CurrentMonth),1),'Electricity Management'!$C:$C,B428),0),0)</f>
        <v/>
      </c>
      <c r="K428" s="82">
        <f>IF(E428="Occupied",IFERROR(SUMIFS('Electricity Management'!$T:$T,'Electricity Management'!$K:$K,A428,'Electricity Management'!$B:$B,DATE(YEAR(CurrentMonth),MONTH(CurrentMonth),1),'Electricity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IFERROR(MAX(N(D6)-N(E6),0),0)</f>
        <v/>
      </c>
      <c r="G6" s="130">
        <f>IFERROR(N(E6)*GeneratorRate,0)</f>
        <v/>
      </c>
      <c r="H6" s="130">
        <f>IFERROR(N(F6)*GovernmentRate,0)</f>
        <v/>
      </c>
      <c r="I6" s="130">
        <f>IFERROR(G6+H6,0)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IFERROR(MAX(N(N6)-N(O6),0),0)</f>
        <v/>
      </c>
      <c r="Q6" s="130">
        <f>IFERROR(N(O6)*GeneratorRate,0)</f>
        <v/>
      </c>
      <c r="R6" s="130">
        <f>IFERROR(N(P6)*GovernmentRate,0)</f>
        <v/>
      </c>
      <c r="S6" s="130">
        <f>IFERROR(Q6+R6,0)</f>
        <v/>
      </c>
      <c r="T6" s="130">
        <f>IFERROR(S6/M6,0)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IFERROR(MAX(N(D7)-N(E7),0),0)</f>
        <v/>
      </c>
      <c r="G7" s="130">
        <f>IFERROR(N(E7)*GeneratorRate,0)</f>
        <v/>
      </c>
      <c r="H7" s="130">
        <f>IFERROR(N(F7)*GovernmentRate,0)</f>
        <v/>
      </c>
      <c r="I7" s="130">
        <f>IFERROR(G7+H7,0)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IFERROR(MAX(N(N7)-N(O7),0),0)</f>
        <v/>
      </c>
      <c r="Q7" s="130">
        <f>IFERROR(N(O7)*GeneratorRate,0)</f>
        <v/>
      </c>
      <c r="R7" s="130">
        <f>IFERROR(N(P7)*GovernmentRate,0)</f>
        <v/>
      </c>
      <c r="S7" s="130">
        <f>IFERROR(Q7+R7,0)</f>
        <v/>
      </c>
      <c r="T7" s="130">
        <f>IFERROR(S7/M7,0)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IFERROR(MAX(N(D8)-N(E8),0),0)</f>
        <v/>
      </c>
      <c r="G8" s="130">
        <f>IFERROR(N(E8)*GeneratorRate,0)</f>
        <v/>
      </c>
      <c r="H8" s="130">
        <f>IFERROR(N(F8)*GovernmentRate,0)</f>
        <v/>
      </c>
      <c r="I8" s="130">
        <f>IFERROR(G8+H8,0)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IFERROR(MAX(N(N8)-N(O8),0),0)</f>
        <v/>
      </c>
      <c r="Q8" s="130">
        <f>IFERROR(N(O8)*GeneratorRate,0)</f>
        <v/>
      </c>
      <c r="R8" s="130">
        <f>IFERROR(N(P8)*GovernmentRate,0)</f>
        <v/>
      </c>
      <c r="S8" s="130">
        <f>IFERROR(Q8+R8,0)</f>
        <v/>
      </c>
      <c r="T8" s="130">
        <f>IFERROR(S8/M8,0)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IFERROR(MAX(N(D9)-N(E9),0),0)</f>
        <v/>
      </c>
      <c r="G9" s="130">
        <f>IFERROR(N(E9)*GeneratorRate,0)</f>
        <v/>
      </c>
      <c r="H9" s="130">
        <f>IFERROR(N(F9)*GovernmentRate,0)</f>
        <v/>
      </c>
      <c r="I9" s="130">
        <f>IFERROR(G9+H9,0)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IFERROR(MAX(N(N9)-N(O9),0),0)</f>
        <v/>
      </c>
      <c r="Q9" s="130">
        <f>IFERROR(N(O9)*GeneratorRate,0)</f>
        <v/>
      </c>
      <c r="R9" s="130">
        <f>IFERROR(N(P9)*GovernmentRate,0)</f>
        <v/>
      </c>
      <c r="S9" s="130">
        <f>IFERROR(Q9+R9,0)</f>
        <v/>
      </c>
      <c r="T9" s="130">
        <f>IFERROR(S9/M9,0)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IFERROR(MAX(N(D10)-N(E10),0),0)</f>
        <v/>
      </c>
      <c r="G10" s="130">
        <f>IFERROR(N(E10)*GeneratorRate,0)</f>
        <v/>
      </c>
      <c r="H10" s="130">
        <f>IFERROR(N(F10)*GovernmentRate,0)</f>
        <v/>
      </c>
      <c r="I10" s="130">
        <f>IFERROR(G10+H10,0)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IFERROR(MAX(N(N10)-N(O10),0),0)</f>
        <v/>
      </c>
      <c r="Q10" s="130">
        <f>IFERROR(N(O10)*GeneratorRate,0)</f>
        <v/>
      </c>
      <c r="R10" s="130">
        <f>IFERROR(N(P10)*GovernmentRate,0)</f>
        <v/>
      </c>
      <c r="S10" s="130">
        <f>IFERROR(Q10+R10,0)</f>
        <v/>
      </c>
      <c r="T10" s="130">
        <f>IFERROR(S10/M10,0)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IFERROR(MAX(N(D11)-N(E11),0),0)</f>
        <v/>
      </c>
      <c r="G11" s="130">
        <f>IFERROR(N(E11)*GeneratorRate,0)</f>
        <v/>
      </c>
      <c r="H11" s="130">
        <f>IFERROR(N(F11)*GovernmentRate,0)</f>
        <v/>
      </c>
      <c r="I11" s="130">
        <f>IFERROR(G11+H11,0)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IFERROR(MAX(N(N11)-N(O11),0),0)</f>
        <v/>
      </c>
      <c r="Q11" s="130">
        <f>IFERROR(N(O11)*GeneratorRate,0)</f>
        <v/>
      </c>
      <c r="R11" s="130">
        <f>IFERROR(N(P11)*GovernmentRate,0)</f>
        <v/>
      </c>
      <c r="S11" s="130">
        <f>IFERROR(Q11+R11,0)</f>
        <v/>
      </c>
      <c r="T11" s="130">
        <f>IFERROR(S11/M11,0)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IFERROR(MAX(N(D12)-N(E12),0),0)</f>
        <v/>
      </c>
      <c r="G12" s="130">
        <f>IFERROR(N(E12)*GeneratorRate,0)</f>
        <v/>
      </c>
      <c r="H12" s="130">
        <f>IFERROR(N(F12)*GovernmentRate,0)</f>
        <v/>
      </c>
      <c r="I12" s="130">
        <f>IFERROR(G12+H12,0)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IFERROR(MAX(N(N12)-N(O12),0),0)</f>
        <v/>
      </c>
      <c r="Q12" s="130">
        <f>IFERROR(N(O12)*GeneratorRate,0)</f>
        <v/>
      </c>
      <c r="R12" s="130">
        <f>IFERROR(N(P12)*GovernmentRate,0)</f>
        <v/>
      </c>
      <c r="S12" s="130">
        <f>IFERROR(Q12+R12,0)</f>
        <v/>
      </c>
      <c r="T12" s="130">
        <f>IFERROR(S12/M12,0)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IFERROR(MAX(N(D13)-N(E13),0),0)</f>
        <v/>
      </c>
      <c r="G13" s="130">
        <f>IFERROR(N(E13)*GeneratorRate,0)</f>
        <v/>
      </c>
      <c r="H13" s="130">
        <f>IFERROR(N(F13)*GovernmentRate,0)</f>
        <v/>
      </c>
      <c r="I13" s="130">
        <f>IFERROR(G13+H13,0)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IFERROR(MAX(N(N13)-N(O13),0),0)</f>
        <v/>
      </c>
      <c r="Q13" s="130">
        <f>IFERROR(N(O13)*GeneratorRate,0)</f>
        <v/>
      </c>
      <c r="R13" s="130">
        <f>IFERROR(N(P13)*GovernmentRate,0)</f>
        <v/>
      </c>
      <c r="S13" s="130">
        <f>IFERROR(Q13+R13,0)</f>
        <v/>
      </c>
      <c r="T13" s="130">
        <f>IFERROR(S13/M13,0)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IFERROR(MAX(N(D14)-N(E14),0),0)</f>
        <v/>
      </c>
      <c r="G14" s="130">
        <f>IFERROR(N(E14)*GeneratorRate,0)</f>
        <v/>
      </c>
      <c r="H14" s="130">
        <f>IFERROR(N(F14)*GovernmentRate,0)</f>
        <v/>
      </c>
      <c r="I14" s="130">
        <f>IFERROR(G14+H14,0)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IFERROR(MAX(N(N14)-N(O14),0),0)</f>
        <v/>
      </c>
      <c r="Q14" s="130">
        <f>IFERROR(N(O14)*GeneratorRate,0)</f>
        <v/>
      </c>
      <c r="R14" s="130">
        <f>IFERROR(N(P14)*GovernmentRate,0)</f>
        <v/>
      </c>
      <c r="S14" s="130">
        <f>IFERROR(Q14+R14,0)</f>
        <v/>
      </c>
      <c r="T14" s="130">
        <f>IFERROR(S14/M14,0)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IFERROR(MAX(N(D15)-N(E15),0),0)</f>
        <v/>
      </c>
      <c r="G15" s="130">
        <f>IFERROR(N(E15)*GeneratorRate,0)</f>
        <v/>
      </c>
      <c r="H15" s="130">
        <f>IFERROR(N(F15)*GovernmentRate,0)</f>
        <v/>
      </c>
      <c r="I15" s="130">
        <f>IFERROR(G15+H15,0)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IFERROR(MAX(N(N15)-N(O15),0),0)</f>
        <v/>
      </c>
      <c r="Q15" s="130">
        <f>IFERROR(N(O15)*GeneratorRate,0)</f>
        <v/>
      </c>
      <c r="R15" s="130">
        <f>IFERROR(N(P15)*GovernmentRate,0)</f>
        <v/>
      </c>
      <c r="S15" s="130">
        <f>IFERROR(Q15+R15,0)</f>
        <v/>
      </c>
      <c r="T15" s="130">
        <f>IFERROR(S15/M15,0)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IFERROR(MAX(N(D16)-N(E16),0),0)</f>
        <v/>
      </c>
      <c r="G16" s="130">
        <f>IFERROR(N(E16)*GeneratorRate,0)</f>
        <v/>
      </c>
      <c r="H16" s="130">
        <f>IFERROR(N(F16)*GovernmentRate,0)</f>
        <v/>
      </c>
      <c r="I16" s="130">
        <f>IFERROR(G16+H16,0)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IFERROR(MAX(N(N16)-N(O16),0),0)</f>
        <v/>
      </c>
      <c r="Q16" s="130">
        <f>IFERROR(N(O16)*GeneratorRate,0)</f>
        <v/>
      </c>
      <c r="R16" s="130">
        <f>IFERROR(N(P16)*GovernmentRate,0)</f>
        <v/>
      </c>
      <c r="S16" s="130">
        <f>IFERROR(Q16+R16,0)</f>
        <v/>
      </c>
      <c r="T16" s="130">
        <f>IFERROR(S16/M16,0)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IFERROR(MAX(N(D17)-N(E17),0),0)</f>
        <v/>
      </c>
      <c r="G17" s="130">
        <f>IFERROR(N(E17)*GeneratorRate,0)</f>
        <v/>
      </c>
      <c r="H17" s="130">
        <f>IFERROR(N(F17)*GovernmentRate,0)</f>
        <v/>
      </c>
      <c r="I17" s="130">
        <f>IFERROR(G17+H17,0)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IFERROR(MAX(N(N17)-N(O17),0),0)</f>
        <v/>
      </c>
      <c r="Q17" s="130">
        <f>IFERROR(N(O17)*GeneratorRate,0)</f>
        <v/>
      </c>
      <c r="R17" s="130">
        <f>IFERROR(N(P17)*GovernmentRate,0)</f>
        <v/>
      </c>
      <c r="S17" s="130">
        <f>IFERROR(Q17+R17,0)</f>
        <v/>
      </c>
      <c r="T17" s="130">
        <f>IFERROR(S17/M17,0)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IFERROR(MAX(N(D18)-N(E18),0),0)</f>
        <v/>
      </c>
      <c r="G18" s="130">
        <f>IFERROR(N(E18)*GeneratorRate,0)</f>
        <v/>
      </c>
      <c r="H18" s="130">
        <f>IFERROR(N(F18)*GovernmentRate,0)</f>
        <v/>
      </c>
      <c r="I18" s="130">
        <f>IFERROR(G18+H18,0)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IFERROR(MAX(N(N18)-N(O18),0),0)</f>
        <v/>
      </c>
      <c r="Q18" s="130">
        <f>IFERROR(N(O18)*GeneratorRate,0)</f>
        <v/>
      </c>
      <c r="R18" s="130">
        <f>IFERROR(N(P18)*GovernmentRate,0)</f>
        <v/>
      </c>
      <c r="S18" s="130">
        <f>IFERROR(Q18+R18,0)</f>
        <v/>
      </c>
      <c r="T18" s="130">
        <f>IFERROR(S18/M18,0)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IFERROR(MAX(N(D19)-N(E19),0),0)</f>
        <v/>
      </c>
      <c r="G19" s="130">
        <f>IFERROR(N(E19)*GeneratorRate,0)</f>
        <v/>
      </c>
      <c r="H19" s="130">
        <f>IFERROR(N(F19)*GovernmentRate,0)</f>
        <v/>
      </c>
      <c r="I19" s="130">
        <f>IFERROR(G19+H19,0)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IFERROR(MAX(N(N19)-N(O19),0),0)</f>
        <v/>
      </c>
      <c r="Q19" s="130">
        <f>IFERROR(N(O19)*GeneratorRate,0)</f>
        <v/>
      </c>
      <c r="R19" s="130">
        <f>IFERROR(N(P19)*GovernmentRate,0)</f>
        <v/>
      </c>
      <c r="S19" s="130">
        <f>IFERROR(Q19+R19,0)</f>
        <v/>
      </c>
      <c r="T19" s="130">
        <f>IFERROR(S19/M19,0)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IFERROR(MAX(N(D20)-N(E20),0),0)</f>
        <v/>
      </c>
      <c r="G20" s="130">
        <f>IFERROR(N(E20)*GeneratorRate,0)</f>
        <v/>
      </c>
      <c r="H20" s="130">
        <f>IFERROR(N(F20)*GovernmentRate,0)</f>
        <v/>
      </c>
      <c r="I20" s="130">
        <f>IFERROR(G20+H20,0)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IFERROR(MAX(N(N20)-N(O20),0),0)</f>
        <v/>
      </c>
      <c r="Q20" s="130">
        <f>IFERROR(N(O20)*GeneratorRate,0)</f>
        <v/>
      </c>
      <c r="R20" s="130">
        <f>IFERROR(N(P20)*GovernmentRate,0)</f>
        <v/>
      </c>
      <c r="S20" s="130">
        <f>IFERROR(Q20+R20,0)</f>
        <v/>
      </c>
      <c r="T20" s="130">
        <f>IFERROR(S20/M20,0)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IFERROR(MAX(N(D21)-N(E21),0),0)</f>
        <v/>
      </c>
      <c r="G21" s="130">
        <f>IFERROR(N(E21)*GeneratorRate,0)</f>
        <v/>
      </c>
      <c r="H21" s="130">
        <f>IFERROR(N(F21)*GovernmentRate,0)</f>
        <v/>
      </c>
      <c r="I21" s="130">
        <f>IFERROR(G21+H21,0)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IFERROR(MAX(N(N21)-N(O21),0),0)</f>
        <v/>
      </c>
      <c r="Q21" s="130">
        <f>IFERROR(N(O21)*GeneratorRate,0)</f>
        <v/>
      </c>
      <c r="R21" s="130">
        <f>IFERROR(N(P21)*GovernmentRate,0)</f>
        <v/>
      </c>
      <c r="S21" s="130">
        <f>IFERROR(Q21+R21,0)</f>
        <v/>
      </c>
      <c r="T21" s="130">
        <f>IFERROR(S21/M21,0)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IFERROR(MAX(N(D22)-N(E22),0),0)</f>
        <v/>
      </c>
      <c r="G22" s="130">
        <f>IFERROR(N(E22)*GeneratorRate,0)</f>
        <v/>
      </c>
      <c r="H22" s="130">
        <f>IFERROR(N(F22)*GovernmentRate,0)</f>
        <v/>
      </c>
      <c r="I22" s="130">
        <f>IFERROR(G22+H22,0)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IFERROR(MAX(N(N22)-N(O22),0),0)</f>
        <v/>
      </c>
      <c r="Q22" s="130">
        <f>IFERROR(N(O22)*GeneratorRate,0)</f>
        <v/>
      </c>
      <c r="R22" s="130">
        <f>IFERROR(N(P22)*GovernmentRate,0)</f>
        <v/>
      </c>
      <c r="S22" s="130">
        <f>IFERROR(Q22+R22,0)</f>
        <v/>
      </c>
      <c r="T22" s="130">
        <f>IFERROR(S22/M22,0)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IFERROR(MAX(N(D23)-N(E23),0),0)</f>
        <v/>
      </c>
      <c r="G23" s="130">
        <f>IFERROR(N(E23)*GeneratorRate,0)</f>
        <v/>
      </c>
      <c r="H23" s="130">
        <f>IFERROR(N(F23)*GovernmentRate,0)</f>
        <v/>
      </c>
      <c r="I23" s="130">
        <f>IFERROR(G23+H23,0)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IFERROR(MAX(N(N23)-N(O23),0),0)</f>
        <v/>
      </c>
      <c r="Q23" s="130">
        <f>IFERROR(N(O23)*GeneratorRate,0)</f>
        <v/>
      </c>
      <c r="R23" s="130">
        <f>IFERROR(N(P23)*GovernmentRate,0)</f>
        <v/>
      </c>
      <c r="S23" s="130">
        <f>IFERROR(Q23+R23,0)</f>
        <v/>
      </c>
      <c r="T23" s="130">
        <f>IFERROR(S23/M23,0)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IFERROR(MAX(N(D24)-N(E24),0),0)</f>
        <v/>
      </c>
      <c r="G24" s="130">
        <f>IFERROR(N(E24)*GeneratorRate,0)</f>
        <v/>
      </c>
      <c r="H24" s="130">
        <f>IFERROR(N(F24)*GovernmentRate,0)</f>
        <v/>
      </c>
      <c r="I24" s="130">
        <f>IFERROR(G24+H24,0)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IFERROR(MAX(N(N24)-N(O24),0),0)</f>
        <v/>
      </c>
      <c r="Q24" s="130">
        <f>IFERROR(N(O24)*GeneratorRate,0)</f>
        <v/>
      </c>
      <c r="R24" s="130">
        <f>IFERROR(N(P24)*GovernmentRate,0)</f>
        <v/>
      </c>
      <c r="S24" s="130">
        <f>IFERROR(Q24+R24,0)</f>
        <v/>
      </c>
      <c r="T24" s="130">
        <f>IFERROR(S24/M24,0)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IFERROR(MAX(N(D25)-N(E25),0),0)</f>
        <v/>
      </c>
      <c r="G25" s="130">
        <f>IFERROR(N(E25)*GeneratorRate,0)</f>
        <v/>
      </c>
      <c r="H25" s="130">
        <f>IFERROR(N(F25)*GovernmentRate,0)</f>
        <v/>
      </c>
      <c r="I25" s="130">
        <f>IFERROR(G25+H25,0)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IFERROR(MAX(N(N25)-N(O25),0),0)</f>
        <v/>
      </c>
      <c r="Q25" s="130">
        <f>IFERROR(N(O25)*GeneratorRate,0)</f>
        <v/>
      </c>
      <c r="R25" s="130">
        <f>IFERROR(N(P25)*GovernmentRate,0)</f>
        <v/>
      </c>
      <c r="S25" s="130">
        <f>IFERROR(Q25+R25,0)</f>
        <v/>
      </c>
      <c r="T25" s="130">
        <f>IFERROR(S25/M25,0)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IFERROR(MAX(N(D26)-N(E26),0),0)</f>
        <v/>
      </c>
      <c r="G26" s="130">
        <f>IFERROR(N(E26)*GeneratorRate,0)</f>
        <v/>
      </c>
      <c r="H26" s="130">
        <f>IFERROR(N(F26)*GovernmentRate,0)</f>
        <v/>
      </c>
      <c r="I26" s="130">
        <f>IFERROR(G26+H26,0)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IFERROR(MAX(N(N26)-N(O26),0),0)</f>
        <v/>
      </c>
      <c r="Q26" s="130">
        <f>IFERROR(N(O26)*GeneratorRate,0)</f>
        <v/>
      </c>
      <c r="R26" s="130">
        <f>IFERROR(N(P26)*GovernmentRate,0)</f>
        <v/>
      </c>
      <c r="S26" s="130">
        <f>IFERROR(Q26+R26,0)</f>
        <v/>
      </c>
      <c r="T26" s="130">
        <f>IFERROR(S26/M26,0)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IFERROR(MAX(N(D27)-N(E27),0),0)</f>
        <v/>
      </c>
      <c r="G27" s="130">
        <f>IFERROR(N(E27)*GeneratorRate,0)</f>
        <v/>
      </c>
      <c r="H27" s="130">
        <f>IFERROR(N(F27)*GovernmentRate,0)</f>
        <v/>
      </c>
      <c r="I27" s="130">
        <f>IFERROR(G27+H27,0)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IFERROR(MAX(N(N27)-N(O27),0),0)</f>
        <v/>
      </c>
      <c r="Q27" s="130">
        <f>IFERROR(N(O27)*GeneratorRate,0)</f>
        <v/>
      </c>
      <c r="R27" s="130">
        <f>IFERROR(N(P27)*GovernmentRate,0)</f>
        <v/>
      </c>
      <c r="S27" s="130">
        <f>IFERROR(Q27+R27,0)</f>
        <v/>
      </c>
      <c r="T27" s="130">
        <f>IFERROR(S27/M27,0)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IFERROR(MAX(N(D28)-N(E28),0),0)</f>
        <v/>
      </c>
      <c r="G28" s="130">
        <f>IFERROR(N(E28)*GeneratorRate,0)</f>
        <v/>
      </c>
      <c r="H28" s="130">
        <f>IFERROR(N(F28)*GovernmentRate,0)</f>
        <v/>
      </c>
      <c r="I28" s="130">
        <f>IFERROR(G28+H28,0)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IFERROR(MAX(N(N28)-N(O28),0),0)</f>
        <v/>
      </c>
      <c r="Q28" s="130">
        <f>IFERROR(N(O28)*GeneratorRate,0)</f>
        <v/>
      </c>
      <c r="R28" s="130">
        <f>IFERROR(N(P28)*GovernmentRate,0)</f>
        <v/>
      </c>
      <c r="S28" s="130">
        <f>IFERROR(Q28+R28,0)</f>
        <v/>
      </c>
      <c r="T28" s="130">
        <f>IFERROR(S28/M28,0)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IFERROR(MAX(N(D29)-N(E29),0),0)</f>
        <v/>
      </c>
      <c r="G29" s="130">
        <f>IFERROR(N(E29)*GeneratorRate,0)</f>
        <v/>
      </c>
      <c r="H29" s="130">
        <f>IFERROR(N(F29)*GovernmentRate,0)</f>
        <v/>
      </c>
      <c r="I29" s="130">
        <f>IFERROR(G29+H29,0)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IFERROR(MAX(N(N29)-N(O29),0),0)</f>
        <v/>
      </c>
      <c r="Q29" s="130">
        <f>IFERROR(N(O29)*GeneratorRate,0)</f>
        <v/>
      </c>
      <c r="R29" s="130">
        <f>IFERROR(N(P29)*GovernmentRate,0)</f>
        <v/>
      </c>
      <c r="S29" s="130">
        <f>IFERROR(Q29+R29,0)</f>
        <v/>
      </c>
      <c r="T29" s="130">
        <f>IFERROR(S29/M29,0)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IFERROR(MAX(N(D30)-N(E30),0),0)</f>
        <v/>
      </c>
      <c r="G30" s="130">
        <f>IFERROR(N(E30)*GeneratorRate,0)</f>
        <v/>
      </c>
      <c r="H30" s="130">
        <f>IFERROR(N(F30)*GovernmentRate,0)</f>
        <v/>
      </c>
      <c r="I30" s="130">
        <f>IFERROR(G30+H30,0)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IFERROR(MAX(N(N30)-N(O30),0),0)</f>
        <v/>
      </c>
      <c r="Q30" s="130">
        <f>IFERROR(N(O30)*GeneratorRate,0)</f>
        <v/>
      </c>
      <c r="R30" s="130">
        <f>IFERROR(N(P30)*GovernmentRate,0)</f>
        <v/>
      </c>
      <c r="S30" s="130">
        <f>IFERROR(Q30+R30,0)</f>
        <v/>
      </c>
      <c r="T30" s="130">
        <f>IFERROR(S30/M30,0)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IFERROR(MAX(N(D31)-N(E31),0),0)</f>
        <v/>
      </c>
      <c r="G31" s="130">
        <f>IFERROR(N(E31)*GeneratorRate,0)</f>
        <v/>
      </c>
      <c r="H31" s="130">
        <f>IFERROR(N(F31)*GovernmentRate,0)</f>
        <v/>
      </c>
      <c r="I31" s="130">
        <f>IFERROR(G31+H31,0)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IFERROR(MAX(N(N31)-N(O31),0),0)</f>
        <v/>
      </c>
      <c r="Q31" s="130">
        <f>IFERROR(N(O31)*GeneratorRate,0)</f>
        <v/>
      </c>
      <c r="R31" s="130">
        <f>IFERROR(N(P31)*GovernmentRate,0)</f>
        <v/>
      </c>
      <c r="S31" s="130">
        <f>IFERROR(Q31+R31,0)</f>
        <v/>
      </c>
      <c r="T31" s="130">
        <f>IFERROR(S31/M31,0)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IFERROR(MAX(N(D32)-N(E32),0),0)</f>
        <v/>
      </c>
      <c r="G32" s="130">
        <f>IFERROR(N(E32)*GeneratorRate,0)</f>
        <v/>
      </c>
      <c r="H32" s="130">
        <f>IFERROR(N(F32)*GovernmentRate,0)</f>
        <v/>
      </c>
      <c r="I32" s="130">
        <f>IFERROR(G32+H32,0)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IFERROR(MAX(N(N32)-N(O32),0),0)</f>
        <v/>
      </c>
      <c r="Q32" s="130">
        <f>IFERROR(N(O32)*GeneratorRate,0)</f>
        <v/>
      </c>
      <c r="R32" s="130">
        <f>IFERROR(N(P32)*GovernmentRate,0)</f>
        <v/>
      </c>
      <c r="S32" s="130">
        <f>IFERROR(Q32+R32,0)</f>
        <v/>
      </c>
      <c r="T32" s="130">
        <f>IFERROR(S32/M32,0)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IFERROR(MAX(N(D33)-N(E33),0),0)</f>
        <v/>
      </c>
      <c r="G33" s="130">
        <f>IFERROR(N(E33)*GeneratorRate,0)</f>
        <v/>
      </c>
      <c r="H33" s="130">
        <f>IFERROR(N(F33)*GovernmentRate,0)</f>
        <v/>
      </c>
      <c r="I33" s="130">
        <f>IFERROR(G33+H33,0)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IFERROR(MAX(N(N33)-N(O33),0),0)</f>
        <v/>
      </c>
      <c r="Q33" s="130">
        <f>IFERROR(N(O33)*GeneratorRate,0)</f>
        <v/>
      </c>
      <c r="R33" s="130">
        <f>IFERROR(N(P33)*GovernmentRate,0)</f>
        <v/>
      </c>
      <c r="S33" s="130">
        <f>IFERROR(Q33+R33,0)</f>
        <v/>
      </c>
      <c r="T33" s="130">
        <f>IFERROR(S33/M33,0)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IFERROR(MAX(N(D34)-N(E34),0),0)</f>
        <v/>
      </c>
      <c r="G34" s="130">
        <f>IFERROR(N(E34)*GeneratorRate,0)</f>
        <v/>
      </c>
      <c r="H34" s="130">
        <f>IFERROR(N(F34)*GovernmentRate,0)</f>
        <v/>
      </c>
      <c r="I34" s="130">
        <f>IFERROR(G34+H34,0)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IFERROR(MAX(N(N34)-N(O34),0),0)</f>
        <v/>
      </c>
      <c r="Q34" s="130">
        <f>IFERROR(N(O34)*GeneratorRate,0)</f>
        <v/>
      </c>
      <c r="R34" s="130">
        <f>IFERROR(N(P34)*GovernmentRate,0)</f>
        <v/>
      </c>
      <c r="S34" s="130">
        <f>IFERROR(Q34+R34,0)</f>
        <v/>
      </c>
      <c r="T34" s="130">
        <f>IFERROR(S34/M34,0)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IFERROR(MAX(N(D35)-N(E35),0),0)</f>
        <v/>
      </c>
      <c r="G35" s="130">
        <f>IFERROR(N(E35)*GeneratorRate,0)</f>
        <v/>
      </c>
      <c r="H35" s="130">
        <f>IFERROR(N(F35)*GovernmentRate,0)</f>
        <v/>
      </c>
      <c r="I35" s="130">
        <f>IFERROR(G35+H35,0)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IFERROR(MAX(N(N35)-N(O35),0),0)</f>
        <v/>
      </c>
      <c r="Q35" s="130">
        <f>IFERROR(N(O35)*GeneratorRate,0)</f>
        <v/>
      </c>
      <c r="R35" s="130">
        <f>IFERROR(N(P35)*GovernmentRate,0)</f>
        <v/>
      </c>
      <c r="S35" s="130">
        <f>IFERROR(Q35+R35,0)</f>
        <v/>
      </c>
      <c r="T35" s="130">
        <f>IFERROR(S35/M35,0)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IFERROR(MAX(N(D36)-N(E36),0),0)</f>
        <v/>
      </c>
      <c r="G36" s="130">
        <f>IFERROR(N(E36)*GeneratorRate,0)</f>
        <v/>
      </c>
      <c r="H36" s="130">
        <f>IFERROR(N(F36)*GovernmentRate,0)</f>
        <v/>
      </c>
      <c r="I36" s="130">
        <f>IFERROR(G36+H36,0)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IFERROR(MAX(N(N36)-N(O36),0),0)</f>
        <v/>
      </c>
      <c r="Q36" s="130">
        <f>IFERROR(N(O36)*GeneratorRate,0)</f>
        <v/>
      </c>
      <c r="R36" s="130">
        <f>IFERROR(N(P36)*GovernmentRate,0)</f>
        <v/>
      </c>
      <c r="S36" s="130">
        <f>IFERROR(Q36+R36,0)</f>
        <v/>
      </c>
      <c r="T36" s="130">
        <f>IFERROR(S36/M36,0)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IFERROR(MAX(N(D37)-N(E37),0),0)</f>
        <v/>
      </c>
      <c r="G37" s="130">
        <f>IFERROR(N(E37)*GeneratorRate,0)</f>
        <v/>
      </c>
      <c r="H37" s="130">
        <f>IFERROR(N(F37)*GovernmentRate,0)</f>
        <v/>
      </c>
      <c r="I37" s="130">
        <f>IFERROR(G37+H37,0)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IFERROR(MAX(N(N37)-N(O37),0),0)</f>
        <v/>
      </c>
      <c r="Q37" s="130">
        <f>IFERROR(N(O37)*GeneratorRate,0)</f>
        <v/>
      </c>
      <c r="R37" s="130">
        <f>IFERROR(N(P37)*GovernmentRate,0)</f>
        <v/>
      </c>
      <c r="S37" s="130">
        <f>IFERROR(Q37+R37,0)</f>
        <v/>
      </c>
      <c r="T37" s="130">
        <f>IFERROR(S37/M37,0)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IFERROR(MAX(N(D38)-N(E38),0),0)</f>
        <v/>
      </c>
      <c r="G38" s="130">
        <f>IFERROR(N(E38)*GeneratorRate,0)</f>
        <v/>
      </c>
      <c r="H38" s="130">
        <f>IFERROR(N(F38)*GovernmentRate,0)</f>
        <v/>
      </c>
      <c r="I38" s="130">
        <f>IFERROR(G38+H38,0)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IFERROR(MAX(N(N38)-N(O38),0),0)</f>
        <v/>
      </c>
      <c r="Q38" s="130">
        <f>IFERROR(N(O38)*GeneratorRate,0)</f>
        <v/>
      </c>
      <c r="R38" s="130">
        <f>IFERROR(N(P38)*GovernmentRate,0)</f>
        <v/>
      </c>
      <c r="S38" s="130">
        <f>IFERROR(Q38+R38,0)</f>
        <v/>
      </c>
      <c r="T38" s="130">
        <f>IFERROR(S38/M38,0)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IFERROR(MAX(N(D39)-N(E39),0),0)</f>
        <v/>
      </c>
      <c r="G39" s="130">
        <f>IFERROR(N(E39)*GeneratorRate,0)</f>
        <v/>
      </c>
      <c r="H39" s="130">
        <f>IFERROR(N(F39)*GovernmentRate,0)</f>
        <v/>
      </c>
      <c r="I39" s="130">
        <f>IFERROR(G39+H39,0)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IFERROR(MAX(N(N39)-N(O39),0),0)</f>
        <v/>
      </c>
      <c r="Q39" s="130">
        <f>IFERROR(N(O39)*GeneratorRate,0)</f>
        <v/>
      </c>
      <c r="R39" s="130">
        <f>IFERROR(N(P39)*GovernmentRate,0)</f>
        <v/>
      </c>
      <c r="S39" s="130">
        <f>IFERROR(Q39+R39,0)</f>
        <v/>
      </c>
      <c r="T39" s="130">
        <f>IFERROR(S39/M39,0)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IFERROR(MAX(N(D40)-N(E40),0),0)</f>
        <v/>
      </c>
      <c r="G40" s="130">
        <f>IFERROR(N(E40)*GeneratorRate,0)</f>
        <v/>
      </c>
      <c r="H40" s="130">
        <f>IFERROR(N(F40)*GovernmentRate,0)</f>
        <v/>
      </c>
      <c r="I40" s="130">
        <f>IFERROR(G40+H40,0)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IFERROR(MAX(N(N40)-N(O40),0),0)</f>
        <v/>
      </c>
      <c r="Q40" s="130">
        <f>IFERROR(N(O40)*GeneratorRate,0)</f>
        <v/>
      </c>
      <c r="R40" s="130">
        <f>IFERROR(N(P40)*GovernmentRate,0)</f>
        <v/>
      </c>
      <c r="S40" s="130">
        <f>IFERROR(Q40+R40,0)</f>
        <v/>
      </c>
      <c r="T40" s="130">
        <f>IFERROR(S40/M40,0)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IFERROR(MAX(N(D41)-N(E41),0),0)</f>
        <v/>
      </c>
      <c r="G41" s="130">
        <f>IFERROR(N(E41)*GeneratorRate,0)</f>
        <v/>
      </c>
      <c r="H41" s="130">
        <f>IFERROR(N(F41)*GovernmentRate,0)</f>
        <v/>
      </c>
      <c r="I41" s="130">
        <f>IFERROR(G41+H41,0)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IFERROR(MAX(N(N41)-N(O41),0),0)</f>
        <v/>
      </c>
      <c r="Q41" s="130">
        <f>IFERROR(N(O41)*GeneratorRate,0)</f>
        <v/>
      </c>
      <c r="R41" s="130">
        <f>IFERROR(N(P41)*GovernmentRate,0)</f>
        <v/>
      </c>
      <c r="S41" s="130">
        <f>IFERROR(Q41+R41,0)</f>
        <v/>
      </c>
      <c r="T41" s="130">
        <f>IFERROR(S41/M41,0)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IFERROR(MAX(N(D42)-N(E42),0),0)</f>
        <v/>
      </c>
      <c r="G42" s="130">
        <f>IFERROR(N(E42)*GeneratorRate,0)</f>
        <v/>
      </c>
      <c r="H42" s="130">
        <f>IFERROR(N(F42)*GovernmentRate,0)</f>
        <v/>
      </c>
      <c r="I42" s="130">
        <f>IFERROR(G42+H42,0)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IFERROR(MAX(N(N42)-N(O42),0),0)</f>
        <v/>
      </c>
      <c r="Q42" s="130">
        <f>IFERROR(N(O42)*GeneratorRate,0)</f>
        <v/>
      </c>
      <c r="R42" s="130">
        <f>IFERROR(N(P42)*GovernmentRate,0)</f>
        <v/>
      </c>
      <c r="S42" s="130">
        <f>IFERROR(Q42+R42,0)</f>
        <v/>
      </c>
      <c r="T42" s="130">
        <f>IFERROR(S42/M42,0)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IFERROR(MAX(N(D43)-N(E43),0),0)</f>
        <v/>
      </c>
      <c r="G43" s="130">
        <f>IFERROR(N(E43)*GeneratorRate,0)</f>
        <v/>
      </c>
      <c r="H43" s="130">
        <f>IFERROR(N(F43)*GovernmentRate,0)</f>
        <v/>
      </c>
      <c r="I43" s="130">
        <f>IFERROR(G43+H43,0)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IFERROR(MAX(N(N43)-N(O43),0),0)</f>
        <v/>
      </c>
      <c r="Q43" s="130">
        <f>IFERROR(N(O43)*GeneratorRate,0)</f>
        <v/>
      </c>
      <c r="R43" s="130">
        <f>IFERROR(N(P43)*GovernmentRate,0)</f>
        <v/>
      </c>
      <c r="S43" s="130">
        <f>IFERROR(Q43+R43,0)</f>
        <v/>
      </c>
      <c r="T43" s="130">
        <f>IFERROR(S43/M43,0)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IFERROR(MAX(N(D44)-N(E44),0),0)</f>
        <v/>
      </c>
      <c r="G44" s="130">
        <f>IFERROR(N(E44)*GeneratorRate,0)</f>
        <v/>
      </c>
      <c r="H44" s="130">
        <f>IFERROR(N(F44)*GovernmentRate,0)</f>
        <v/>
      </c>
      <c r="I44" s="130">
        <f>IFERROR(G44+H44,0)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IFERROR(MAX(N(N44)-N(O44),0),0)</f>
        <v/>
      </c>
      <c r="Q44" s="130">
        <f>IFERROR(N(O44)*GeneratorRate,0)</f>
        <v/>
      </c>
      <c r="R44" s="130">
        <f>IFERROR(N(P44)*GovernmentRate,0)</f>
        <v/>
      </c>
      <c r="S44" s="130">
        <f>IFERROR(Q44+R44,0)</f>
        <v/>
      </c>
      <c r="T44" s="130">
        <f>IFERROR(S44/M44,0)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IFERROR(MAX(N(D45)-N(E45),0),0)</f>
        <v/>
      </c>
      <c r="G45" s="130">
        <f>IFERROR(N(E45)*GeneratorRate,0)</f>
        <v/>
      </c>
      <c r="H45" s="130">
        <f>IFERROR(N(F45)*GovernmentRate,0)</f>
        <v/>
      </c>
      <c r="I45" s="130">
        <f>IFERROR(G45+H45,0)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IFERROR(MAX(N(N45)-N(O45),0),0)</f>
        <v/>
      </c>
      <c r="Q45" s="130">
        <f>IFERROR(N(O45)*GeneratorRate,0)</f>
        <v/>
      </c>
      <c r="R45" s="130">
        <f>IFERROR(N(P45)*GovernmentRate,0)</f>
        <v/>
      </c>
      <c r="S45" s="130">
        <f>IFERROR(Q45+R45,0)</f>
        <v/>
      </c>
      <c r="T45" s="130">
        <f>IFERROR(S45/M45,0)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IFERROR(MAX(N(D46)-N(E46),0),0)</f>
        <v/>
      </c>
      <c r="G46" s="130">
        <f>IFERROR(N(E46)*GeneratorRate,0)</f>
        <v/>
      </c>
      <c r="H46" s="130">
        <f>IFERROR(N(F46)*GovernmentRate,0)</f>
        <v/>
      </c>
      <c r="I46" s="130">
        <f>IFERROR(G46+H46,0)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IFERROR(MAX(N(N46)-N(O46),0),0)</f>
        <v/>
      </c>
      <c r="Q46" s="130">
        <f>IFERROR(N(O46)*GeneratorRate,0)</f>
        <v/>
      </c>
      <c r="R46" s="130">
        <f>IFERROR(N(P46)*GovernmentRate,0)</f>
        <v/>
      </c>
      <c r="S46" s="130">
        <f>IFERROR(Q46+R46,0)</f>
        <v/>
      </c>
      <c r="T46" s="130">
        <f>IFERROR(S46/M46,0)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IFERROR(MAX(N(D47)-N(E47),0),0)</f>
        <v/>
      </c>
      <c r="G47" s="130">
        <f>IFERROR(N(E47)*GeneratorRate,0)</f>
        <v/>
      </c>
      <c r="H47" s="130">
        <f>IFERROR(N(F47)*GovernmentRate,0)</f>
        <v/>
      </c>
      <c r="I47" s="130">
        <f>IFERROR(G47+H47,0)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IFERROR(MAX(N(N47)-N(O47),0),0)</f>
        <v/>
      </c>
      <c r="Q47" s="130">
        <f>IFERROR(N(O47)*GeneratorRate,0)</f>
        <v/>
      </c>
      <c r="R47" s="130">
        <f>IFERROR(N(P47)*GovernmentRate,0)</f>
        <v/>
      </c>
      <c r="S47" s="130">
        <f>IFERROR(Q47+R47,0)</f>
        <v/>
      </c>
      <c r="T47" s="130">
        <f>IFERROR(S47/M47,0)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IFERROR(MAX(N(D48)-N(E48),0),0)</f>
        <v/>
      </c>
      <c r="G48" s="130">
        <f>IFERROR(N(E48)*GeneratorRate,0)</f>
        <v/>
      </c>
      <c r="H48" s="130">
        <f>IFERROR(N(F48)*GovernmentRate,0)</f>
        <v/>
      </c>
      <c r="I48" s="130">
        <f>IFERROR(G48+H48,0)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IFERROR(MAX(N(N48)-N(O48),0),0)</f>
        <v/>
      </c>
      <c r="Q48" s="130">
        <f>IFERROR(N(O48)*GeneratorRate,0)</f>
        <v/>
      </c>
      <c r="R48" s="130">
        <f>IFERROR(N(P48)*GovernmentRate,0)</f>
        <v/>
      </c>
      <c r="S48" s="130">
        <f>IFERROR(Q48+R48,0)</f>
        <v/>
      </c>
      <c r="T48" s="130">
        <f>IFERROR(S48/M48,0)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IFERROR(MAX(N(D49)-N(E49),0),0)</f>
        <v/>
      </c>
      <c r="G49" s="130">
        <f>IFERROR(N(E49)*GeneratorRate,0)</f>
        <v/>
      </c>
      <c r="H49" s="130">
        <f>IFERROR(N(F49)*GovernmentRate,0)</f>
        <v/>
      </c>
      <c r="I49" s="130">
        <f>IFERROR(G49+H49,0)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IFERROR(MAX(N(N49)-N(O49),0),0)</f>
        <v/>
      </c>
      <c r="Q49" s="130">
        <f>IFERROR(N(O49)*GeneratorRate,0)</f>
        <v/>
      </c>
      <c r="R49" s="130">
        <f>IFERROR(N(P49)*GovernmentRate,0)</f>
        <v/>
      </c>
      <c r="S49" s="130">
        <f>IFERROR(Q49+R49,0)</f>
        <v/>
      </c>
      <c r="T49" s="130">
        <f>IFERROR(S49/M49,0)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IFERROR(MAX(N(D50)-N(E50),0),0)</f>
        <v/>
      </c>
      <c r="G50" s="130">
        <f>IFERROR(N(E50)*GeneratorRate,0)</f>
        <v/>
      </c>
      <c r="H50" s="130">
        <f>IFERROR(N(F50)*GovernmentRate,0)</f>
        <v/>
      </c>
      <c r="I50" s="130">
        <f>IFERROR(G50+H50,0)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IFERROR(MAX(N(N50)-N(O50),0),0)</f>
        <v/>
      </c>
      <c r="Q50" s="130">
        <f>IFERROR(N(O50)*GeneratorRate,0)</f>
        <v/>
      </c>
      <c r="R50" s="130">
        <f>IFERROR(N(P50)*GovernmentRate,0)</f>
        <v/>
      </c>
      <c r="S50" s="130">
        <f>IFERROR(Q50+R50,0)</f>
        <v/>
      </c>
      <c r="T50" s="130">
        <f>IFERROR(S50/M50,0)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IFERROR(MAX(N(D51)-N(E51),0),0)</f>
        <v/>
      </c>
      <c r="G51" s="130">
        <f>IFERROR(N(E51)*GeneratorRate,0)</f>
        <v/>
      </c>
      <c r="H51" s="130">
        <f>IFERROR(N(F51)*GovernmentRate,0)</f>
        <v/>
      </c>
      <c r="I51" s="130">
        <f>IFERROR(G51+H51,0)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IFERROR(MAX(N(N51)-N(O51),0),0)</f>
        <v/>
      </c>
      <c r="Q51" s="130">
        <f>IFERROR(N(O51)*GeneratorRate,0)</f>
        <v/>
      </c>
      <c r="R51" s="130">
        <f>IFERROR(N(P51)*GovernmentRate,0)</f>
        <v/>
      </c>
      <c r="S51" s="130">
        <f>IFERROR(Q51+R51,0)</f>
        <v/>
      </c>
      <c r="T51" s="130">
        <f>IFERROR(S51/M51,0)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IFERROR(MAX(N(D52)-N(E52),0),0)</f>
        <v/>
      </c>
      <c r="G52" s="130">
        <f>IFERROR(N(E52)*GeneratorRate,0)</f>
        <v/>
      </c>
      <c r="H52" s="130">
        <f>IFERROR(N(F52)*GovernmentRate,0)</f>
        <v/>
      </c>
      <c r="I52" s="130">
        <f>IFERROR(G52+H52,0)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IFERROR(MAX(N(N52)-N(O52),0),0)</f>
        <v/>
      </c>
      <c r="Q52" s="130">
        <f>IFERROR(N(O52)*GeneratorRate,0)</f>
        <v/>
      </c>
      <c r="R52" s="130">
        <f>IFERROR(N(P52)*GovernmentRate,0)</f>
        <v/>
      </c>
      <c r="S52" s="130">
        <f>IFERROR(Q52+R52,0)</f>
        <v/>
      </c>
      <c r="T52" s="130">
        <f>IFERROR(S52/M52,0)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IFERROR(MAX(N(D53)-N(E53),0),0)</f>
        <v/>
      </c>
      <c r="G53" s="130">
        <f>IFERROR(N(E53)*GeneratorRate,0)</f>
        <v/>
      </c>
      <c r="H53" s="130">
        <f>IFERROR(N(F53)*GovernmentRate,0)</f>
        <v/>
      </c>
      <c r="I53" s="130">
        <f>IFERROR(G53+H53,0)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IFERROR(MAX(N(N53)-N(O53),0),0)</f>
        <v/>
      </c>
      <c r="Q53" s="130">
        <f>IFERROR(N(O53)*GeneratorRate,0)</f>
        <v/>
      </c>
      <c r="R53" s="130">
        <f>IFERROR(N(P53)*GovernmentRate,0)</f>
        <v/>
      </c>
      <c r="S53" s="130">
        <f>IFERROR(Q53+R53,0)</f>
        <v/>
      </c>
      <c r="T53" s="130">
        <f>IFERROR(S53/M53,0)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IFERROR(MAX(N(D54)-N(E54),0),0)</f>
        <v/>
      </c>
      <c r="G54" s="130">
        <f>IFERROR(N(E54)*GeneratorRate,0)</f>
        <v/>
      </c>
      <c r="H54" s="130">
        <f>IFERROR(N(F54)*GovernmentRate,0)</f>
        <v/>
      </c>
      <c r="I54" s="130">
        <f>IFERROR(G54+H54,0)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IFERROR(MAX(N(N54)-N(O54),0),0)</f>
        <v/>
      </c>
      <c r="Q54" s="130">
        <f>IFERROR(N(O54)*GeneratorRate,0)</f>
        <v/>
      </c>
      <c r="R54" s="130">
        <f>IFERROR(N(P54)*GovernmentRate,0)</f>
        <v/>
      </c>
      <c r="S54" s="130">
        <f>IFERROR(Q54+R54,0)</f>
        <v/>
      </c>
      <c r="T54" s="130">
        <f>IFERROR(S54/M54,0)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IFERROR(MAX(N(D55)-N(E55),0),0)</f>
        <v/>
      </c>
      <c r="G55" s="130">
        <f>IFERROR(N(E55)*GeneratorRate,0)</f>
        <v/>
      </c>
      <c r="H55" s="130">
        <f>IFERROR(N(F55)*GovernmentRate,0)</f>
        <v/>
      </c>
      <c r="I55" s="130">
        <f>IFERROR(G55+H55,0)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IFERROR(MAX(N(N55)-N(O55),0),0)</f>
        <v/>
      </c>
      <c r="Q55" s="130">
        <f>IFERROR(N(O55)*GeneratorRate,0)</f>
        <v/>
      </c>
      <c r="R55" s="130">
        <f>IFERROR(N(P55)*GovernmentRate,0)</f>
        <v/>
      </c>
      <c r="S55" s="130">
        <f>IFERROR(Q55+R55,0)</f>
        <v/>
      </c>
      <c r="T55" s="130">
        <f>IFERROR(S55/M55,0)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IFERROR(MAX(N(D56)-N(E56),0),0)</f>
        <v/>
      </c>
      <c r="G56" s="130">
        <f>IFERROR(N(E56)*GeneratorRate,0)</f>
        <v/>
      </c>
      <c r="H56" s="130">
        <f>IFERROR(N(F56)*GovernmentRate,0)</f>
        <v/>
      </c>
      <c r="I56" s="130">
        <f>IFERROR(G56+H56,0)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IFERROR(MAX(N(N56)-N(O56),0),0)</f>
        <v/>
      </c>
      <c r="Q56" s="130">
        <f>IFERROR(N(O56)*GeneratorRate,0)</f>
        <v/>
      </c>
      <c r="R56" s="130">
        <f>IFERROR(N(P56)*GovernmentRate,0)</f>
        <v/>
      </c>
      <c r="S56" s="130">
        <f>IFERROR(Q56+R56,0)</f>
        <v/>
      </c>
      <c r="T56" s="130">
        <f>IFERROR(S56/M56,0)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IFERROR(MAX(N(D57)-N(E57),0),0)</f>
        <v/>
      </c>
      <c r="G57" s="130">
        <f>IFERROR(N(E57)*GeneratorRate,0)</f>
        <v/>
      </c>
      <c r="H57" s="130">
        <f>IFERROR(N(F57)*GovernmentRate,0)</f>
        <v/>
      </c>
      <c r="I57" s="130">
        <f>IFERROR(G57+H57,0)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IFERROR(MAX(N(N57)-N(O57),0),0)</f>
        <v/>
      </c>
      <c r="Q57" s="130">
        <f>IFERROR(N(O57)*GeneratorRate,0)</f>
        <v/>
      </c>
      <c r="R57" s="130">
        <f>IFERROR(N(P57)*GovernmentRate,0)</f>
        <v/>
      </c>
      <c r="S57" s="130">
        <f>IFERROR(Q57+R57,0)</f>
        <v/>
      </c>
      <c r="T57" s="130">
        <f>IFERROR(S57/M57,0)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IFERROR(MAX(N(D58)-N(E58),0),0)</f>
        <v/>
      </c>
      <c r="G58" s="130">
        <f>IFERROR(N(E58)*GeneratorRate,0)</f>
        <v/>
      </c>
      <c r="H58" s="130">
        <f>IFERROR(N(F58)*GovernmentRate,0)</f>
        <v/>
      </c>
      <c r="I58" s="130">
        <f>IFERROR(G58+H58,0)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IFERROR(MAX(N(N58)-N(O58),0),0)</f>
        <v/>
      </c>
      <c r="Q58" s="130">
        <f>IFERROR(N(O58)*GeneratorRate,0)</f>
        <v/>
      </c>
      <c r="R58" s="130">
        <f>IFERROR(N(P58)*GovernmentRate,0)</f>
        <v/>
      </c>
      <c r="S58" s="130">
        <f>IFERROR(Q58+R58,0)</f>
        <v/>
      </c>
      <c r="T58" s="130">
        <f>IFERROR(S58/M58,0)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IFERROR(MAX(N(D59)-N(E59),0),0)</f>
        <v/>
      </c>
      <c r="G59" s="130">
        <f>IFERROR(N(E59)*GeneratorRate,0)</f>
        <v/>
      </c>
      <c r="H59" s="130">
        <f>IFERROR(N(F59)*GovernmentRate,0)</f>
        <v/>
      </c>
      <c r="I59" s="130">
        <f>IFERROR(G59+H59,0)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IFERROR(MAX(N(N59)-N(O59),0),0)</f>
        <v/>
      </c>
      <c r="Q59" s="130">
        <f>IFERROR(N(O59)*GeneratorRate,0)</f>
        <v/>
      </c>
      <c r="R59" s="130">
        <f>IFERROR(N(P59)*GovernmentRate,0)</f>
        <v/>
      </c>
      <c r="S59" s="130">
        <f>IFERROR(Q59+R59,0)</f>
        <v/>
      </c>
      <c r="T59" s="130">
        <f>IFERROR(S59/M59,0)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IFERROR(MAX(N(D60)-N(E60),0),0)</f>
        <v/>
      </c>
      <c r="G60" s="130">
        <f>IFERROR(N(E60)*GeneratorRate,0)</f>
        <v/>
      </c>
      <c r="H60" s="130">
        <f>IFERROR(N(F60)*GovernmentRate,0)</f>
        <v/>
      </c>
      <c r="I60" s="130">
        <f>IFERROR(G60+H60,0)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IFERROR(MAX(N(N60)-N(O60),0),0)</f>
        <v/>
      </c>
      <c r="Q60" s="130">
        <f>IFERROR(N(O60)*GeneratorRate,0)</f>
        <v/>
      </c>
      <c r="R60" s="130">
        <f>IFERROR(N(P60)*GovernmentRate,0)</f>
        <v/>
      </c>
      <c r="S60" s="130">
        <f>IFERROR(Q60+R60,0)</f>
        <v/>
      </c>
      <c r="T60" s="130">
        <f>IFERROR(S60/M60,0)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IFERROR(MAX(N(D61)-N(E61),0),0)</f>
        <v/>
      </c>
      <c r="G61" s="130">
        <f>IFERROR(N(E61)*GeneratorRate,0)</f>
        <v/>
      </c>
      <c r="H61" s="130">
        <f>IFERROR(N(F61)*GovernmentRate,0)</f>
        <v/>
      </c>
      <c r="I61" s="130">
        <f>IFERROR(G61+H61,0)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IFERROR(MAX(N(N61)-N(O61),0),0)</f>
        <v/>
      </c>
      <c r="Q61" s="130">
        <f>IFERROR(N(O61)*GeneratorRate,0)</f>
        <v/>
      </c>
      <c r="R61" s="130">
        <f>IFERROR(N(P61)*GovernmentRate,0)</f>
        <v/>
      </c>
      <c r="S61" s="130">
        <f>IFERROR(Q61+R61,0)</f>
        <v/>
      </c>
      <c r="T61" s="130">
        <f>IFERROR(S61/M61,0)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IFERROR(MAX(N(D62)-N(E62),0),0)</f>
        <v/>
      </c>
      <c r="G62" s="130">
        <f>IFERROR(N(E62)*GeneratorRate,0)</f>
        <v/>
      </c>
      <c r="H62" s="130">
        <f>IFERROR(N(F62)*GovernmentRate,0)</f>
        <v/>
      </c>
      <c r="I62" s="130">
        <f>IFERROR(G62+H62,0)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IFERROR(MAX(N(N62)-N(O62),0),0)</f>
        <v/>
      </c>
      <c r="Q62" s="130">
        <f>IFERROR(N(O62)*GeneratorRate,0)</f>
        <v/>
      </c>
      <c r="R62" s="130">
        <f>IFERROR(N(P62)*GovernmentRate,0)</f>
        <v/>
      </c>
      <c r="S62" s="130">
        <f>IFERROR(Q62+R62,0)</f>
        <v/>
      </c>
      <c r="T62" s="130">
        <f>IFERROR(S62/M62,0)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IFERROR(MAX(N(D63)-N(E63),0),0)</f>
        <v/>
      </c>
      <c r="G63" s="130">
        <f>IFERROR(N(E63)*GeneratorRate,0)</f>
        <v/>
      </c>
      <c r="H63" s="130">
        <f>IFERROR(N(F63)*GovernmentRate,0)</f>
        <v/>
      </c>
      <c r="I63" s="130">
        <f>IFERROR(G63+H63,0)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IFERROR(MAX(N(N63)-N(O63),0),0)</f>
        <v/>
      </c>
      <c r="Q63" s="130">
        <f>IFERROR(N(O63)*GeneratorRate,0)</f>
        <v/>
      </c>
      <c r="R63" s="130">
        <f>IFERROR(N(P63)*GovernmentRate,0)</f>
        <v/>
      </c>
      <c r="S63" s="130">
        <f>IFERROR(Q63+R63,0)</f>
        <v/>
      </c>
      <c r="T63" s="130">
        <f>IFERROR(S63/M63,0)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IFERROR(MAX(N(D64)-N(E64),0),0)</f>
        <v/>
      </c>
      <c r="G64" s="130">
        <f>IFERROR(N(E64)*GeneratorRate,0)</f>
        <v/>
      </c>
      <c r="H64" s="130">
        <f>IFERROR(N(F64)*GovernmentRate,0)</f>
        <v/>
      </c>
      <c r="I64" s="130">
        <f>IFERROR(G64+H64,0)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IFERROR(MAX(N(N64)-N(O64),0),0)</f>
        <v/>
      </c>
      <c r="Q64" s="130">
        <f>IFERROR(N(O64)*GeneratorRate,0)</f>
        <v/>
      </c>
      <c r="R64" s="130">
        <f>IFERROR(N(P64)*GovernmentRate,0)</f>
        <v/>
      </c>
      <c r="S64" s="130">
        <f>IFERROR(Q64+R64,0)</f>
        <v/>
      </c>
      <c r="T64" s="130">
        <f>IFERROR(S64/M64,0)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IFERROR(MAX(N(D65)-N(E65),0),0)</f>
        <v/>
      </c>
      <c r="G65" s="130">
        <f>IFERROR(N(E65)*GeneratorRate,0)</f>
        <v/>
      </c>
      <c r="H65" s="130">
        <f>IFERROR(N(F65)*GovernmentRate,0)</f>
        <v/>
      </c>
      <c r="I65" s="130">
        <f>IFERROR(G65+H65,0)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IFERROR(MAX(N(N65)-N(O65),0),0)</f>
        <v/>
      </c>
      <c r="Q65" s="130">
        <f>IFERROR(N(O65)*GeneratorRate,0)</f>
        <v/>
      </c>
      <c r="R65" s="130">
        <f>IFERROR(N(P65)*GovernmentRate,0)</f>
        <v/>
      </c>
      <c r="S65" s="130">
        <f>IFERROR(Q65+R65,0)</f>
        <v/>
      </c>
      <c r="T65" s="130">
        <f>IFERROR(S65/M65,0)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IFERROR(MAX(N(D66)-N(E66),0),0)</f>
        <v/>
      </c>
      <c r="G66" s="130">
        <f>IFERROR(N(E66)*GeneratorRate,0)</f>
        <v/>
      </c>
      <c r="H66" s="130">
        <f>IFERROR(N(F66)*GovernmentRate,0)</f>
        <v/>
      </c>
      <c r="I66" s="130">
        <f>IFERROR(G66+H66,0)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IFERROR(MAX(N(N66)-N(O66),0),0)</f>
        <v/>
      </c>
      <c r="Q66" s="130">
        <f>IFERROR(N(O66)*GeneratorRate,0)</f>
        <v/>
      </c>
      <c r="R66" s="130">
        <f>IFERROR(N(P66)*GovernmentRate,0)</f>
        <v/>
      </c>
      <c r="S66" s="130">
        <f>IFERROR(Q66+R66,0)</f>
        <v/>
      </c>
      <c r="T66" s="130">
        <f>IFERROR(S66/M66,0)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IFERROR(MAX(N(D67)-N(E67),0),0)</f>
        <v/>
      </c>
      <c r="G67" s="130">
        <f>IFERROR(N(E67)*GeneratorRate,0)</f>
        <v/>
      </c>
      <c r="H67" s="130">
        <f>IFERROR(N(F67)*GovernmentRate,0)</f>
        <v/>
      </c>
      <c r="I67" s="130">
        <f>IFERROR(G67+H67,0)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IFERROR(MAX(N(N67)-N(O67),0),0)</f>
        <v/>
      </c>
      <c r="Q67" s="130">
        <f>IFERROR(N(O67)*GeneratorRate,0)</f>
        <v/>
      </c>
      <c r="R67" s="130">
        <f>IFERROR(N(P67)*GovernmentRate,0)</f>
        <v/>
      </c>
      <c r="S67" s="130">
        <f>IFERROR(Q67+R67,0)</f>
        <v/>
      </c>
      <c r="T67" s="130">
        <f>IFERROR(S67/M67,0)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IFERROR(MAX(N(D68)-N(E68),0),0)</f>
        <v/>
      </c>
      <c r="G68" s="130">
        <f>IFERROR(N(E68)*GeneratorRate,0)</f>
        <v/>
      </c>
      <c r="H68" s="130">
        <f>IFERROR(N(F68)*GovernmentRate,0)</f>
        <v/>
      </c>
      <c r="I68" s="130">
        <f>IFERROR(G68+H68,0)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IFERROR(MAX(N(N68)-N(O68),0),0)</f>
        <v/>
      </c>
      <c r="Q68" s="130">
        <f>IFERROR(N(O68)*GeneratorRate,0)</f>
        <v/>
      </c>
      <c r="R68" s="130">
        <f>IFERROR(N(P68)*GovernmentRate,0)</f>
        <v/>
      </c>
      <c r="S68" s="130">
        <f>IFERROR(Q68+R68,0)</f>
        <v/>
      </c>
      <c r="T68" s="130">
        <f>IFERROR(S68/M68,0)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IFERROR(MAX(N(D69)-N(E69),0),0)</f>
        <v/>
      </c>
      <c r="G69" s="130">
        <f>IFERROR(N(E69)*GeneratorRate,0)</f>
        <v/>
      </c>
      <c r="H69" s="130">
        <f>IFERROR(N(F69)*GovernmentRate,0)</f>
        <v/>
      </c>
      <c r="I69" s="130">
        <f>IFERROR(G69+H69,0)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IFERROR(MAX(N(N69)-N(O69),0),0)</f>
        <v/>
      </c>
      <c r="Q69" s="130">
        <f>IFERROR(N(O69)*GeneratorRate,0)</f>
        <v/>
      </c>
      <c r="R69" s="130">
        <f>IFERROR(N(P69)*GovernmentRate,0)</f>
        <v/>
      </c>
      <c r="S69" s="130">
        <f>IFERROR(Q69+R69,0)</f>
        <v/>
      </c>
      <c r="T69" s="130">
        <f>IFERROR(S69/M69,0)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IFERROR(MAX(N(D70)-N(E70),0),0)</f>
        <v/>
      </c>
      <c r="G70" s="130">
        <f>IFERROR(N(E70)*GeneratorRate,0)</f>
        <v/>
      </c>
      <c r="H70" s="130">
        <f>IFERROR(N(F70)*GovernmentRate,0)</f>
        <v/>
      </c>
      <c r="I70" s="130">
        <f>IFERROR(G70+H70,0)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IFERROR(MAX(N(N70)-N(O70),0),0)</f>
        <v/>
      </c>
      <c r="Q70" s="130">
        <f>IFERROR(N(O70)*GeneratorRate,0)</f>
        <v/>
      </c>
      <c r="R70" s="130">
        <f>IFERROR(N(P70)*GovernmentRate,0)</f>
        <v/>
      </c>
      <c r="S70" s="130">
        <f>IFERROR(Q70+R70,0)</f>
        <v/>
      </c>
      <c r="T70" s="130">
        <f>IFERROR(S70/M70,0)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IFERROR(MAX(N(D71)-N(E71),0),0)</f>
        <v/>
      </c>
      <c r="G71" s="130">
        <f>IFERROR(N(E71)*GeneratorRate,0)</f>
        <v/>
      </c>
      <c r="H71" s="130">
        <f>IFERROR(N(F71)*GovernmentRate,0)</f>
        <v/>
      </c>
      <c r="I71" s="130">
        <f>IFERROR(G71+H71,0)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IFERROR(MAX(N(N71)-N(O71),0),0)</f>
        <v/>
      </c>
      <c r="Q71" s="130">
        <f>IFERROR(N(O71)*GeneratorRate,0)</f>
        <v/>
      </c>
      <c r="R71" s="130">
        <f>IFERROR(N(P71)*GovernmentRate,0)</f>
        <v/>
      </c>
      <c r="S71" s="130">
        <f>IFERROR(Q71+R71,0)</f>
        <v/>
      </c>
      <c r="T71" s="130">
        <f>IFERROR(S71/M71,0)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IFERROR(MAX(N(D72)-N(E72),0),0)</f>
        <v/>
      </c>
      <c r="G72" s="130">
        <f>IFERROR(N(E72)*GeneratorRate,0)</f>
        <v/>
      </c>
      <c r="H72" s="130">
        <f>IFERROR(N(F72)*GovernmentRate,0)</f>
        <v/>
      </c>
      <c r="I72" s="130">
        <f>IFERROR(G72+H72,0)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IFERROR(MAX(N(N72)-N(O72),0),0)</f>
        <v/>
      </c>
      <c r="Q72" s="130">
        <f>IFERROR(N(O72)*GeneratorRate,0)</f>
        <v/>
      </c>
      <c r="R72" s="130">
        <f>IFERROR(N(P72)*GovernmentRate,0)</f>
        <v/>
      </c>
      <c r="S72" s="130">
        <f>IFERROR(Q72+R72,0)</f>
        <v/>
      </c>
      <c r="T72" s="130">
        <f>IFERROR(S72/M72,0)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IFERROR(MAX(N(D73)-N(E73),0),0)</f>
        <v/>
      </c>
      <c r="G73" s="130">
        <f>IFERROR(N(E73)*GeneratorRate,0)</f>
        <v/>
      </c>
      <c r="H73" s="130">
        <f>IFERROR(N(F73)*GovernmentRate,0)</f>
        <v/>
      </c>
      <c r="I73" s="130">
        <f>IFERROR(G73+H73,0)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IFERROR(MAX(N(N73)-N(O73),0),0)</f>
        <v/>
      </c>
      <c r="Q73" s="130">
        <f>IFERROR(N(O73)*GeneratorRate,0)</f>
        <v/>
      </c>
      <c r="R73" s="130">
        <f>IFERROR(N(P73)*GovernmentRate,0)</f>
        <v/>
      </c>
      <c r="S73" s="130">
        <f>IFERROR(Q73+R73,0)</f>
        <v/>
      </c>
      <c r="T73" s="130">
        <f>IFERROR(S73/M73,0)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IFERROR(MAX(N(D74)-N(E74),0),0)</f>
        <v/>
      </c>
      <c r="G74" s="130">
        <f>IFERROR(N(E74)*GeneratorRate,0)</f>
        <v/>
      </c>
      <c r="H74" s="130">
        <f>IFERROR(N(F74)*GovernmentRate,0)</f>
        <v/>
      </c>
      <c r="I74" s="130">
        <f>IFERROR(G74+H74,0)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IFERROR(MAX(N(N74)-N(O74),0),0)</f>
        <v/>
      </c>
      <c r="Q74" s="130">
        <f>IFERROR(N(O74)*GeneratorRate,0)</f>
        <v/>
      </c>
      <c r="R74" s="130">
        <f>IFERROR(N(P74)*GovernmentRate,0)</f>
        <v/>
      </c>
      <c r="S74" s="130">
        <f>IFERROR(Q74+R74,0)</f>
        <v/>
      </c>
      <c r="T74" s="130">
        <f>IFERROR(S74/M74,0)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IFERROR(MAX(N(D75)-N(E75),0),0)</f>
        <v/>
      </c>
      <c r="G75" s="130">
        <f>IFERROR(N(E75)*GeneratorRate,0)</f>
        <v/>
      </c>
      <c r="H75" s="130">
        <f>IFERROR(N(F75)*GovernmentRate,0)</f>
        <v/>
      </c>
      <c r="I75" s="130">
        <f>IFERROR(G75+H75,0)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IFERROR(MAX(N(N75)-N(O75),0),0)</f>
        <v/>
      </c>
      <c r="Q75" s="130">
        <f>IFERROR(N(O75)*GeneratorRate,0)</f>
        <v/>
      </c>
      <c r="R75" s="130">
        <f>IFERROR(N(P75)*GovernmentRate,0)</f>
        <v/>
      </c>
      <c r="S75" s="130">
        <f>IFERROR(Q75+R75,0)</f>
        <v/>
      </c>
      <c r="T75" s="130">
        <f>IFERROR(S75/M75,0)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IFERROR(MAX(N(D76)-N(E76),0),0)</f>
        <v/>
      </c>
      <c r="G76" s="130">
        <f>IFERROR(N(E76)*GeneratorRate,0)</f>
        <v/>
      </c>
      <c r="H76" s="130">
        <f>IFERROR(N(F76)*GovernmentRate,0)</f>
        <v/>
      </c>
      <c r="I76" s="130">
        <f>IFERROR(G76+H76,0)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IFERROR(MAX(N(N76)-N(O76),0),0)</f>
        <v/>
      </c>
      <c r="Q76" s="130">
        <f>IFERROR(N(O76)*GeneratorRate,0)</f>
        <v/>
      </c>
      <c r="R76" s="130">
        <f>IFERROR(N(P76)*GovernmentRate,0)</f>
        <v/>
      </c>
      <c r="S76" s="130">
        <f>IFERROR(Q76+R76,0)</f>
        <v/>
      </c>
      <c r="T76" s="130">
        <f>IFERROR(S76/M76,0)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IFERROR(MAX(N(D77)-N(E77),0),0)</f>
        <v/>
      </c>
      <c r="G77" s="130">
        <f>IFERROR(N(E77)*GeneratorRate,0)</f>
        <v/>
      </c>
      <c r="H77" s="130">
        <f>IFERROR(N(F77)*GovernmentRate,0)</f>
        <v/>
      </c>
      <c r="I77" s="130">
        <f>IFERROR(G77+H77,0)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IFERROR(MAX(N(N77)-N(O77),0),0)</f>
        <v/>
      </c>
      <c r="Q77" s="130">
        <f>IFERROR(N(O77)*GeneratorRate,0)</f>
        <v/>
      </c>
      <c r="R77" s="130">
        <f>IFERROR(N(P77)*GovernmentRate,0)</f>
        <v/>
      </c>
      <c r="S77" s="130">
        <f>IFERROR(Q77+R77,0)</f>
        <v/>
      </c>
      <c r="T77" s="130">
        <f>IFERROR(S77/M77,0)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IFERROR(MAX(N(D78)-N(E78),0),0)</f>
        <v/>
      </c>
      <c r="G78" s="130">
        <f>IFERROR(N(E78)*GeneratorRate,0)</f>
        <v/>
      </c>
      <c r="H78" s="130">
        <f>IFERROR(N(F78)*GovernmentRate,0)</f>
        <v/>
      </c>
      <c r="I78" s="130">
        <f>IFERROR(G78+H78,0)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IFERROR(MAX(N(N78)-N(O78),0),0)</f>
        <v/>
      </c>
      <c r="Q78" s="130">
        <f>IFERROR(N(O78)*GeneratorRate,0)</f>
        <v/>
      </c>
      <c r="R78" s="130">
        <f>IFERROR(N(P78)*GovernmentRate,0)</f>
        <v/>
      </c>
      <c r="S78" s="130">
        <f>IFERROR(Q78+R78,0)</f>
        <v/>
      </c>
      <c r="T78" s="130">
        <f>IFERROR(S78/M78,0)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IFERROR(MAX(N(D79)-N(E79),0),0)</f>
        <v/>
      </c>
      <c r="G79" s="130">
        <f>IFERROR(N(E79)*GeneratorRate,0)</f>
        <v/>
      </c>
      <c r="H79" s="130">
        <f>IFERROR(N(F79)*GovernmentRate,0)</f>
        <v/>
      </c>
      <c r="I79" s="130">
        <f>IFERROR(G79+H79,0)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IFERROR(MAX(N(N79)-N(O79),0),0)</f>
        <v/>
      </c>
      <c r="Q79" s="130">
        <f>IFERROR(N(O79)*GeneratorRate,0)</f>
        <v/>
      </c>
      <c r="R79" s="130">
        <f>IFERROR(N(P79)*GovernmentRate,0)</f>
        <v/>
      </c>
      <c r="S79" s="130">
        <f>IFERROR(Q79+R79,0)</f>
        <v/>
      </c>
      <c r="T79" s="130">
        <f>IFERROR(S79/M79,0)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IFERROR(MAX(N(D80)-N(E80),0),0)</f>
        <v/>
      </c>
      <c r="G80" s="130">
        <f>IFERROR(N(E80)*GeneratorRate,0)</f>
        <v/>
      </c>
      <c r="H80" s="130">
        <f>IFERROR(N(F80)*GovernmentRate,0)</f>
        <v/>
      </c>
      <c r="I80" s="130">
        <f>IFERROR(G80+H80,0)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IFERROR(MAX(N(N80)-N(O80),0),0)</f>
        <v/>
      </c>
      <c r="Q80" s="130">
        <f>IFERROR(N(O80)*GeneratorRate,0)</f>
        <v/>
      </c>
      <c r="R80" s="130">
        <f>IFERROR(N(P80)*GovernmentRate,0)</f>
        <v/>
      </c>
      <c r="S80" s="130">
        <f>IFERROR(Q80+R80,0)</f>
        <v/>
      </c>
      <c r="T80" s="130">
        <f>IFERROR(S80/M80,0)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IFERROR(MAX(N(D81)-N(E81),0),0)</f>
        <v/>
      </c>
      <c r="G81" s="130">
        <f>IFERROR(N(E81)*GeneratorRate,0)</f>
        <v/>
      </c>
      <c r="H81" s="130">
        <f>IFERROR(N(F81)*GovernmentRate,0)</f>
        <v/>
      </c>
      <c r="I81" s="130">
        <f>IFERROR(G81+H81,0)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IFERROR(MAX(N(N81)-N(O81),0),0)</f>
        <v/>
      </c>
      <c r="Q81" s="130">
        <f>IFERROR(N(O81)*GeneratorRate,0)</f>
        <v/>
      </c>
      <c r="R81" s="130">
        <f>IFERROR(N(P81)*GovernmentRate,0)</f>
        <v/>
      </c>
      <c r="S81" s="130">
        <f>IFERROR(Q81+R81,0)</f>
        <v/>
      </c>
      <c r="T81" s="130">
        <f>IFERROR(S81/M81,0)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IFERROR(MAX(N(D82)-N(E82),0),0)</f>
        <v/>
      </c>
      <c r="G82" s="130">
        <f>IFERROR(N(E82)*GeneratorRate,0)</f>
        <v/>
      </c>
      <c r="H82" s="130">
        <f>IFERROR(N(F82)*GovernmentRate,0)</f>
        <v/>
      </c>
      <c r="I82" s="130">
        <f>IFERROR(G82+H82,0)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IFERROR(MAX(N(N82)-N(O82),0),0)</f>
        <v/>
      </c>
      <c r="Q82" s="130">
        <f>IFERROR(N(O82)*GeneratorRate,0)</f>
        <v/>
      </c>
      <c r="R82" s="130">
        <f>IFERROR(N(P82)*GovernmentRate,0)</f>
        <v/>
      </c>
      <c r="S82" s="130">
        <f>IFERROR(Q82+R82,0)</f>
        <v/>
      </c>
      <c r="T82" s="130">
        <f>IFERROR(S82/M82,0)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IFERROR(MAX(N(D83)-N(E83),0),0)</f>
        <v/>
      </c>
      <c r="G83" s="130">
        <f>IFERROR(N(E83)*GeneratorRate,0)</f>
        <v/>
      </c>
      <c r="H83" s="130">
        <f>IFERROR(N(F83)*GovernmentRate,0)</f>
        <v/>
      </c>
      <c r="I83" s="130">
        <f>IFERROR(G83+H83,0)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IFERROR(MAX(N(N83)-N(O83),0),0)</f>
        <v/>
      </c>
      <c r="Q83" s="130">
        <f>IFERROR(N(O83)*GeneratorRate,0)</f>
        <v/>
      </c>
      <c r="R83" s="130">
        <f>IFERROR(N(P83)*GovernmentRate,0)</f>
        <v/>
      </c>
      <c r="S83" s="130">
        <f>IFERROR(Q83+R83,0)</f>
        <v/>
      </c>
      <c r="T83" s="130">
        <f>IFERROR(S83/M83,0)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IFERROR(MAX(N(D84)-N(E84),0),0)</f>
        <v/>
      </c>
      <c r="G84" s="130">
        <f>IFERROR(N(E84)*GeneratorRate,0)</f>
        <v/>
      </c>
      <c r="H84" s="130">
        <f>IFERROR(N(F84)*GovernmentRate,0)</f>
        <v/>
      </c>
      <c r="I84" s="130">
        <f>IFERROR(G84+H84,0)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IFERROR(MAX(N(N84)-N(O84),0),0)</f>
        <v/>
      </c>
      <c r="Q84" s="130">
        <f>IFERROR(N(O84)*GeneratorRate,0)</f>
        <v/>
      </c>
      <c r="R84" s="130">
        <f>IFERROR(N(P84)*GovernmentRate,0)</f>
        <v/>
      </c>
      <c r="S84" s="130">
        <f>IFERROR(Q84+R84,0)</f>
        <v/>
      </c>
      <c r="T84" s="130">
        <f>IFERROR(S84/M84,0)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IFERROR(MAX(N(D85)-N(E85),0),0)</f>
        <v/>
      </c>
      <c r="G85" s="130">
        <f>IFERROR(N(E85)*GeneratorRate,0)</f>
        <v/>
      </c>
      <c r="H85" s="130">
        <f>IFERROR(N(F85)*GovernmentRate,0)</f>
        <v/>
      </c>
      <c r="I85" s="130">
        <f>IFERROR(G85+H85,0)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IFERROR(MAX(N(N85)-N(O85),0),0)</f>
        <v/>
      </c>
      <c r="Q85" s="130">
        <f>IFERROR(N(O85)*GeneratorRate,0)</f>
        <v/>
      </c>
      <c r="R85" s="130">
        <f>IFERROR(N(P85)*GovernmentRate,0)</f>
        <v/>
      </c>
      <c r="S85" s="130">
        <f>IFERROR(Q85+R85,0)</f>
        <v/>
      </c>
      <c r="T85" s="130">
        <f>IFERROR(S85/M85,0)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IFERROR(MAX(N(D86)-N(E86),0),0)</f>
        <v/>
      </c>
      <c r="G86" s="130">
        <f>IFERROR(N(E86)*GeneratorRate,0)</f>
        <v/>
      </c>
      <c r="H86" s="130">
        <f>IFERROR(N(F86)*GovernmentRate,0)</f>
        <v/>
      </c>
      <c r="I86" s="130">
        <f>IFERROR(G86+H86,0)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IFERROR(MAX(N(N86)-N(O86),0),0)</f>
        <v/>
      </c>
      <c r="Q86" s="130">
        <f>IFERROR(N(O86)*GeneratorRate,0)</f>
        <v/>
      </c>
      <c r="R86" s="130">
        <f>IFERROR(N(P86)*GovernmentRate,0)</f>
        <v/>
      </c>
      <c r="S86" s="130">
        <f>IFERROR(Q86+R86,0)</f>
        <v/>
      </c>
      <c r="T86" s="130">
        <f>IFERROR(S86/M86,0)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IFERROR(MAX(N(D87)-N(E87),0),0)</f>
        <v/>
      </c>
      <c r="G87" s="130">
        <f>IFERROR(N(E87)*GeneratorRate,0)</f>
        <v/>
      </c>
      <c r="H87" s="130">
        <f>IFERROR(N(F87)*GovernmentRate,0)</f>
        <v/>
      </c>
      <c r="I87" s="130">
        <f>IFERROR(G87+H87,0)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IFERROR(MAX(N(N87)-N(O87),0),0)</f>
        <v/>
      </c>
      <c r="Q87" s="130">
        <f>IFERROR(N(O87)*GeneratorRate,0)</f>
        <v/>
      </c>
      <c r="R87" s="130">
        <f>IFERROR(N(P87)*GovernmentRate,0)</f>
        <v/>
      </c>
      <c r="S87" s="130">
        <f>IFERROR(Q87+R87,0)</f>
        <v/>
      </c>
      <c r="T87" s="130">
        <f>IFERROR(S87/M87,0)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IFERROR(MAX(N(D88)-N(E88),0),0)</f>
        <v/>
      </c>
      <c r="G88" s="130">
        <f>IFERROR(N(E88)*GeneratorRate,0)</f>
        <v/>
      </c>
      <c r="H88" s="130">
        <f>IFERROR(N(F88)*GovernmentRate,0)</f>
        <v/>
      </c>
      <c r="I88" s="130">
        <f>IFERROR(G88+H88,0)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IFERROR(MAX(N(N88)-N(O88),0),0)</f>
        <v/>
      </c>
      <c r="Q88" s="130">
        <f>IFERROR(N(O88)*GeneratorRate,0)</f>
        <v/>
      </c>
      <c r="R88" s="130">
        <f>IFERROR(N(P88)*GovernmentRate,0)</f>
        <v/>
      </c>
      <c r="S88" s="130">
        <f>IFERROR(Q88+R88,0)</f>
        <v/>
      </c>
      <c r="T88" s="130">
        <f>IFERROR(S88/M88,0)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IFERROR(MAX(N(D89)-N(E89),0),0)</f>
        <v/>
      </c>
      <c r="G89" s="130">
        <f>IFERROR(N(E89)*GeneratorRate,0)</f>
        <v/>
      </c>
      <c r="H89" s="130">
        <f>IFERROR(N(F89)*GovernmentRate,0)</f>
        <v/>
      </c>
      <c r="I89" s="130">
        <f>IFERROR(G89+H89,0)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IFERROR(MAX(N(N89)-N(O89),0),0)</f>
        <v/>
      </c>
      <c r="Q89" s="130">
        <f>IFERROR(N(O89)*GeneratorRate,0)</f>
        <v/>
      </c>
      <c r="R89" s="130">
        <f>IFERROR(N(P89)*GovernmentRate,0)</f>
        <v/>
      </c>
      <c r="S89" s="130">
        <f>IFERROR(Q89+R89,0)</f>
        <v/>
      </c>
      <c r="T89" s="130">
        <f>IFERROR(S89/M89,0)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IFERROR(MAX(N(D90)-N(E90),0),0)</f>
        <v/>
      </c>
      <c r="G90" s="130">
        <f>IFERROR(N(E90)*GeneratorRate,0)</f>
        <v/>
      </c>
      <c r="H90" s="130">
        <f>IFERROR(N(F90)*GovernmentRate,0)</f>
        <v/>
      </c>
      <c r="I90" s="130">
        <f>IFERROR(G90+H90,0)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IFERROR(MAX(N(N90)-N(O90),0),0)</f>
        <v/>
      </c>
      <c r="Q90" s="130">
        <f>IFERROR(N(O90)*GeneratorRate,0)</f>
        <v/>
      </c>
      <c r="R90" s="130">
        <f>IFERROR(N(P90)*GovernmentRate,0)</f>
        <v/>
      </c>
      <c r="S90" s="130">
        <f>IFERROR(Q90+R90,0)</f>
        <v/>
      </c>
      <c r="T90" s="130">
        <f>IFERROR(S90/M90,0)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IFERROR(MAX(N(D91)-N(E91),0),0)</f>
        <v/>
      </c>
      <c r="G91" s="130">
        <f>IFERROR(N(E91)*GeneratorRate,0)</f>
        <v/>
      </c>
      <c r="H91" s="130">
        <f>IFERROR(N(F91)*GovernmentRate,0)</f>
        <v/>
      </c>
      <c r="I91" s="130">
        <f>IFERROR(G91+H91,0)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IFERROR(MAX(N(N91)-N(O91),0),0)</f>
        <v/>
      </c>
      <c r="Q91" s="130">
        <f>IFERROR(N(O91)*GeneratorRate,0)</f>
        <v/>
      </c>
      <c r="R91" s="130">
        <f>IFERROR(N(P91)*GovernmentRate,0)</f>
        <v/>
      </c>
      <c r="S91" s="130">
        <f>IFERROR(Q91+R91,0)</f>
        <v/>
      </c>
      <c r="T91" s="130">
        <f>IFERROR(S91/M91,0)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IFERROR(MAX(N(D92)-N(E92),0),0)</f>
        <v/>
      </c>
      <c r="G92" s="130">
        <f>IFERROR(N(E92)*GeneratorRate,0)</f>
        <v/>
      </c>
      <c r="H92" s="130">
        <f>IFERROR(N(F92)*GovernmentRate,0)</f>
        <v/>
      </c>
      <c r="I92" s="130">
        <f>IFERROR(G92+H92,0)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IFERROR(MAX(N(N92)-N(O92),0),0)</f>
        <v/>
      </c>
      <c r="Q92" s="130">
        <f>IFERROR(N(O92)*GeneratorRate,0)</f>
        <v/>
      </c>
      <c r="R92" s="130">
        <f>IFERROR(N(P92)*GovernmentRate,0)</f>
        <v/>
      </c>
      <c r="S92" s="130">
        <f>IFERROR(Q92+R92,0)</f>
        <v/>
      </c>
      <c r="T92" s="130">
        <f>IFERROR(S92/M92,0)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IFERROR(MAX(N(D93)-N(E93),0),0)</f>
        <v/>
      </c>
      <c r="G93" s="130">
        <f>IFERROR(N(E93)*GeneratorRate,0)</f>
        <v/>
      </c>
      <c r="H93" s="130">
        <f>IFERROR(N(F93)*GovernmentRate,0)</f>
        <v/>
      </c>
      <c r="I93" s="130">
        <f>IFERROR(G93+H93,0)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IFERROR(MAX(N(N93)-N(O93),0),0)</f>
        <v/>
      </c>
      <c r="Q93" s="130">
        <f>IFERROR(N(O93)*GeneratorRate,0)</f>
        <v/>
      </c>
      <c r="R93" s="130">
        <f>IFERROR(N(P93)*GovernmentRate,0)</f>
        <v/>
      </c>
      <c r="S93" s="130">
        <f>IFERROR(Q93+R93,0)</f>
        <v/>
      </c>
      <c r="T93" s="130">
        <f>IFERROR(S93/M93,0)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IFERROR(MAX(N(D94)-N(E94),0),0)</f>
        <v/>
      </c>
      <c r="G94" s="130">
        <f>IFERROR(N(E94)*GeneratorRate,0)</f>
        <v/>
      </c>
      <c r="H94" s="130">
        <f>IFERROR(N(F94)*GovernmentRate,0)</f>
        <v/>
      </c>
      <c r="I94" s="130">
        <f>IFERROR(G94+H94,0)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IFERROR(MAX(N(N94)-N(O94),0),0)</f>
        <v/>
      </c>
      <c r="Q94" s="130">
        <f>IFERROR(N(O94)*GeneratorRate,0)</f>
        <v/>
      </c>
      <c r="R94" s="130">
        <f>IFERROR(N(P94)*GovernmentRate,0)</f>
        <v/>
      </c>
      <c r="S94" s="130">
        <f>IFERROR(Q94+R94,0)</f>
        <v/>
      </c>
      <c r="T94" s="130">
        <f>IFERROR(S94/M94,0)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IFERROR(MAX(N(D95)-N(E95),0),0)</f>
        <v/>
      </c>
      <c r="G95" s="130">
        <f>IFERROR(N(E95)*GeneratorRate,0)</f>
        <v/>
      </c>
      <c r="H95" s="130">
        <f>IFERROR(N(F95)*GovernmentRate,0)</f>
        <v/>
      </c>
      <c r="I95" s="130">
        <f>IFERROR(G95+H95,0)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IFERROR(MAX(N(N95)-N(O95),0),0)</f>
        <v/>
      </c>
      <c r="Q95" s="130">
        <f>IFERROR(N(O95)*GeneratorRate,0)</f>
        <v/>
      </c>
      <c r="R95" s="130">
        <f>IFERROR(N(P95)*GovernmentRate,0)</f>
        <v/>
      </c>
      <c r="S95" s="130">
        <f>IFERROR(Q95+R95,0)</f>
        <v/>
      </c>
      <c r="T95" s="130">
        <f>IFERROR(S95/M95,0)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IFERROR(MAX(N(D96)-N(E96),0),0)</f>
        <v/>
      </c>
      <c r="G96" s="130">
        <f>IFERROR(N(E96)*GeneratorRate,0)</f>
        <v/>
      </c>
      <c r="H96" s="130">
        <f>IFERROR(N(F96)*GovernmentRate,0)</f>
        <v/>
      </c>
      <c r="I96" s="130">
        <f>IFERROR(G96+H96,0)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IFERROR(MAX(N(N96)-N(O96),0),0)</f>
        <v/>
      </c>
      <c r="Q96" s="130">
        <f>IFERROR(N(O96)*GeneratorRate,0)</f>
        <v/>
      </c>
      <c r="R96" s="130">
        <f>IFERROR(N(P96)*GovernmentRate,0)</f>
        <v/>
      </c>
      <c r="S96" s="130">
        <f>IFERROR(Q96+R96,0)</f>
        <v/>
      </c>
      <c r="T96" s="130">
        <f>IFERROR(S96/M96,0)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IFERROR(MAX(N(D97)-N(E97),0),0)</f>
        <v/>
      </c>
      <c r="G97" s="130">
        <f>IFERROR(N(E97)*GeneratorRate,0)</f>
        <v/>
      </c>
      <c r="H97" s="130">
        <f>IFERROR(N(F97)*GovernmentRate,0)</f>
        <v/>
      </c>
      <c r="I97" s="130">
        <f>IFERROR(G97+H97,0)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IFERROR(MAX(N(N97)-N(O97),0),0)</f>
        <v/>
      </c>
      <c r="Q97" s="130">
        <f>IFERROR(N(O97)*GeneratorRate,0)</f>
        <v/>
      </c>
      <c r="R97" s="130">
        <f>IFERROR(N(P97)*GovernmentRate,0)</f>
        <v/>
      </c>
      <c r="S97" s="130">
        <f>IFERROR(Q97+R97,0)</f>
        <v/>
      </c>
      <c r="T97" s="130">
        <f>IFERROR(S97/M97,0)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IFERROR(MAX(N(D98)-N(E98),0),0)</f>
        <v/>
      </c>
      <c r="G98" s="130">
        <f>IFERROR(N(E98)*GeneratorRate,0)</f>
        <v/>
      </c>
      <c r="H98" s="130">
        <f>IFERROR(N(F98)*GovernmentRate,0)</f>
        <v/>
      </c>
      <c r="I98" s="130">
        <f>IFERROR(G98+H98,0)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IFERROR(MAX(N(N98)-N(O98),0),0)</f>
        <v/>
      </c>
      <c r="Q98" s="130">
        <f>IFERROR(N(O98)*GeneratorRate,0)</f>
        <v/>
      </c>
      <c r="R98" s="130">
        <f>IFERROR(N(P98)*GovernmentRate,0)</f>
        <v/>
      </c>
      <c r="S98" s="130">
        <f>IFERROR(Q98+R98,0)</f>
        <v/>
      </c>
      <c r="T98" s="130">
        <f>IFERROR(S98/M98,0)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IFERROR(MAX(N(D99)-N(E99),0),0)</f>
        <v/>
      </c>
      <c r="G99" s="130">
        <f>IFERROR(N(E99)*GeneratorRate,0)</f>
        <v/>
      </c>
      <c r="H99" s="130">
        <f>IFERROR(N(F99)*GovernmentRate,0)</f>
        <v/>
      </c>
      <c r="I99" s="130">
        <f>IFERROR(G99+H99,0)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IFERROR(MAX(N(N99)-N(O99),0),0)</f>
        <v/>
      </c>
      <c r="Q99" s="130">
        <f>IFERROR(N(O99)*GeneratorRate,0)</f>
        <v/>
      </c>
      <c r="R99" s="130">
        <f>IFERROR(N(P99)*GovernmentRate,0)</f>
        <v/>
      </c>
      <c r="S99" s="130">
        <f>IFERROR(Q99+R99,0)</f>
        <v/>
      </c>
      <c r="T99" s="130">
        <f>IFERROR(S99/M99,0)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IFERROR(MAX(N(D100)-N(E100),0),0)</f>
        <v/>
      </c>
      <c r="G100" s="130">
        <f>IFERROR(N(E100)*GeneratorRate,0)</f>
        <v/>
      </c>
      <c r="H100" s="130">
        <f>IFERROR(N(F100)*GovernmentRate,0)</f>
        <v/>
      </c>
      <c r="I100" s="130">
        <f>IFERROR(G100+H100,0)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IFERROR(MAX(N(N100)-N(O100),0),0)</f>
        <v/>
      </c>
      <c r="Q100" s="130">
        <f>IFERROR(N(O100)*GeneratorRate,0)</f>
        <v/>
      </c>
      <c r="R100" s="130">
        <f>IFERROR(N(P100)*GovernmentRate,0)</f>
        <v/>
      </c>
      <c r="S100" s="130">
        <f>IFERROR(Q100+R100,0)</f>
        <v/>
      </c>
      <c r="T100" s="130">
        <f>IFERROR(S100/M100,0)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IFERROR(MAX(N(D101)-N(E101),0),0)</f>
        <v/>
      </c>
      <c r="G101" s="130">
        <f>IFERROR(N(E101)*GeneratorRate,0)</f>
        <v/>
      </c>
      <c r="H101" s="130">
        <f>IFERROR(N(F101)*GovernmentRate,0)</f>
        <v/>
      </c>
      <c r="I101" s="130">
        <f>IFERROR(G101+H101,0)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IFERROR(MAX(N(N101)-N(O101),0),0)</f>
        <v/>
      </c>
      <c r="Q101" s="130">
        <f>IFERROR(N(O101)*GeneratorRate,0)</f>
        <v/>
      </c>
      <c r="R101" s="130">
        <f>IFERROR(N(P101)*GovernmentRate,0)</f>
        <v/>
      </c>
      <c r="S101" s="130">
        <f>IFERROR(Q101+R101,0)</f>
        <v/>
      </c>
      <c r="T101" s="130">
        <f>IFERROR(S101/M101,0)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IFERROR(MAX(N(D102)-N(E102),0),0)</f>
        <v/>
      </c>
      <c r="G102" s="130">
        <f>IFERROR(N(E102)*GeneratorRate,0)</f>
        <v/>
      </c>
      <c r="H102" s="130">
        <f>IFERROR(N(F102)*GovernmentRate,0)</f>
        <v/>
      </c>
      <c r="I102" s="130">
        <f>IFERROR(G102+H102,0)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IFERROR(MAX(N(N102)-N(O102),0),0)</f>
        <v/>
      </c>
      <c r="Q102" s="130">
        <f>IFERROR(N(O102)*GeneratorRate,0)</f>
        <v/>
      </c>
      <c r="R102" s="130">
        <f>IFERROR(N(P102)*GovernmentRate,0)</f>
        <v/>
      </c>
      <c r="S102" s="130">
        <f>IFERROR(Q102+R102,0)</f>
        <v/>
      </c>
      <c r="T102" s="130">
        <f>IFERROR(S102/M102,0)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IFERROR(MAX(N(D103)-N(E103),0),0)</f>
        <v/>
      </c>
      <c r="G103" s="130">
        <f>IFERROR(N(E103)*GeneratorRate,0)</f>
        <v/>
      </c>
      <c r="H103" s="130">
        <f>IFERROR(N(F103)*GovernmentRate,0)</f>
        <v/>
      </c>
      <c r="I103" s="130">
        <f>IFERROR(G103+H103,0)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IFERROR(MAX(N(N103)-N(O103),0),0)</f>
        <v/>
      </c>
      <c r="Q103" s="130">
        <f>IFERROR(N(O103)*GeneratorRate,0)</f>
        <v/>
      </c>
      <c r="R103" s="130">
        <f>IFERROR(N(P103)*GovernmentRate,0)</f>
        <v/>
      </c>
      <c r="S103" s="130">
        <f>IFERROR(Q103+R103,0)</f>
        <v/>
      </c>
      <c r="T103" s="130">
        <f>IFERROR(S103/M103,0)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IFERROR(MAX(N(D104)-N(E104),0),0)</f>
        <v/>
      </c>
      <c r="G104" s="130">
        <f>IFERROR(N(E104)*GeneratorRate,0)</f>
        <v/>
      </c>
      <c r="H104" s="130">
        <f>IFERROR(N(F104)*GovernmentRate,0)</f>
        <v/>
      </c>
      <c r="I104" s="130">
        <f>IFERROR(G104+H104,0)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IFERROR(MAX(N(N104)-N(O104),0),0)</f>
        <v/>
      </c>
      <c r="Q104" s="130">
        <f>IFERROR(N(O104)*GeneratorRate,0)</f>
        <v/>
      </c>
      <c r="R104" s="130">
        <f>IFERROR(N(P104)*GovernmentRate,0)</f>
        <v/>
      </c>
      <c r="S104" s="130">
        <f>IFERROR(Q104+R104,0)</f>
        <v/>
      </c>
      <c r="T104" s="130">
        <f>IFERROR(S104/M104,0)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IFERROR(MAX(N(D105)-N(E105),0),0)</f>
        <v/>
      </c>
      <c r="G105" s="130">
        <f>IFERROR(N(E105)*GeneratorRate,0)</f>
        <v/>
      </c>
      <c r="H105" s="130">
        <f>IFERROR(N(F105)*GovernmentRate,0)</f>
        <v/>
      </c>
      <c r="I105" s="130">
        <f>IFERROR(G105+H105,0)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IFERROR(MAX(N(N105)-N(O105),0),0)</f>
        <v/>
      </c>
      <c r="Q105" s="130">
        <f>IFERROR(N(O105)*GeneratorRate,0)</f>
        <v/>
      </c>
      <c r="R105" s="130">
        <f>IFERROR(N(P105)*GovernmentRate,0)</f>
        <v/>
      </c>
      <c r="S105" s="130">
        <f>IFERROR(Q105+R105,0)</f>
        <v/>
      </c>
      <c r="T105" s="130">
        <f>IFERROR(S105/M105,0)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IFERROR(MAX(N(D106)-N(E106),0),0)</f>
        <v/>
      </c>
      <c r="G106" s="130">
        <f>IFERROR(N(E106)*GeneratorRate,0)</f>
        <v/>
      </c>
      <c r="H106" s="130">
        <f>IFERROR(N(F106)*GovernmentRate,0)</f>
        <v/>
      </c>
      <c r="I106" s="130">
        <f>IFERROR(G106+H106,0)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IFERROR(MAX(N(N106)-N(O106),0),0)</f>
        <v/>
      </c>
      <c r="Q106" s="130">
        <f>IFERROR(N(O106)*GeneratorRate,0)</f>
        <v/>
      </c>
      <c r="R106" s="130">
        <f>IFERROR(N(P106)*GovernmentRate,0)</f>
        <v/>
      </c>
      <c r="S106" s="130">
        <f>IFERROR(Q106+R106,0)</f>
        <v/>
      </c>
      <c r="T106" s="130">
        <f>IFERROR(S106/M106,0)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IFERROR(MAX(N(D107)-N(E107),0),0)</f>
        <v/>
      </c>
      <c r="G107" s="130">
        <f>IFERROR(N(E107)*GeneratorRate,0)</f>
        <v/>
      </c>
      <c r="H107" s="130">
        <f>IFERROR(N(F107)*GovernmentRate,0)</f>
        <v/>
      </c>
      <c r="I107" s="130">
        <f>IFERROR(G107+H107,0)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IFERROR(MAX(N(N107)-N(O107),0),0)</f>
        <v/>
      </c>
      <c r="Q107" s="130">
        <f>IFERROR(N(O107)*GeneratorRate,0)</f>
        <v/>
      </c>
      <c r="R107" s="130">
        <f>IFERROR(N(P107)*GovernmentRate,0)</f>
        <v/>
      </c>
      <c r="S107" s="130">
        <f>IFERROR(Q107+R107,0)</f>
        <v/>
      </c>
      <c r="T107" s="130">
        <f>IFERROR(S107/M107,0)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IFERROR(MAX(N(D108)-N(E108),0),0)</f>
        <v/>
      </c>
      <c r="G108" s="130">
        <f>IFERROR(N(E108)*GeneratorRate,0)</f>
        <v/>
      </c>
      <c r="H108" s="130">
        <f>IFERROR(N(F108)*GovernmentRate,0)</f>
        <v/>
      </c>
      <c r="I108" s="130">
        <f>IFERROR(G108+H108,0)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IFERROR(MAX(N(N108)-N(O108),0),0)</f>
        <v/>
      </c>
      <c r="Q108" s="130">
        <f>IFERROR(N(O108)*GeneratorRate,0)</f>
        <v/>
      </c>
      <c r="R108" s="130">
        <f>IFERROR(N(P108)*GovernmentRate,0)</f>
        <v/>
      </c>
      <c r="S108" s="130">
        <f>IFERROR(Q108+R108,0)</f>
        <v/>
      </c>
      <c r="T108" s="130">
        <f>IFERROR(S108/M108,0)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IFERROR(MAX(N(D109)-N(E109),0),0)</f>
        <v/>
      </c>
      <c r="G109" s="130">
        <f>IFERROR(N(E109)*GeneratorRate,0)</f>
        <v/>
      </c>
      <c r="H109" s="130">
        <f>IFERROR(N(F109)*GovernmentRate,0)</f>
        <v/>
      </c>
      <c r="I109" s="130">
        <f>IFERROR(G109+H109,0)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IFERROR(MAX(N(N109)-N(O109),0),0)</f>
        <v/>
      </c>
      <c r="Q109" s="130">
        <f>IFERROR(N(O109)*GeneratorRate,0)</f>
        <v/>
      </c>
      <c r="R109" s="130">
        <f>IFERROR(N(P109)*GovernmentRate,0)</f>
        <v/>
      </c>
      <c r="S109" s="130">
        <f>IFERROR(Q109+R109,0)</f>
        <v/>
      </c>
      <c r="T109" s="130">
        <f>IFERROR(S109/M109,0)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IFERROR(MAX(N(D110)-N(E110),0),0)</f>
        <v/>
      </c>
      <c r="G110" s="130">
        <f>IFERROR(N(E110)*GeneratorRate,0)</f>
        <v/>
      </c>
      <c r="H110" s="130">
        <f>IFERROR(N(F110)*GovernmentRate,0)</f>
        <v/>
      </c>
      <c r="I110" s="130">
        <f>IFERROR(G110+H110,0)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IFERROR(MAX(N(N110)-N(O110),0),0)</f>
        <v/>
      </c>
      <c r="Q110" s="130">
        <f>IFERROR(N(O110)*GeneratorRate,0)</f>
        <v/>
      </c>
      <c r="R110" s="130">
        <f>IFERROR(N(P110)*GovernmentRate,0)</f>
        <v/>
      </c>
      <c r="S110" s="130">
        <f>IFERROR(Q110+R110,0)</f>
        <v/>
      </c>
      <c r="T110" s="130">
        <f>IFERROR(S110/M110,0)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IFERROR(MAX(N(D111)-N(E111),0),0)</f>
        <v/>
      </c>
      <c r="G111" s="130">
        <f>IFERROR(N(E111)*GeneratorRate,0)</f>
        <v/>
      </c>
      <c r="H111" s="130">
        <f>IFERROR(N(F111)*GovernmentRate,0)</f>
        <v/>
      </c>
      <c r="I111" s="130">
        <f>IFERROR(G111+H111,0)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IFERROR(MAX(N(N111)-N(O111),0),0)</f>
        <v/>
      </c>
      <c r="Q111" s="130">
        <f>IFERROR(N(O111)*GeneratorRate,0)</f>
        <v/>
      </c>
      <c r="R111" s="130">
        <f>IFERROR(N(P111)*GovernmentRate,0)</f>
        <v/>
      </c>
      <c r="S111" s="130">
        <f>IFERROR(Q111+R111,0)</f>
        <v/>
      </c>
      <c r="T111" s="130">
        <f>IFERROR(S111/M111,0)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IFERROR(MAX(N(D112)-N(E112),0),0)</f>
        <v/>
      </c>
      <c r="G112" s="130">
        <f>IFERROR(N(E112)*GeneratorRate,0)</f>
        <v/>
      </c>
      <c r="H112" s="130">
        <f>IFERROR(N(F112)*GovernmentRate,0)</f>
        <v/>
      </c>
      <c r="I112" s="130">
        <f>IFERROR(G112+H112,0)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IFERROR(MAX(N(N112)-N(O112),0),0)</f>
        <v/>
      </c>
      <c r="Q112" s="130">
        <f>IFERROR(N(O112)*GeneratorRate,0)</f>
        <v/>
      </c>
      <c r="R112" s="130">
        <f>IFERROR(N(P112)*GovernmentRate,0)</f>
        <v/>
      </c>
      <c r="S112" s="130">
        <f>IFERROR(Q112+R112,0)</f>
        <v/>
      </c>
      <c r="T112" s="130">
        <f>IFERROR(S112/M112,0)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IFERROR(MAX(N(D113)-N(E113),0),0)</f>
        <v/>
      </c>
      <c r="G113" s="130">
        <f>IFERROR(N(E113)*GeneratorRate,0)</f>
        <v/>
      </c>
      <c r="H113" s="130">
        <f>IFERROR(N(F113)*GovernmentRate,0)</f>
        <v/>
      </c>
      <c r="I113" s="130">
        <f>IFERROR(G113+H113,0)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IFERROR(MAX(N(N113)-N(O113),0),0)</f>
        <v/>
      </c>
      <c r="Q113" s="130">
        <f>IFERROR(N(O113)*GeneratorRate,0)</f>
        <v/>
      </c>
      <c r="R113" s="130">
        <f>IFERROR(N(P113)*GovernmentRate,0)</f>
        <v/>
      </c>
      <c r="S113" s="130">
        <f>IFERROR(Q113+R113,0)</f>
        <v/>
      </c>
      <c r="T113" s="130">
        <f>IFERROR(S113/M113,0)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IFERROR(MAX(N(D114)-N(E114),0),0)</f>
        <v/>
      </c>
      <c r="G114" s="130">
        <f>IFERROR(N(E114)*GeneratorRate,0)</f>
        <v/>
      </c>
      <c r="H114" s="130">
        <f>IFERROR(N(F114)*GovernmentRate,0)</f>
        <v/>
      </c>
      <c r="I114" s="130">
        <f>IFERROR(G114+H114,0)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IFERROR(MAX(N(N114)-N(O114),0),0)</f>
        <v/>
      </c>
      <c r="Q114" s="130">
        <f>IFERROR(N(O114)*GeneratorRate,0)</f>
        <v/>
      </c>
      <c r="R114" s="130">
        <f>IFERROR(N(P114)*GovernmentRate,0)</f>
        <v/>
      </c>
      <c r="S114" s="130">
        <f>IFERROR(Q114+R114,0)</f>
        <v/>
      </c>
      <c r="T114" s="130">
        <f>IFERROR(S114/M114,0)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IFERROR(MAX(N(D115)-N(E115),0),0)</f>
        <v/>
      </c>
      <c r="G115" s="130">
        <f>IFERROR(N(E115)*GeneratorRate,0)</f>
        <v/>
      </c>
      <c r="H115" s="130">
        <f>IFERROR(N(F115)*GovernmentRate,0)</f>
        <v/>
      </c>
      <c r="I115" s="130">
        <f>IFERROR(G115+H115,0)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IFERROR(MAX(N(N115)-N(O115),0),0)</f>
        <v/>
      </c>
      <c r="Q115" s="130">
        <f>IFERROR(N(O115)*GeneratorRate,0)</f>
        <v/>
      </c>
      <c r="R115" s="130">
        <f>IFERROR(N(P115)*GovernmentRate,0)</f>
        <v/>
      </c>
      <c r="S115" s="130">
        <f>IFERROR(Q115+R115,0)</f>
        <v/>
      </c>
      <c r="T115" s="130">
        <f>IFERROR(S115/M115,0)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IFERROR(MAX(N(D116)-N(E116),0),0)</f>
        <v/>
      </c>
      <c r="G116" s="130">
        <f>IFERROR(N(E116)*GeneratorRate,0)</f>
        <v/>
      </c>
      <c r="H116" s="130">
        <f>IFERROR(N(F116)*GovernmentRate,0)</f>
        <v/>
      </c>
      <c r="I116" s="130">
        <f>IFERROR(G116+H116,0)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IFERROR(MAX(N(N116)-N(O116),0),0)</f>
        <v/>
      </c>
      <c r="Q116" s="130">
        <f>IFERROR(N(O116)*GeneratorRate,0)</f>
        <v/>
      </c>
      <c r="R116" s="130">
        <f>IFERROR(N(P116)*GovernmentRate,0)</f>
        <v/>
      </c>
      <c r="S116" s="130">
        <f>IFERROR(Q116+R116,0)</f>
        <v/>
      </c>
      <c r="T116" s="130">
        <f>IFERROR(S116/M116,0)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IFERROR(MAX(N(D117)-N(E117),0),0)</f>
        <v/>
      </c>
      <c r="G117" s="130">
        <f>IFERROR(N(E117)*GeneratorRate,0)</f>
        <v/>
      </c>
      <c r="H117" s="130">
        <f>IFERROR(N(F117)*GovernmentRate,0)</f>
        <v/>
      </c>
      <c r="I117" s="130">
        <f>IFERROR(G117+H117,0)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IFERROR(MAX(N(N117)-N(O117),0),0)</f>
        <v/>
      </c>
      <c r="Q117" s="130">
        <f>IFERROR(N(O117)*GeneratorRate,0)</f>
        <v/>
      </c>
      <c r="R117" s="130">
        <f>IFERROR(N(P117)*GovernmentRate,0)</f>
        <v/>
      </c>
      <c r="S117" s="130">
        <f>IFERROR(Q117+R117,0)</f>
        <v/>
      </c>
      <c r="T117" s="130">
        <f>IFERROR(S117/M117,0)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IFERROR(MAX(N(D118)-N(E118),0),0)</f>
        <v/>
      </c>
      <c r="G118" s="130">
        <f>IFERROR(N(E118)*GeneratorRate,0)</f>
        <v/>
      </c>
      <c r="H118" s="130">
        <f>IFERROR(N(F118)*GovernmentRate,0)</f>
        <v/>
      </c>
      <c r="I118" s="130">
        <f>IFERROR(G118+H118,0)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IFERROR(MAX(N(N118)-N(O118),0),0)</f>
        <v/>
      </c>
      <c r="Q118" s="130">
        <f>IFERROR(N(O118)*GeneratorRate,0)</f>
        <v/>
      </c>
      <c r="R118" s="130">
        <f>IFERROR(N(P118)*GovernmentRate,0)</f>
        <v/>
      </c>
      <c r="S118" s="130">
        <f>IFERROR(Q118+R118,0)</f>
        <v/>
      </c>
      <c r="T118" s="130">
        <f>IFERROR(S118/M118,0)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IFERROR(MAX(N(D119)-N(E119),0),0)</f>
        <v/>
      </c>
      <c r="G119" s="130">
        <f>IFERROR(N(E119)*GeneratorRate,0)</f>
        <v/>
      </c>
      <c r="H119" s="130">
        <f>IFERROR(N(F119)*GovernmentRate,0)</f>
        <v/>
      </c>
      <c r="I119" s="130">
        <f>IFERROR(G119+H119,0)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IFERROR(MAX(N(N119)-N(O119),0),0)</f>
        <v/>
      </c>
      <c r="Q119" s="130">
        <f>IFERROR(N(O119)*GeneratorRate,0)</f>
        <v/>
      </c>
      <c r="R119" s="130">
        <f>IFERROR(N(P119)*GovernmentRate,0)</f>
        <v/>
      </c>
      <c r="S119" s="130">
        <f>IFERROR(Q119+R119,0)</f>
        <v/>
      </c>
      <c r="T119" s="130">
        <f>IFERROR(S119/M119,0)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IFERROR(MAX(N(D120)-N(E120),0),0)</f>
        <v/>
      </c>
      <c r="G120" s="130">
        <f>IFERROR(N(E120)*GeneratorRate,0)</f>
        <v/>
      </c>
      <c r="H120" s="130">
        <f>IFERROR(N(F120)*GovernmentRate,0)</f>
        <v/>
      </c>
      <c r="I120" s="130">
        <f>IFERROR(G120+H120,0)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IFERROR(MAX(N(N120)-N(O120),0),0)</f>
        <v/>
      </c>
      <c r="Q120" s="130">
        <f>IFERROR(N(O120)*GeneratorRate,0)</f>
        <v/>
      </c>
      <c r="R120" s="130">
        <f>IFERROR(N(P120)*GovernmentRate,0)</f>
        <v/>
      </c>
      <c r="S120" s="130">
        <f>IFERROR(Q120+R120,0)</f>
        <v/>
      </c>
      <c r="T120" s="130">
        <f>IFERROR(S120/M120,0)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IFERROR(MAX(N(D121)-N(E121),0),0)</f>
        <v/>
      </c>
      <c r="G121" s="130">
        <f>IFERROR(N(E121)*GeneratorRate,0)</f>
        <v/>
      </c>
      <c r="H121" s="130">
        <f>IFERROR(N(F121)*GovernmentRate,0)</f>
        <v/>
      </c>
      <c r="I121" s="130">
        <f>IFERROR(G121+H121,0)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IFERROR(MAX(N(N121)-N(O121),0),0)</f>
        <v/>
      </c>
      <c r="Q121" s="130">
        <f>IFERROR(N(O121)*GeneratorRate,0)</f>
        <v/>
      </c>
      <c r="R121" s="130">
        <f>IFERROR(N(P121)*GovernmentRate,0)</f>
        <v/>
      </c>
      <c r="S121" s="130">
        <f>IFERROR(Q121+R121,0)</f>
        <v/>
      </c>
      <c r="T121" s="130">
        <f>IFERROR(S121/M121,0)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IFERROR(MAX(N(D122)-N(E122),0),0)</f>
        <v/>
      </c>
      <c r="G122" s="130">
        <f>IFERROR(N(E122)*GeneratorRate,0)</f>
        <v/>
      </c>
      <c r="H122" s="130">
        <f>IFERROR(N(F122)*GovernmentRate,0)</f>
        <v/>
      </c>
      <c r="I122" s="130">
        <f>IFERROR(G122+H122,0)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IFERROR(MAX(N(N122)-N(O122),0),0)</f>
        <v/>
      </c>
      <c r="Q122" s="130">
        <f>IFERROR(N(O122)*GeneratorRate,0)</f>
        <v/>
      </c>
      <c r="R122" s="130">
        <f>IFERROR(N(P122)*GovernmentRate,0)</f>
        <v/>
      </c>
      <c r="S122" s="130">
        <f>IFERROR(Q122+R122,0)</f>
        <v/>
      </c>
      <c r="T122" s="130">
        <f>IFERROR(S122/M122,0)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IFERROR(MAX(N(D123)-N(E123),0),0)</f>
        <v/>
      </c>
      <c r="G123" s="130">
        <f>IFERROR(N(E123)*GeneratorRate,0)</f>
        <v/>
      </c>
      <c r="H123" s="130">
        <f>IFERROR(N(F123)*GovernmentRate,0)</f>
        <v/>
      </c>
      <c r="I123" s="130">
        <f>IFERROR(G123+H123,0)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IFERROR(MAX(N(N123)-N(O123),0),0)</f>
        <v/>
      </c>
      <c r="Q123" s="130">
        <f>IFERROR(N(O123)*GeneratorRate,0)</f>
        <v/>
      </c>
      <c r="R123" s="130">
        <f>IFERROR(N(P123)*GovernmentRate,0)</f>
        <v/>
      </c>
      <c r="S123" s="130">
        <f>IFERROR(Q123+R123,0)</f>
        <v/>
      </c>
      <c r="T123" s="130">
        <f>IFERROR(S123/M123,0)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IFERROR(MAX(N(D124)-N(E124),0),0)</f>
        <v/>
      </c>
      <c r="G124" s="130">
        <f>IFERROR(N(E124)*GeneratorRate,0)</f>
        <v/>
      </c>
      <c r="H124" s="130">
        <f>IFERROR(N(F124)*GovernmentRate,0)</f>
        <v/>
      </c>
      <c r="I124" s="130">
        <f>IFERROR(G124+H124,0)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IFERROR(MAX(N(N124)-N(O124),0),0)</f>
        <v/>
      </c>
      <c r="Q124" s="130">
        <f>IFERROR(N(O124)*GeneratorRate,0)</f>
        <v/>
      </c>
      <c r="R124" s="130">
        <f>IFERROR(N(P124)*GovernmentRate,0)</f>
        <v/>
      </c>
      <c r="S124" s="130">
        <f>IFERROR(Q124+R124,0)</f>
        <v/>
      </c>
      <c r="T124" s="130">
        <f>IFERROR(S124/M124,0)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IFERROR(MAX(N(D125)-N(E125),0),0)</f>
        <v/>
      </c>
      <c r="G125" s="130">
        <f>IFERROR(N(E125)*GeneratorRate,0)</f>
        <v/>
      </c>
      <c r="H125" s="130">
        <f>IFERROR(N(F125)*GovernmentRate,0)</f>
        <v/>
      </c>
      <c r="I125" s="130">
        <f>IFERROR(G125+H125,0)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IFERROR(MAX(N(N125)-N(O125),0),0)</f>
        <v/>
      </c>
      <c r="Q125" s="130">
        <f>IFERROR(N(O125)*GeneratorRate,0)</f>
        <v/>
      </c>
      <c r="R125" s="130">
        <f>IFERROR(N(P125)*GovernmentRate,0)</f>
        <v/>
      </c>
      <c r="S125" s="130">
        <f>IFERROR(Q125+R125,0)</f>
        <v/>
      </c>
      <c r="T125" s="130">
        <f>IFERROR(S125/M125,0)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IFERROR(MAX(N(D126)-N(E126),0),0)</f>
        <v/>
      </c>
      <c r="G126" s="130">
        <f>IFERROR(N(E126)*GeneratorRate,0)</f>
        <v/>
      </c>
      <c r="H126" s="130">
        <f>IFERROR(N(F126)*GovernmentRate,0)</f>
        <v/>
      </c>
      <c r="I126" s="130">
        <f>IFERROR(G126+H126,0)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IFERROR(MAX(N(N126)-N(O126),0),0)</f>
        <v/>
      </c>
      <c r="Q126" s="130">
        <f>IFERROR(N(O126)*GeneratorRate,0)</f>
        <v/>
      </c>
      <c r="R126" s="130">
        <f>IFERROR(N(P126)*GovernmentRate,0)</f>
        <v/>
      </c>
      <c r="S126" s="130">
        <f>IFERROR(Q126+R126,0)</f>
        <v/>
      </c>
      <c r="T126" s="130">
        <f>IFERROR(S126/M126,0)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IFERROR(MAX(N(D127)-N(E127),0),0)</f>
        <v/>
      </c>
      <c r="G127" s="130">
        <f>IFERROR(N(E127)*GeneratorRate,0)</f>
        <v/>
      </c>
      <c r="H127" s="130">
        <f>IFERROR(N(F127)*GovernmentRate,0)</f>
        <v/>
      </c>
      <c r="I127" s="130">
        <f>IFERROR(G127+H127,0)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IFERROR(MAX(N(N127)-N(O127),0),0)</f>
        <v/>
      </c>
      <c r="Q127" s="130">
        <f>IFERROR(N(O127)*GeneratorRate,0)</f>
        <v/>
      </c>
      <c r="R127" s="130">
        <f>IFERROR(N(P127)*GovernmentRate,0)</f>
        <v/>
      </c>
      <c r="S127" s="130">
        <f>IFERROR(Q127+R127,0)</f>
        <v/>
      </c>
      <c r="T127" s="130">
        <f>IFERROR(S127/M127,0)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IFERROR(MAX(N(D128)-N(E128),0),0)</f>
        <v/>
      </c>
      <c r="G128" s="130">
        <f>IFERROR(N(E128)*GeneratorRate,0)</f>
        <v/>
      </c>
      <c r="H128" s="130">
        <f>IFERROR(N(F128)*GovernmentRate,0)</f>
        <v/>
      </c>
      <c r="I128" s="130">
        <f>IFERROR(G128+H128,0)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IFERROR(MAX(N(N128)-N(O128),0),0)</f>
        <v/>
      </c>
      <c r="Q128" s="130">
        <f>IFERROR(N(O128)*GeneratorRate,0)</f>
        <v/>
      </c>
      <c r="R128" s="130">
        <f>IFERROR(N(P128)*GovernmentRate,0)</f>
        <v/>
      </c>
      <c r="S128" s="130">
        <f>IFERROR(Q128+R128,0)</f>
        <v/>
      </c>
      <c r="T128" s="130">
        <f>IFERROR(S128/M128,0)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IFERROR(MAX(N(D129)-N(E129),0),0)</f>
        <v/>
      </c>
      <c r="G129" s="130">
        <f>IFERROR(N(E129)*GeneratorRate,0)</f>
        <v/>
      </c>
      <c r="H129" s="130">
        <f>IFERROR(N(F129)*GovernmentRate,0)</f>
        <v/>
      </c>
      <c r="I129" s="130">
        <f>IFERROR(G129+H129,0)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IFERROR(MAX(N(N129)-N(O129),0),0)</f>
        <v/>
      </c>
      <c r="Q129" s="130">
        <f>IFERROR(N(O129)*GeneratorRate,0)</f>
        <v/>
      </c>
      <c r="R129" s="130">
        <f>IFERROR(N(P129)*GovernmentRate,0)</f>
        <v/>
      </c>
      <c r="S129" s="130">
        <f>IFERROR(Q129+R129,0)</f>
        <v/>
      </c>
      <c r="T129" s="130">
        <f>IFERROR(S129/M129,0)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IFERROR(MAX(N(D130)-N(E130),0),0)</f>
        <v/>
      </c>
      <c r="G130" s="130">
        <f>IFERROR(N(E130)*GeneratorRate,0)</f>
        <v/>
      </c>
      <c r="H130" s="130">
        <f>IFERROR(N(F130)*GovernmentRate,0)</f>
        <v/>
      </c>
      <c r="I130" s="130">
        <f>IFERROR(G130+H130,0)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IFERROR(MAX(N(N130)-N(O130),0),0)</f>
        <v/>
      </c>
      <c r="Q130" s="130">
        <f>IFERROR(N(O130)*GeneratorRate,0)</f>
        <v/>
      </c>
      <c r="R130" s="130">
        <f>IFERROR(N(P130)*GovernmentRate,0)</f>
        <v/>
      </c>
      <c r="S130" s="130">
        <f>IFERROR(Q130+R130,0)</f>
        <v/>
      </c>
      <c r="T130" s="130">
        <f>IFERROR(S130/M130,0)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IFERROR(MAX(N(D131)-N(E131),0),0)</f>
        <v/>
      </c>
      <c r="G131" s="130">
        <f>IFERROR(N(E131)*GeneratorRate,0)</f>
        <v/>
      </c>
      <c r="H131" s="130">
        <f>IFERROR(N(F131)*GovernmentRate,0)</f>
        <v/>
      </c>
      <c r="I131" s="130">
        <f>IFERROR(G131+H131,0)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IFERROR(MAX(N(N131)-N(O131),0),0)</f>
        <v/>
      </c>
      <c r="Q131" s="130">
        <f>IFERROR(N(O131)*GeneratorRate,0)</f>
        <v/>
      </c>
      <c r="R131" s="130">
        <f>IFERROR(N(P131)*GovernmentRate,0)</f>
        <v/>
      </c>
      <c r="S131" s="130">
        <f>IFERROR(Q131+R131,0)</f>
        <v/>
      </c>
      <c r="T131" s="130">
        <f>IFERROR(S131/M131,0)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IFERROR(MAX(N(D132)-N(E132),0),0)</f>
        <v/>
      </c>
      <c r="G132" s="130">
        <f>IFERROR(N(E132)*GeneratorRate,0)</f>
        <v/>
      </c>
      <c r="H132" s="130">
        <f>IFERROR(N(F132)*GovernmentRate,0)</f>
        <v/>
      </c>
      <c r="I132" s="130">
        <f>IFERROR(G132+H132,0)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IFERROR(MAX(N(N132)-N(O132),0),0)</f>
        <v/>
      </c>
      <c r="Q132" s="130">
        <f>IFERROR(N(O132)*GeneratorRate,0)</f>
        <v/>
      </c>
      <c r="R132" s="130">
        <f>IFERROR(N(P132)*GovernmentRate,0)</f>
        <v/>
      </c>
      <c r="S132" s="130">
        <f>IFERROR(Q132+R132,0)</f>
        <v/>
      </c>
      <c r="T132" s="130">
        <f>IFERROR(S132/M132,0)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IFERROR(MAX(N(D133)-N(E133),0),0)</f>
        <v/>
      </c>
      <c r="G133" s="130">
        <f>IFERROR(N(E133)*GeneratorRate,0)</f>
        <v/>
      </c>
      <c r="H133" s="130">
        <f>IFERROR(N(F133)*GovernmentRate,0)</f>
        <v/>
      </c>
      <c r="I133" s="130">
        <f>IFERROR(G133+H133,0)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IFERROR(MAX(N(N133)-N(O133),0),0)</f>
        <v/>
      </c>
      <c r="Q133" s="130">
        <f>IFERROR(N(O133)*GeneratorRate,0)</f>
        <v/>
      </c>
      <c r="R133" s="130">
        <f>IFERROR(N(P133)*GovernmentRate,0)</f>
        <v/>
      </c>
      <c r="S133" s="130">
        <f>IFERROR(Q133+R133,0)</f>
        <v/>
      </c>
      <c r="T133" s="130">
        <f>IFERROR(S133/M133,0)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IFERROR(MAX(N(D134)-N(E134),0),0)</f>
        <v/>
      </c>
      <c r="G134" s="130">
        <f>IFERROR(N(E134)*GeneratorRate,0)</f>
        <v/>
      </c>
      <c r="H134" s="130">
        <f>IFERROR(N(F134)*GovernmentRate,0)</f>
        <v/>
      </c>
      <c r="I134" s="130">
        <f>IFERROR(G134+H134,0)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IFERROR(MAX(N(N134)-N(O134),0),0)</f>
        <v/>
      </c>
      <c r="Q134" s="130">
        <f>IFERROR(N(O134)*GeneratorRate,0)</f>
        <v/>
      </c>
      <c r="R134" s="130">
        <f>IFERROR(N(P134)*GovernmentRate,0)</f>
        <v/>
      </c>
      <c r="S134" s="130">
        <f>IFERROR(Q134+R134,0)</f>
        <v/>
      </c>
      <c r="T134" s="130">
        <f>IFERROR(S134/M134,0)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IFERROR(MAX(N(D135)-N(E135),0),0)</f>
        <v/>
      </c>
      <c r="G135" s="130">
        <f>IFERROR(N(E135)*GeneratorRate,0)</f>
        <v/>
      </c>
      <c r="H135" s="130">
        <f>IFERROR(N(F135)*GovernmentRate,0)</f>
        <v/>
      </c>
      <c r="I135" s="130">
        <f>IFERROR(G135+H135,0)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IFERROR(MAX(N(N135)-N(O135),0),0)</f>
        <v/>
      </c>
      <c r="Q135" s="130">
        <f>IFERROR(N(O135)*GeneratorRate,0)</f>
        <v/>
      </c>
      <c r="R135" s="130">
        <f>IFERROR(N(P135)*GovernmentRate,0)</f>
        <v/>
      </c>
      <c r="S135" s="130">
        <f>IFERROR(Q135+R135,0)</f>
        <v/>
      </c>
      <c r="T135" s="130">
        <f>IFERROR(S135/M135,0)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IFERROR(MAX(N(D136)-N(E136),0),0)</f>
        <v/>
      </c>
      <c r="G136" s="130">
        <f>IFERROR(N(E136)*GeneratorRate,0)</f>
        <v/>
      </c>
      <c r="H136" s="130">
        <f>IFERROR(N(F136)*GovernmentRate,0)</f>
        <v/>
      </c>
      <c r="I136" s="130">
        <f>IFERROR(G136+H136,0)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IFERROR(MAX(N(N136)-N(O136),0),0)</f>
        <v/>
      </c>
      <c r="Q136" s="130">
        <f>IFERROR(N(O136)*GeneratorRate,0)</f>
        <v/>
      </c>
      <c r="R136" s="130">
        <f>IFERROR(N(P136)*GovernmentRate,0)</f>
        <v/>
      </c>
      <c r="S136" s="130">
        <f>IFERROR(Q136+R136,0)</f>
        <v/>
      </c>
      <c r="T136" s="130">
        <f>IFERROR(S136/M136,0)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IFERROR(MAX(N(D137)-N(E137),0),0)</f>
        <v/>
      </c>
      <c r="G137" s="130">
        <f>IFERROR(N(E137)*GeneratorRate,0)</f>
        <v/>
      </c>
      <c r="H137" s="130">
        <f>IFERROR(N(F137)*GovernmentRate,0)</f>
        <v/>
      </c>
      <c r="I137" s="130">
        <f>IFERROR(G137+H137,0)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IFERROR(MAX(N(N137)-N(O137),0),0)</f>
        <v/>
      </c>
      <c r="Q137" s="130">
        <f>IFERROR(N(O137)*GeneratorRate,0)</f>
        <v/>
      </c>
      <c r="R137" s="130">
        <f>IFERROR(N(P137)*GovernmentRate,0)</f>
        <v/>
      </c>
      <c r="S137" s="130">
        <f>IFERROR(Q137+R137,0)</f>
        <v/>
      </c>
      <c r="T137" s="130">
        <f>IFERROR(S137/M137,0)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IFERROR(MAX(N(D138)-N(E138),0),0)</f>
        <v/>
      </c>
      <c r="G138" s="130">
        <f>IFERROR(N(E138)*GeneratorRate,0)</f>
        <v/>
      </c>
      <c r="H138" s="130">
        <f>IFERROR(N(F138)*GovernmentRate,0)</f>
        <v/>
      </c>
      <c r="I138" s="130">
        <f>IFERROR(G138+H138,0)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IFERROR(MAX(N(N138)-N(O138),0),0)</f>
        <v/>
      </c>
      <c r="Q138" s="130">
        <f>IFERROR(N(O138)*GeneratorRate,0)</f>
        <v/>
      </c>
      <c r="R138" s="130">
        <f>IFERROR(N(P138)*GovernmentRate,0)</f>
        <v/>
      </c>
      <c r="S138" s="130">
        <f>IFERROR(Q138+R138,0)</f>
        <v/>
      </c>
      <c r="T138" s="130">
        <f>IFERROR(S138/M138,0)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IFERROR(MAX(N(D139)-N(E139),0),0)</f>
        <v/>
      </c>
      <c r="G139" s="130">
        <f>IFERROR(N(E139)*GeneratorRate,0)</f>
        <v/>
      </c>
      <c r="H139" s="130">
        <f>IFERROR(N(F139)*GovernmentRate,0)</f>
        <v/>
      </c>
      <c r="I139" s="130">
        <f>IFERROR(G139+H139,0)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IFERROR(MAX(N(N139)-N(O139),0),0)</f>
        <v/>
      </c>
      <c r="Q139" s="130">
        <f>IFERROR(N(O139)*GeneratorRate,0)</f>
        <v/>
      </c>
      <c r="R139" s="130">
        <f>IFERROR(N(P139)*GovernmentRate,0)</f>
        <v/>
      </c>
      <c r="S139" s="130">
        <f>IFERROR(Q139+R139,0)</f>
        <v/>
      </c>
      <c r="T139" s="130">
        <f>IFERROR(S139/M139,0)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IFERROR(MAX(N(D140)-N(E140),0),0)</f>
        <v/>
      </c>
      <c r="G140" s="130">
        <f>IFERROR(N(E140)*GeneratorRate,0)</f>
        <v/>
      </c>
      <c r="H140" s="130">
        <f>IFERROR(N(F140)*GovernmentRate,0)</f>
        <v/>
      </c>
      <c r="I140" s="130">
        <f>IFERROR(G140+H140,0)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IFERROR(MAX(N(N140)-N(O140),0),0)</f>
        <v/>
      </c>
      <c r="Q140" s="130">
        <f>IFERROR(N(O140)*GeneratorRate,0)</f>
        <v/>
      </c>
      <c r="R140" s="130">
        <f>IFERROR(N(P140)*GovernmentRate,0)</f>
        <v/>
      </c>
      <c r="S140" s="130">
        <f>IFERROR(Q140+R140,0)</f>
        <v/>
      </c>
      <c r="T140" s="130">
        <f>IFERROR(S140/M140,0)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IFERROR(MAX(N(D141)-N(E141),0),0)</f>
        <v/>
      </c>
      <c r="G141" s="130">
        <f>IFERROR(N(E141)*GeneratorRate,0)</f>
        <v/>
      </c>
      <c r="H141" s="130">
        <f>IFERROR(N(F141)*GovernmentRate,0)</f>
        <v/>
      </c>
      <c r="I141" s="130">
        <f>IFERROR(G141+H141,0)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IFERROR(MAX(N(N141)-N(O141),0),0)</f>
        <v/>
      </c>
      <c r="Q141" s="130">
        <f>IFERROR(N(O141)*GeneratorRate,0)</f>
        <v/>
      </c>
      <c r="R141" s="130">
        <f>IFERROR(N(P141)*GovernmentRate,0)</f>
        <v/>
      </c>
      <c r="S141" s="130">
        <f>IFERROR(Q141+R141,0)</f>
        <v/>
      </c>
      <c r="T141" s="130">
        <f>IFERROR(S141/M141,0)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IFERROR(MAX(N(D142)-N(E142),0),0)</f>
        <v/>
      </c>
      <c r="G142" s="130">
        <f>IFERROR(N(E142)*GeneratorRate,0)</f>
        <v/>
      </c>
      <c r="H142" s="130">
        <f>IFERROR(N(F142)*GovernmentRate,0)</f>
        <v/>
      </c>
      <c r="I142" s="130">
        <f>IFERROR(G142+H142,0)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IFERROR(MAX(N(N142)-N(O142),0),0)</f>
        <v/>
      </c>
      <c r="Q142" s="130">
        <f>IFERROR(N(O142)*GeneratorRate,0)</f>
        <v/>
      </c>
      <c r="R142" s="130">
        <f>IFERROR(N(P142)*GovernmentRate,0)</f>
        <v/>
      </c>
      <c r="S142" s="130">
        <f>IFERROR(Q142+R142,0)</f>
        <v/>
      </c>
      <c r="T142" s="130">
        <f>IFERROR(S142/M142,0)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IFERROR(MAX(N(D143)-N(E143),0),0)</f>
        <v/>
      </c>
      <c r="G143" s="130">
        <f>IFERROR(N(E143)*GeneratorRate,0)</f>
        <v/>
      </c>
      <c r="H143" s="130">
        <f>IFERROR(N(F143)*GovernmentRate,0)</f>
        <v/>
      </c>
      <c r="I143" s="130">
        <f>IFERROR(G143+H143,0)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IFERROR(MAX(N(N143)-N(O143),0),0)</f>
        <v/>
      </c>
      <c r="Q143" s="130">
        <f>IFERROR(N(O143)*GeneratorRate,0)</f>
        <v/>
      </c>
      <c r="R143" s="130">
        <f>IFERROR(N(P143)*GovernmentRate,0)</f>
        <v/>
      </c>
      <c r="S143" s="130">
        <f>IFERROR(Q143+R143,0)</f>
        <v/>
      </c>
      <c r="T143" s="130">
        <f>IFERROR(S143/M143,0)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IFERROR(MAX(N(D144)-N(E144),0),0)</f>
        <v/>
      </c>
      <c r="G144" s="130">
        <f>IFERROR(N(E144)*GeneratorRate,0)</f>
        <v/>
      </c>
      <c r="H144" s="130">
        <f>IFERROR(N(F144)*GovernmentRate,0)</f>
        <v/>
      </c>
      <c r="I144" s="130">
        <f>IFERROR(G144+H144,0)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IFERROR(MAX(N(N144)-N(O144),0),0)</f>
        <v/>
      </c>
      <c r="Q144" s="130">
        <f>IFERROR(N(O144)*GeneratorRate,0)</f>
        <v/>
      </c>
      <c r="R144" s="130">
        <f>IFERROR(N(P144)*GovernmentRate,0)</f>
        <v/>
      </c>
      <c r="S144" s="130">
        <f>IFERROR(Q144+R144,0)</f>
        <v/>
      </c>
      <c r="T144" s="130">
        <f>IFERROR(S144/M144,0)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IFERROR(MAX(N(D145)-N(E145),0),0)</f>
        <v/>
      </c>
      <c r="G145" s="130">
        <f>IFERROR(N(E145)*GeneratorRate,0)</f>
        <v/>
      </c>
      <c r="H145" s="130">
        <f>IFERROR(N(F145)*GovernmentRate,0)</f>
        <v/>
      </c>
      <c r="I145" s="130">
        <f>IFERROR(G145+H145,0)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IFERROR(MAX(N(N145)-N(O145),0),0)</f>
        <v/>
      </c>
      <c r="Q145" s="130">
        <f>IFERROR(N(O145)*GeneratorRate,0)</f>
        <v/>
      </c>
      <c r="R145" s="130">
        <f>IFERROR(N(P145)*GovernmentRate,0)</f>
        <v/>
      </c>
      <c r="S145" s="130">
        <f>IFERROR(Q145+R145,0)</f>
        <v/>
      </c>
      <c r="T145" s="130">
        <f>IFERROR(S145/M145,0)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IFERROR(MAX(N(D146)-N(E146),0),0)</f>
        <v/>
      </c>
      <c r="G146" s="130">
        <f>IFERROR(N(E146)*GeneratorRate,0)</f>
        <v/>
      </c>
      <c r="H146" s="130">
        <f>IFERROR(N(F146)*GovernmentRate,0)</f>
        <v/>
      </c>
      <c r="I146" s="130">
        <f>IFERROR(G146+H146,0)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IFERROR(MAX(N(N146)-N(O146),0),0)</f>
        <v/>
      </c>
      <c r="Q146" s="130">
        <f>IFERROR(N(O146)*GeneratorRate,0)</f>
        <v/>
      </c>
      <c r="R146" s="130">
        <f>IFERROR(N(P146)*GovernmentRate,0)</f>
        <v/>
      </c>
      <c r="S146" s="130">
        <f>IFERROR(Q146+R146,0)</f>
        <v/>
      </c>
      <c r="T146" s="130">
        <f>IFERROR(S146/M146,0)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IFERROR(MAX(N(D147)-N(E147),0),0)</f>
        <v/>
      </c>
      <c r="G147" s="130">
        <f>IFERROR(N(E147)*GeneratorRate,0)</f>
        <v/>
      </c>
      <c r="H147" s="130">
        <f>IFERROR(N(F147)*GovernmentRate,0)</f>
        <v/>
      </c>
      <c r="I147" s="130">
        <f>IFERROR(G147+H147,0)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IFERROR(MAX(N(N147)-N(O147),0),0)</f>
        <v/>
      </c>
      <c r="Q147" s="130">
        <f>IFERROR(N(O147)*GeneratorRate,0)</f>
        <v/>
      </c>
      <c r="R147" s="130">
        <f>IFERROR(N(P147)*GovernmentRate,0)</f>
        <v/>
      </c>
      <c r="S147" s="130">
        <f>IFERROR(Q147+R147,0)</f>
        <v/>
      </c>
      <c r="T147" s="130">
        <f>IFERROR(S147/M147,0)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IFERROR(MAX(N(D148)-N(E148),0),0)</f>
        <v/>
      </c>
      <c r="G148" s="130">
        <f>IFERROR(N(E148)*GeneratorRate,0)</f>
        <v/>
      </c>
      <c r="H148" s="130">
        <f>IFERROR(N(F148)*GovernmentRate,0)</f>
        <v/>
      </c>
      <c r="I148" s="130">
        <f>IFERROR(G148+H148,0)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IFERROR(MAX(N(N148)-N(O148),0),0)</f>
        <v/>
      </c>
      <c r="Q148" s="130">
        <f>IFERROR(N(O148)*GeneratorRate,0)</f>
        <v/>
      </c>
      <c r="R148" s="130">
        <f>IFERROR(N(P148)*GovernmentRate,0)</f>
        <v/>
      </c>
      <c r="S148" s="130">
        <f>IFERROR(Q148+R148,0)</f>
        <v/>
      </c>
      <c r="T148" s="130">
        <f>IFERROR(S148/M148,0)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IFERROR(MAX(N(D149)-N(E149),0),0)</f>
        <v/>
      </c>
      <c r="G149" s="130">
        <f>IFERROR(N(E149)*GeneratorRate,0)</f>
        <v/>
      </c>
      <c r="H149" s="130">
        <f>IFERROR(N(F149)*GovernmentRate,0)</f>
        <v/>
      </c>
      <c r="I149" s="130">
        <f>IFERROR(G149+H149,0)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IFERROR(MAX(N(N149)-N(O149),0),0)</f>
        <v/>
      </c>
      <c r="Q149" s="130">
        <f>IFERROR(N(O149)*GeneratorRate,0)</f>
        <v/>
      </c>
      <c r="R149" s="130">
        <f>IFERROR(N(P149)*GovernmentRate,0)</f>
        <v/>
      </c>
      <c r="S149" s="130">
        <f>IFERROR(Q149+R149,0)</f>
        <v/>
      </c>
      <c r="T149" s="130">
        <f>IFERROR(S149/M149,0)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IFERROR(MAX(N(D150)-N(E150),0),0)</f>
        <v/>
      </c>
      <c r="G150" s="130">
        <f>IFERROR(N(E150)*GeneratorRate,0)</f>
        <v/>
      </c>
      <c r="H150" s="130">
        <f>IFERROR(N(F150)*GovernmentRate,0)</f>
        <v/>
      </c>
      <c r="I150" s="130">
        <f>IFERROR(G150+H150,0)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IFERROR(MAX(N(N150)-N(O150),0),0)</f>
        <v/>
      </c>
      <c r="Q150" s="130">
        <f>IFERROR(N(O150)*GeneratorRate,0)</f>
        <v/>
      </c>
      <c r="R150" s="130">
        <f>IFERROR(N(P150)*GovernmentRate,0)</f>
        <v/>
      </c>
      <c r="S150" s="130">
        <f>IFERROR(Q150+R150,0)</f>
        <v/>
      </c>
      <c r="T150" s="130">
        <f>IFERROR(S150/M150,0)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IFERROR(MAX(N(D151)-N(E151),0),0)</f>
        <v/>
      </c>
      <c r="G151" s="130">
        <f>IFERROR(N(E151)*GeneratorRate,0)</f>
        <v/>
      </c>
      <c r="H151" s="130">
        <f>IFERROR(N(F151)*GovernmentRate,0)</f>
        <v/>
      </c>
      <c r="I151" s="130">
        <f>IFERROR(G151+H151,0)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IFERROR(MAX(N(N151)-N(O151),0),0)</f>
        <v/>
      </c>
      <c r="Q151" s="130">
        <f>IFERROR(N(O151)*GeneratorRate,0)</f>
        <v/>
      </c>
      <c r="R151" s="130">
        <f>IFERROR(N(P151)*GovernmentRate,0)</f>
        <v/>
      </c>
      <c r="S151" s="130">
        <f>IFERROR(Q151+R151,0)</f>
        <v/>
      </c>
      <c r="T151" s="130">
        <f>IFERROR(S151/M151,0)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IFERROR(MAX(N(D152)-N(E152),0),0)</f>
        <v/>
      </c>
      <c r="G152" s="130">
        <f>IFERROR(N(E152)*GeneratorRate,0)</f>
        <v/>
      </c>
      <c r="H152" s="130">
        <f>IFERROR(N(F152)*GovernmentRate,0)</f>
        <v/>
      </c>
      <c r="I152" s="130">
        <f>IFERROR(G152+H152,0)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IFERROR(MAX(N(N152)-N(O152),0),0)</f>
        <v/>
      </c>
      <c r="Q152" s="130">
        <f>IFERROR(N(O152)*GeneratorRate,0)</f>
        <v/>
      </c>
      <c r="R152" s="130">
        <f>IFERROR(N(P152)*GovernmentRate,0)</f>
        <v/>
      </c>
      <c r="S152" s="130">
        <f>IFERROR(Q152+R152,0)</f>
        <v/>
      </c>
      <c r="T152" s="130">
        <f>IFERROR(S152/M152,0)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IFERROR(MAX(N(D153)-N(E153),0),0)</f>
        <v/>
      </c>
      <c r="G153" s="130">
        <f>IFERROR(N(E153)*GeneratorRate,0)</f>
        <v/>
      </c>
      <c r="H153" s="130">
        <f>IFERROR(N(F153)*GovernmentRate,0)</f>
        <v/>
      </c>
      <c r="I153" s="130">
        <f>IFERROR(G153+H153,0)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IFERROR(MAX(N(N153)-N(O153),0),0)</f>
        <v/>
      </c>
      <c r="Q153" s="130">
        <f>IFERROR(N(O153)*GeneratorRate,0)</f>
        <v/>
      </c>
      <c r="R153" s="130">
        <f>IFERROR(N(P153)*GovernmentRate,0)</f>
        <v/>
      </c>
      <c r="S153" s="130">
        <f>IFERROR(Q153+R153,0)</f>
        <v/>
      </c>
      <c r="T153" s="130">
        <f>IFERROR(S153/M153,0)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IFERROR(MAX(N(D154)-N(E154),0),0)</f>
        <v/>
      </c>
      <c r="G154" s="130">
        <f>IFERROR(N(E154)*GeneratorRate,0)</f>
        <v/>
      </c>
      <c r="H154" s="130">
        <f>IFERROR(N(F154)*GovernmentRate,0)</f>
        <v/>
      </c>
      <c r="I154" s="130">
        <f>IFERROR(G154+H154,0)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IFERROR(MAX(N(N154)-N(O154),0),0)</f>
        <v/>
      </c>
      <c r="Q154" s="130">
        <f>IFERROR(N(O154)*GeneratorRate,0)</f>
        <v/>
      </c>
      <c r="R154" s="130">
        <f>IFERROR(N(P154)*GovernmentRate,0)</f>
        <v/>
      </c>
      <c r="S154" s="130">
        <f>IFERROR(Q154+R154,0)</f>
        <v/>
      </c>
      <c r="T154" s="130">
        <f>IFERROR(S154/M154,0)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IFERROR(MAX(N(D155)-N(E155),0),0)</f>
        <v/>
      </c>
      <c r="G155" s="130">
        <f>IFERROR(N(E155)*GeneratorRate,0)</f>
        <v/>
      </c>
      <c r="H155" s="130">
        <f>IFERROR(N(F155)*GovernmentRate,0)</f>
        <v/>
      </c>
      <c r="I155" s="130">
        <f>IFERROR(G155+H155,0)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IFERROR(MAX(N(N155)-N(O155),0),0)</f>
        <v/>
      </c>
      <c r="Q155" s="130">
        <f>IFERROR(N(O155)*GeneratorRate,0)</f>
        <v/>
      </c>
      <c r="R155" s="130">
        <f>IFERROR(N(P155)*GovernmentRate,0)</f>
        <v/>
      </c>
      <c r="S155" s="130">
        <f>IFERROR(Q155+R155,0)</f>
        <v/>
      </c>
      <c r="T155" s="130">
        <f>IFERROR(S155/M155,0)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IFERROR(MAX(N(D156)-N(E156),0),0)</f>
        <v/>
      </c>
      <c r="G156" s="130">
        <f>IFERROR(N(E156)*GeneratorRate,0)</f>
        <v/>
      </c>
      <c r="H156" s="130">
        <f>IFERROR(N(F156)*GovernmentRate,0)</f>
        <v/>
      </c>
      <c r="I156" s="130">
        <f>IFERROR(G156+H156,0)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IFERROR(MAX(N(N156)-N(O156),0),0)</f>
        <v/>
      </c>
      <c r="Q156" s="130">
        <f>IFERROR(N(O156)*GeneratorRate,0)</f>
        <v/>
      </c>
      <c r="R156" s="130">
        <f>IFERROR(N(P156)*GovernmentRate,0)</f>
        <v/>
      </c>
      <c r="S156" s="130">
        <f>IFERROR(Q156+R156,0)</f>
        <v/>
      </c>
      <c r="T156" s="130">
        <f>IFERROR(S156/M156,0)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IFERROR(MAX(N(D157)-N(E157),0),0)</f>
        <v/>
      </c>
      <c r="G157" s="130">
        <f>IFERROR(N(E157)*GeneratorRate,0)</f>
        <v/>
      </c>
      <c r="H157" s="130">
        <f>IFERROR(N(F157)*GovernmentRate,0)</f>
        <v/>
      </c>
      <c r="I157" s="130">
        <f>IFERROR(G157+H157,0)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IFERROR(MAX(N(N157)-N(O157),0),0)</f>
        <v/>
      </c>
      <c r="Q157" s="130">
        <f>IFERROR(N(O157)*GeneratorRate,0)</f>
        <v/>
      </c>
      <c r="R157" s="130">
        <f>IFERROR(N(P157)*GovernmentRate,0)</f>
        <v/>
      </c>
      <c r="S157" s="130">
        <f>IFERROR(Q157+R157,0)</f>
        <v/>
      </c>
      <c r="T157" s="130">
        <f>IFERROR(S157/M157,0)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IFERROR(MAX(N(D158)-N(E158),0),0)</f>
        <v/>
      </c>
      <c r="G158" s="130">
        <f>IFERROR(N(E158)*GeneratorRate,0)</f>
        <v/>
      </c>
      <c r="H158" s="130">
        <f>IFERROR(N(F158)*GovernmentRate,0)</f>
        <v/>
      </c>
      <c r="I158" s="130">
        <f>IFERROR(G158+H158,0)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IFERROR(MAX(N(N158)-N(O158),0),0)</f>
        <v/>
      </c>
      <c r="Q158" s="130">
        <f>IFERROR(N(O158)*GeneratorRate,0)</f>
        <v/>
      </c>
      <c r="R158" s="130">
        <f>IFERROR(N(P158)*GovernmentRate,0)</f>
        <v/>
      </c>
      <c r="S158" s="130">
        <f>IFERROR(Q158+R158,0)</f>
        <v/>
      </c>
      <c r="T158" s="130">
        <f>IFERROR(S158/M158,0)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IFERROR(MAX(N(D159)-N(E159),0),0)</f>
        <v/>
      </c>
      <c r="G159" s="130">
        <f>IFERROR(N(E159)*GeneratorRate,0)</f>
        <v/>
      </c>
      <c r="H159" s="130">
        <f>IFERROR(N(F159)*GovernmentRate,0)</f>
        <v/>
      </c>
      <c r="I159" s="130">
        <f>IFERROR(G159+H159,0)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IFERROR(MAX(N(N159)-N(O159),0),0)</f>
        <v/>
      </c>
      <c r="Q159" s="130">
        <f>IFERROR(N(O159)*GeneratorRate,0)</f>
        <v/>
      </c>
      <c r="R159" s="130">
        <f>IFERROR(N(P159)*GovernmentRate,0)</f>
        <v/>
      </c>
      <c r="S159" s="130">
        <f>IFERROR(Q159+R159,0)</f>
        <v/>
      </c>
      <c r="T159" s="130">
        <f>IFERROR(S159/M159,0)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IFERROR(MAX(N(D160)-N(E160),0),0)</f>
        <v/>
      </c>
      <c r="G160" s="130">
        <f>IFERROR(N(E160)*GeneratorRate,0)</f>
        <v/>
      </c>
      <c r="H160" s="130">
        <f>IFERROR(N(F160)*GovernmentRate,0)</f>
        <v/>
      </c>
      <c r="I160" s="130">
        <f>IFERROR(G160+H160,0)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IFERROR(MAX(N(N160)-N(O160),0),0)</f>
        <v/>
      </c>
      <c r="Q160" s="130">
        <f>IFERROR(N(O160)*GeneratorRate,0)</f>
        <v/>
      </c>
      <c r="R160" s="130">
        <f>IFERROR(N(P160)*GovernmentRate,0)</f>
        <v/>
      </c>
      <c r="S160" s="130">
        <f>IFERROR(Q160+R160,0)</f>
        <v/>
      </c>
      <c r="T160" s="130">
        <f>IFERROR(S160/M160,0)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IFERROR(MAX(N(D161)-N(E161),0),0)</f>
        <v/>
      </c>
      <c r="G161" s="130">
        <f>IFERROR(N(E161)*GeneratorRate,0)</f>
        <v/>
      </c>
      <c r="H161" s="130">
        <f>IFERROR(N(F161)*GovernmentRate,0)</f>
        <v/>
      </c>
      <c r="I161" s="130">
        <f>IFERROR(G161+H161,0)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IFERROR(MAX(N(N161)-N(O161),0),0)</f>
        <v/>
      </c>
      <c r="Q161" s="130">
        <f>IFERROR(N(O161)*GeneratorRate,0)</f>
        <v/>
      </c>
      <c r="R161" s="130">
        <f>IFERROR(N(P161)*GovernmentRate,0)</f>
        <v/>
      </c>
      <c r="S161" s="130">
        <f>IFERROR(Q161+R161,0)</f>
        <v/>
      </c>
      <c r="T161" s="130">
        <f>IFERROR(S161/M161,0)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IFERROR(MAX(N(D162)-N(E162),0),0)</f>
        <v/>
      </c>
      <c r="G162" s="130">
        <f>IFERROR(N(E162)*GeneratorRate,0)</f>
        <v/>
      </c>
      <c r="H162" s="130">
        <f>IFERROR(N(F162)*GovernmentRate,0)</f>
        <v/>
      </c>
      <c r="I162" s="130">
        <f>IFERROR(G162+H162,0)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IFERROR(MAX(N(N162)-N(O162),0),0)</f>
        <v/>
      </c>
      <c r="Q162" s="130">
        <f>IFERROR(N(O162)*GeneratorRate,0)</f>
        <v/>
      </c>
      <c r="R162" s="130">
        <f>IFERROR(N(P162)*GovernmentRate,0)</f>
        <v/>
      </c>
      <c r="S162" s="130">
        <f>IFERROR(Q162+R162,0)</f>
        <v/>
      </c>
      <c r="T162" s="130">
        <f>IFERROR(S162/M162,0)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IFERROR(MAX(N(D163)-N(E163),0),0)</f>
        <v/>
      </c>
      <c r="G163" s="130">
        <f>IFERROR(N(E163)*GeneratorRate,0)</f>
        <v/>
      </c>
      <c r="H163" s="130">
        <f>IFERROR(N(F163)*GovernmentRate,0)</f>
        <v/>
      </c>
      <c r="I163" s="130">
        <f>IFERROR(G163+H163,0)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IFERROR(MAX(N(N163)-N(O163),0),0)</f>
        <v/>
      </c>
      <c r="Q163" s="130">
        <f>IFERROR(N(O163)*GeneratorRate,0)</f>
        <v/>
      </c>
      <c r="R163" s="130">
        <f>IFERROR(N(P163)*GovernmentRate,0)</f>
        <v/>
      </c>
      <c r="S163" s="130">
        <f>IFERROR(Q163+R163,0)</f>
        <v/>
      </c>
      <c r="T163" s="130">
        <f>IFERROR(S163/M163,0)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IFERROR(MAX(N(D164)-N(E164),0),0)</f>
        <v/>
      </c>
      <c r="G164" s="130">
        <f>IFERROR(N(E164)*GeneratorRate,0)</f>
        <v/>
      </c>
      <c r="H164" s="130">
        <f>IFERROR(N(F164)*GovernmentRate,0)</f>
        <v/>
      </c>
      <c r="I164" s="130">
        <f>IFERROR(G164+H164,0)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IFERROR(MAX(N(N164)-N(O164),0),0)</f>
        <v/>
      </c>
      <c r="Q164" s="130">
        <f>IFERROR(N(O164)*GeneratorRate,0)</f>
        <v/>
      </c>
      <c r="R164" s="130">
        <f>IFERROR(N(P164)*GovernmentRate,0)</f>
        <v/>
      </c>
      <c r="S164" s="130">
        <f>IFERROR(Q164+R164,0)</f>
        <v/>
      </c>
      <c r="T164" s="130">
        <f>IFERROR(S164/M164,0)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IFERROR(MAX(N(D165)-N(E165),0),0)</f>
        <v/>
      </c>
      <c r="G165" s="130">
        <f>IFERROR(N(E165)*GeneratorRate,0)</f>
        <v/>
      </c>
      <c r="H165" s="130">
        <f>IFERROR(N(F165)*GovernmentRate,0)</f>
        <v/>
      </c>
      <c r="I165" s="130">
        <f>IFERROR(G165+H165,0)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IFERROR(MAX(N(N165)-N(O165),0),0)</f>
        <v/>
      </c>
      <c r="Q165" s="130">
        <f>IFERROR(N(O165)*GeneratorRate,0)</f>
        <v/>
      </c>
      <c r="R165" s="130">
        <f>IFERROR(N(P165)*GovernmentRate,0)</f>
        <v/>
      </c>
      <c r="S165" s="130">
        <f>IFERROR(Q165+R165,0)</f>
        <v/>
      </c>
      <c r="T165" s="130">
        <f>IFERROR(S165/M165,0)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IFERROR(MAX(N(D166)-N(E166),0),0)</f>
        <v/>
      </c>
      <c r="G166" s="130">
        <f>IFERROR(N(E166)*GeneratorRate,0)</f>
        <v/>
      </c>
      <c r="H166" s="130">
        <f>IFERROR(N(F166)*GovernmentRate,0)</f>
        <v/>
      </c>
      <c r="I166" s="130">
        <f>IFERROR(G166+H166,0)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IFERROR(MAX(N(N166)-N(O166),0),0)</f>
        <v/>
      </c>
      <c r="Q166" s="130">
        <f>IFERROR(N(O166)*GeneratorRate,0)</f>
        <v/>
      </c>
      <c r="R166" s="130">
        <f>IFERROR(N(P166)*GovernmentRate,0)</f>
        <v/>
      </c>
      <c r="S166" s="130">
        <f>IFERROR(Q166+R166,0)</f>
        <v/>
      </c>
      <c r="T166" s="130">
        <f>IFERROR(S166/M166,0)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IFERROR(MAX(N(D167)-N(E167),0),0)</f>
        <v/>
      </c>
      <c r="G167" s="130">
        <f>IFERROR(N(E167)*GeneratorRate,0)</f>
        <v/>
      </c>
      <c r="H167" s="130">
        <f>IFERROR(N(F167)*GovernmentRate,0)</f>
        <v/>
      </c>
      <c r="I167" s="130">
        <f>IFERROR(G167+H167,0)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IFERROR(MAX(N(N167)-N(O167),0),0)</f>
        <v/>
      </c>
      <c r="Q167" s="130">
        <f>IFERROR(N(O167)*GeneratorRate,0)</f>
        <v/>
      </c>
      <c r="R167" s="130">
        <f>IFERROR(N(P167)*GovernmentRate,0)</f>
        <v/>
      </c>
      <c r="S167" s="130">
        <f>IFERROR(Q167+R167,0)</f>
        <v/>
      </c>
      <c r="T167" s="130">
        <f>IFERROR(S167/M167,0)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IFERROR(MAX(N(D168)-N(E168),0),0)</f>
        <v/>
      </c>
      <c r="G168" s="130">
        <f>IFERROR(N(E168)*GeneratorRate,0)</f>
        <v/>
      </c>
      <c r="H168" s="130">
        <f>IFERROR(N(F168)*GovernmentRate,0)</f>
        <v/>
      </c>
      <c r="I168" s="130">
        <f>IFERROR(G168+H168,0)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IFERROR(MAX(N(N168)-N(O168),0),0)</f>
        <v/>
      </c>
      <c r="Q168" s="130">
        <f>IFERROR(N(O168)*GeneratorRate,0)</f>
        <v/>
      </c>
      <c r="R168" s="130">
        <f>IFERROR(N(P168)*GovernmentRate,0)</f>
        <v/>
      </c>
      <c r="S168" s="130">
        <f>IFERROR(Q168+R168,0)</f>
        <v/>
      </c>
      <c r="T168" s="130">
        <f>IFERROR(S168/M168,0)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IFERROR(MAX(N(D169)-N(E169),0),0)</f>
        <v/>
      </c>
      <c r="G169" s="130">
        <f>IFERROR(N(E169)*GeneratorRate,0)</f>
        <v/>
      </c>
      <c r="H169" s="130">
        <f>IFERROR(N(F169)*GovernmentRate,0)</f>
        <v/>
      </c>
      <c r="I169" s="130">
        <f>IFERROR(G169+H169,0)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IFERROR(MAX(N(N169)-N(O169),0),0)</f>
        <v/>
      </c>
      <c r="Q169" s="130">
        <f>IFERROR(N(O169)*GeneratorRate,0)</f>
        <v/>
      </c>
      <c r="R169" s="130">
        <f>IFERROR(N(P169)*GovernmentRate,0)</f>
        <v/>
      </c>
      <c r="S169" s="130">
        <f>IFERROR(Q169+R169,0)</f>
        <v/>
      </c>
      <c r="T169" s="130">
        <f>IFERROR(S169/M169,0)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IFERROR(MAX(N(D170)-N(E170),0),0)</f>
        <v/>
      </c>
      <c r="G170" s="130">
        <f>IFERROR(N(E170)*GeneratorRate,0)</f>
        <v/>
      </c>
      <c r="H170" s="130">
        <f>IFERROR(N(F170)*GovernmentRate,0)</f>
        <v/>
      </c>
      <c r="I170" s="130">
        <f>IFERROR(G170+H170,0)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IFERROR(MAX(N(N170)-N(O170),0),0)</f>
        <v/>
      </c>
      <c r="Q170" s="130">
        <f>IFERROR(N(O170)*GeneratorRate,0)</f>
        <v/>
      </c>
      <c r="R170" s="130">
        <f>IFERROR(N(P170)*GovernmentRate,0)</f>
        <v/>
      </c>
      <c r="S170" s="130">
        <f>IFERROR(Q170+R170,0)</f>
        <v/>
      </c>
      <c r="T170" s="130">
        <f>IFERROR(S170/M170,0)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IFERROR(MAX(N(D171)-N(E171),0),0)</f>
        <v/>
      </c>
      <c r="G171" s="130">
        <f>IFERROR(N(E171)*GeneratorRate,0)</f>
        <v/>
      </c>
      <c r="H171" s="130">
        <f>IFERROR(N(F171)*GovernmentRate,0)</f>
        <v/>
      </c>
      <c r="I171" s="130">
        <f>IFERROR(G171+H171,0)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IFERROR(MAX(N(N171)-N(O171),0),0)</f>
        <v/>
      </c>
      <c r="Q171" s="130">
        <f>IFERROR(N(O171)*GeneratorRate,0)</f>
        <v/>
      </c>
      <c r="R171" s="130">
        <f>IFERROR(N(P171)*GovernmentRate,0)</f>
        <v/>
      </c>
      <c r="S171" s="130">
        <f>IFERROR(Q171+R171,0)</f>
        <v/>
      </c>
      <c r="T171" s="130">
        <f>IFERROR(S171/M171,0)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IFERROR(MAX(N(D172)-N(E172),0),0)</f>
        <v/>
      </c>
      <c r="G172" s="130">
        <f>IFERROR(N(E172)*GeneratorRate,0)</f>
        <v/>
      </c>
      <c r="H172" s="130">
        <f>IFERROR(N(F172)*GovernmentRate,0)</f>
        <v/>
      </c>
      <c r="I172" s="130">
        <f>IFERROR(G172+H172,0)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IFERROR(MAX(N(N172)-N(O172),0),0)</f>
        <v/>
      </c>
      <c r="Q172" s="130">
        <f>IFERROR(N(O172)*GeneratorRate,0)</f>
        <v/>
      </c>
      <c r="R172" s="130">
        <f>IFERROR(N(P172)*GovernmentRate,0)</f>
        <v/>
      </c>
      <c r="S172" s="130">
        <f>IFERROR(Q172+R172,0)</f>
        <v/>
      </c>
      <c r="T172" s="130">
        <f>IFERROR(S172/M172,0)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IFERROR(MAX(N(D173)-N(E173),0),0)</f>
        <v/>
      </c>
      <c r="G173" s="130">
        <f>IFERROR(N(E173)*GeneratorRate,0)</f>
        <v/>
      </c>
      <c r="H173" s="130">
        <f>IFERROR(N(F173)*GovernmentRate,0)</f>
        <v/>
      </c>
      <c r="I173" s="130">
        <f>IFERROR(G173+H173,0)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IFERROR(MAX(N(N173)-N(O173),0),0)</f>
        <v/>
      </c>
      <c r="Q173" s="130">
        <f>IFERROR(N(O173)*GeneratorRate,0)</f>
        <v/>
      </c>
      <c r="R173" s="130">
        <f>IFERROR(N(P173)*GovernmentRate,0)</f>
        <v/>
      </c>
      <c r="S173" s="130">
        <f>IFERROR(Q173+R173,0)</f>
        <v/>
      </c>
      <c r="T173" s="130">
        <f>IFERROR(S173/M173,0)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IFERROR(MAX(N(D174)-N(E174),0),0)</f>
        <v/>
      </c>
      <c r="G174" s="130">
        <f>IFERROR(N(E174)*GeneratorRate,0)</f>
        <v/>
      </c>
      <c r="H174" s="130">
        <f>IFERROR(N(F174)*GovernmentRate,0)</f>
        <v/>
      </c>
      <c r="I174" s="130">
        <f>IFERROR(G174+H174,0)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IFERROR(MAX(N(N174)-N(O174),0),0)</f>
        <v/>
      </c>
      <c r="Q174" s="130">
        <f>IFERROR(N(O174)*GeneratorRate,0)</f>
        <v/>
      </c>
      <c r="R174" s="130">
        <f>IFERROR(N(P174)*GovernmentRate,0)</f>
        <v/>
      </c>
      <c r="S174" s="130">
        <f>IFERROR(Q174+R174,0)</f>
        <v/>
      </c>
      <c r="T174" s="130">
        <f>IFERROR(S174/M174,0)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IFERROR(MAX(N(D175)-N(E175),0),0)</f>
        <v/>
      </c>
      <c r="G175" s="130">
        <f>IFERROR(N(E175)*GeneratorRate,0)</f>
        <v/>
      </c>
      <c r="H175" s="130">
        <f>IFERROR(N(F175)*GovernmentRate,0)</f>
        <v/>
      </c>
      <c r="I175" s="130">
        <f>IFERROR(G175+H175,0)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IFERROR(MAX(N(N175)-N(O175),0),0)</f>
        <v/>
      </c>
      <c r="Q175" s="130">
        <f>IFERROR(N(O175)*GeneratorRate,0)</f>
        <v/>
      </c>
      <c r="R175" s="130">
        <f>IFERROR(N(P175)*GovernmentRate,0)</f>
        <v/>
      </c>
      <c r="S175" s="130">
        <f>IFERROR(Q175+R175,0)</f>
        <v/>
      </c>
      <c r="T175" s="130">
        <f>IFERROR(S175/M175,0)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IFERROR(MAX(N(D176)-N(E176),0),0)</f>
        <v/>
      </c>
      <c r="G176" s="130">
        <f>IFERROR(N(E176)*GeneratorRate,0)</f>
        <v/>
      </c>
      <c r="H176" s="130">
        <f>IFERROR(N(F176)*GovernmentRate,0)</f>
        <v/>
      </c>
      <c r="I176" s="130">
        <f>IFERROR(G176+H176,0)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IFERROR(MAX(N(N176)-N(O176),0),0)</f>
        <v/>
      </c>
      <c r="Q176" s="130">
        <f>IFERROR(N(O176)*GeneratorRate,0)</f>
        <v/>
      </c>
      <c r="R176" s="130">
        <f>IFERROR(N(P176)*GovernmentRate,0)</f>
        <v/>
      </c>
      <c r="S176" s="130">
        <f>IFERROR(Q176+R176,0)</f>
        <v/>
      </c>
      <c r="T176" s="130">
        <f>IFERROR(S176/M176,0)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IFERROR(MAX(N(D177)-N(E177),0),0)</f>
        <v/>
      </c>
      <c r="G177" s="130">
        <f>IFERROR(N(E177)*GeneratorRate,0)</f>
        <v/>
      </c>
      <c r="H177" s="130">
        <f>IFERROR(N(F177)*GovernmentRate,0)</f>
        <v/>
      </c>
      <c r="I177" s="130">
        <f>IFERROR(G177+H177,0)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IFERROR(MAX(N(N177)-N(O177),0),0)</f>
        <v/>
      </c>
      <c r="Q177" s="130">
        <f>IFERROR(N(O177)*GeneratorRate,0)</f>
        <v/>
      </c>
      <c r="R177" s="130">
        <f>IFERROR(N(P177)*GovernmentRate,0)</f>
        <v/>
      </c>
      <c r="S177" s="130">
        <f>IFERROR(Q177+R177,0)</f>
        <v/>
      </c>
      <c r="T177" s="130">
        <f>IFERROR(S177/M177,0)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IFERROR(MAX(N(D178)-N(E178),0),0)</f>
        <v/>
      </c>
      <c r="G178" s="130">
        <f>IFERROR(N(E178)*GeneratorRate,0)</f>
        <v/>
      </c>
      <c r="H178" s="130">
        <f>IFERROR(N(F178)*GovernmentRate,0)</f>
        <v/>
      </c>
      <c r="I178" s="130">
        <f>IFERROR(G178+H178,0)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IFERROR(MAX(N(N178)-N(O178),0),0)</f>
        <v/>
      </c>
      <c r="Q178" s="130">
        <f>IFERROR(N(O178)*GeneratorRate,0)</f>
        <v/>
      </c>
      <c r="R178" s="130">
        <f>IFERROR(N(P178)*GovernmentRate,0)</f>
        <v/>
      </c>
      <c r="S178" s="130">
        <f>IFERROR(Q178+R178,0)</f>
        <v/>
      </c>
      <c r="T178" s="130">
        <f>IFERROR(S178/M178,0)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IFERROR(MAX(N(D179)-N(E179),0),0)</f>
        <v/>
      </c>
      <c r="G179" s="130">
        <f>IFERROR(N(E179)*GeneratorRate,0)</f>
        <v/>
      </c>
      <c r="H179" s="130">
        <f>IFERROR(N(F179)*GovernmentRate,0)</f>
        <v/>
      </c>
      <c r="I179" s="130">
        <f>IFERROR(G179+H179,0)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IFERROR(MAX(N(N179)-N(O179),0),0)</f>
        <v/>
      </c>
      <c r="Q179" s="130">
        <f>IFERROR(N(O179)*GeneratorRate,0)</f>
        <v/>
      </c>
      <c r="R179" s="130">
        <f>IFERROR(N(P179)*GovernmentRate,0)</f>
        <v/>
      </c>
      <c r="S179" s="130">
        <f>IFERROR(Q179+R179,0)</f>
        <v/>
      </c>
      <c r="T179" s="130">
        <f>IFERROR(S179/M179,0)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IFERROR(MAX(N(D180)-N(E180),0),0)</f>
        <v/>
      </c>
      <c r="G180" s="130">
        <f>IFERROR(N(E180)*GeneratorRate,0)</f>
        <v/>
      </c>
      <c r="H180" s="130">
        <f>IFERROR(N(F180)*GovernmentRate,0)</f>
        <v/>
      </c>
      <c r="I180" s="130">
        <f>IFERROR(G180+H180,0)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IFERROR(MAX(N(N180)-N(O180),0),0)</f>
        <v/>
      </c>
      <c r="Q180" s="130">
        <f>IFERROR(N(O180)*GeneratorRate,0)</f>
        <v/>
      </c>
      <c r="R180" s="130">
        <f>IFERROR(N(P180)*GovernmentRate,0)</f>
        <v/>
      </c>
      <c r="S180" s="130">
        <f>IFERROR(Q180+R180,0)</f>
        <v/>
      </c>
      <c r="T180" s="130">
        <f>IFERROR(S180/M180,0)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IFERROR(MAX(N(D181)-N(E181),0),0)</f>
        <v/>
      </c>
      <c r="G181" s="130">
        <f>IFERROR(N(E181)*GeneratorRate,0)</f>
        <v/>
      </c>
      <c r="H181" s="130">
        <f>IFERROR(N(F181)*GovernmentRate,0)</f>
        <v/>
      </c>
      <c r="I181" s="130">
        <f>IFERROR(G181+H181,0)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IFERROR(MAX(N(N181)-N(O181),0),0)</f>
        <v/>
      </c>
      <c r="Q181" s="130">
        <f>IFERROR(N(O181)*GeneratorRate,0)</f>
        <v/>
      </c>
      <c r="R181" s="130">
        <f>IFERROR(N(P181)*GovernmentRate,0)</f>
        <v/>
      </c>
      <c r="S181" s="130">
        <f>IFERROR(Q181+R181,0)</f>
        <v/>
      </c>
      <c r="T181" s="130">
        <f>IFERROR(S181/M181,0)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IFERROR(MAX(N(D182)-N(E182),0),0)</f>
        <v/>
      </c>
      <c r="G182" s="130">
        <f>IFERROR(N(E182)*GeneratorRate,0)</f>
        <v/>
      </c>
      <c r="H182" s="130">
        <f>IFERROR(N(F182)*GovernmentRate,0)</f>
        <v/>
      </c>
      <c r="I182" s="130">
        <f>IFERROR(G182+H182,0)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IFERROR(MAX(N(N182)-N(O182),0),0)</f>
        <v/>
      </c>
      <c r="Q182" s="130">
        <f>IFERROR(N(O182)*GeneratorRate,0)</f>
        <v/>
      </c>
      <c r="R182" s="130">
        <f>IFERROR(N(P182)*GovernmentRate,0)</f>
        <v/>
      </c>
      <c r="S182" s="130">
        <f>IFERROR(Q182+R182,0)</f>
        <v/>
      </c>
      <c r="T182" s="130">
        <f>IFERROR(S182/M182,0)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IFERROR(MAX(N(D183)-N(E183),0),0)</f>
        <v/>
      </c>
      <c r="G183" s="130">
        <f>IFERROR(N(E183)*GeneratorRate,0)</f>
        <v/>
      </c>
      <c r="H183" s="130">
        <f>IFERROR(N(F183)*GovernmentRate,0)</f>
        <v/>
      </c>
      <c r="I183" s="130">
        <f>IFERROR(G183+H183,0)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IFERROR(MAX(N(N183)-N(O183),0),0)</f>
        <v/>
      </c>
      <c r="Q183" s="130">
        <f>IFERROR(N(O183)*GeneratorRate,0)</f>
        <v/>
      </c>
      <c r="R183" s="130">
        <f>IFERROR(N(P183)*GovernmentRate,0)</f>
        <v/>
      </c>
      <c r="S183" s="130">
        <f>IFERROR(Q183+R183,0)</f>
        <v/>
      </c>
      <c r="T183" s="130">
        <f>IFERROR(S183/M183,0)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IFERROR(MAX(N(D184)-N(E184),0),0)</f>
        <v/>
      </c>
      <c r="G184" s="130">
        <f>IFERROR(N(E184)*GeneratorRate,0)</f>
        <v/>
      </c>
      <c r="H184" s="130">
        <f>IFERROR(N(F184)*GovernmentRate,0)</f>
        <v/>
      </c>
      <c r="I184" s="130">
        <f>IFERROR(G184+H184,0)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IFERROR(MAX(N(N184)-N(O184),0),0)</f>
        <v/>
      </c>
      <c r="Q184" s="130">
        <f>IFERROR(N(O184)*GeneratorRate,0)</f>
        <v/>
      </c>
      <c r="R184" s="130">
        <f>IFERROR(N(P184)*GovernmentRate,0)</f>
        <v/>
      </c>
      <c r="S184" s="130">
        <f>IFERROR(Q184+R184,0)</f>
        <v/>
      </c>
      <c r="T184" s="130">
        <f>IFERROR(S184/M184,0)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IFERROR(MAX(N(D185)-N(E185),0),0)</f>
        <v/>
      </c>
      <c r="G185" s="130">
        <f>IFERROR(N(E185)*GeneratorRate,0)</f>
        <v/>
      </c>
      <c r="H185" s="130">
        <f>IFERROR(N(F185)*GovernmentRate,0)</f>
        <v/>
      </c>
      <c r="I185" s="130">
        <f>IFERROR(G185+H185,0)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IFERROR(MAX(N(N185)-N(O185),0),0)</f>
        <v/>
      </c>
      <c r="Q185" s="130">
        <f>IFERROR(N(O185)*GeneratorRate,0)</f>
        <v/>
      </c>
      <c r="R185" s="130">
        <f>IFERROR(N(P185)*GovernmentRate,0)</f>
        <v/>
      </c>
      <c r="S185" s="130">
        <f>IFERROR(Q185+R185,0)</f>
        <v/>
      </c>
      <c r="T185" s="130">
        <f>IFERROR(S185/M185,0)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IFERROR(MAX(N(D186)-N(E186),0),0)</f>
        <v/>
      </c>
      <c r="G186" s="130">
        <f>IFERROR(N(E186)*GeneratorRate,0)</f>
        <v/>
      </c>
      <c r="H186" s="130">
        <f>IFERROR(N(F186)*GovernmentRate,0)</f>
        <v/>
      </c>
      <c r="I186" s="130">
        <f>IFERROR(G186+H186,0)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IFERROR(MAX(N(N186)-N(O186),0),0)</f>
        <v/>
      </c>
      <c r="Q186" s="130">
        <f>IFERROR(N(O186)*GeneratorRate,0)</f>
        <v/>
      </c>
      <c r="R186" s="130">
        <f>IFERROR(N(P186)*GovernmentRate,0)</f>
        <v/>
      </c>
      <c r="S186" s="130">
        <f>IFERROR(Q186+R186,0)</f>
        <v/>
      </c>
      <c r="T186" s="130">
        <f>IFERROR(S186/M186,0)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IFERROR(MAX(N(D187)-N(E187),0),0)</f>
        <v/>
      </c>
      <c r="G187" s="130">
        <f>IFERROR(N(E187)*GeneratorRate,0)</f>
        <v/>
      </c>
      <c r="H187" s="130">
        <f>IFERROR(N(F187)*GovernmentRate,0)</f>
        <v/>
      </c>
      <c r="I187" s="130">
        <f>IFERROR(G187+H187,0)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IFERROR(MAX(N(N187)-N(O187),0),0)</f>
        <v/>
      </c>
      <c r="Q187" s="130">
        <f>IFERROR(N(O187)*GeneratorRate,0)</f>
        <v/>
      </c>
      <c r="R187" s="130">
        <f>IFERROR(N(P187)*GovernmentRate,0)</f>
        <v/>
      </c>
      <c r="S187" s="130">
        <f>IFERROR(Q187+R187,0)</f>
        <v/>
      </c>
      <c r="T187" s="130">
        <f>IFERROR(S187/M187,0)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IFERROR(MAX(N(D188)-N(E188),0),0)</f>
        <v/>
      </c>
      <c r="G188" s="130">
        <f>IFERROR(N(E188)*GeneratorRate,0)</f>
        <v/>
      </c>
      <c r="H188" s="130">
        <f>IFERROR(N(F188)*GovernmentRate,0)</f>
        <v/>
      </c>
      <c r="I188" s="130">
        <f>IFERROR(G188+H188,0)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IFERROR(MAX(N(N188)-N(O188),0),0)</f>
        <v/>
      </c>
      <c r="Q188" s="130">
        <f>IFERROR(N(O188)*GeneratorRate,0)</f>
        <v/>
      </c>
      <c r="R188" s="130">
        <f>IFERROR(N(P188)*GovernmentRate,0)</f>
        <v/>
      </c>
      <c r="S188" s="130">
        <f>IFERROR(Q188+R188,0)</f>
        <v/>
      </c>
      <c r="T188" s="130">
        <f>IFERROR(S188/M188,0)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IFERROR(MAX(N(D189)-N(E189),0),0)</f>
        <v/>
      </c>
      <c r="G189" s="130">
        <f>IFERROR(N(E189)*GeneratorRate,0)</f>
        <v/>
      </c>
      <c r="H189" s="130">
        <f>IFERROR(N(F189)*GovernmentRate,0)</f>
        <v/>
      </c>
      <c r="I189" s="130">
        <f>IFERROR(G189+H189,0)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IFERROR(MAX(N(N189)-N(O189),0),0)</f>
        <v/>
      </c>
      <c r="Q189" s="130">
        <f>IFERROR(N(O189)*GeneratorRate,0)</f>
        <v/>
      </c>
      <c r="R189" s="130">
        <f>IFERROR(N(P189)*GovernmentRate,0)</f>
        <v/>
      </c>
      <c r="S189" s="130">
        <f>IFERROR(Q189+R189,0)</f>
        <v/>
      </c>
      <c r="T189" s="130">
        <f>IFERROR(S189/M189,0)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IFERROR(MAX(N(D190)-N(E190),0),0)</f>
        <v/>
      </c>
      <c r="G190" s="130">
        <f>IFERROR(N(E190)*GeneratorRate,0)</f>
        <v/>
      </c>
      <c r="H190" s="130">
        <f>IFERROR(N(F190)*GovernmentRate,0)</f>
        <v/>
      </c>
      <c r="I190" s="130">
        <f>IFERROR(G190+H190,0)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IFERROR(MAX(N(N190)-N(O190),0),0)</f>
        <v/>
      </c>
      <c r="Q190" s="130">
        <f>IFERROR(N(O190)*GeneratorRate,0)</f>
        <v/>
      </c>
      <c r="R190" s="130">
        <f>IFERROR(N(P190)*GovernmentRate,0)</f>
        <v/>
      </c>
      <c r="S190" s="130">
        <f>IFERROR(Q190+R190,0)</f>
        <v/>
      </c>
      <c r="T190" s="130">
        <f>IFERROR(S190/M190,0)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IFERROR(MAX(N(D191)-N(E191),0),0)</f>
        <v/>
      </c>
      <c r="G191" s="130">
        <f>IFERROR(N(E191)*GeneratorRate,0)</f>
        <v/>
      </c>
      <c r="H191" s="130">
        <f>IFERROR(N(F191)*GovernmentRate,0)</f>
        <v/>
      </c>
      <c r="I191" s="130">
        <f>IFERROR(G191+H191,0)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IFERROR(MAX(N(N191)-N(O191),0),0)</f>
        <v/>
      </c>
      <c r="Q191" s="130">
        <f>IFERROR(N(O191)*GeneratorRate,0)</f>
        <v/>
      </c>
      <c r="R191" s="130">
        <f>IFERROR(N(P191)*GovernmentRate,0)</f>
        <v/>
      </c>
      <c r="S191" s="130">
        <f>IFERROR(Q191+R191,0)</f>
        <v/>
      </c>
      <c r="T191" s="130">
        <f>IFERROR(S191/M191,0)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IFERROR(MAX(N(D192)-N(E192),0),0)</f>
        <v/>
      </c>
      <c r="G192" s="130">
        <f>IFERROR(N(E192)*GeneratorRate,0)</f>
        <v/>
      </c>
      <c r="H192" s="130">
        <f>IFERROR(N(F192)*GovernmentRate,0)</f>
        <v/>
      </c>
      <c r="I192" s="130">
        <f>IFERROR(G192+H192,0)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IFERROR(MAX(N(N192)-N(O192),0),0)</f>
        <v/>
      </c>
      <c r="Q192" s="130">
        <f>IFERROR(N(O192)*GeneratorRate,0)</f>
        <v/>
      </c>
      <c r="R192" s="130">
        <f>IFERROR(N(P192)*GovernmentRate,0)</f>
        <v/>
      </c>
      <c r="S192" s="130">
        <f>IFERROR(Q192+R192,0)</f>
        <v/>
      </c>
      <c r="T192" s="130">
        <f>IFERROR(S192/M192,0)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IFERROR(MAX(N(D193)-N(E193),0),0)</f>
        <v/>
      </c>
      <c r="G193" s="130">
        <f>IFERROR(N(E193)*GeneratorRate,0)</f>
        <v/>
      </c>
      <c r="H193" s="130">
        <f>IFERROR(N(F193)*GovernmentRate,0)</f>
        <v/>
      </c>
      <c r="I193" s="130">
        <f>IFERROR(G193+H193,0)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IFERROR(MAX(N(N193)-N(O193),0),0)</f>
        <v/>
      </c>
      <c r="Q193" s="130">
        <f>IFERROR(N(O193)*GeneratorRate,0)</f>
        <v/>
      </c>
      <c r="R193" s="130">
        <f>IFERROR(N(P193)*GovernmentRate,0)</f>
        <v/>
      </c>
      <c r="S193" s="130">
        <f>IFERROR(Q193+R193,0)</f>
        <v/>
      </c>
      <c r="T193" s="130">
        <f>IFERROR(S193/M193,0)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IFERROR(MAX(N(D194)-N(E194),0),0)</f>
        <v/>
      </c>
      <c r="G194" s="130">
        <f>IFERROR(N(E194)*GeneratorRate,0)</f>
        <v/>
      </c>
      <c r="H194" s="130">
        <f>IFERROR(N(F194)*GovernmentRate,0)</f>
        <v/>
      </c>
      <c r="I194" s="130">
        <f>IFERROR(G194+H194,0)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IFERROR(MAX(N(N194)-N(O194),0),0)</f>
        <v/>
      </c>
      <c r="Q194" s="130">
        <f>IFERROR(N(O194)*GeneratorRate,0)</f>
        <v/>
      </c>
      <c r="R194" s="130">
        <f>IFERROR(N(P194)*GovernmentRate,0)</f>
        <v/>
      </c>
      <c r="S194" s="130">
        <f>IFERROR(Q194+R194,0)</f>
        <v/>
      </c>
      <c r="T194" s="130">
        <f>IFERROR(S194/M194,0)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IFERROR(MAX(N(D195)-N(E195),0),0)</f>
        <v/>
      </c>
      <c r="G195" s="130">
        <f>IFERROR(N(E195)*GeneratorRate,0)</f>
        <v/>
      </c>
      <c r="H195" s="130">
        <f>IFERROR(N(F195)*GovernmentRate,0)</f>
        <v/>
      </c>
      <c r="I195" s="130">
        <f>IFERROR(G195+H195,0)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IFERROR(MAX(N(N195)-N(O195),0),0)</f>
        <v/>
      </c>
      <c r="Q195" s="130">
        <f>IFERROR(N(O195)*GeneratorRate,0)</f>
        <v/>
      </c>
      <c r="R195" s="130">
        <f>IFERROR(N(P195)*GovernmentRate,0)</f>
        <v/>
      </c>
      <c r="S195" s="130">
        <f>IFERROR(Q195+R195,0)</f>
        <v/>
      </c>
      <c r="T195" s="130">
        <f>IFERROR(S195/M195,0)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IFERROR(MAX(N(D196)-N(E196),0),0)</f>
        <v/>
      </c>
      <c r="G196" s="130">
        <f>IFERROR(N(E196)*GeneratorRate,0)</f>
        <v/>
      </c>
      <c r="H196" s="130">
        <f>IFERROR(N(F196)*GovernmentRate,0)</f>
        <v/>
      </c>
      <c r="I196" s="130">
        <f>IFERROR(G196+H196,0)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IFERROR(MAX(N(N196)-N(O196),0),0)</f>
        <v/>
      </c>
      <c r="Q196" s="130">
        <f>IFERROR(N(O196)*GeneratorRate,0)</f>
        <v/>
      </c>
      <c r="R196" s="130">
        <f>IFERROR(N(P196)*GovernmentRate,0)</f>
        <v/>
      </c>
      <c r="S196" s="130">
        <f>IFERROR(Q196+R196,0)</f>
        <v/>
      </c>
      <c r="T196" s="130">
        <f>IFERROR(S196/M196,0)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IFERROR(MAX(N(D197)-N(E197),0),0)</f>
        <v/>
      </c>
      <c r="G197" s="130">
        <f>IFERROR(N(E197)*GeneratorRate,0)</f>
        <v/>
      </c>
      <c r="H197" s="130">
        <f>IFERROR(N(F197)*GovernmentRate,0)</f>
        <v/>
      </c>
      <c r="I197" s="130">
        <f>IFERROR(G197+H197,0)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IFERROR(MAX(N(N197)-N(O197),0),0)</f>
        <v/>
      </c>
      <c r="Q197" s="130">
        <f>IFERROR(N(O197)*GeneratorRate,0)</f>
        <v/>
      </c>
      <c r="R197" s="130">
        <f>IFERROR(N(P197)*GovernmentRate,0)</f>
        <v/>
      </c>
      <c r="S197" s="130">
        <f>IFERROR(Q197+R197,0)</f>
        <v/>
      </c>
      <c r="T197" s="130">
        <f>IFERROR(S197/M197,0)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IFERROR(MAX(N(D198)-N(E198),0),0)</f>
        <v/>
      </c>
      <c r="G198" s="130">
        <f>IFERROR(N(E198)*GeneratorRate,0)</f>
        <v/>
      </c>
      <c r="H198" s="130">
        <f>IFERROR(N(F198)*GovernmentRate,0)</f>
        <v/>
      </c>
      <c r="I198" s="130">
        <f>IFERROR(G198+H198,0)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IFERROR(MAX(N(N198)-N(O198),0),0)</f>
        <v/>
      </c>
      <c r="Q198" s="130">
        <f>IFERROR(N(O198)*GeneratorRate,0)</f>
        <v/>
      </c>
      <c r="R198" s="130">
        <f>IFERROR(N(P198)*GovernmentRate,0)</f>
        <v/>
      </c>
      <c r="S198" s="130">
        <f>IFERROR(Q198+R198,0)</f>
        <v/>
      </c>
      <c r="T198" s="130">
        <f>IFERROR(S198/M198,0)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IFERROR(MAX(N(D199)-N(E199),0),0)</f>
        <v/>
      </c>
      <c r="G199" s="130">
        <f>IFERROR(N(E199)*GeneratorRate,0)</f>
        <v/>
      </c>
      <c r="H199" s="130">
        <f>IFERROR(N(F199)*GovernmentRate,0)</f>
        <v/>
      </c>
      <c r="I199" s="130">
        <f>IFERROR(G199+H199,0)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IFERROR(MAX(N(N199)-N(O199),0),0)</f>
        <v/>
      </c>
      <c r="Q199" s="130">
        <f>IFERROR(N(O199)*GeneratorRate,0)</f>
        <v/>
      </c>
      <c r="R199" s="130">
        <f>IFERROR(N(P199)*GovernmentRate,0)</f>
        <v/>
      </c>
      <c r="S199" s="130">
        <f>IFERROR(Q199+R199,0)</f>
        <v/>
      </c>
      <c r="T199" s="130">
        <f>IFERROR(S199/M199,0)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IFERROR(MAX(N(D200)-N(E200),0),0)</f>
        <v/>
      </c>
      <c r="G200" s="130">
        <f>IFERROR(N(E200)*GeneratorRate,0)</f>
        <v/>
      </c>
      <c r="H200" s="130">
        <f>IFERROR(N(F200)*GovernmentRate,0)</f>
        <v/>
      </c>
      <c r="I200" s="130">
        <f>IFERROR(G200+H200,0)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IFERROR(MAX(N(N200)-N(O200),0),0)</f>
        <v/>
      </c>
      <c r="Q200" s="130">
        <f>IFERROR(N(O200)*GeneratorRate,0)</f>
        <v/>
      </c>
      <c r="R200" s="130">
        <f>IFERROR(N(P200)*GovernmentRate,0)</f>
        <v/>
      </c>
      <c r="S200" s="130">
        <f>IFERROR(Q200+R200,0)</f>
        <v/>
      </c>
      <c r="T200" s="130">
        <f>IFERROR(S200/M200,0)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IFERROR(MAX(N(D201)-N(E201),0),0)</f>
        <v/>
      </c>
      <c r="G201" s="130">
        <f>IFERROR(N(E201)*GeneratorRate,0)</f>
        <v/>
      </c>
      <c r="H201" s="130">
        <f>IFERROR(N(F201)*GovernmentRate,0)</f>
        <v/>
      </c>
      <c r="I201" s="130">
        <f>IFERROR(G201+H201,0)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IFERROR(MAX(N(N201)-N(O201),0),0)</f>
        <v/>
      </c>
      <c r="Q201" s="130">
        <f>IFERROR(N(O201)*GeneratorRate,0)</f>
        <v/>
      </c>
      <c r="R201" s="130">
        <f>IFERROR(N(P201)*GovernmentRate,0)</f>
        <v/>
      </c>
      <c r="S201" s="130">
        <f>IFERROR(Q201+R201,0)</f>
        <v/>
      </c>
      <c r="T201" s="130">
        <f>IFERROR(S201/M201,0)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IFERROR(MAX(N(D202)-N(E202),0),0)</f>
        <v/>
      </c>
      <c r="G202" s="130">
        <f>IFERROR(N(E202)*GeneratorRate,0)</f>
        <v/>
      </c>
      <c r="H202" s="130">
        <f>IFERROR(N(F202)*GovernmentRate,0)</f>
        <v/>
      </c>
      <c r="I202" s="130">
        <f>IFERROR(G202+H202,0)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IFERROR(MAX(N(N202)-N(O202),0),0)</f>
        <v/>
      </c>
      <c r="Q202" s="130">
        <f>IFERROR(N(O202)*GeneratorRate,0)</f>
        <v/>
      </c>
      <c r="R202" s="130">
        <f>IFERROR(N(P202)*GovernmentRate,0)</f>
        <v/>
      </c>
      <c r="S202" s="130">
        <f>IFERROR(Q202+R202,0)</f>
        <v/>
      </c>
      <c r="T202" s="130">
        <f>IFERROR(S202/M202,0)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IFERROR(MAX(N(D203)-N(E203),0),0)</f>
        <v/>
      </c>
      <c r="G203" s="130">
        <f>IFERROR(N(E203)*GeneratorRate,0)</f>
        <v/>
      </c>
      <c r="H203" s="130">
        <f>IFERROR(N(F203)*GovernmentRate,0)</f>
        <v/>
      </c>
      <c r="I203" s="130">
        <f>IFERROR(G203+H203,0)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IFERROR(MAX(N(N203)-N(O203),0),0)</f>
        <v/>
      </c>
      <c r="Q203" s="130">
        <f>IFERROR(N(O203)*GeneratorRate,0)</f>
        <v/>
      </c>
      <c r="R203" s="130">
        <f>IFERROR(N(P203)*GovernmentRate,0)</f>
        <v/>
      </c>
      <c r="S203" s="130">
        <f>IFERROR(Q203+R203,0)</f>
        <v/>
      </c>
      <c r="T203" s="130">
        <f>IFERROR(S203/M203,0)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IFERROR(MAX(N(D204)-N(E204),0),0)</f>
        <v/>
      </c>
      <c r="G204" s="130">
        <f>IFERROR(N(E204)*GeneratorRate,0)</f>
        <v/>
      </c>
      <c r="H204" s="130">
        <f>IFERROR(N(F204)*GovernmentRate,0)</f>
        <v/>
      </c>
      <c r="I204" s="130">
        <f>IFERROR(G204+H204,0)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IFERROR(MAX(N(N204)-N(O204),0),0)</f>
        <v/>
      </c>
      <c r="Q204" s="130">
        <f>IFERROR(N(O204)*GeneratorRate,0)</f>
        <v/>
      </c>
      <c r="R204" s="130">
        <f>IFERROR(N(P204)*GovernmentRate,0)</f>
        <v/>
      </c>
      <c r="S204" s="130">
        <f>IFERROR(Q204+R204,0)</f>
        <v/>
      </c>
      <c r="T204" s="130">
        <f>IFERROR(S204/M204,0)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IFERROR(MAX(N(D205)-N(E205),0),0)</f>
        <v/>
      </c>
      <c r="G205" s="130">
        <f>IFERROR(N(E205)*GeneratorRate,0)</f>
        <v/>
      </c>
      <c r="H205" s="130">
        <f>IFERROR(N(F205)*GovernmentRate,0)</f>
        <v/>
      </c>
      <c r="I205" s="130">
        <f>IFERROR(G205+H205,0)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IFERROR(MAX(N(N205)-N(O205),0),0)</f>
        <v/>
      </c>
      <c r="Q205" s="130">
        <f>IFERROR(N(O205)*GeneratorRate,0)</f>
        <v/>
      </c>
      <c r="R205" s="130">
        <f>IFERROR(N(P205)*GovernmentRate,0)</f>
        <v/>
      </c>
      <c r="S205" s="130">
        <f>IFERROR(Q205+R205,0)</f>
        <v/>
      </c>
      <c r="T205" s="130">
        <f>IFERROR(S205/M205,0)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IFERROR(MAX(N(D206)-N(E206),0),0)</f>
        <v/>
      </c>
      <c r="G206" s="130">
        <f>IFERROR(N(E206)*GeneratorRate,0)</f>
        <v/>
      </c>
      <c r="H206" s="130">
        <f>IFERROR(N(F206)*GovernmentRate,0)</f>
        <v/>
      </c>
      <c r="I206" s="130">
        <f>IFERROR(G206+H206,0)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IFERROR(MAX(N(N206)-N(O206),0),0)</f>
        <v/>
      </c>
      <c r="Q206" s="130">
        <f>IFERROR(N(O206)*GeneratorRate,0)</f>
        <v/>
      </c>
      <c r="R206" s="130">
        <f>IFERROR(N(P206)*GovernmentRate,0)</f>
        <v/>
      </c>
      <c r="S206" s="130">
        <f>IFERROR(Q206+R206,0)</f>
        <v/>
      </c>
      <c r="T206" s="130">
        <f>IFERROR(S206/M206,0)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IFERROR(MAX(N(D207)-N(E207),0),0)</f>
        <v/>
      </c>
      <c r="G207" s="130">
        <f>IFERROR(N(E207)*GeneratorRate,0)</f>
        <v/>
      </c>
      <c r="H207" s="130">
        <f>IFERROR(N(F207)*GovernmentRate,0)</f>
        <v/>
      </c>
      <c r="I207" s="130">
        <f>IFERROR(G207+H207,0)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IFERROR(MAX(N(N207)-N(O207),0),0)</f>
        <v/>
      </c>
      <c r="Q207" s="130">
        <f>IFERROR(N(O207)*GeneratorRate,0)</f>
        <v/>
      </c>
      <c r="R207" s="130">
        <f>IFERROR(N(P207)*GovernmentRate,0)</f>
        <v/>
      </c>
      <c r="S207" s="130">
        <f>IFERROR(Q207+R207,0)</f>
        <v/>
      </c>
      <c r="T207" s="130">
        <f>IFERROR(S207/M207,0)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IFERROR(MAX(N(D208)-N(E208),0),0)</f>
        <v/>
      </c>
      <c r="G208" s="130">
        <f>IFERROR(N(E208)*GeneratorRate,0)</f>
        <v/>
      </c>
      <c r="H208" s="130">
        <f>IFERROR(N(F208)*GovernmentRate,0)</f>
        <v/>
      </c>
      <c r="I208" s="130">
        <f>IFERROR(G208+H208,0)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IFERROR(MAX(N(N208)-N(O208),0),0)</f>
        <v/>
      </c>
      <c r="Q208" s="130">
        <f>IFERROR(N(O208)*GeneratorRate,0)</f>
        <v/>
      </c>
      <c r="R208" s="130">
        <f>IFERROR(N(P208)*GovernmentRate,0)</f>
        <v/>
      </c>
      <c r="S208" s="130">
        <f>IFERROR(Q208+R208,0)</f>
        <v/>
      </c>
      <c r="T208" s="130">
        <f>IFERROR(S208/M208,0)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IFERROR(MAX(N(D209)-N(E209),0),0)</f>
        <v/>
      </c>
      <c r="G209" s="130">
        <f>IFERROR(N(E209)*GeneratorRate,0)</f>
        <v/>
      </c>
      <c r="H209" s="130">
        <f>IFERROR(N(F209)*GovernmentRate,0)</f>
        <v/>
      </c>
      <c r="I209" s="130">
        <f>IFERROR(G209+H209,0)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IFERROR(MAX(N(N209)-N(O209),0),0)</f>
        <v/>
      </c>
      <c r="Q209" s="130">
        <f>IFERROR(N(O209)*GeneratorRate,0)</f>
        <v/>
      </c>
      <c r="R209" s="130">
        <f>IFERROR(N(P209)*GovernmentRate,0)</f>
        <v/>
      </c>
      <c r="S209" s="130">
        <f>IFERROR(Q209+R209,0)</f>
        <v/>
      </c>
      <c r="T209" s="130">
        <f>IFERROR(S209/M209,0)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IFERROR(MAX(N(D210)-N(E210),0),0)</f>
        <v/>
      </c>
      <c r="G210" s="130">
        <f>IFERROR(N(E210)*GeneratorRate,0)</f>
        <v/>
      </c>
      <c r="H210" s="130">
        <f>IFERROR(N(F210)*GovernmentRate,0)</f>
        <v/>
      </c>
      <c r="I210" s="130">
        <f>IFERROR(G210+H210,0)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IFERROR(MAX(N(N210)-N(O210),0),0)</f>
        <v/>
      </c>
      <c r="Q210" s="130">
        <f>IFERROR(N(O210)*GeneratorRate,0)</f>
        <v/>
      </c>
      <c r="R210" s="130">
        <f>IFERROR(N(P210)*GovernmentRate,0)</f>
        <v/>
      </c>
      <c r="S210" s="130">
        <f>IFERROR(Q210+R210,0)</f>
        <v/>
      </c>
      <c r="T210" s="130">
        <f>IFERROR(S210/M210,0)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IFERROR(MAX(N(D211)-N(E211),0),0)</f>
        <v/>
      </c>
      <c r="G211" s="130">
        <f>IFERROR(N(E211)*GeneratorRate,0)</f>
        <v/>
      </c>
      <c r="H211" s="130">
        <f>IFERROR(N(F211)*GovernmentRate,0)</f>
        <v/>
      </c>
      <c r="I211" s="130">
        <f>IFERROR(G211+H211,0)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IFERROR(MAX(N(N211)-N(O211),0),0)</f>
        <v/>
      </c>
      <c r="Q211" s="130">
        <f>IFERROR(N(O211)*GeneratorRate,0)</f>
        <v/>
      </c>
      <c r="R211" s="130">
        <f>IFERROR(N(P211)*GovernmentRate,0)</f>
        <v/>
      </c>
      <c r="S211" s="130">
        <f>IFERROR(Q211+R211,0)</f>
        <v/>
      </c>
      <c r="T211" s="130">
        <f>IFERROR(S211/M211,0)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IFERROR(MAX(N(D212)-N(E212),0),0)</f>
        <v/>
      </c>
      <c r="G212" s="130">
        <f>IFERROR(N(E212)*GeneratorRate,0)</f>
        <v/>
      </c>
      <c r="H212" s="130">
        <f>IFERROR(N(F212)*GovernmentRate,0)</f>
        <v/>
      </c>
      <c r="I212" s="130">
        <f>IFERROR(G212+H212,0)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IFERROR(MAX(N(N212)-N(O212),0),0)</f>
        <v/>
      </c>
      <c r="Q212" s="130">
        <f>IFERROR(N(O212)*GeneratorRate,0)</f>
        <v/>
      </c>
      <c r="R212" s="130">
        <f>IFERROR(N(P212)*GovernmentRate,0)</f>
        <v/>
      </c>
      <c r="S212" s="130">
        <f>IFERROR(Q212+R212,0)</f>
        <v/>
      </c>
      <c r="T212" s="130">
        <f>IFERROR(S212/M212,0)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IFERROR(MAX(N(D213)-N(E213),0),0)</f>
        <v/>
      </c>
      <c r="G213" s="130">
        <f>IFERROR(N(E213)*GeneratorRate,0)</f>
        <v/>
      </c>
      <c r="H213" s="130">
        <f>IFERROR(N(F213)*GovernmentRate,0)</f>
        <v/>
      </c>
      <c r="I213" s="130">
        <f>IFERROR(G213+H213,0)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IFERROR(MAX(N(N213)-N(O213),0),0)</f>
        <v/>
      </c>
      <c r="Q213" s="130">
        <f>IFERROR(N(O213)*GeneratorRate,0)</f>
        <v/>
      </c>
      <c r="R213" s="130">
        <f>IFERROR(N(P213)*GovernmentRate,0)</f>
        <v/>
      </c>
      <c r="S213" s="130">
        <f>IFERROR(Q213+R213,0)</f>
        <v/>
      </c>
      <c r="T213" s="130">
        <f>IFERROR(S213/M213,0)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IFERROR(MAX(N(D214)-N(E214),0),0)</f>
        <v/>
      </c>
      <c r="G214" s="130">
        <f>IFERROR(N(E214)*GeneratorRate,0)</f>
        <v/>
      </c>
      <c r="H214" s="130">
        <f>IFERROR(N(F214)*GovernmentRate,0)</f>
        <v/>
      </c>
      <c r="I214" s="130">
        <f>IFERROR(G214+H214,0)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IFERROR(MAX(N(N214)-N(O214),0),0)</f>
        <v/>
      </c>
      <c r="Q214" s="130">
        <f>IFERROR(N(O214)*GeneratorRate,0)</f>
        <v/>
      </c>
      <c r="R214" s="130">
        <f>IFERROR(N(P214)*GovernmentRate,0)</f>
        <v/>
      </c>
      <c r="S214" s="130">
        <f>IFERROR(Q214+R214,0)</f>
        <v/>
      </c>
      <c r="T214" s="130">
        <f>IFERROR(S214/M214,0)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IFERROR(MAX(N(D215)-N(E215),0),0)</f>
        <v/>
      </c>
      <c r="G215" s="130">
        <f>IFERROR(N(E215)*GeneratorRate,0)</f>
        <v/>
      </c>
      <c r="H215" s="130">
        <f>IFERROR(N(F215)*GovernmentRate,0)</f>
        <v/>
      </c>
      <c r="I215" s="130">
        <f>IFERROR(G215+H215,0)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IFERROR(MAX(N(N215)-N(O215),0),0)</f>
        <v/>
      </c>
      <c r="Q215" s="130">
        <f>IFERROR(N(O215)*GeneratorRate,0)</f>
        <v/>
      </c>
      <c r="R215" s="130">
        <f>IFERROR(N(P215)*GovernmentRate,0)</f>
        <v/>
      </c>
      <c r="S215" s="130">
        <f>IFERROR(Q215+R215,0)</f>
        <v/>
      </c>
      <c r="T215" s="130">
        <f>IFERROR(S215/M215,0)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IFERROR(MAX(N(D216)-N(E216),0),0)</f>
        <v/>
      </c>
      <c r="G216" s="130">
        <f>IFERROR(N(E216)*GeneratorRate,0)</f>
        <v/>
      </c>
      <c r="H216" s="130">
        <f>IFERROR(N(F216)*GovernmentRate,0)</f>
        <v/>
      </c>
      <c r="I216" s="130">
        <f>IFERROR(G216+H216,0)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IFERROR(MAX(N(N216)-N(O216),0),0)</f>
        <v/>
      </c>
      <c r="Q216" s="130">
        <f>IFERROR(N(O216)*GeneratorRate,0)</f>
        <v/>
      </c>
      <c r="R216" s="130">
        <f>IFERROR(N(P216)*GovernmentRate,0)</f>
        <v/>
      </c>
      <c r="S216" s="130">
        <f>IFERROR(Q216+R216,0)</f>
        <v/>
      </c>
      <c r="T216" s="130">
        <f>IFERROR(S216/M216,0)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IFERROR(MAX(N(D217)-N(E217),0),0)</f>
        <v/>
      </c>
      <c r="G217" s="130">
        <f>IFERROR(N(E217)*GeneratorRate,0)</f>
        <v/>
      </c>
      <c r="H217" s="130">
        <f>IFERROR(N(F217)*GovernmentRate,0)</f>
        <v/>
      </c>
      <c r="I217" s="130">
        <f>IFERROR(G217+H217,0)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IFERROR(MAX(N(N217)-N(O217),0),0)</f>
        <v/>
      </c>
      <c r="Q217" s="130">
        <f>IFERROR(N(O217)*GeneratorRate,0)</f>
        <v/>
      </c>
      <c r="R217" s="130">
        <f>IFERROR(N(P217)*GovernmentRate,0)</f>
        <v/>
      </c>
      <c r="S217" s="130">
        <f>IFERROR(Q217+R217,0)</f>
        <v/>
      </c>
      <c r="T217" s="130">
        <f>IFERROR(S217/M217,0)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IFERROR(MAX(N(D218)-N(E218),0),0)</f>
        <v/>
      </c>
      <c r="G218" s="130">
        <f>IFERROR(N(E218)*GeneratorRate,0)</f>
        <v/>
      </c>
      <c r="H218" s="130">
        <f>IFERROR(N(F218)*GovernmentRate,0)</f>
        <v/>
      </c>
      <c r="I218" s="130">
        <f>IFERROR(G218+H218,0)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IFERROR(MAX(N(N218)-N(O218),0),0)</f>
        <v/>
      </c>
      <c r="Q218" s="130">
        <f>IFERROR(N(O218)*GeneratorRate,0)</f>
        <v/>
      </c>
      <c r="R218" s="130">
        <f>IFERROR(N(P218)*GovernmentRate,0)</f>
        <v/>
      </c>
      <c r="S218" s="130">
        <f>IFERROR(Q218+R218,0)</f>
        <v/>
      </c>
      <c r="T218" s="130">
        <f>IFERROR(S218/M218,0)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IFERROR(MAX(N(D219)-N(E219),0),0)</f>
        <v/>
      </c>
      <c r="G219" s="130">
        <f>IFERROR(N(E219)*GeneratorRate,0)</f>
        <v/>
      </c>
      <c r="H219" s="130">
        <f>IFERROR(N(F219)*GovernmentRate,0)</f>
        <v/>
      </c>
      <c r="I219" s="130">
        <f>IFERROR(G219+H219,0)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IFERROR(MAX(N(N219)-N(O219),0),0)</f>
        <v/>
      </c>
      <c r="Q219" s="130">
        <f>IFERROR(N(O219)*GeneratorRate,0)</f>
        <v/>
      </c>
      <c r="R219" s="130">
        <f>IFERROR(N(P219)*GovernmentRate,0)</f>
        <v/>
      </c>
      <c r="S219" s="130">
        <f>IFERROR(Q219+R219,0)</f>
        <v/>
      </c>
      <c r="T219" s="130">
        <f>IFERROR(S219/M219,0)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IFERROR(MAX(N(D220)-N(E220),0),0)</f>
        <v/>
      </c>
      <c r="G220" s="130">
        <f>IFERROR(N(E220)*GeneratorRate,0)</f>
        <v/>
      </c>
      <c r="H220" s="130">
        <f>IFERROR(N(F220)*GovernmentRate,0)</f>
        <v/>
      </c>
      <c r="I220" s="130">
        <f>IFERROR(G220+H220,0)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IFERROR(MAX(N(N220)-N(O220),0),0)</f>
        <v/>
      </c>
      <c r="Q220" s="130">
        <f>IFERROR(N(O220)*GeneratorRate,0)</f>
        <v/>
      </c>
      <c r="R220" s="130">
        <f>IFERROR(N(P220)*GovernmentRate,0)</f>
        <v/>
      </c>
      <c r="S220" s="130">
        <f>IFERROR(Q220+R220,0)</f>
        <v/>
      </c>
      <c r="T220" s="130">
        <f>IFERROR(S220/M220,0)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IFERROR(MAX(N(D221)-N(E221),0),0)</f>
        <v/>
      </c>
      <c r="G221" s="130">
        <f>IFERROR(N(E221)*GeneratorRate,0)</f>
        <v/>
      </c>
      <c r="H221" s="130">
        <f>IFERROR(N(F221)*GovernmentRate,0)</f>
        <v/>
      </c>
      <c r="I221" s="130">
        <f>IFERROR(G221+H221,0)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IFERROR(MAX(N(N221)-N(O221),0),0)</f>
        <v/>
      </c>
      <c r="Q221" s="130">
        <f>IFERROR(N(O221)*GeneratorRate,0)</f>
        <v/>
      </c>
      <c r="R221" s="130">
        <f>IFERROR(N(P221)*GovernmentRate,0)</f>
        <v/>
      </c>
      <c r="S221" s="130">
        <f>IFERROR(Q221+R221,0)</f>
        <v/>
      </c>
      <c r="T221" s="130">
        <f>IFERROR(S221/M221,0)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IFERROR(MAX(N(D222)-N(E222),0),0)</f>
        <v/>
      </c>
      <c r="G222" s="130">
        <f>IFERROR(N(E222)*GeneratorRate,0)</f>
        <v/>
      </c>
      <c r="H222" s="130">
        <f>IFERROR(N(F222)*GovernmentRate,0)</f>
        <v/>
      </c>
      <c r="I222" s="130">
        <f>IFERROR(G222+H222,0)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IFERROR(MAX(N(N222)-N(O222),0),0)</f>
        <v/>
      </c>
      <c r="Q222" s="130">
        <f>IFERROR(N(O222)*GeneratorRate,0)</f>
        <v/>
      </c>
      <c r="R222" s="130">
        <f>IFERROR(N(P222)*GovernmentRate,0)</f>
        <v/>
      </c>
      <c r="S222" s="130">
        <f>IFERROR(Q222+R222,0)</f>
        <v/>
      </c>
      <c r="T222" s="130">
        <f>IFERROR(S222/M222,0)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IFERROR(MAX(N(D223)-N(E223),0),0)</f>
        <v/>
      </c>
      <c r="G223" s="130">
        <f>IFERROR(N(E223)*GeneratorRate,0)</f>
        <v/>
      </c>
      <c r="H223" s="130">
        <f>IFERROR(N(F223)*GovernmentRate,0)</f>
        <v/>
      </c>
      <c r="I223" s="130">
        <f>IFERROR(G223+H223,0)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IFERROR(MAX(N(N223)-N(O223),0),0)</f>
        <v/>
      </c>
      <c r="Q223" s="130">
        <f>IFERROR(N(O223)*GeneratorRate,0)</f>
        <v/>
      </c>
      <c r="R223" s="130">
        <f>IFERROR(N(P223)*GovernmentRate,0)</f>
        <v/>
      </c>
      <c r="S223" s="130">
        <f>IFERROR(Q223+R223,0)</f>
        <v/>
      </c>
      <c r="T223" s="130">
        <f>IFERROR(S223/M223,0)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IFERROR(MAX(N(D224)-N(E224),0),0)</f>
        <v/>
      </c>
      <c r="G224" s="130">
        <f>IFERROR(N(E224)*GeneratorRate,0)</f>
        <v/>
      </c>
      <c r="H224" s="130">
        <f>IFERROR(N(F224)*GovernmentRate,0)</f>
        <v/>
      </c>
      <c r="I224" s="130">
        <f>IFERROR(G224+H224,0)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IFERROR(MAX(N(N224)-N(O224),0),0)</f>
        <v/>
      </c>
      <c r="Q224" s="130">
        <f>IFERROR(N(O224)*GeneratorRate,0)</f>
        <v/>
      </c>
      <c r="R224" s="130">
        <f>IFERROR(N(P224)*GovernmentRate,0)</f>
        <v/>
      </c>
      <c r="S224" s="130">
        <f>IFERROR(Q224+R224,0)</f>
        <v/>
      </c>
      <c r="T224" s="130">
        <f>IFERROR(S224/M224,0)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IFERROR(MAX(N(D225)-N(E225),0),0)</f>
        <v/>
      </c>
      <c r="G225" s="130">
        <f>IFERROR(N(E225)*GeneratorRate,0)</f>
        <v/>
      </c>
      <c r="H225" s="130">
        <f>IFERROR(N(F225)*GovernmentRate,0)</f>
        <v/>
      </c>
      <c r="I225" s="130">
        <f>IFERROR(G225+H225,0)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IFERROR(MAX(N(N225)-N(O225),0),0)</f>
        <v/>
      </c>
      <c r="Q225" s="130">
        <f>IFERROR(N(O225)*GeneratorRate,0)</f>
        <v/>
      </c>
      <c r="R225" s="130">
        <f>IFERROR(N(P225)*GovernmentRate,0)</f>
        <v/>
      </c>
      <c r="S225" s="130">
        <f>IFERROR(Q225+R225,0)</f>
        <v/>
      </c>
      <c r="T225" s="130">
        <f>IFERROR(S225/M225,0)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IFERROR(MAX(N(D226)-N(E226),0),0)</f>
        <v/>
      </c>
      <c r="G226" s="130">
        <f>IFERROR(N(E226)*GeneratorRate,0)</f>
        <v/>
      </c>
      <c r="H226" s="130">
        <f>IFERROR(N(F226)*GovernmentRate,0)</f>
        <v/>
      </c>
      <c r="I226" s="130">
        <f>IFERROR(G226+H226,0)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IFERROR(MAX(N(N226)-N(O226),0),0)</f>
        <v/>
      </c>
      <c r="Q226" s="130">
        <f>IFERROR(N(O226)*GeneratorRate,0)</f>
        <v/>
      </c>
      <c r="R226" s="130">
        <f>IFERROR(N(P226)*GovernmentRate,0)</f>
        <v/>
      </c>
      <c r="S226" s="130">
        <f>IFERROR(Q226+R226,0)</f>
        <v/>
      </c>
      <c r="T226" s="130">
        <f>IFERROR(S226/M226,0)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IFERROR(MAX(N(D227)-N(E227),0),0)</f>
        <v/>
      </c>
      <c r="G227" s="130">
        <f>IFERROR(N(E227)*GeneratorRate,0)</f>
        <v/>
      </c>
      <c r="H227" s="130">
        <f>IFERROR(N(F227)*GovernmentRate,0)</f>
        <v/>
      </c>
      <c r="I227" s="130">
        <f>IFERROR(G227+H227,0)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IFERROR(MAX(N(N227)-N(O227),0),0)</f>
        <v/>
      </c>
      <c r="Q227" s="130">
        <f>IFERROR(N(O227)*GeneratorRate,0)</f>
        <v/>
      </c>
      <c r="R227" s="130">
        <f>IFERROR(N(P227)*GovernmentRate,0)</f>
        <v/>
      </c>
      <c r="S227" s="130">
        <f>IFERROR(Q227+R227,0)</f>
        <v/>
      </c>
      <c r="T227" s="130">
        <f>IFERROR(S227/M227,0)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IFERROR(MAX(N(D228)-N(E228),0),0)</f>
        <v/>
      </c>
      <c r="G228" s="130">
        <f>IFERROR(N(E228)*GeneratorRate,0)</f>
        <v/>
      </c>
      <c r="H228" s="130">
        <f>IFERROR(N(F228)*GovernmentRate,0)</f>
        <v/>
      </c>
      <c r="I228" s="130">
        <f>IFERROR(G228+H228,0)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IFERROR(MAX(N(N228)-N(O228),0),0)</f>
        <v/>
      </c>
      <c r="Q228" s="130">
        <f>IFERROR(N(O228)*GeneratorRate,0)</f>
        <v/>
      </c>
      <c r="R228" s="130">
        <f>IFERROR(N(P228)*GovernmentRate,0)</f>
        <v/>
      </c>
      <c r="S228" s="130">
        <f>IFERROR(Q228+R228,0)</f>
        <v/>
      </c>
      <c r="T228" s="130">
        <f>IFERROR(S228/M228,0)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IFERROR(MAX(N(D229)-N(E229),0),0)</f>
        <v/>
      </c>
      <c r="G229" s="130">
        <f>IFERROR(N(E229)*GeneratorRate,0)</f>
        <v/>
      </c>
      <c r="H229" s="130">
        <f>IFERROR(N(F229)*GovernmentRate,0)</f>
        <v/>
      </c>
      <c r="I229" s="130">
        <f>IFERROR(G229+H229,0)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IFERROR(MAX(N(N229)-N(O229),0),0)</f>
        <v/>
      </c>
      <c r="Q229" s="130">
        <f>IFERROR(N(O229)*GeneratorRate,0)</f>
        <v/>
      </c>
      <c r="R229" s="130">
        <f>IFERROR(N(P229)*GovernmentRate,0)</f>
        <v/>
      </c>
      <c r="S229" s="130">
        <f>IFERROR(Q229+R229,0)</f>
        <v/>
      </c>
      <c r="T229" s="130">
        <f>IFERROR(S229/M229,0)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IFERROR(MAX(N(D230)-N(E230),0),0)</f>
        <v/>
      </c>
      <c r="G230" s="130">
        <f>IFERROR(N(E230)*GeneratorRate,0)</f>
        <v/>
      </c>
      <c r="H230" s="130">
        <f>IFERROR(N(F230)*GovernmentRate,0)</f>
        <v/>
      </c>
      <c r="I230" s="130">
        <f>IFERROR(G230+H230,0)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IFERROR(MAX(N(N230)-N(O230),0),0)</f>
        <v/>
      </c>
      <c r="Q230" s="130">
        <f>IFERROR(N(O230)*GeneratorRate,0)</f>
        <v/>
      </c>
      <c r="R230" s="130">
        <f>IFERROR(N(P230)*GovernmentRate,0)</f>
        <v/>
      </c>
      <c r="S230" s="130">
        <f>IFERROR(Q230+R230,0)</f>
        <v/>
      </c>
      <c r="T230" s="130">
        <f>IFERROR(S230/M230,0)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IFERROR(MAX(N(D231)-N(E231),0),0)</f>
        <v/>
      </c>
      <c r="G231" s="130">
        <f>IFERROR(N(E231)*GeneratorRate,0)</f>
        <v/>
      </c>
      <c r="H231" s="130">
        <f>IFERROR(N(F231)*GovernmentRate,0)</f>
        <v/>
      </c>
      <c r="I231" s="130">
        <f>IFERROR(G231+H231,0)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IFERROR(MAX(N(N231)-N(O231),0),0)</f>
        <v/>
      </c>
      <c r="Q231" s="130">
        <f>IFERROR(N(O231)*GeneratorRate,0)</f>
        <v/>
      </c>
      <c r="R231" s="130">
        <f>IFERROR(N(P231)*GovernmentRate,0)</f>
        <v/>
      </c>
      <c r="S231" s="130">
        <f>IFERROR(Q231+R231,0)</f>
        <v/>
      </c>
      <c r="T231" s="130">
        <f>IFERROR(S231/M231,0)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IFERROR(MAX(N(D232)-N(E232),0),0)</f>
        <v/>
      </c>
      <c r="G232" s="130">
        <f>IFERROR(N(E232)*GeneratorRate,0)</f>
        <v/>
      </c>
      <c r="H232" s="130">
        <f>IFERROR(N(F232)*GovernmentRate,0)</f>
        <v/>
      </c>
      <c r="I232" s="130">
        <f>IFERROR(G232+H232,0)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IFERROR(MAX(N(N232)-N(O232),0),0)</f>
        <v/>
      </c>
      <c r="Q232" s="130">
        <f>IFERROR(N(O232)*GeneratorRate,0)</f>
        <v/>
      </c>
      <c r="R232" s="130">
        <f>IFERROR(N(P232)*GovernmentRate,0)</f>
        <v/>
      </c>
      <c r="S232" s="130">
        <f>IFERROR(Q232+R232,0)</f>
        <v/>
      </c>
      <c r="T232" s="130">
        <f>IFERROR(S232/M232,0)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IFERROR(MAX(N(D233)-N(E233),0),0)</f>
        <v/>
      </c>
      <c r="G233" s="130">
        <f>IFERROR(N(E233)*GeneratorRate,0)</f>
        <v/>
      </c>
      <c r="H233" s="130">
        <f>IFERROR(N(F233)*GovernmentRate,0)</f>
        <v/>
      </c>
      <c r="I233" s="130">
        <f>IFERROR(G233+H233,0)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IFERROR(MAX(N(N233)-N(O233),0),0)</f>
        <v/>
      </c>
      <c r="Q233" s="130">
        <f>IFERROR(N(O233)*GeneratorRate,0)</f>
        <v/>
      </c>
      <c r="R233" s="130">
        <f>IFERROR(N(P233)*GovernmentRate,0)</f>
        <v/>
      </c>
      <c r="S233" s="130">
        <f>IFERROR(Q233+R233,0)</f>
        <v/>
      </c>
      <c r="T233" s="130">
        <f>IFERROR(S233/M233,0)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IFERROR(MAX(N(D234)-N(E234),0),0)</f>
        <v/>
      </c>
      <c r="G234" s="130">
        <f>IFERROR(N(E234)*GeneratorRate,0)</f>
        <v/>
      </c>
      <c r="H234" s="130">
        <f>IFERROR(N(F234)*GovernmentRate,0)</f>
        <v/>
      </c>
      <c r="I234" s="130">
        <f>IFERROR(G234+H234,0)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IFERROR(MAX(N(N234)-N(O234),0),0)</f>
        <v/>
      </c>
      <c r="Q234" s="130">
        <f>IFERROR(N(O234)*GeneratorRate,0)</f>
        <v/>
      </c>
      <c r="R234" s="130">
        <f>IFERROR(N(P234)*GovernmentRate,0)</f>
        <v/>
      </c>
      <c r="S234" s="130">
        <f>IFERROR(Q234+R234,0)</f>
        <v/>
      </c>
      <c r="T234" s="130">
        <f>IFERROR(S234/M234,0)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IFERROR(MAX(N(D235)-N(E235),0),0)</f>
        <v/>
      </c>
      <c r="G235" s="130">
        <f>IFERROR(N(E235)*GeneratorRate,0)</f>
        <v/>
      </c>
      <c r="H235" s="130">
        <f>IFERROR(N(F235)*GovernmentRate,0)</f>
        <v/>
      </c>
      <c r="I235" s="130">
        <f>IFERROR(G235+H235,0)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IFERROR(MAX(N(N235)-N(O235),0),0)</f>
        <v/>
      </c>
      <c r="Q235" s="130">
        <f>IFERROR(N(O235)*GeneratorRate,0)</f>
        <v/>
      </c>
      <c r="R235" s="130">
        <f>IFERROR(N(P235)*GovernmentRate,0)</f>
        <v/>
      </c>
      <c r="S235" s="130">
        <f>IFERROR(Q235+R235,0)</f>
        <v/>
      </c>
      <c r="T235" s="130">
        <f>IFERROR(S235/M235,0)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IFERROR(MAX(N(D236)-N(E236),0),0)</f>
        <v/>
      </c>
      <c r="G236" s="130">
        <f>IFERROR(N(E236)*GeneratorRate,0)</f>
        <v/>
      </c>
      <c r="H236" s="130">
        <f>IFERROR(N(F236)*GovernmentRate,0)</f>
        <v/>
      </c>
      <c r="I236" s="130">
        <f>IFERROR(G236+H236,0)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IFERROR(MAX(N(N236)-N(O236),0),0)</f>
        <v/>
      </c>
      <c r="Q236" s="130">
        <f>IFERROR(N(O236)*GeneratorRate,0)</f>
        <v/>
      </c>
      <c r="R236" s="130">
        <f>IFERROR(N(P236)*GovernmentRate,0)</f>
        <v/>
      </c>
      <c r="S236" s="130">
        <f>IFERROR(Q236+R236,0)</f>
        <v/>
      </c>
      <c r="T236" s="130">
        <f>IFERROR(S236/M236,0)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IFERROR(MAX(N(D237)-N(E237),0),0)</f>
        <v/>
      </c>
      <c r="G237" s="130">
        <f>IFERROR(N(E237)*GeneratorRate,0)</f>
        <v/>
      </c>
      <c r="H237" s="130">
        <f>IFERROR(N(F237)*GovernmentRate,0)</f>
        <v/>
      </c>
      <c r="I237" s="130">
        <f>IFERROR(G237+H237,0)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IFERROR(MAX(N(N237)-N(O237),0),0)</f>
        <v/>
      </c>
      <c r="Q237" s="130">
        <f>IFERROR(N(O237)*GeneratorRate,0)</f>
        <v/>
      </c>
      <c r="R237" s="130">
        <f>IFERROR(N(P237)*GovernmentRate,0)</f>
        <v/>
      </c>
      <c r="S237" s="130">
        <f>IFERROR(Q237+R237,0)</f>
        <v/>
      </c>
      <c r="T237" s="130">
        <f>IFERROR(S237/M237,0)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IFERROR(MAX(N(D238)-N(E238),0),0)</f>
        <v/>
      </c>
      <c r="G238" s="130">
        <f>IFERROR(N(E238)*GeneratorRate,0)</f>
        <v/>
      </c>
      <c r="H238" s="130">
        <f>IFERROR(N(F238)*GovernmentRate,0)</f>
        <v/>
      </c>
      <c r="I238" s="130">
        <f>IFERROR(G238+H238,0)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IFERROR(MAX(N(N238)-N(O238),0),0)</f>
        <v/>
      </c>
      <c r="Q238" s="130">
        <f>IFERROR(N(O238)*GeneratorRate,0)</f>
        <v/>
      </c>
      <c r="R238" s="130">
        <f>IFERROR(N(P238)*GovernmentRate,0)</f>
        <v/>
      </c>
      <c r="S238" s="130">
        <f>IFERROR(Q238+R238,0)</f>
        <v/>
      </c>
      <c r="T238" s="130">
        <f>IFERROR(S238/M238,0)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IFERROR(MAX(N(D239)-N(E239),0),0)</f>
        <v/>
      </c>
      <c r="G239" s="130">
        <f>IFERROR(N(E239)*GeneratorRate,0)</f>
        <v/>
      </c>
      <c r="H239" s="130">
        <f>IFERROR(N(F239)*GovernmentRate,0)</f>
        <v/>
      </c>
      <c r="I239" s="130">
        <f>IFERROR(G239+H239,0)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IFERROR(MAX(N(N239)-N(O239),0),0)</f>
        <v/>
      </c>
      <c r="Q239" s="130">
        <f>IFERROR(N(O239)*GeneratorRate,0)</f>
        <v/>
      </c>
      <c r="R239" s="130">
        <f>IFERROR(N(P239)*GovernmentRate,0)</f>
        <v/>
      </c>
      <c r="S239" s="130">
        <f>IFERROR(Q239+R239,0)</f>
        <v/>
      </c>
      <c r="T239" s="130">
        <f>IFERROR(S239/M239,0)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IFERROR(MAX(N(D240)-N(E240),0),0)</f>
        <v/>
      </c>
      <c r="G240" s="130">
        <f>IFERROR(N(E240)*GeneratorRate,0)</f>
        <v/>
      </c>
      <c r="H240" s="130">
        <f>IFERROR(N(F240)*GovernmentRate,0)</f>
        <v/>
      </c>
      <c r="I240" s="130">
        <f>IFERROR(G240+H240,0)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IFERROR(MAX(N(N240)-N(O240),0),0)</f>
        <v/>
      </c>
      <c r="Q240" s="130">
        <f>IFERROR(N(O240)*GeneratorRate,0)</f>
        <v/>
      </c>
      <c r="R240" s="130">
        <f>IFERROR(N(P240)*GovernmentRate,0)</f>
        <v/>
      </c>
      <c r="S240" s="130">
        <f>IFERROR(Q240+R240,0)</f>
        <v/>
      </c>
      <c r="T240" s="130">
        <f>IFERROR(S240/M240,0)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IFERROR(MAX(N(D241)-N(E241),0),0)</f>
        <v/>
      </c>
      <c r="G241" s="130">
        <f>IFERROR(N(E241)*GeneratorRate,0)</f>
        <v/>
      </c>
      <c r="H241" s="130">
        <f>IFERROR(N(F241)*GovernmentRate,0)</f>
        <v/>
      </c>
      <c r="I241" s="130">
        <f>IFERROR(G241+H241,0)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IFERROR(MAX(N(N241)-N(O241),0),0)</f>
        <v/>
      </c>
      <c r="Q241" s="130">
        <f>IFERROR(N(O241)*GeneratorRate,0)</f>
        <v/>
      </c>
      <c r="R241" s="130">
        <f>IFERROR(N(P241)*GovernmentRate,0)</f>
        <v/>
      </c>
      <c r="S241" s="130">
        <f>IFERROR(Q241+R241,0)</f>
        <v/>
      </c>
      <c r="T241" s="130">
        <f>IFERROR(S241/M241,0)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IFERROR(MAX(N(D242)-N(E242),0),0)</f>
        <v/>
      </c>
      <c r="G242" s="130">
        <f>IFERROR(N(E242)*GeneratorRate,0)</f>
        <v/>
      </c>
      <c r="H242" s="130">
        <f>IFERROR(N(F242)*GovernmentRate,0)</f>
        <v/>
      </c>
      <c r="I242" s="130">
        <f>IFERROR(G242+H242,0)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IFERROR(MAX(N(N242)-N(O242),0),0)</f>
        <v/>
      </c>
      <c r="Q242" s="130">
        <f>IFERROR(N(O242)*GeneratorRate,0)</f>
        <v/>
      </c>
      <c r="R242" s="130">
        <f>IFERROR(N(P242)*GovernmentRate,0)</f>
        <v/>
      </c>
      <c r="S242" s="130">
        <f>IFERROR(Q242+R242,0)</f>
        <v/>
      </c>
      <c r="T242" s="130">
        <f>IFERROR(S242/M242,0)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IFERROR(MAX(N(D243)-N(E243),0),0)</f>
        <v/>
      </c>
      <c r="G243" s="130">
        <f>IFERROR(N(E243)*GeneratorRate,0)</f>
        <v/>
      </c>
      <c r="H243" s="130">
        <f>IFERROR(N(F243)*GovernmentRate,0)</f>
        <v/>
      </c>
      <c r="I243" s="130">
        <f>IFERROR(G243+H243,0)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IFERROR(MAX(N(N243)-N(O243),0),0)</f>
        <v/>
      </c>
      <c r="Q243" s="130">
        <f>IFERROR(N(O243)*GeneratorRate,0)</f>
        <v/>
      </c>
      <c r="R243" s="130">
        <f>IFERROR(N(P243)*GovernmentRate,0)</f>
        <v/>
      </c>
      <c r="S243" s="130">
        <f>IFERROR(Q243+R243,0)</f>
        <v/>
      </c>
      <c r="T243" s="130">
        <f>IFERROR(S243/M243,0)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IFERROR(MAX(N(D244)-N(E244),0),0)</f>
        <v/>
      </c>
      <c r="G244" s="130">
        <f>IFERROR(N(E244)*GeneratorRate,0)</f>
        <v/>
      </c>
      <c r="H244" s="130">
        <f>IFERROR(N(F244)*GovernmentRate,0)</f>
        <v/>
      </c>
      <c r="I244" s="130">
        <f>IFERROR(G244+H244,0)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IFERROR(MAX(N(N244)-N(O244),0),0)</f>
        <v/>
      </c>
      <c r="Q244" s="130">
        <f>IFERROR(N(O244)*GeneratorRate,0)</f>
        <v/>
      </c>
      <c r="R244" s="130">
        <f>IFERROR(N(P244)*GovernmentRate,0)</f>
        <v/>
      </c>
      <c r="S244" s="130">
        <f>IFERROR(Q244+R244,0)</f>
        <v/>
      </c>
      <c r="T244" s="130">
        <f>IFERROR(S244/M244,0)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IFERROR(MAX(N(D245)-N(E245),0),0)</f>
        <v/>
      </c>
      <c r="G245" s="130">
        <f>IFERROR(N(E245)*GeneratorRate,0)</f>
        <v/>
      </c>
      <c r="H245" s="130">
        <f>IFERROR(N(F245)*GovernmentRate,0)</f>
        <v/>
      </c>
      <c r="I245" s="130">
        <f>IFERROR(G245+H245,0)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IFERROR(MAX(N(N245)-N(O245),0),0)</f>
        <v/>
      </c>
      <c r="Q245" s="130">
        <f>IFERROR(N(O245)*GeneratorRate,0)</f>
        <v/>
      </c>
      <c r="R245" s="130">
        <f>IFERROR(N(P245)*GovernmentRate,0)</f>
        <v/>
      </c>
      <c r="S245" s="130">
        <f>IFERROR(Q245+R245,0)</f>
        <v/>
      </c>
      <c r="T245" s="130">
        <f>IFERROR(S245/M245,0)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IFERROR(MAX(N(D246)-N(E246),0),0)</f>
        <v/>
      </c>
      <c r="G246" s="130">
        <f>IFERROR(N(E246)*GeneratorRate,0)</f>
        <v/>
      </c>
      <c r="H246" s="130">
        <f>IFERROR(N(F246)*GovernmentRate,0)</f>
        <v/>
      </c>
      <c r="I246" s="130">
        <f>IFERROR(G246+H246,0)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IFERROR(MAX(N(N246)-N(O246),0),0)</f>
        <v/>
      </c>
      <c r="Q246" s="130">
        <f>IFERROR(N(O246)*GeneratorRate,0)</f>
        <v/>
      </c>
      <c r="R246" s="130">
        <f>IFERROR(N(P246)*GovernmentRate,0)</f>
        <v/>
      </c>
      <c r="S246" s="130">
        <f>IFERROR(Q246+R246,0)</f>
        <v/>
      </c>
      <c r="T246" s="130">
        <f>IFERROR(S246/M246,0)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IFERROR(MAX(N(D247)-N(E247),0),0)</f>
        <v/>
      </c>
      <c r="G247" s="130">
        <f>IFERROR(N(E247)*GeneratorRate,0)</f>
        <v/>
      </c>
      <c r="H247" s="130">
        <f>IFERROR(N(F247)*GovernmentRate,0)</f>
        <v/>
      </c>
      <c r="I247" s="130">
        <f>IFERROR(G247+H247,0)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IFERROR(MAX(N(N247)-N(O247),0),0)</f>
        <v/>
      </c>
      <c r="Q247" s="130">
        <f>IFERROR(N(O247)*GeneratorRate,0)</f>
        <v/>
      </c>
      <c r="R247" s="130">
        <f>IFERROR(N(P247)*GovernmentRate,0)</f>
        <v/>
      </c>
      <c r="S247" s="130">
        <f>IFERROR(Q247+R247,0)</f>
        <v/>
      </c>
      <c r="T247" s="130">
        <f>IFERROR(S247/M247,0)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IFERROR(MAX(N(D248)-N(E248),0),0)</f>
        <v/>
      </c>
      <c r="G248" s="130">
        <f>IFERROR(N(E248)*GeneratorRate,0)</f>
        <v/>
      </c>
      <c r="H248" s="130">
        <f>IFERROR(N(F248)*GovernmentRate,0)</f>
        <v/>
      </c>
      <c r="I248" s="130">
        <f>IFERROR(G248+H248,0)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IFERROR(MAX(N(N248)-N(O248),0),0)</f>
        <v/>
      </c>
      <c r="Q248" s="130">
        <f>IFERROR(N(O248)*GeneratorRate,0)</f>
        <v/>
      </c>
      <c r="R248" s="130">
        <f>IFERROR(N(P248)*GovernmentRate,0)</f>
        <v/>
      </c>
      <c r="S248" s="130">
        <f>IFERROR(Q248+R248,0)</f>
        <v/>
      </c>
      <c r="T248" s="130">
        <f>IFERROR(S248/M248,0)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IFERROR(MAX(N(D249)-N(E249),0),0)</f>
        <v/>
      </c>
      <c r="G249" s="130">
        <f>IFERROR(N(E249)*GeneratorRate,0)</f>
        <v/>
      </c>
      <c r="H249" s="130">
        <f>IFERROR(N(F249)*GovernmentRate,0)</f>
        <v/>
      </c>
      <c r="I249" s="130">
        <f>IFERROR(G249+H249,0)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IFERROR(MAX(N(N249)-N(O249),0),0)</f>
        <v/>
      </c>
      <c r="Q249" s="130">
        <f>IFERROR(N(O249)*GeneratorRate,0)</f>
        <v/>
      </c>
      <c r="R249" s="130">
        <f>IFERROR(N(P249)*GovernmentRate,0)</f>
        <v/>
      </c>
      <c r="S249" s="130">
        <f>IFERROR(Q249+R249,0)</f>
        <v/>
      </c>
      <c r="T249" s="130">
        <f>IFERROR(S249/M249,0)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IFERROR(MAX(N(D250)-N(E250),0),0)</f>
        <v/>
      </c>
      <c r="G250" s="130">
        <f>IFERROR(N(E250)*GeneratorRate,0)</f>
        <v/>
      </c>
      <c r="H250" s="130">
        <f>IFERROR(N(F250)*GovernmentRate,0)</f>
        <v/>
      </c>
      <c r="I250" s="130">
        <f>IFERROR(G250+H250,0)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IFERROR(MAX(N(N250)-N(O250),0),0)</f>
        <v/>
      </c>
      <c r="Q250" s="130">
        <f>IFERROR(N(O250)*GeneratorRate,0)</f>
        <v/>
      </c>
      <c r="R250" s="130">
        <f>IFERROR(N(P250)*GovernmentRate,0)</f>
        <v/>
      </c>
      <c r="S250" s="130">
        <f>IFERROR(Q250+R250,0)</f>
        <v/>
      </c>
      <c r="T250" s="130">
        <f>IFERROR(S250/M250,0)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IFERROR(MAX(N(D251)-N(E251),0),0)</f>
        <v/>
      </c>
      <c r="G251" s="130">
        <f>IFERROR(N(E251)*GeneratorRate,0)</f>
        <v/>
      </c>
      <c r="H251" s="130">
        <f>IFERROR(N(F251)*GovernmentRate,0)</f>
        <v/>
      </c>
      <c r="I251" s="130">
        <f>IFERROR(G251+H251,0)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IFERROR(MAX(N(N251)-N(O251),0),0)</f>
        <v/>
      </c>
      <c r="Q251" s="130">
        <f>IFERROR(N(O251)*GeneratorRate,0)</f>
        <v/>
      </c>
      <c r="R251" s="130">
        <f>IFERROR(N(P251)*GovernmentRate,0)</f>
        <v/>
      </c>
      <c r="S251" s="130">
        <f>IFERROR(Q251+R251,0)</f>
        <v/>
      </c>
      <c r="T251" s="130">
        <f>IFERROR(S251/M251,0)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IFERROR(MAX(N(D252)-N(E252),0),0)</f>
        <v/>
      </c>
      <c r="G252" s="130">
        <f>IFERROR(N(E252)*GeneratorRate,0)</f>
        <v/>
      </c>
      <c r="H252" s="130">
        <f>IFERROR(N(F252)*GovernmentRate,0)</f>
        <v/>
      </c>
      <c r="I252" s="130">
        <f>IFERROR(G252+H252,0)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IFERROR(MAX(N(N252)-N(O252),0),0)</f>
        <v/>
      </c>
      <c r="Q252" s="130">
        <f>IFERROR(N(O252)*GeneratorRate,0)</f>
        <v/>
      </c>
      <c r="R252" s="130">
        <f>IFERROR(N(P252)*GovernmentRate,0)</f>
        <v/>
      </c>
      <c r="S252" s="130">
        <f>IFERROR(Q252+R252,0)</f>
        <v/>
      </c>
      <c r="T252" s="130">
        <f>IFERROR(S252/M252,0)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IFERROR(MAX(N(D253)-N(E253),0),0)</f>
        <v/>
      </c>
      <c r="G253" s="130">
        <f>IFERROR(N(E253)*GeneratorRate,0)</f>
        <v/>
      </c>
      <c r="H253" s="130">
        <f>IFERROR(N(F253)*GovernmentRate,0)</f>
        <v/>
      </c>
      <c r="I253" s="130">
        <f>IFERROR(G253+H253,0)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IFERROR(MAX(N(N253)-N(O253),0),0)</f>
        <v/>
      </c>
      <c r="Q253" s="130">
        <f>IFERROR(N(O253)*GeneratorRate,0)</f>
        <v/>
      </c>
      <c r="R253" s="130">
        <f>IFERROR(N(P253)*GovernmentRate,0)</f>
        <v/>
      </c>
      <c r="S253" s="130">
        <f>IFERROR(Q253+R253,0)</f>
        <v/>
      </c>
      <c r="T253" s="130">
        <f>IFERROR(S253/M253,0)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IFERROR(MAX(N(D254)-N(E254),0),0)</f>
        <v/>
      </c>
      <c r="G254" s="130">
        <f>IFERROR(N(E254)*GeneratorRate,0)</f>
        <v/>
      </c>
      <c r="H254" s="130">
        <f>IFERROR(N(F254)*GovernmentRate,0)</f>
        <v/>
      </c>
      <c r="I254" s="130">
        <f>IFERROR(G254+H254,0)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IFERROR(MAX(N(N254)-N(O254),0),0)</f>
        <v/>
      </c>
      <c r="Q254" s="130">
        <f>IFERROR(N(O254)*GeneratorRate,0)</f>
        <v/>
      </c>
      <c r="R254" s="130">
        <f>IFERROR(N(P254)*GovernmentRate,0)</f>
        <v/>
      </c>
      <c r="S254" s="130">
        <f>IFERROR(Q254+R254,0)</f>
        <v/>
      </c>
      <c r="T254" s="130">
        <f>IFERROR(S254/M254,0)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IFERROR(MAX(N(D255)-N(E255),0),0)</f>
        <v/>
      </c>
      <c r="G255" s="130">
        <f>IFERROR(N(E255)*GeneratorRate,0)</f>
        <v/>
      </c>
      <c r="H255" s="130">
        <f>IFERROR(N(F255)*GovernmentRate,0)</f>
        <v/>
      </c>
      <c r="I255" s="130">
        <f>IFERROR(G255+H255,0)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IFERROR(MAX(N(N255)-N(O255),0),0)</f>
        <v/>
      </c>
      <c r="Q255" s="130">
        <f>IFERROR(N(O255)*GeneratorRate,0)</f>
        <v/>
      </c>
      <c r="R255" s="130">
        <f>IFERROR(N(P255)*GovernmentRate,0)</f>
        <v/>
      </c>
      <c r="S255" s="130">
        <f>IFERROR(Q255+R255,0)</f>
        <v/>
      </c>
      <c r="T255" s="130">
        <f>IFERROR(S255/M255,0)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IFERROR(MAX(N(D256)-N(E256),0),0)</f>
        <v/>
      </c>
      <c r="G256" s="130">
        <f>IFERROR(N(E256)*GeneratorRate,0)</f>
        <v/>
      </c>
      <c r="H256" s="130">
        <f>IFERROR(N(F256)*GovernmentRate,0)</f>
        <v/>
      </c>
      <c r="I256" s="130">
        <f>IFERROR(G256+H256,0)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IFERROR(MAX(N(N256)-N(O256),0),0)</f>
        <v/>
      </c>
      <c r="Q256" s="130">
        <f>IFERROR(N(O256)*GeneratorRate,0)</f>
        <v/>
      </c>
      <c r="R256" s="130">
        <f>IFERROR(N(P256)*GovernmentRate,0)</f>
        <v/>
      </c>
      <c r="S256" s="130">
        <f>IFERROR(Q256+R256,0)</f>
        <v/>
      </c>
      <c r="T256" s="130">
        <f>IFERROR(S256/M256,0)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IFERROR(MAX(N(D257)-N(E257),0),0)</f>
        <v/>
      </c>
      <c r="G257" s="130">
        <f>IFERROR(N(E257)*GeneratorRate,0)</f>
        <v/>
      </c>
      <c r="H257" s="130">
        <f>IFERROR(N(F257)*GovernmentRate,0)</f>
        <v/>
      </c>
      <c r="I257" s="130">
        <f>IFERROR(G257+H257,0)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IFERROR(MAX(N(N257)-N(O257),0),0)</f>
        <v/>
      </c>
      <c r="Q257" s="130">
        <f>IFERROR(N(O257)*GeneratorRate,0)</f>
        <v/>
      </c>
      <c r="R257" s="130">
        <f>IFERROR(N(P257)*GovernmentRate,0)</f>
        <v/>
      </c>
      <c r="S257" s="130">
        <f>IFERROR(Q257+R257,0)</f>
        <v/>
      </c>
      <c r="T257" s="130">
        <f>IFERROR(S257/M257,0)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IFERROR(MAX(N(D258)-N(E258),0),0)</f>
        <v/>
      </c>
      <c r="G258" s="130">
        <f>IFERROR(N(E258)*GeneratorRate,0)</f>
        <v/>
      </c>
      <c r="H258" s="130">
        <f>IFERROR(N(F258)*GovernmentRate,0)</f>
        <v/>
      </c>
      <c r="I258" s="130">
        <f>IFERROR(G258+H258,0)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IFERROR(MAX(N(N258)-N(O258),0),0)</f>
        <v/>
      </c>
      <c r="Q258" s="130">
        <f>IFERROR(N(O258)*GeneratorRate,0)</f>
        <v/>
      </c>
      <c r="R258" s="130">
        <f>IFERROR(N(P258)*GovernmentRate,0)</f>
        <v/>
      </c>
      <c r="S258" s="130">
        <f>IFERROR(Q258+R258,0)</f>
        <v/>
      </c>
      <c r="T258" s="130">
        <f>IFERROR(S258/M258,0)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IFERROR(MAX(N(D259)-N(E259),0),0)</f>
        <v/>
      </c>
      <c r="G259" s="130">
        <f>IFERROR(N(E259)*GeneratorRate,0)</f>
        <v/>
      </c>
      <c r="H259" s="130">
        <f>IFERROR(N(F259)*GovernmentRate,0)</f>
        <v/>
      </c>
      <c r="I259" s="130">
        <f>IFERROR(G259+H259,0)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IFERROR(MAX(N(N259)-N(O259),0),0)</f>
        <v/>
      </c>
      <c r="Q259" s="130">
        <f>IFERROR(N(O259)*GeneratorRate,0)</f>
        <v/>
      </c>
      <c r="R259" s="130">
        <f>IFERROR(N(P259)*GovernmentRate,0)</f>
        <v/>
      </c>
      <c r="S259" s="130">
        <f>IFERROR(Q259+R259,0)</f>
        <v/>
      </c>
      <c r="T259" s="130">
        <f>IFERROR(S259/M259,0)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IFERROR(MAX(N(D260)-N(E260),0),0)</f>
        <v/>
      </c>
      <c r="G260" s="130">
        <f>IFERROR(N(E260)*GeneratorRate,0)</f>
        <v/>
      </c>
      <c r="H260" s="130">
        <f>IFERROR(N(F260)*GovernmentRate,0)</f>
        <v/>
      </c>
      <c r="I260" s="130">
        <f>IFERROR(G260+H260,0)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IFERROR(MAX(N(N260)-N(O260),0),0)</f>
        <v/>
      </c>
      <c r="Q260" s="130">
        <f>IFERROR(N(O260)*GeneratorRate,0)</f>
        <v/>
      </c>
      <c r="R260" s="130">
        <f>IFERROR(N(P260)*GovernmentRate,0)</f>
        <v/>
      </c>
      <c r="S260" s="130">
        <f>IFERROR(Q260+R260,0)</f>
        <v/>
      </c>
      <c r="T260" s="130">
        <f>IFERROR(S260/M260,0)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IFERROR(MAX(N(D261)-N(E261),0),0)</f>
        <v/>
      </c>
      <c r="G261" s="130">
        <f>IFERROR(N(E261)*GeneratorRate,0)</f>
        <v/>
      </c>
      <c r="H261" s="130">
        <f>IFERROR(N(F261)*GovernmentRate,0)</f>
        <v/>
      </c>
      <c r="I261" s="130">
        <f>IFERROR(G261+H261,0)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IFERROR(MAX(N(N261)-N(O261),0),0)</f>
        <v/>
      </c>
      <c r="Q261" s="130">
        <f>IFERROR(N(O261)*GeneratorRate,0)</f>
        <v/>
      </c>
      <c r="R261" s="130">
        <f>IFERROR(N(P261)*GovernmentRate,0)</f>
        <v/>
      </c>
      <c r="S261" s="130">
        <f>IFERROR(Q261+R261,0)</f>
        <v/>
      </c>
      <c r="T261" s="130">
        <f>IFERROR(S261/M261,0)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IFERROR(MAX(N(D262)-N(E262),0),0)</f>
        <v/>
      </c>
      <c r="G262" s="130">
        <f>IFERROR(N(E262)*GeneratorRate,0)</f>
        <v/>
      </c>
      <c r="H262" s="130">
        <f>IFERROR(N(F262)*GovernmentRate,0)</f>
        <v/>
      </c>
      <c r="I262" s="130">
        <f>IFERROR(G262+H262,0)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IFERROR(MAX(N(N262)-N(O262),0),0)</f>
        <v/>
      </c>
      <c r="Q262" s="130">
        <f>IFERROR(N(O262)*GeneratorRate,0)</f>
        <v/>
      </c>
      <c r="R262" s="130">
        <f>IFERROR(N(P262)*GovernmentRate,0)</f>
        <v/>
      </c>
      <c r="S262" s="130">
        <f>IFERROR(Q262+R262,0)</f>
        <v/>
      </c>
      <c r="T262" s="130">
        <f>IFERROR(S262/M262,0)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IFERROR(MAX(N(D263)-N(E263),0),0)</f>
        <v/>
      </c>
      <c r="G263" s="130">
        <f>IFERROR(N(E263)*GeneratorRate,0)</f>
        <v/>
      </c>
      <c r="H263" s="130">
        <f>IFERROR(N(F263)*GovernmentRate,0)</f>
        <v/>
      </c>
      <c r="I263" s="130">
        <f>IFERROR(G263+H263,0)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IFERROR(MAX(N(N263)-N(O263),0),0)</f>
        <v/>
      </c>
      <c r="Q263" s="130">
        <f>IFERROR(N(O263)*GeneratorRate,0)</f>
        <v/>
      </c>
      <c r="R263" s="130">
        <f>IFERROR(N(P263)*GovernmentRate,0)</f>
        <v/>
      </c>
      <c r="S263" s="130">
        <f>IFERROR(Q263+R263,0)</f>
        <v/>
      </c>
      <c r="T263" s="130">
        <f>IFERROR(S263/M263,0)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IFERROR(MAX(N(D264)-N(E264),0),0)</f>
        <v/>
      </c>
      <c r="G264" s="130">
        <f>IFERROR(N(E264)*GeneratorRate,0)</f>
        <v/>
      </c>
      <c r="H264" s="130">
        <f>IFERROR(N(F264)*GovernmentRate,0)</f>
        <v/>
      </c>
      <c r="I264" s="130">
        <f>IFERROR(G264+H264,0)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IFERROR(MAX(N(N264)-N(O264),0),0)</f>
        <v/>
      </c>
      <c r="Q264" s="130">
        <f>IFERROR(N(O264)*GeneratorRate,0)</f>
        <v/>
      </c>
      <c r="R264" s="130">
        <f>IFERROR(N(P264)*GovernmentRate,0)</f>
        <v/>
      </c>
      <c r="S264" s="130">
        <f>IFERROR(Q264+R264,0)</f>
        <v/>
      </c>
      <c r="T264" s="130">
        <f>IFERROR(S264/M264,0)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IFERROR(MAX(N(D265)-N(E265),0),0)</f>
        <v/>
      </c>
      <c r="G265" s="130">
        <f>IFERROR(N(E265)*GeneratorRate,0)</f>
        <v/>
      </c>
      <c r="H265" s="130">
        <f>IFERROR(N(F265)*GovernmentRate,0)</f>
        <v/>
      </c>
      <c r="I265" s="130">
        <f>IFERROR(G265+H265,0)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IFERROR(MAX(N(N265)-N(O265),0),0)</f>
        <v/>
      </c>
      <c r="Q265" s="130">
        <f>IFERROR(N(O265)*GeneratorRate,0)</f>
        <v/>
      </c>
      <c r="R265" s="130">
        <f>IFERROR(N(P265)*GovernmentRate,0)</f>
        <v/>
      </c>
      <c r="S265" s="130">
        <f>IFERROR(Q265+R265,0)</f>
        <v/>
      </c>
      <c r="T265" s="130">
        <f>IFERROR(S265/M265,0)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IFERROR(MAX(N(D266)-N(E266),0),0)</f>
        <v/>
      </c>
      <c r="G266" s="130">
        <f>IFERROR(N(E266)*GeneratorRate,0)</f>
        <v/>
      </c>
      <c r="H266" s="130">
        <f>IFERROR(N(F266)*GovernmentRate,0)</f>
        <v/>
      </c>
      <c r="I266" s="130">
        <f>IFERROR(G266+H266,0)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IFERROR(MAX(N(N266)-N(O266),0),0)</f>
        <v/>
      </c>
      <c r="Q266" s="130">
        <f>IFERROR(N(O266)*GeneratorRate,0)</f>
        <v/>
      </c>
      <c r="R266" s="130">
        <f>IFERROR(N(P266)*GovernmentRate,0)</f>
        <v/>
      </c>
      <c r="S266" s="130">
        <f>IFERROR(Q266+R266,0)</f>
        <v/>
      </c>
      <c r="T266" s="130">
        <f>IFERROR(S266/M266,0)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IFERROR(MAX(N(D267)-N(E267),0),0)</f>
        <v/>
      </c>
      <c r="G267" s="130">
        <f>IFERROR(N(E267)*GeneratorRate,0)</f>
        <v/>
      </c>
      <c r="H267" s="130">
        <f>IFERROR(N(F267)*GovernmentRate,0)</f>
        <v/>
      </c>
      <c r="I267" s="130">
        <f>IFERROR(G267+H267,0)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IFERROR(MAX(N(N267)-N(O267),0),0)</f>
        <v/>
      </c>
      <c r="Q267" s="130">
        <f>IFERROR(N(O267)*GeneratorRate,0)</f>
        <v/>
      </c>
      <c r="R267" s="130">
        <f>IFERROR(N(P267)*GovernmentRate,0)</f>
        <v/>
      </c>
      <c r="S267" s="130">
        <f>IFERROR(Q267+R267,0)</f>
        <v/>
      </c>
      <c r="T267" s="130">
        <f>IFERROR(S267/M267,0)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IFERROR(MAX(N(D268)-N(E268),0),0)</f>
        <v/>
      </c>
      <c r="G268" s="130">
        <f>IFERROR(N(E268)*GeneratorRate,0)</f>
        <v/>
      </c>
      <c r="H268" s="130">
        <f>IFERROR(N(F268)*GovernmentRate,0)</f>
        <v/>
      </c>
      <c r="I268" s="130">
        <f>IFERROR(G268+H268,0)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IFERROR(MAX(N(N268)-N(O268),0),0)</f>
        <v/>
      </c>
      <c r="Q268" s="130">
        <f>IFERROR(N(O268)*GeneratorRate,0)</f>
        <v/>
      </c>
      <c r="R268" s="130">
        <f>IFERROR(N(P268)*GovernmentRate,0)</f>
        <v/>
      </c>
      <c r="S268" s="130">
        <f>IFERROR(Q268+R268,0)</f>
        <v/>
      </c>
      <c r="T268" s="130">
        <f>IFERROR(S268/M268,0)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IFERROR(MAX(N(D269)-N(E269),0),0)</f>
        <v/>
      </c>
      <c r="G269" s="130">
        <f>IFERROR(N(E269)*GeneratorRate,0)</f>
        <v/>
      </c>
      <c r="H269" s="130">
        <f>IFERROR(N(F269)*GovernmentRate,0)</f>
        <v/>
      </c>
      <c r="I269" s="130">
        <f>IFERROR(G269+H269,0)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IFERROR(MAX(N(N269)-N(O269),0),0)</f>
        <v/>
      </c>
      <c r="Q269" s="130">
        <f>IFERROR(N(O269)*GeneratorRate,0)</f>
        <v/>
      </c>
      <c r="R269" s="130">
        <f>IFERROR(N(P269)*GovernmentRate,0)</f>
        <v/>
      </c>
      <c r="S269" s="130">
        <f>IFERROR(Q269+R269,0)</f>
        <v/>
      </c>
      <c r="T269" s="130">
        <f>IFERROR(S269/M269,0)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IFERROR(MAX(N(D270)-N(E270),0),0)</f>
        <v/>
      </c>
      <c r="G270" s="130">
        <f>IFERROR(N(E270)*GeneratorRate,0)</f>
        <v/>
      </c>
      <c r="H270" s="130">
        <f>IFERROR(N(F270)*GovernmentRate,0)</f>
        <v/>
      </c>
      <c r="I270" s="130">
        <f>IFERROR(G270+H270,0)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IFERROR(MAX(N(N270)-N(O270),0),0)</f>
        <v/>
      </c>
      <c r="Q270" s="130">
        <f>IFERROR(N(O270)*GeneratorRate,0)</f>
        <v/>
      </c>
      <c r="R270" s="130">
        <f>IFERROR(N(P270)*GovernmentRate,0)</f>
        <v/>
      </c>
      <c r="S270" s="130">
        <f>IFERROR(Q270+R270,0)</f>
        <v/>
      </c>
      <c r="T270" s="130">
        <f>IFERROR(S270/M270,0)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IFERROR(MAX(N(D271)-N(E271),0),0)</f>
        <v/>
      </c>
      <c r="G271" s="130">
        <f>IFERROR(N(E271)*GeneratorRate,0)</f>
        <v/>
      </c>
      <c r="H271" s="130">
        <f>IFERROR(N(F271)*GovernmentRate,0)</f>
        <v/>
      </c>
      <c r="I271" s="130">
        <f>IFERROR(G271+H271,0)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IFERROR(MAX(N(N271)-N(O271),0),0)</f>
        <v/>
      </c>
      <c r="Q271" s="130">
        <f>IFERROR(N(O271)*GeneratorRate,0)</f>
        <v/>
      </c>
      <c r="R271" s="130">
        <f>IFERROR(N(P271)*GovernmentRate,0)</f>
        <v/>
      </c>
      <c r="S271" s="130">
        <f>IFERROR(Q271+R271,0)</f>
        <v/>
      </c>
      <c r="T271" s="130">
        <f>IFERROR(S271/M271,0)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IFERROR(MAX(N(D272)-N(E272),0),0)</f>
        <v/>
      </c>
      <c r="G272" s="130">
        <f>IFERROR(N(E272)*GeneratorRate,0)</f>
        <v/>
      </c>
      <c r="H272" s="130">
        <f>IFERROR(N(F272)*GovernmentRate,0)</f>
        <v/>
      </c>
      <c r="I272" s="130">
        <f>IFERROR(G272+H272,0)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IFERROR(MAX(N(N272)-N(O272),0),0)</f>
        <v/>
      </c>
      <c r="Q272" s="130">
        <f>IFERROR(N(O272)*GeneratorRate,0)</f>
        <v/>
      </c>
      <c r="R272" s="130">
        <f>IFERROR(N(P272)*GovernmentRate,0)</f>
        <v/>
      </c>
      <c r="S272" s="130">
        <f>IFERROR(Q272+R272,0)</f>
        <v/>
      </c>
      <c r="T272" s="130">
        <f>IFERROR(S272/M272,0)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IFERROR(MAX(N(D273)-N(E273),0),0)</f>
        <v/>
      </c>
      <c r="G273" s="130">
        <f>IFERROR(N(E273)*GeneratorRate,0)</f>
        <v/>
      </c>
      <c r="H273" s="130">
        <f>IFERROR(N(F273)*GovernmentRate,0)</f>
        <v/>
      </c>
      <c r="I273" s="130">
        <f>IFERROR(G273+H273,0)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IFERROR(MAX(N(N273)-N(O273),0),0)</f>
        <v/>
      </c>
      <c r="Q273" s="130">
        <f>IFERROR(N(O273)*GeneratorRate,0)</f>
        <v/>
      </c>
      <c r="R273" s="130">
        <f>IFERROR(N(P273)*GovernmentRate,0)</f>
        <v/>
      </c>
      <c r="S273" s="130">
        <f>IFERROR(Q273+R273,0)</f>
        <v/>
      </c>
      <c r="T273" s="130">
        <f>IFERROR(S273/M273,0)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IFERROR(MAX(N(D274)-N(E274),0),0)</f>
        <v/>
      </c>
      <c r="G274" s="130">
        <f>IFERROR(N(E274)*GeneratorRate,0)</f>
        <v/>
      </c>
      <c r="H274" s="130">
        <f>IFERROR(N(F274)*GovernmentRate,0)</f>
        <v/>
      </c>
      <c r="I274" s="130">
        <f>IFERROR(G274+H274,0)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IFERROR(MAX(N(N274)-N(O274),0),0)</f>
        <v/>
      </c>
      <c r="Q274" s="130">
        <f>IFERROR(N(O274)*GeneratorRate,0)</f>
        <v/>
      </c>
      <c r="R274" s="130">
        <f>IFERROR(N(P274)*GovernmentRate,0)</f>
        <v/>
      </c>
      <c r="S274" s="130">
        <f>IFERROR(Q274+R274,0)</f>
        <v/>
      </c>
      <c r="T274" s="130">
        <f>IFERROR(S274/M274,0)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IFERROR(MAX(N(D275)-N(E275),0),0)</f>
        <v/>
      </c>
      <c r="G275" s="130">
        <f>IFERROR(N(E275)*GeneratorRate,0)</f>
        <v/>
      </c>
      <c r="H275" s="130">
        <f>IFERROR(N(F275)*GovernmentRate,0)</f>
        <v/>
      </c>
      <c r="I275" s="130">
        <f>IFERROR(G275+H275,0)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IFERROR(MAX(N(N275)-N(O275),0),0)</f>
        <v/>
      </c>
      <c r="Q275" s="130">
        <f>IFERROR(N(O275)*GeneratorRate,0)</f>
        <v/>
      </c>
      <c r="R275" s="130">
        <f>IFERROR(N(P275)*GovernmentRate,0)</f>
        <v/>
      </c>
      <c r="S275" s="130">
        <f>IFERROR(Q275+R275,0)</f>
        <v/>
      </c>
      <c r="T275" s="130">
        <f>IFERROR(S275/M275,0)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IFERROR(MAX(N(D276)-N(E276),0),0)</f>
        <v/>
      </c>
      <c r="G276" s="130">
        <f>IFERROR(N(E276)*GeneratorRate,0)</f>
        <v/>
      </c>
      <c r="H276" s="130">
        <f>IFERROR(N(F276)*GovernmentRate,0)</f>
        <v/>
      </c>
      <c r="I276" s="130">
        <f>IFERROR(G276+H276,0)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IFERROR(MAX(N(N276)-N(O276),0),0)</f>
        <v/>
      </c>
      <c r="Q276" s="130">
        <f>IFERROR(N(O276)*GeneratorRate,0)</f>
        <v/>
      </c>
      <c r="R276" s="130">
        <f>IFERROR(N(P276)*GovernmentRate,0)</f>
        <v/>
      </c>
      <c r="S276" s="130">
        <f>IFERROR(Q276+R276,0)</f>
        <v/>
      </c>
      <c r="T276" s="130">
        <f>IFERROR(S276/M276,0)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IFERROR(MAX(N(D277)-N(E277),0),0)</f>
        <v/>
      </c>
      <c r="G277" s="130">
        <f>IFERROR(N(E277)*GeneratorRate,0)</f>
        <v/>
      </c>
      <c r="H277" s="130">
        <f>IFERROR(N(F277)*GovernmentRate,0)</f>
        <v/>
      </c>
      <c r="I277" s="130">
        <f>IFERROR(G277+H277,0)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IFERROR(MAX(N(N277)-N(O277),0),0)</f>
        <v/>
      </c>
      <c r="Q277" s="130">
        <f>IFERROR(N(O277)*GeneratorRate,0)</f>
        <v/>
      </c>
      <c r="R277" s="130">
        <f>IFERROR(N(P277)*GovernmentRate,0)</f>
        <v/>
      </c>
      <c r="S277" s="130">
        <f>IFERROR(Q277+R277,0)</f>
        <v/>
      </c>
      <c r="T277" s="130">
        <f>IFERROR(S277/M277,0)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IFERROR(MAX(N(D278)-N(E278),0),0)</f>
        <v/>
      </c>
      <c r="G278" s="130">
        <f>IFERROR(N(E278)*GeneratorRate,0)</f>
        <v/>
      </c>
      <c r="H278" s="130">
        <f>IFERROR(N(F278)*GovernmentRate,0)</f>
        <v/>
      </c>
      <c r="I278" s="130">
        <f>IFERROR(G278+H278,0)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IFERROR(MAX(N(N278)-N(O278),0),0)</f>
        <v/>
      </c>
      <c r="Q278" s="130">
        <f>IFERROR(N(O278)*GeneratorRate,0)</f>
        <v/>
      </c>
      <c r="R278" s="130">
        <f>IFERROR(N(P278)*GovernmentRate,0)</f>
        <v/>
      </c>
      <c r="S278" s="130">
        <f>IFERROR(Q278+R278,0)</f>
        <v/>
      </c>
      <c r="T278" s="130">
        <f>IFERROR(S278/M278,0)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IFERROR(MAX(N(D279)-N(E279),0),0)</f>
        <v/>
      </c>
      <c r="G279" s="130">
        <f>IFERROR(N(E279)*GeneratorRate,0)</f>
        <v/>
      </c>
      <c r="H279" s="130">
        <f>IFERROR(N(F279)*GovernmentRate,0)</f>
        <v/>
      </c>
      <c r="I279" s="130">
        <f>IFERROR(G279+H279,0)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IFERROR(MAX(N(N279)-N(O279),0),0)</f>
        <v/>
      </c>
      <c r="Q279" s="130">
        <f>IFERROR(N(O279)*GeneratorRate,0)</f>
        <v/>
      </c>
      <c r="R279" s="130">
        <f>IFERROR(N(P279)*GovernmentRate,0)</f>
        <v/>
      </c>
      <c r="S279" s="130">
        <f>IFERROR(Q279+R279,0)</f>
        <v/>
      </c>
      <c r="T279" s="130">
        <f>IFERROR(S279/M279,0)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IFERROR(MAX(N(D280)-N(E280),0),0)</f>
        <v/>
      </c>
      <c r="G280" s="130">
        <f>IFERROR(N(E280)*GeneratorRate,0)</f>
        <v/>
      </c>
      <c r="H280" s="130">
        <f>IFERROR(N(F280)*GovernmentRate,0)</f>
        <v/>
      </c>
      <c r="I280" s="130">
        <f>IFERROR(G280+H280,0)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IFERROR(MAX(N(N280)-N(O280),0),0)</f>
        <v/>
      </c>
      <c r="Q280" s="130">
        <f>IFERROR(N(O280)*GeneratorRate,0)</f>
        <v/>
      </c>
      <c r="R280" s="130">
        <f>IFERROR(N(P280)*GovernmentRate,0)</f>
        <v/>
      </c>
      <c r="S280" s="130">
        <f>IFERROR(Q280+R280,0)</f>
        <v/>
      </c>
      <c r="T280" s="130">
        <f>IFERROR(S280/M280,0)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IFERROR(MAX(N(D281)-N(E281),0),0)</f>
        <v/>
      </c>
      <c r="G281" s="130">
        <f>IFERROR(N(E281)*GeneratorRate,0)</f>
        <v/>
      </c>
      <c r="H281" s="130">
        <f>IFERROR(N(F281)*GovernmentRate,0)</f>
        <v/>
      </c>
      <c r="I281" s="130">
        <f>IFERROR(G281+H281,0)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IFERROR(MAX(N(N281)-N(O281),0),0)</f>
        <v/>
      </c>
      <c r="Q281" s="130">
        <f>IFERROR(N(O281)*GeneratorRate,0)</f>
        <v/>
      </c>
      <c r="R281" s="130">
        <f>IFERROR(N(P281)*GovernmentRate,0)</f>
        <v/>
      </c>
      <c r="S281" s="130">
        <f>IFERROR(Q281+R281,0)</f>
        <v/>
      </c>
      <c r="T281" s="130">
        <f>IFERROR(S281/M281,0)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IFERROR(MAX(N(D282)-N(E282),0),0)</f>
        <v/>
      </c>
      <c r="G282" s="130">
        <f>IFERROR(N(E282)*GeneratorRate,0)</f>
        <v/>
      </c>
      <c r="H282" s="130">
        <f>IFERROR(N(F282)*GovernmentRate,0)</f>
        <v/>
      </c>
      <c r="I282" s="130">
        <f>IFERROR(G282+H282,0)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IFERROR(MAX(N(N282)-N(O282),0),0)</f>
        <v/>
      </c>
      <c r="Q282" s="130">
        <f>IFERROR(N(O282)*GeneratorRate,0)</f>
        <v/>
      </c>
      <c r="R282" s="130">
        <f>IFERROR(N(P282)*GovernmentRate,0)</f>
        <v/>
      </c>
      <c r="S282" s="130">
        <f>IFERROR(Q282+R282,0)</f>
        <v/>
      </c>
      <c r="T282" s="130">
        <f>IFERROR(S282/M282,0)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IFERROR(MAX(N(D283)-N(E283),0),0)</f>
        <v/>
      </c>
      <c r="G283" s="130">
        <f>IFERROR(N(E283)*GeneratorRate,0)</f>
        <v/>
      </c>
      <c r="H283" s="130">
        <f>IFERROR(N(F283)*GovernmentRate,0)</f>
        <v/>
      </c>
      <c r="I283" s="130">
        <f>IFERROR(G283+H283,0)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IFERROR(MAX(N(N283)-N(O283),0),0)</f>
        <v/>
      </c>
      <c r="Q283" s="130">
        <f>IFERROR(N(O283)*GeneratorRate,0)</f>
        <v/>
      </c>
      <c r="R283" s="130">
        <f>IFERROR(N(P283)*GovernmentRate,0)</f>
        <v/>
      </c>
      <c r="S283" s="130">
        <f>IFERROR(Q283+R283,0)</f>
        <v/>
      </c>
      <c r="T283" s="130">
        <f>IFERROR(S283/M283,0)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IFERROR(MAX(N(D284)-N(E284),0),0)</f>
        <v/>
      </c>
      <c r="G284" s="130">
        <f>IFERROR(N(E284)*GeneratorRate,0)</f>
        <v/>
      </c>
      <c r="H284" s="130">
        <f>IFERROR(N(F284)*GovernmentRate,0)</f>
        <v/>
      </c>
      <c r="I284" s="130">
        <f>IFERROR(G284+H284,0)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IFERROR(MAX(N(N284)-N(O284),0),0)</f>
        <v/>
      </c>
      <c r="Q284" s="130">
        <f>IFERROR(N(O284)*GeneratorRate,0)</f>
        <v/>
      </c>
      <c r="R284" s="130">
        <f>IFERROR(N(P284)*GovernmentRate,0)</f>
        <v/>
      </c>
      <c r="S284" s="130">
        <f>IFERROR(Q284+R284,0)</f>
        <v/>
      </c>
      <c r="T284" s="130">
        <f>IFERROR(S284/M284,0)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IFERROR(MAX(N(D285)-N(E285),0),0)</f>
        <v/>
      </c>
      <c r="G285" s="130">
        <f>IFERROR(N(E285)*GeneratorRate,0)</f>
        <v/>
      </c>
      <c r="H285" s="130">
        <f>IFERROR(N(F285)*GovernmentRate,0)</f>
        <v/>
      </c>
      <c r="I285" s="130">
        <f>IFERROR(G285+H285,0)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IFERROR(MAX(N(N285)-N(O285),0),0)</f>
        <v/>
      </c>
      <c r="Q285" s="130">
        <f>IFERROR(N(O285)*GeneratorRate,0)</f>
        <v/>
      </c>
      <c r="R285" s="130">
        <f>IFERROR(N(P285)*GovernmentRate,0)</f>
        <v/>
      </c>
      <c r="S285" s="130">
        <f>IFERROR(Q285+R285,0)</f>
        <v/>
      </c>
      <c r="T285" s="130">
        <f>IFERROR(S285/M285,0)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IFERROR(MAX(N(D286)-N(E286),0),0)</f>
        <v/>
      </c>
      <c r="G286" s="130">
        <f>IFERROR(N(E286)*GeneratorRate,0)</f>
        <v/>
      </c>
      <c r="H286" s="130">
        <f>IFERROR(N(F286)*GovernmentRate,0)</f>
        <v/>
      </c>
      <c r="I286" s="130">
        <f>IFERROR(G286+H286,0)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IFERROR(MAX(N(N286)-N(O286),0),0)</f>
        <v/>
      </c>
      <c r="Q286" s="130">
        <f>IFERROR(N(O286)*GeneratorRate,0)</f>
        <v/>
      </c>
      <c r="R286" s="130">
        <f>IFERROR(N(P286)*GovernmentRate,0)</f>
        <v/>
      </c>
      <c r="S286" s="130">
        <f>IFERROR(Q286+R286,0)</f>
        <v/>
      </c>
      <c r="T286" s="130">
        <f>IFERROR(S286/M286,0)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IFERROR(MAX(N(D287)-N(E287),0),0)</f>
        <v/>
      </c>
      <c r="G287" s="130">
        <f>IFERROR(N(E287)*GeneratorRate,0)</f>
        <v/>
      </c>
      <c r="H287" s="130">
        <f>IFERROR(N(F287)*GovernmentRate,0)</f>
        <v/>
      </c>
      <c r="I287" s="130">
        <f>IFERROR(G287+H287,0)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IFERROR(MAX(N(N287)-N(O287),0),0)</f>
        <v/>
      </c>
      <c r="Q287" s="130">
        <f>IFERROR(N(O287)*GeneratorRate,0)</f>
        <v/>
      </c>
      <c r="R287" s="130">
        <f>IFERROR(N(P287)*GovernmentRate,0)</f>
        <v/>
      </c>
      <c r="S287" s="130">
        <f>IFERROR(Q287+R287,0)</f>
        <v/>
      </c>
      <c r="T287" s="130">
        <f>IFERROR(S287/M287,0)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IFERROR(MAX(N(D288)-N(E288),0),0)</f>
        <v/>
      </c>
      <c r="G288" s="130">
        <f>IFERROR(N(E288)*GeneratorRate,0)</f>
        <v/>
      </c>
      <c r="H288" s="130">
        <f>IFERROR(N(F288)*GovernmentRate,0)</f>
        <v/>
      </c>
      <c r="I288" s="130">
        <f>IFERROR(G288+H288,0)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IFERROR(MAX(N(N288)-N(O288),0),0)</f>
        <v/>
      </c>
      <c r="Q288" s="130">
        <f>IFERROR(N(O288)*GeneratorRate,0)</f>
        <v/>
      </c>
      <c r="R288" s="130">
        <f>IFERROR(N(P288)*GovernmentRate,0)</f>
        <v/>
      </c>
      <c r="S288" s="130">
        <f>IFERROR(Q288+R288,0)</f>
        <v/>
      </c>
      <c r="T288" s="130">
        <f>IFERROR(S288/M288,0)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IFERROR(MAX(N(D289)-N(E289),0),0)</f>
        <v/>
      </c>
      <c r="G289" s="130">
        <f>IFERROR(N(E289)*GeneratorRate,0)</f>
        <v/>
      </c>
      <c r="H289" s="130">
        <f>IFERROR(N(F289)*GovernmentRate,0)</f>
        <v/>
      </c>
      <c r="I289" s="130">
        <f>IFERROR(G289+H289,0)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IFERROR(MAX(N(N289)-N(O289),0),0)</f>
        <v/>
      </c>
      <c r="Q289" s="130">
        <f>IFERROR(N(O289)*GeneratorRate,0)</f>
        <v/>
      </c>
      <c r="R289" s="130">
        <f>IFERROR(N(P289)*GovernmentRate,0)</f>
        <v/>
      </c>
      <c r="S289" s="130">
        <f>IFERROR(Q289+R289,0)</f>
        <v/>
      </c>
      <c r="T289" s="130">
        <f>IFERROR(S289/M289,0)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IFERROR(MAX(N(D290)-N(E290),0),0)</f>
        <v/>
      </c>
      <c r="G290" s="130">
        <f>IFERROR(N(E290)*GeneratorRate,0)</f>
        <v/>
      </c>
      <c r="H290" s="130">
        <f>IFERROR(N(F290)*GovernmentRate,0)</f>
        <v/>
      </c>
      <c r="I290" s="130">
        <f>IFERROR(G290+H290,0)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IFERROR(MAX(N(N290)-N(O290),0),0)</f>
        <v/>
      </c>
      <c r="Q290" s="130">
        <f>IFERROR(N(O290)*GeneratorRate,0)</f>
        <v/>
      </c>
      <c r="R290" s="130">
        <f>IFERROR(N(P290)*GovernmentRate,0)</f>
        <v/>
      </c>
      <c r="S290" s="130">
        <f>IFERROR(Q290+R290,0)</f>
        <v/>
      </c>
      <c r="T290" s="130">
        <f>IFERROR(S290/M290,0)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IFERROR(MAX(N(D291)-N(E291),0),0)</f>
        <v/>
      </c>
      <c r="G291" s="130">
        <f>IFERROR(N(E291)*GeneratorRate,0)</f>
        <v/>
      </c>
      <c r="H291" s="130">
        <f>IFERROR(N(F291)*GovernmentRate,0)</f>
        <v/>
      </c>
      <c r="I291" s="130">
        <f>IFERROR(G291+H291,0)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IFERROR(MAX(N(N291)-N(O291),0),0)</f>
        <v/>
      </c>
      <c r="Q291" s="130">
        <f>IFERROR(N(O291)*GeneratorRate,0)</f>
        <v/>
      </c>
      <c r="R291" s="130">
        <f>IFERROR(N(P291)*GovernmentRate,0)</f>
        <v/>
      </c>
      <c r="S291" s="130">
        <f>IFERROR(Q291+R291,0)</f>
        <v/>
      </c>
      <c r="T291" s="130">
        <f>IFERROR(S291/M291,0)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IFERROR(MAX(N(D292)-N(E292),0),0)</f>
        <v/>
      </c>
      <c r="G292" s="130">
        <f>IFERROR(N(E292)*GeneratorRate,0)</f>
        <v/>
      </c>
      <c r="H292" s="130">
        <f>IFERROR(N(F292)*GovernmentRate,0)</f>
        <v/>
      </c>
      <c r="I292" s="130">
        <f>IFERROR(G292+H292,0)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IFERROR(MAX(N(N292)-N(O292),0),0)</f>
        <v/>
      </c>
      <c r="Q292" s="130">
        <f>IFERROR(N(O292)*GeneratorRate,0)</f>
        <v/>
      </c>
      <c r="R292" s="130">
        <f>IFERROR(N(P292)*GovernmentRate,0)</f>
        <v/>
      </c>
      <c r="S292" s="130">
        <f>IFERROR(Q292+R292,0)</f>
        <v/>
      </c>
      <c r="T292" s="130">
        <f>IFERROR(S292/M292,0)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IFERROR(MAX(N(D293)-N(E293),0),0)</f>
        <v/>
      </c>
      <c r="G293" s="130">
        <f>IFERROR(N(E293)*GeneratorRate,0)</f>
        <v/>
      </c>
      <c r="H293" s="130">
        <f>IFERROR(N(F293)*GovernmentRate,0)</f>
        <v/>
      </c>
      <c r="I293" s="130">
        <f>IFERROR(G293+H293,0)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IFERROR(MAX(N(N293)-N(O293),0),0)</f>
        <v/>
      </c>
      <c r="Q293" s="130">
        <f>IFERROR(N(O293)*GeneratorRate,0)</f>
        <v/>
      </c>
      <c r="R293" s="130">
        <f>IFERROR(N(P293)*GovernmentRate,0)</f>
        <v/>
      </c>
      <c r="S293" s="130">
        <f>IFERROR(Q293+R293,0)</f>
        <v/>
      </c>
      <c r="T293" s="130">
        <f>IFERROR(S293/M293,0)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IFERROR(MAX(N(D294)-N(E294),0),0)</f>
        <v/>
      </c>
      <c r="G294" s="130">
        <f>IFERROR(N(E294)*GeneratorRate,0)</f>
        <v/>
      </c>
      <c r="H294" s="130">
        <f>IFERROR(N(F294)*GovernmentRate,0)</f>
        <v/>
      </c>
      <c r="I294" s="130">
        <f>IFERROR(G294+H294,0)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IFERROR(MAX(N(N294)-N(O294),0),0)</f>
        <v/>
      </c>
      <c r="Q294" s="130">
        <f>IFERROR(N(O294)*GeneratorRate,0)</f>
        <v/>
      </c>
      <c r="R294" s="130">
        <f>IFERROR(N(P294)*GovernmentRate,0)</f>
        <v/>
      </c>
      <c r="S294" s="130">
        <f>IFERROR(Q294+R294,0)</f>
        <v/>
      </c>
      <c r="T294" s="130">
        <f>IFERROR(S294/M294,0)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IFERROR(MAX(N(D295)-N(E295),0),0)</f>
        <v/>
      </c>
      <c r="G295" s="130">
        <f>IFERROR(N(E295)*GeneratorRate,0)</f>
        <v/>
      </c>
      <c r="H295" s="130">
        <f>IFERROR(N(F295)*GovernmentRate,0)</f>
        <v/>
      </c>
      <c r="I295" s="130">
        <f>IFERROR(G295+H295,0)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IFERROR(MAX(N(N295)-N(O295),0),0)</f>
        <v/>
      </c>
      <c r="Q295" s="130">
        <f>IFERROR(N(O295)*GeneratorRate,0)</f>
        <v/>
      </c>
      <c r="R295" s="130">
        <f>IFERROR(N(P295)*GovernmentRate,0)</f>
        <v/>
      </c>
      <c r="S295" s="130">
        <f>IFERROR(Q295+R295,0)</f>
        <v/>
      </c>
      <c r="T295" s="130">
        <f>IFERROR(S295/M295,0)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IFERROR(MAX(N(D296)-N(E296),0),0)</f>
        <v/>
      </c>
      <c r="G296" s="130">
        <f>IFERROR(N(E296)*GeneratorRate,0)</f>
        <v/>
      </c>
      <c r="H296" s="130">
        <f>IFERROR(N(F296)*GovernmentRate,0)</f>
        <v/>
      </c>
      <c r="I296" s="130">
        <f>IFERROR(G296+H296,0)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IFERROR(MAX(N(N296)-N(O296),0),0)</f>
        <v/>
      </c>
      <c r="Q296" s="130">
        <f>IFERROR(N(O296)*GeneratorRate,0)</f>
        <v/>
      </c>
      <c r="R296" s="130">
        <f>IFERROR(N(P296)*GovernmentRate,0)</f>
        <v/>
      </c>
      <c r="S296" s="130">
        <f>IFERROR(Q296+R296,0)</f>
        <v/>
      </c>
      <c r="T296" s="130">
        <f>IFERROR(S296/M296,0)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IFERROR(MAX(N(D297)-N(E297),0),0)</f>
        <v/>
      </c>
      <c r="G297" s="130">
        <f>IFERROR(N(E297)*GeneratorRate,0)</f>
        <v/>
      </c>
      <c r="H297" s="130">
        <f>IFERROR(N(F297)*GovernmentRate,0)</f>
        <v/>
      </c>
      <c r="I297" s="130">
        <f>IFERROR(G297+H297,0)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IFERROR(MAX(N(N297)-N(O297),0),0)</f>
        <v/>
      </c>
      <c r="Q297" s="130">
        <f>IFERROR(N(O297)*GeneratorRate,0)</f>
        <v/>
      </c>
      <c r="R297" s="130">
        <f>IFERROR(N(P297)*GovernmentRate,0)</f>
        <v/>
      </c>
      <c r="S297" s="130">
        <f>IFERROR(Q297+R297,0)</f>
        <v/>
      </c>
      <c r="T297" s="130">
        <f>IFERROR(S297/M297,0)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IFERROR(MAX(N(D298)-N(E298),0),0)</f>
        <v/>
      </c>
      <c r="G298" s="130">
        <f>IFERROR(N(E298)*GeneratorRate,0)</f>
        <v/>
      </c>
      <c r="H298" s="130">
        <f>IFERROR(N(F298)*GovernmentRate,0)</f>
        <v/>
      </c>
      <c r="I298" s="130">
        <f>IFERROR(G298+H298,0)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IFERROR(MAX(N(N298)-N(O298),0),0)</f>
        <v/>
      </c>
      <c r="Q298" s="130">
        <f>IFERROR(N(O298)*GeneratorRate,0)</f>
        <v/>
      </c>
      <c r="R298" s="130">
        <f>IFERROR(N(P298)*GovernmentRate,0)</f>
        <v/>
      </c>
      <c r="S298" s="130">
        <f>IFERROR(Q298+R298,0)</f>
        <v/>
      </c>
      <c r="T298" s="130">
        <f>IFERROR(S298/M298,0)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IFERROR(MAX(N(D299)-N(E299),0),0)</f>
        <v/>
      </c>
      <c r="G299" s="130">
        <f>IFERROR(N(E299)*GeneratorRate,0)</f>
        <v/>
      </c>
      <c r="H299" s="130">
        <f>IFERROR(N(F299)*GovernmentRate,0)</f>
        <v/>
      </c>
      <c r="I299" s="130">
        <f>IFERROR(G299+H299,0)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IFERROR(MAX(N(N299)-N(O299),0),0)</f>
        <v/>
      </c>
      <c r="Q299" s="130">
        <f>IFERROR(N(O299)*GeneratorRate,0)</f>
        <v/>
      </c>
      <c r="R299" s="130">
        <f>IFERROR(N(P299)*GovernmentRate,0)</f>
        <v/>
      </c>
      <c r="S299" s="130">
        <f>IFERROR(Q299+R299,0)</f>
        <v/>
      </c>
      <c r="T299" s="130">
        <f>IFERROR(S299/M299,0)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IFERROR(MAX(N(D300)-N(E300),0),0)</f>
        <v/>
      </c>
      <c r="G300" s="130">
        <f>IFERROR(N(E300)*GeneratorRate,0)</f>
        <v/>
      </c>
      <c r="H300" s="130">
        <f>IFERROR(N(F300)*GovernmentRate,0)</f>
        <v/>
      </c>
      <c r="I300" s="130">
        <f>IFERROR(G300+H300,0)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IFERROR(MAX(N(N300)-N(O300),0),0)</f>
        <v/>
      </c>
      <c r="Q300" s="130">
        <f>IFERROR(N(O300)*GeneratorRate,0)</f>
        <v/>
      </c>
      <c r="R300" s="130">
        <f>IFERROR(N(P300)*GovernmentRate,0)</f>
        <v/>
      </c>
      <c r="S300" s="130">
        <f>IFERROR(Q300+R300,0)</f>
        <v/>
      </c>
      <c r="T300" s="130">
        <f>IFERROR(S300/M300,0)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IFERROR(MAX(N(D301)-N(E301),0),0)</f>
        <v/>
      </c>
      <c r="G301" s="130">
        <f>IFERROR(N(E301)*GeneratorRate,0)</f>
        <v/>
      </c>
      <c r="H301" s="130">
        <f>IFERROR(N(F301)*GovernmentRate,0)</f>
        <v/>
      </c>
      <c r="I301" s="130">
        <f>IFERROR(G301+H301,0)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IFERROR(MAX(N(D302)-N(E302),0),0)</f>
        <v/>
      </c>
      <c r="G302" s="130">
        <f>IFERROR(N(E302)*GeneratorRate,0)</f>
        <v/>
      </c>
      <c r="H302" s="130">
        <f>IFERROR(N(F302)*GovernmentRate,0)</f>
        <v/>
      </c>
      <c r="I302" s="130">
        <f>IFERROR(G302+H302,0)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IFERROR(MAX(N(D303)-N(E303),0),0)</f>
        <v/>
      </c>
      <c r="G303" s="130">
        <f>IFERROR(N(E303)*GeneratorRate,0)</f>
        <v/>
      </c>
      <c r="H303" s="130">
        <f>IFERROR(N(F303)*GovernmentRate,0)</f>
        <v/>
      </c>
      <c r="I303" s="130">
        <f>IFERROR(G303+H303,0)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IFERROR(MAX(N(D304)-N(E304),0),0)</f>
        <v/>
      </c>
      <c r="G304" s="130">
        <f>IFERROR(N(E304)*GeneratorRate,0)</f>
        <v/>
      </c>
      <c r="H304" s="130">
        <f>IFERROR(N(F304)*GovernmentRate,0)</f>
        <v/>
      </c>
      <c r="I304" s="130">
        <f>IFERROR(G304+H304,0)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IFERROR(MAX(N(D305)-N(E305),0),0)</f>
        <v/>
      </c>
      <c r="G305" s="130">
        <f>IFERROR(N(E305)*GeneratorRate,0)</f>
        <v/>
      </c>
      <c r="H305" s="130">
        <f>IFERROR(N(F305)*GovernmentRate,0)</f>
        <v/>
      </c>
      <c r="I305" s="130">
        <f>IFERROR(G305+H305,0)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IFERROR(MAX(N(D306)-N(E306),0),0)</f>
        <v/>
      </c>
      <c r="G306" s="130">
        <f>IFERROR(N(E306)*GeneratorRate,0)</f>
        <v/>
      </c>
      <c r="H306" s="130">
        <f>IFERROR(N(F306)*GovernmentRate,0)</f>
        <v/>
      </c>
      <c r="I306" s="130">
        <f>IFERROR(G306+H306,0)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IFERROR(MAX(N(D307)-N(E307),0),0)</f>
        <v/>
      </c>
      <c r="G307" s="130">
        <f>IFERROR(N(E307)*GeneratorRate,0)</f>
        <v/>
      </c>
      <c r="H307" s="130">
        <f>IFERROR(N(F307)*GovernmentRate,0)</f>
        <v/>
      </c>
      <c r="I307" s="130">
        <f>IFERROR(G307+H307,0)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IFERROR(MAX(N(D308)-N(E308),0),0)</f>
        <v/>
      </c>
      <c r="G308" s="130">
        <f>IFERROR(N(E308)*GeneratorRate,0)</f>
        <v/>
      </c>
      <c r="H308" s="130">
        <f>IFERROR(N(F308)*GovernmentRate,0)</f>
        <v/>
      </c>
      <c r="I308" s="130">
        <f>IFERROR(G308+H308,0)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IFERROR(MAX(N(D309)-N(E309),0),0)</f>
        <v/>
      </c>
      <c r="G309" s="130">
        <f>IFERROR(N(E309)*GeneratorRate,0)</f>
        <v/>
      </c>
      <c r="H309" s="130">
        <f>IFERROR(N(F309)*GovernmentRate,0)</f>
        <v/>
      </c>
      <c r="I309" s="130">
        <f>IFERROR(G309+H309,0)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IFERROR(MAX(N(D310)-N(E310),0),0)</f>
        <v/>
      </c>
      <c r="G310" s="130">
        <f>IFERROR(N(E310)*GeneratorRate,0)</f>
        <v/>
      </c>
      <c r="H310" s="130">
        <f>IFERROR(N(F310)*GovernmentRate,0)</f>
        <v/>
      </c>
      <c r="I310" s="130">
        <f>IFERROR(G310+H310,0)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IFERROR(MAX(N(D311)-N(E311),0),0)</f>
        <v/>
      </c>
      <c r="G311" s="130">
        <f>IFERROR(N(E311)*GeneratorRate,0)</f>
        <v/>
      </c>
      <c r="H311" s="130">
        <f>IFERROR(N(F311)*GovernmentRate,0)</f>
        <v/>
      </c>
      <c r="I311" s="130">
        <f>IFERROR(G311+H311,0)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IFERROR(MAX(N(D312)-N(E312),0),0)</f>
        <v/>
      </c>
      <c r="G312" s="130">
        <f>IFERROR(N(E312)*GeneratorRate,0)</f>
        <v/>
      </c>
      <c r="H312" s="130">
        <f>IFERROR(N(F312)*GovernmentRate,0)</f>
        <v/>
      </c>
      <c r="I312" s="130">
        <f>IFERROR(G312+H312,0)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IFERROR(MAX(N(D313)-N(E313),0),0)</f>
        <v/>
      </c>
      <c r="G313" s="130">
        <f>IFERROR(N(E313)*GeneratorRate,0)</f>
        <v/>
      </c>
      <c r="H313" s="130">
        <f>IFERROR(N(F313)*GovernmentRate,0)</f>
        <v/>
      </c>
      <c r="I313" s="130">
        <f>IFERROR(G313+H313,0)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IFERROR(MAX(N(D314)-N(E314),0),0)</f>
        <v/>
      </c>
      <c r="G314" s="130">
        <f>IFERROR(N(E314)*GeneratorRate,0)</f>
        <v/>
      </c>
      <c r="H314" s="130">
        <f>IFERROR(N(F314)*GovernmentRate,0)</f>
        <v/>
      </c>
      <c r="I314" s="130">
        <f>IFERROR(G314+H314,0)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IFERROR(MAX(N(D315)-N(E315),0),0)</f>
        <v/>
      </c>
      <c r="G315" s="130">
        <f>IFERROR(N(E315)*GeneratorRate,0)</f>
        <v/>
      </c>
      <c r="H315" s="130">
        <f>IFERROR(N(F315)*GovernmentRate,0)</f>
        <v/>
      </c>
      <c r="I315" s="130">
        <f>IFERROR(G315+H315,0)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IFERROR(MAX(N(D316)-N(E316),0),0)</f>
        <v/>
      </c>
      <c r="G316" s="130">
        <f>IFERROR(N(E316)*GeneratorRate,0)</f>
        <v/>
      </c>
      <c r="H316" s="130">
        <f>IFERROR(N(F316)*GovernmentRate,0)</f>
        <v/>
      </c>
      <c r="I316" s="130">
        <f>IFERROR(G316+H316,0)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IFERROR(MAX(N(D317)-N(E317),0),0)</f>
        <v/>
      </c>
      <c r="G317" s="130">
        <f>IFERROR(N(E317)*GeneratorRate,0)</f>
        <v/>
      </c>
      <c r="H317" s="130">
        <f>IFERROR(N(F317)*GovernmentRate,0)</f>
        <v/>
      </c>
      <c r="I317" s="130">
        <f>IFERROR(G317+H317,0)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IFERROR(MAX(N(D318)-N(E318),0),0)</f>
        <v/>
      </c>
      <c r="G318" s="130">
        <f>IFERROR(N(E318)*GeneratorRate,0)</f>
        <v/>
      </c>
      <c r="H318" s="130">
        <f>IFERROR(N(F318)*GovernmentRate,0)</f>
        <v/>
      </c>
      <c r="I318" s="130">
        <f>IFERROR(G318+H318,0)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IFERROR(MAX(N(D319)-N(E319),0),0)</f>
        <v/>
      </c>
      <c r="G319" s="130">
        <f>IFERROR(N(E319)*GeneratorRate,0)</f>
        <v/>
      </c>
      <c r="H319" s="130">
        <f>IFERROR(N(F319)*GovernmentRate,0)</f>
        <v/>
      </c>
      <c r="I319" s="130">
        <f>IFERROR(G319+H319,0)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IFERROR(MAX(N(D320)-N(E320),0),0)</f>
        <v/>
      </c>
      <c r="G320" s="130">
        <f>IFERROR(N(E320)*GeneratorRate,0)</f>
        <v/>
      </c>
      <c r="H320" s="130">
        <f>IFERROR(N(F320)*GovernmentRate,0)</f>
        <v/>
      </c>
      <c r="I320" s="130">
        <f>IFERROR(G320+H320,0)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IFERROR(MAX(N(D321)-N(E321),0),0)</f>
        <v/>
      </c>
      <c r="G321" s="130">
        <f>IFERROR(N(E321)*GeneratorRate,0)</f>
        <v/>
      </c>
      <c r="H321" s="130">
        <f>IFERROR(N(F321)*GovernmentRate,0)</f>
        <v/>
      </c>
      <c r="I321" s="130">
        <f>IFERROR(G321+H321,0)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IFERROR(MAX(N(D322)-N(E322),0),0)</f>
        <v/>
      </c>
      <c r="G322" s="130">
        <f>IFERROR(N(E322)*GeneratorRate,0)</f>
        <v/>
      </c>
      <c r="H322" s="130">
        <f>IFERROR(N(F322)*GovernmentRate,0)</f>
        <v/>
      </c>
      <c r="I322" s="130">
        <f>IFERROR(G322+H322,0)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IFERROR(MAX(N(D323)-N(E323),0),0)</f>
        <v/>
      </c>
      <c r="G323" s="130">
        <f>IFERROR(N(E323)*GeneratorRate,0)</f>
        <v/>
      </c>
      <c r="H323" s="130">
        <f>IFERROR(N(F323)*GovernmentRate,0)</f>
        <v/>
      </c>
      <c r="I323" s="130">
        <f>IFERROR(G323+H323,0)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IFERROR(MAX(N(D324)-N(E324),0),0)</f>
        <v/>
      </c>
      <c r="G324" s="130">
        <f>IFERROR(N(E324)*GeneratorRate,0)</f>
        <v/>
      </c>
      <c r="H324" s="130">
        <f>IFERROR(N(F324)*GovernmentRate,0)</f>
        <v/>
      </c>
      <c r="I324" s="130">
        <f>IFERROR(G324+H324,0)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IFERROR(MAX(N(D325)-N(E325),0),0)</f>
        <v/>
      </c>
      <c r="G325" s="130">
        <f>IFERROR(N(E325)*GeneratorRate,0)</f>
        <v/>
      </c>
      <c r="H325" s="130">
        <f>IFERROR(N(F325)*GovernmentRate,0)</f>
        <v/>
      </c>
      <c r="I325" s="130">
        <f>IFERROR(G325+H325,0)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IFERROR(MAX(N(D326)-N(E326),0),0)</f>
        <v/>
      </c>
      <c r="G326" s="130">
        <f>IFERROR(N(E326)*GeneratorRate,0)</f>
        <v/>
      </c>
      <c r="H326" s="130">
        <f>IFERROR(N(F326)*GovernmentRate,0)</f>
        <v/>
      </c>
      <c r="I326" s="130">
        <f>IFERROR(G326+H326,0)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IFERROR(MAX(N(D327)-N(E327),0),0)</f>
        <v/>
      </c>
      <c r="G327" s="130">
        <f>IFERROR(N(E327)*GeneratorRate,0)</f>
        <v/>
      </c>
      <c r="H327" s="130">
        <f>IFERROR(N(F327)*GovernmentRate,0)</f>
        <v/>
      </c>
      <c r="I327" s="130">
        <f>IFERROR(G327+H327,0)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IFERROR(MAX(N(D328)-N(E328),0),0)</f>
        <v/>
      </c>
      <c r="G328" s="130">
        <f>IFERROR(N(E328)*GeneratorRate,0)</f>
        <v/>
      </c>
      <c r="H328" s="130">
        <f>IFERROR(N(F328)*GovernmentRate,0)</f>
        <v/>
      </c>
      <c r="I328" s="130">
        <f>IFERROR(G328+H328,0)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IFERROR(MAX(N(D329)-N(E329),0),0)</f>
        <v/>
      </c>
      <c r="G329" s="130">
        <f>IFERROR(N(E329)*GeneratorRate,0)</f>
        <v/>
      </c>
      <c r="H329" s="130">
        <f>IFERROR(N(F329)*GovernmentRate,0)</f>
        <v/>
      </c>
      <c r="I329" s="130">
        <f>IFERROR(G329+H329,0)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IFERROR(MAX(N(D330)-N(E330),0),0)</f>
        <v/>
      </c>
      <c r="G330" s="130">
        <f>IFERROR(N(E330)*GeneratorRate,0)</f>
        <v/>
      </c>
      <c r="H330" s="130">
        <f>IFERROR(N(F330)*GovernmentRate,0)</f>
        <v/>
      </c>
      <c r="I330" s="130">
        <f>IFERROR(G330+H330,0)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IFERROR(MAX(N(D331)-N(E331),0),0)</f>
        <v/>
      </c>
      <c r="G331" s="130">
        <f>IFERROR(N(E331)*GeneratorRate,0)</f>
        <v/>
      </c>
      <c r="H331" s="130">
        <f>IFERROR(N(F331)*GovernmentRate,0)</f>
        <v/>
      </c>
      <c r="I331" s="130">
        <f>IFERROR(G331+H331,0)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IFERROR(MAX(N(D332)-N(E332),0),0)</f>
        <v/>
      </c>
      <c r="G332" s="130">
        <f>IFERROR(N(E332)*GeneratorRate,0)</f>
        <v/>
      </c>
      <c r="H332" s="130">
        <f>IFERROR(N(F332)*GovernmentRate,0)</f>
        <v/>
      </c>
      <c r="I332" s="130">
        <f>IFERROR(G332+H332,0)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IFERROR(MAX(N(D333)-N(E333),0),0)</f>
        <v/>
      </c>
      <c r="G333" s="130">
        <f>IFERROR(N(E333)*GeneratorRate,0)</f>
        <v/>
      </c>
      <c r="H333" s="130">
        <f>IFERROR(N(F333)*GovernmentRate,0)</f>
        <v/>
      </c>
      <c r="I333" s="130">
        <f>IFERROR(G333+H333,0)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IFERROR(MAX(N(D334)-N(E334),0),0)</f>
        <v/>
      </c>
      <c r="G334" s="130">
        <f>IFERROR(N(E334)*GeneratorRate,0)</f>
        <v/>
      </c>
      <c r="H334" s="130">
        <f>IFERROR(N(F334)*GovernmentRate,0)</f>
        <v/>
      </c>
      <c r="I334" s="130">
        <f>IFERROR(G334+H334,0)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IFERROR(MAX(N(D335)-N(E335),0),0)</f>
        <v/>
      </c>
      <c r="G335" s="130">
        <f>IFERROR(N(E335)*GeneratorRate,0)</f>
        <v/>
      </c>
      <c r="H335" s="130">
        <f>IFERROR(N(F335)*GovernmentRate,0)</f>
        <v/>
      </c>
      <c r="I335" s="130">
        <f>IFERROR(G335+H335,0)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IFERROR(MAX(N(D336)-N(E336),0),0)</f>
        <v/>
      </c>
      <c r="G336" s="130">
        <f>IFERROR(N(E336)*GeneratorRate,0)</f>
        <v/>
      </c>
      <c r="H336" s="130">
        <f>IFERROR(N(F336)*GovernmentRate,0)</f>
        <v/>
      </c>
      <c r="I336" s="130">
        <f>IFERROR(G336+H336,0)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IFERROR(MAX(N(D337)-N(E337),0),0)</f>
        <v/>
      </c>
      <c r="G337" s="130">
        <f>IFERROR(N(E337)*GeneratorRate,0)</f>
        <v/>
      </c>
      <c r="H337" s="130">
        <f>IFERROR(N(F337)*GovernmentRate,0)</f>
        <v/>
      </c>
      <c r="I337" s="130">
        <f>IFERROR(G337+H337,0)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IFERROR(MAX(N(D338)-N(E338),0),0)</f>
        <v/>
      </c>
      <c r="G338" s="130">
        <f>IFERROR(N(E338)*GeneratorRate,0)</f>
        <v/>
      </c>
      <c r="H338" s="130">
        <f>IFERROR(N(F338)*GovernmentRate,0)</f>
        <v/>
      </c>
      <c r="I338" s="130">
        <f>IFERROR(G338+H338,0)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IFERROR(MAX(N(D339)-N(E339),0),0)</f>
        <v/>
      </c>
      <c r="G339" s="130">
        <f>IFERROR(N(E339)*GeneratorRate,0)</f>
        <v/>
      </c>
      <c r="H339" s="130">
        <f>IFERROR(N(F339)*GovernmentRate,0)</f>
        <v/>
      </c>
      <c r="I339" s="130">
        <f>IFERROR(G339+H339,0)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IFERROR(MAX(N(D340)-N(E340),0),0)</f>
        <v/>
      </c>
      <c r="G340" s="130">
        <f>IFERROR(N(E340)*GeneratorRate,0)</f>
        <v/>
      </c>
      <c r="H340" s="130">
        <f>IFERROR(N(F340)*GovernmentRate,0)</f>
        <v/>
      </c>
      <c r="I340" s="130">
        <f>IFERROR(G340+H340,0)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IFERROR(MAX(N(D341)-N(E341),0),0)</f>
        <v/>
      </c>
      <c r="G341" s="130">
        <f>IFERROR(N(E341)*GeneratorRate,0)</f>
        <v/>
      </c>
      <c r="H341" s="130">
        <f>IFERROR(N(F341)*GovernmentRate,0)</f>
        <v/>
      </c>
      <c r="I341" s="130">
        <f>IFERROR(G341+H341,0)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IFERROR(MAX(N(D342)-N(E342),0),0)</f>
        <v/>
      </c>
      <c r="G342" s="130">
        <f>IFERROR(N(E342)*GeneratorRate,0)</f>
        <v/>
      </c>
      <c r="H342" s="130">
        <f>IFERROR(N(F342)*GovernmentRate,0)</f>
        <v/>
      </c>
      <c r="I342" s="130">
        <f>IFERROR(G342+H342,0)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IFERROR(MAX(N(D343)-N(E343),0),0)</f>
        <v/>
      </c>
      <c r="G343" s="130">
        <f>IFERROR(N(E343)*GeneratorRate,0)</f>
        <v/>
      </c>
      <c r="H343" s="130">
        <f>IFERROR(N(F343)*GovernmentRate,0)</f>
        <v/>
      </c>
      <c r="I343" s="130">
        <f>IFERROR(G343+H343,0)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IFERROR(MAX(N(D344)-N(E344),0),0)</f>
        <v/>
      </c>
      <c r="G344" s="130">
        <f>IFERROR(N(E344)*GeneratorRate,0)</f>
        <v/>
      </c>
      <c r="H344" s="130">
        <f>IFERROR(N(F344)*GovernmentRate,0)</f>
        <v/>
      </c>
      <c r="I344" s="130">
        <f>IFERROR(G344+H344,0)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IFERROR(MAX(N(D345)-N(E345),0),0)</f>
        <v/>
      </c>
      <c r="G345" s="130">
        <f>IFERROR(N(E345)*GeneratorRate,0)</f>
        <v/>
      </c>
      <c r="H345" s="130">
        <f>IFERROR(N(F345)*GovernmentRate,0)</f>
        <v/>
      </c>
      <c r="I345" s="130">
        <f>IFERROR(G345+H345,0)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IFERROR(MAX(N(D346)-N(E346),0),0)</f>
        <v/>
      </c>
      <c r="G346" s="130">
        <f>IFERROR(N(E346)*GeneratorRate,0)</f>
        <v/>
      </c>
      <c r="H346" s="130">
        <f>IFERROR(N(F346)*GovernmentRate,0)</f>
        <v/>
      </c>
      <c r="I346" s="130">
        <f>IFERROR(G346+H346,0)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IFERROR(MAX(N(D347)-N(E347),0),0)</f>
        <v/>
      </c>
      <c r="G347" s="130">
        <f>IFERROR(N(E347)*GeneratorRate,0)</f>
        <v/>
      </c>
      <c r="H347" s="130">
        <f>IFERROR(N(F347)*GovernmentRate,0)</f>
        <v/>
      </c>
      <c r="I347" s="130">
        <f>IFERROR(G347+H347,0)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IFERROR(MAX(N(D348)-N(E348),0),0)</f>
        <v/>
      </c>
      <c r="G348" s="130">
        <f>IFERROR(N(E348)*GeneratorRate,0)</f>
        <v/>
      </c>
      <c r="H348" s="130">
        <f>IFERROR(N(F348)*GovernmentRate,0)</f>
        <v/>
      </c>
      <c r="I348" s="130">
        <f>IFERROR(G348+H348,0)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IFERROR(MAX(N(D349)-N(E349),0),0)</f>
        <v/>
      </c>
      <c r="G349" s="130">
        <f>IFERROR(N(E349)*GeneratorRate,0)</f>
        <v/>
      </c>
      <c r="H349" s="130">
        <f>IFERROR(N(F349)*GovernmentRate,0)</f>
        <v/>
      </c>
      <c r="I349" s="130">
        <f>IFERROR(G349+H349,0)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IFERROR(MAX(N(D350)-N(E350),0),0)</f>
        <v/>
      </c>
      <c r="G350" s="130">
        <f>IFERROR(N(E350)*GeneratorRate,0)</f>
        <v/>
      </c>
      <c r="H350" s="130">
        <f>IFERROR(N(F350)*GovernmentRate,0)</f>
        <v/>
      </c>
      <c r="I350" s="130">
        <f>IFERROR(G350+H350,0)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IFERROR(MAX(N(D351)-N(E351),0),0)</f>
        <v/>
      </c>
      <c r="G351" s="130">
        <f>IFERROR(N(E351)*GeneratorRate,0)</f>
        <v/>
      </c>
      <c r="H351" s="130">
        <f>IFERROR(N(F351)*GovernmentRate,0)</f>
        <v/>
      </c>
      <c r="I351" s="130">
        <f>IFERROR(G351+H351,0)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IFERROR(MAX(N(D352)-N(E352),0),0)</f>
        <v/>
      </c>
      <c r="G352" s="130">
        <f>IFERROR(N(E352)*GeneratorRate,0)</f>
        <v/>
      </c>
      <c r="H352" s="130">
        <f>IFERROR(N(F352)*GovernmentRate,0)</f>
        <v/>
      </c>
      <c r="I352" s="130">
        <f>IFERROR(G352+H352,0)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IFERROR(MAX(N(D353)-N(E353),0),0)</f>
        <v/>
      </c>
      <c r="G353" s="130">
        <f>IFERROR(N(E353)*GeneratorRate,0)</f>
        <v/>
      </c>
      <c r="H353" s="130">
        <f>IFERROR(N(F353)*GovernmentRate,0)</f>
        <v/>
      </c>
      <c r="I353" s="130">
        <f>IFERROR(G353+H353,0)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IFERROR(MAX(N(D354)-N(E354),0),0)</f>
        <v/>
      </c>
      <c r="G354" s="130">
        <f>IFERROR(N(E354)*GeneratorRate,0)</f>
        <v/>
      </c>
      <c r="H354" s="130">
        <f>IFERROR(N(F354)*GovernmentRate,0)</f>
        <v/>
      </c>
      <c r="I354" s="130">
        <f>IFERROR(G354+H354,0)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IFERROR(MAX(N(D355)-N(E355),0),0)</f>
        <v/>
      </c>
      <c r="G355" s="130">
        <f>IFERROR(N(E355)*GeneratorRate,0)</f>
        <v/>
      </c>
      <c r="H355" s="130">
        <f>IFERROR(N(F355)*GovernmentRate,0)</f>
        <v/>
      </c>
      <c r="I355" s="130">
        <f>IFERROR(G355+H355,0)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IFERROR(MAX(N(D356)-N(E356),0),0)</f>
        <v/>
      </c>
      <c r="G356" s="130">
        <f>IFERROR(N(E356)*GeneratorRate,0)</f>
        <v/>
      </c>
      <c r="H356" s="130">
        <f>IFERROR(N(F356)*GovernmentRate,0)</f>
        <v/>
      </c>
      <c r="I356" s="130">
        <f>IFERROR(G356+H356,0)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IFERROR(MAX(N(D357)-N(E357),0),0)</f>
        <v/>
      </c>
      <c r="G357" s="130">
        <f>IFERROR(N(E357)*GeneratorRate,0)</f>
        <v/>
      </c>
      <c r="H357" s="130">
        <f>IFERROR(N(F357)*GovernmentRate,0)</f>
        <v/>
      </c>
      <c r="I357" s="130">
        <f>IFERROR(G357+H357,0)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IFERROR(MAX(N(D358)-N(E358),0),0)</f>
        <v/>
      </c>
      <c r="G358" s="130">
        <f>IFERROR(N(E358)*GeneratorRate,0)</f>
        <v/>
      </c>
      <c r="H358" s="130">
        <f>IFERROR(N(F358)*GovernmentRate,0)</f>
        <v/>
      </c>
      <c r="I358" s="130">
        <f>IFERROR(G358+H358,0)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IFERROR(MAX(N(D359)-N(E359),0),0)</f>
        <v/>
      </c>
      <c r="G359" s="130">
        <f>IFERROR(N(E359)*GeneratorRate,0)</f>
        <v/>
      </c>
      <c r="H359" s="130">
        <f>IFERROR(N(F359)*GovernmentRate,0)</f>
        <v/>
      </c>
      <c r="I359" s="130">
        <f>IFERROR(G359+H359,0)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IFERROR(MAX(N(D360)-N(E360),0),0)</f>
        <v/>
      </c>
      <c r="G360" s="130">
        <f>IFERROR(N(E360)*GeneratorRate,0)</f>
        <v/>
      </c>
      <c r="H360" s="130">
        <f>IFERROR(N(F360)*GovernmentRate,0)</f>
        <v/>
      </c>
      <c r="I360" s="130">
        <f>IFERROR(G360+H360,0)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IFERROR(MAX(N(D361)-N(E361),0),0)</f>
        <v/>
      </c>
      <c r="G361" s="130">
        <f>IFERROR(N(E361)*GeneratorRate,0)</f>
        <v/>
      </c>
      <c r="H361" s="130">
        <f>IFERROR(N(F361)*GovernmentRate,0)</f>
        <v/>
      </c>
      <c r="I361" s="130">
        <f>IFERROR(G361+H361,0)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IFERROR(MAX(N(D362)-N(E362),0),0)</f>
        <v/>
      </c>
      <c r="G362" s="130">
        <f>IFERROR(N(E362)*GeneratorRate,0)</f>
        <v/>
      </c>
      <c r="H362" s="130">
        <f>IFERROR(N(F362)*GovernmentRate,0)</f>
        <v/>
      </c>
      <c r="I362" s="130">
        <f>IFERROR(G362+H362,0)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IFERROR(MAX(N(D363)-N(E363),0),0)</f>
        <v/>
      </c>
      <c r="G363" s="130">
        <f>IFERROR(N(E363)*GeneratorRate,0)</f>
        <v/>
      </c>
      <c r="H363" s="130">
        <f>IFERROR(N(F363)*GovernmentRate,0)</f>
        <v/>
      </c>
      <c r="I363" s="130">
        <f>IFERROR(G363+H363,0)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IFERROR(MAX(N(D364)-N(E364),0),0)</f>
        <v/>
      </c>
      <c r="G364" s="130">
        <f>IFERROR(N(E364)*GeneratorRate,0)</f>
        <v/>
      </c>
      <c r="H364" s="130">
        <f>IFERROR(N(F364)*GovernmentRate,0)</f>
        <v/>
      </c>
      <c r="I364" s="130">
        <f>IFERROR(G364+H364,0)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IFERROR(MAX(N(D365)-N(E365),0),0)</f>
        <v/>
      </c>
      <c r="G365" s="130">
        <f>IFERROR(N(E365)*GeneratorRate,0)</f>
        <v/>
      </c>
      <c r="H365" s="130">
        <f>IFERROR(N(F365)*GovernmentRate,0)</f>
        <v/>
      </c>
      <c r="I365" s="130">
        <f>IFERROR(G365+H365,0)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IFERROR(MAX(N(D366)-N(E366),0),0)</f>
        <v/>
      </c>
      <c r="G366" s="130">
        <f>IFERROR(N(E366)*GeneratorRate,0)</f>
        <v/>
      </c>
      <c r="H366" s="130">
        <f>IFERROR(N(F366)*GovernmentRate,0)</f>
        <v/>
      </c>
      <c r="I366" s="130">
        <f>IFERROR(G366+H366,0)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IFERROR(MAX(N(D367)-N(E367),0),0)</f>
        <v/>
      </c>
      <c r="G367" s="130">
        <f>IFERROR(N(E367)*GeneratorRate,0)</f>
        <v/>
      </c>
      <c r="H367" s="130">
        <f>IFERROR(N(F367)*GovernmentRate,0)</f>
        <v/>
      </c>
      <c r="I367" s="130">
        <f>IFERROR(G367+H367,0)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IFERROR(MAX(N(D368)-N(E368),0),0)</f>
        <v/>
      </c>
      <c r="G368" s="130">
        <f>IFERROR(N(E368)*GeneratorRate,0)</f>
        <v/>
      </c>
      <c r="H368" s="130">
        <f>IFERROR(N(F368)*GovernmentRate,0)</f>
        <v/>
      </c>
      <c r="I368" s="130">
        <f>IFERROR(G368+H368,0)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IFERROR(MAX(N(D369)-N(E369),0),0)</f>
        <v/>
      </c>
      <c r="G369" s="130">
        <f>IFERROR(N(E369)*GeneratorRate,0)</f>
        <v/>
      </c>
      <c r="H369" s="130">
        <f>IFERROR(N(F369)*GovernmentRate,0)</f>
        <v/>
      </c>
      <c r="I369" s="130">
        <f>IFERROR(G369+H369,0)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IFERROR(MAX(N(D370)-N(E370),0),0)</f>
        <v/>
      </c>
      <c r="G370" s="130">
        <f>IFERROR(N(E370)*GeneratorRate,0)</f>
        <v/>
      </c>
      <c r="H370" s="130">
        <f>IFERROR(N(F370)*GovernmentRate,0)</f>
        <v/>
      </c>
      <c r="I370" s="130">
        <f>IFERROR(G370+H370,0)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IFERROR(MAX(N(D371)-N(E371),0),0)</f>
        <v/>
      </c>
      <c r="G371" s="130">
        <f>IFERROR(N(E371)*GeneratorRate,0)</f>
        <v/>
      </c>
      <c r="H371" s="130">
        <f>IFERROR(N(F371)*GovernmentRate,0)</f>
        <v/>
      </c>
      <c r="I371" s="130">
        <f>IFERROR(G371+H371,0)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IFERROR(MAX(N(D372)-N(E372),0),0)</f>
        <v/>
      </c>
      <c r="G372" s="130">
        <f>IFERROR(N(E372)*GeneratorRate,0)</f>
        <v/>
      </c>
      <c r="H372" s="130">
        <f>IFERROR(N(F372)*GovernmentRate,0)</f>
        <v/>
      </c>
      <c r="I372" s="130">
        <f>IFERROR(G372+H372,0)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IFERROR(MAX(N(D373)-N(E373),0),0)</f>
        <v/>
      </c>
      <c r="G373" s="130">
        <f>IFERROR(N(E373)*GeneratorRate,0)</f>
        <v/>
      </c>
      <c r="H373" s="130">
        <f>IFERROR(N(F373)*GovernmentRate,0)</f>
        <v/>
      </c>
      <c r="I373" s="130">
        <f>IFERROR(G373+H373,0)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IFERROR(MAX(N(D374)-N(E374),0),0)</f>
        <v/>
      </c>
      <c r="G374" s="130">
        <f>IFERROR(N(E374)*GeneratorRate,0)</f>
        <v/>
      </c>
      <c r="H374" s="130">
        <f>IFERROR(N(F374)*GovernmentRate,0)</f>
        <v/>
      </c>
      <c r="I374" s="130">
        <f>IFERROR(G374+H374,0)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IFERROR(MAX(N(D375)-N(E375),0),0)</f>
        <v/>
      </c>
      <c r="G375" s="130">
        <f>IFERROR(N(E375)*GeneratorRate,0)</f>
        <v/>
      </c>
      <c r="H375" s="130">
        <f>IFERROR(N(F375)*GovernmentRate,0)</f>
        <v/>
      </c>
      <c r="I375" s="130">
        <f>IFERROR(G375+H375,0)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IFERROR(MAX(N(D376)-N(E376),0),0)</f>
        <v/>
      </c>
      <c r="G376" s="130">
        <f>IFERROR(N(E376)*GeneratorRate,0)</f>
        <v/>
      </c>
      <c r="H376" s="130">
        <f>IFERROR(N(F376)*GovernmentRate,0)</f>
        <v/>
      </c>
      <c r="I376" s="130">
        <f>IFERROR(G376+H376,0)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IFERROR(MAX(N(D377)-N(E377),0),0)</f>
        <v/>
      </c>
      <c r="G377" s="130">
        <f>IFERROR(N(E377)*GeneratorRate,0)</f>
        <v/>
      </c>
      <c r="H377" s="130">
        <f>IFERROR(N(F377)*GovernmentRate,0)</f>
        <v/>
      </c>
      <c r="I377" s="130">
        <f>IFERROR(G377+H377,0)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IFERROR(MAX(N(D378)-N(E378),0),0)</f>
        <v/>
      </c>
      <c r="G378" s="130">
        <f>IFERROR(N(E378)*GeneratorRate,0)</f>
        <v/>
      </c>
      <c r="H378" s="130">
        <f>IFERROR(N(F378)*GovernmentRate,0)</f>
        <v/>
      </c>
      <c r="I378" s="130">
        <f>IFERROR(G378+H378,0)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IFERROR(MAX(N(D379)-N(E379),0),0)</f>
        <v/>
      </c>
      <c r="G379" s="130">
        <f>IFERROR(N(E379)*GeneratorRate,0)</f>
        <v/>
      </c>
      <c r="H379" s="130">
        <f>IFERROR(N(F379)*GovernmentRate,0)</f>
        <v/>
      </c>
      <c r="I379" s="130">
        <f>IFERROR(G379+H379,0)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IFERROR(MAX(N(D380)-N(E380),0),0)</f>
        <v/>
      </c>
      <c r="G380" s="130">
        <f>IFERROR(N(E380)*GeneratorRate,0)</f>
        <v/>
      </c>
      <c r="H380" s="130">
        <f>IFERROR(N(F380)*GovernmentRate,0)</f>
        <v/>
      </c>
      <c r="I380" s="130">
        <f>IFERROR(G380+H380,0)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IFERROR(MAX(N(D381)-N(E381),0),0)</f>
        <v/>
      </c>
      <c r="G381" s="130">
        <f>IFERROR(N(E381)*GeneratorRate,0)</f>
        <v/>
      </c>
      <c r="H381" s="130">
        <f>IFERROR(N(F381)*GovernmentRate,0)</f>
        <v/>
      </c>
      <c r="I381" s="130">
        <f>IFERROR(G381+H381,0)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IFERROR(MAX(N(D382)-N(E382),0),0)</f>
        <v/>
      </c>
      <c r="G382" s="130">
        <f>IFERROR(N(E382)*GeneratorRate,0)</f>
        <v/>
      </c>
      <c r="H382" s="130">
        <f>IFERROR(N(F382)*GovernmentRate,0)</f>
        <v/>
      </c>
      <c r="I382" s="130">
        <f>IFERROR(G382+H382,0)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IFERROR(MAX(N(D383)-N(E383),0),0)</f>
        <v/>
      </c>
      <c r="G383" s="130">
        <f>IFERROR(N(E383)*GeneratorRate,0)</f>
        <v/>
      </c>
      <c r="H383" s="130">
        <f>IFERROR(N(F383)*GovernmentRate,0)</f>
        <v/>
      </c>
      <c r="I383" s="130">
        <f>IFERROR(G383+H383,0)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IFERROR(MAX(N(D384)-N(E384),0),0)</f>
        <v/>
      </c>
      <c r="G384" s="130">
        <f>IFERROR(N(E384)*GeneratorRate,0)</f>
        <v/>
      </c>
      <c r="H384" s="130">
        <f>IFERROR(N(F384)*GovernmentRate,0)</f>
        <v/>
      </c>
      <c r="I384" s="130">
        <f>IFERROR(G384+H384,0)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IFERROR(MAX(N(D385)-N(E385),0),0)</f>
        <v/>
      </c>
      <c r="G385" s="130">
        <f>IFERROR(N(E385)*GeneratorRate,0)</f>
        <v/>
      </c>
      <c r="H385" s="130">
        <f>IFERROR(N(F385)*GovernmentRate,0)</f>
        <v/>
      </c>
      <c r="I385" s="130">
        <f>IFERROR(G385+H385,0)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IFERROR(MAX(N(D386)-N(E386),0),0)</f>
        <v/>
      </c>
      <c r="G386" s="130">
        <f>IFERROR(N(E386)*GeneratorRate,0)</f>
        <v/>
      </c>
      <c r="H386" s="130">
        <f>IFERROR(N(F386)*GovernmentRate,0)</f>
        <v/>
      </c>
      <c r="I386" s="130">
        <f>IFERROR(G386+H386,0)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IFERROR(MAX(N(D387)-N(E387),0),0)</f>
        <v/>
      </c>
      <c r="G387" s="130">
        <f>IFERROR(N(E387)*GeneratorRate,0)</f>
        <v/>
      </c>
      <c r="H387" s="130">
        <f>IFERROR(N(F387)*GovernmentRate,0)</f>
        <v/>
      </c>
      <c r="I387" s="130">
        <f>IFERROR(G387+H387,0)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IFERROR(MAX(N(D388)-N(E388),0),0)</f>
        <v/>
      </c>
      <c r="G388" s="130">
        <f>IFERROR(N(E388)*GeneratorRate,0)</f>
        <v/>
      </c>
      <c r="H388" s="130">
        <f>IFERROR(N(F388)*GovernmentRate,0)</f>
        <v/>
      </c>
      <c r="I388" s="130">
        <f>IFERROR(G388+H388,0)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IFERROR(MAX(N(D389)-N(E389),0),0)</f>
        <v/>
      </c>
      <c r="G389" s="130">
        <f>IFERROR(N(E389)*GeneratorRate,0)</f>
        <v/>
      </c>
      <c r="H389" s="130">
        <f>IFERROR(N(F389)*GovernmentRate,0)</f>
        <v/>
      </c>
      <c r="I389" s="130">
        <f>IFERROR(G389+H389,0)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IFERROR(MAX(N(D390)-N(E390),0),0)</f>
        <v/>
      </c>
      <c r="G390" s="130">
        <f>IFERROR(N(E390)*GeneratorRate,0)</f>
        <v/>
      </c>
      <c r="H390" s="130">
        <f>IFERROR(N(F390)*GovernmentRate,0)</f>
        <v/>
      </c>
      <c r="I390" s="130">
        <f>IFERROR(G390+H390,0)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IFERROR(MAX(N(D391)-N(E391),0),0)</f>
        <v/>
      </c>
      <c r="G391" s="130">
        <f>IFERROR(N(E391)*GeneratorRate,0)</f>
        <v/>
      </c>
      <c r="H391" s="130">
        <f>IFERROR(N(F391)*GovernmentRate,0)</f>
        <v/>
      </c>
      <c r="I391" s="130">
        <f>IFERROR(G391+H391,0)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IFERROR(MAX(N(D392)-N(E392),0),0)</f>
        <v/>
      </c>
      <c r="G392" s="130">
        <f>IFERROR(N(E392)*GeneratorRate,0)</f>
        <v/>
      </c>
      <c r="H392" s="130">
        <f>IFERROR(N(F392)*GovernmentRate,0)</f>
        <v/>
      </c>
      <c r="I392" s="130">
        <f>IFERROR(G392+H392,0)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IFERROR(MAX(N(D393)-N(E393),0),0)</f>
        <v/>
      </c>
      <c r="G393" s="130">
        <f>IFERROR(N(E393)*GeneratorRate,0)</f>
        <v/>
      </c>
      <c r="H393" s="130">
        <f>IFERROR(N(F393)*GovernmentRate,0)</f>
        <v/>
      </c>
      <c r="I393" s="130">
        <f>IFERROR(G393+H393,0)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IFERROR(MAX(N(D394)-N(E394),0),0)</f>
        <v/>
      </c>
      <c r="G394" s="130">
        <f>IFERROR(N(E394)*GeneratorRate,0)</f>
        <v/>
      </c>
      <c r="H394" s="130">
        <f>IFERROR(N(F394)*GovernmentRate,0)</f>
        <v/>
      </c>
      <c r="I394" s="130">
        <f>IFERROR(G394+H394,0)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IFERROR(MAX(N(D395)-N(E395),0),0)</f>
        <v/>
      </c>
      <c r="G395" s="130">
        <f>IFERROR(N(E395)*GeneratorRate,0)</f>
        <v/>
      </c>
      <c r="H395" s="130">
        <f>IFERROR(N(F395)*GovernmentRate,0)</f>
        <v/>
      </c>
      <c r="I395" s="130">
        <f>IFERROR(G395+H395,0)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IFERROR(MAX(N(D396)-N(E396),0),0)</f>
        <v/>
      </c>
      <c r="G396" s="130">
        <f>IFERROR(N(E396)*GeneratorRate,0)</f>
        <v/>
      </c>
      <c r="H396" s="130">
        <f>IFERROR(N(F396)*GovernmentRate,0)</f>
        <v/>
      </c>
      <c r="I396" s="130">
        <f>IFERROR(G396+H396,0)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IFERROR(MAX(N(D397)-N(E397),0),0)</f>
        <v/>
      </c>
      <c r="G397" s="130">
        <f>IFERROR(N(E397)*GeneratorRate,0)</f>
        <v/>
      </c>
      <c r="H397" s="130">
        <f>IFERROR(N(F397)*GovernmentRate,0)</f>
        <v/>
      </c>
      <c r="I397" s="130">
        <f>IFERROR(G397+H397,0)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IFERROR(MAX(N(D398)-N(E398),0),0)</f>
        <v/>
      </c>
      <c r="G398" s="130">
        <f>IFERROR(N(E398)*GeneratorRate,0)</f>
        <v/>
      </c>
      <c r="H398" s="130">
        <f>IFERROR(N(F398)*GovernmentRate,0)</f>
        <v/>
      </c>
      <c r="I398" s="130">
        <f>IFERROR(G398+H398,0)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IFERROR(MAX(N(D399)-N(E399),0),0)</f>
        <v/>
      </c>
      <c r="G399" s="130">
        <f>IFERROR(N(E399)*GeneratorRate,0)</f>
        <v/>
      </c>
      <c r="H399" s="130">
        <f>IFERROR(N(F399)*GovernmentRate,0)</f>
        <v/>
      </c>
      <c r="I399" s="130">
        <f>IFERROR(G399+H399,0)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IFERROR(MAX(N(D400)-N(E400),0),0)</f>
        <v/>
      </c>
      <c r="G400" s="130">
        <f>IFERROR(N(E400)*GeneratorRate,0)</f>
        <v/>
      </c>
      <c r="H400" s="130">
        <f>IFERROR(N(F400)*GovernmentRate,0)</f>
        <v/>
      </c>
      <c r="I400" s="130">
        <f>IFERROR(G400+H400,0)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IFERROR(MAX(N(D401)-N(E401),0),0)</f>
        <v/>
      </c>
      <c r="G401" s="130">
        <f>IFERROR(N(E401)*GeneratorRate,0)</f>
        <v/>
      </c>
      <c r="H401" s="130">
        <f>IFERROR(N(F401)*GovernmentRate,0)</f>
        <v/>
      </c>
      <c r="I401" s="130">
        <f>IFERROR(G401+H401,0)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IFERROR(MAX(N(D402)-N(E402),0),0)</f>
        <v/>
      </c>
      <c r="G402" s="130">
        <f>IFERROR(N(E402)*GeneratorRate,0)</f>
        <v/>
      </c>
      <c r="H402" s="130">
        <f>IFERROR(N(F402)*GovernmentRate,0)</f>
        <v/>
      </c>
      <c r="I402" s="130">
        <f>IFERROR(G402+H402,0)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IFERROR(MAX(N(D403)-N(E403),0),0)</f>
        <v/>
      </c>
      <c r="G403" s="130">
        <f>IFERROR(N(E403)*GeneratorRate,0)</f>
        <v/>
      </c>
      <c r="H403" s="130">
        <f>IFERROR(N(F403)*GovernmentRate,0)</f>
        <v/>
      </c>
      <c r="I403" s="130">
        <f>IFERROR(G403+H403,0)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IFERROR(MAX(N(D404)-N(E404),0),0)</f>
        <v/>
      </c>
      <c r="G404" s="130">
        <f>IFERROR(N(E404)*GeneratorRate,0)</f>
        <v/>
      </c>
      <c r="H404" s="130">
        <f>IFERROR(N(F404)*GovernmentRate,0)</f>
        <v/>
      </c>
      <c r="I404" s="130">
        <f>IFERROR(G404+H404,0)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IFERROR(MAX(N(D405)-N(E405),0),0)</f>
        <v/>
      </c>
      <c r="G405" s="130">
        <f>IFERROR(N(E405)*GeneratorRate,0)</f>
        <v/>
      </c>
      <c r="H405" s="130">
        <f>IFERROR(N(F405)*GovernmentRate,0)</f>
        <v/>
      </c>
      <c r="I405" s="130">
        <f>IFERROR(G405+H405,0)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IFERROR(MAX(N(D406)-N(E406),0),0)</f>
        <v/>
      </c>
      <c r="G406" s="130">
        <f>IFERROR(N(E406)*GeneratorRate,0)</f>
        <v/>
      </c>
      <c r="H406" s="130">
        <f>IFERROR(N(F406)*GovernmentRate,0)</f>
        <v/>
      </c>
      <c r="I406" s="130">
        <f>IFERROR(G406+H406,0)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IFERROR(MAX(N(D407)-N(E407),0),0)</f>
        <v/>
      </c>
      <c r="G407" s="130">
        <f>IFERROR(N(E407)*GeneratorRate,0)</f>
        <v/>
      </c>
      <c r="H407" s="130">
        <f>IFERROR(N(F407)*GovernmentRate,0)</f>
        <v/>
      </c>
      <c r="I407" s="130">
        <f>IFERROR(G407+H407,0)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IFERROR(MAX(N(D408)-N(E408),0),0)</f>
        <v/>
      </c>
      <c r="G408" s="130">
        <f>IFERROR(N(E408)*GeneratorRate,0)</f>
        <v/>
      </c>
      <c r="H408" s="130">
        <f>IFERROR(N(F408)*GovernmentRate,0)</f>
        <v/>
      </c>
      <c r="I408" s="130">
        <f>IFERROR(G408+H408,0)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IFERROR(MAX(N(D409)-N(E409),0),0)</f>
        <v/>
      </c>
      <c r="G409" s="130">
        <f>IFERROR(N(E409)*GeneratorRate,0)</f>
        <v/>
      </c>
      <c r="H409" s="130">
        <f>IFERROR(N(F409)*GovernmentRate,0)</f>
        <v/>
      </c>
      <c r="I409" s="130">
        <f>IFERROR(G409+H409,0)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IFERROR(MAX(N(D410)-N(E410),0),0)</f>
        <v/>
      </c>
      <c r="G410" s="130">
        <f>IFERROR(N(E410)*GeneratorRate,0)</f>
        <v/>
      </c>
      <c r="H410" s="130">
        <f>IFERROR(N(F410)*GovernmentRate,0)</f>
        <v/>
      </c>
      <c r="I410" s="130">
        <f>IFERROR(G410+H410,0)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IFERROR(MAX(N(D411)-N(E411),0),0)</f>
        <v/>
      </c>
      <c r="G411" s="130">
        <f>IFERROR(N(E411)*GeneratorRate,0)</f>
        <v/>
      </c>
      <c r="H411" s="130">
        <f>IFERROR(N(F411)*GovernmentRate,0)</f>
        <v/>
      </c>
      <c r="I411" s="130">
        <f>IFERROR(G411+H411,0)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IFERROR(MAX(N(D412)-N(E412),0),0)</f>
        <v/>
      </c>
      <c r="G412" s="130">
        <f>IFERROR(N(E412)*GeneratorRate,0)</f>
        <v/>
      </c>
      <c r="H412" s="130">
        <f>IFERROR(N(F412)*GovernmentRate,0)</f>
        <v/>
      </c>
      <c r="I412" s="130">
        <f>IFERROR(G412+H412,0)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IFERROR(MAX(N(D413)-N(E413),0),0)</f>
        <v/>
      </c>
      <c r="G413" s="130">
        <f>IFERROR(N(E413)*GeneratorRate,0)</f>
        <v/>
      </c>
      <c r="H413" s="130">
        <f>IFERROR(N(F413)*GovernmentRate,0)</f>
        <v/>
      </c>
      <c r="I413" s="130">
        <f>IFERROR(G413+H413,0)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IFERROR(MAX(N(D414)-N(E414),0),0)</f>
        <v/>
      </c>
      <c r="G414" s="130">
        <f>IFERROR(N(E414)*GeneratorRate,0)</f>
        <v/>
      </c>
      <c r="H414" s="130">
        <f>IFERROR(N(F414)*GovernmentRate,0)</f>
        <v/>
      </c>
      <c r="I414" s="130">
        <f>IFERROR(G414+H414,0)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IFERROR(MAX(N(D415)-N(E415),0),0)</f>
        <v/>
      </c>
      <c r="G415" s="130">
        <f>IFERROR(N(E415)*GeneratorRate,0)</f>
        <v/>
      </c>
      <c r="H415" s="130">
        <f>IFERROR(N(F415)*GovernmentRate,0)</f>
        <v/>
      </c>
      <c r="I415" s="130">
        <f>IFERROR(G415+H415,0)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IFERROR(MAX(N(D416)-N(E416),0),0)</f>
        <v/>
      </c>
      <c r="G416" s="130">
        <f>IFERROR(N(E416)*GeneratorRate,0)</f>
        <v/>
      </c>
      <c r="H416" s="130">
        <f>IFERROR(N(F416)*GovernmentRate,0)</f>
        <v/>
      </c>
      <c r="I416" s="130">
        <f>IFERROR(G416+H416,0)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IFERROR(MAX(N(D417)-N(E417),0),0)</f>
        <v/>
      </c>
      <c r="G417" s="130">
        <f>IFERROR(N(E417)*GeneratorRate,0)</f>
        <v/>
      </c>
      <c r="H417" s="130">
        <f>IFERROR(N(F417)*GovernmentRate,0)</f>
        <v/>
      </c>
      <c r="I417" s="130">
        <f>IFERROR(G417+H417,0)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IFERROR(MAX(N(D418)-N(E418),0),0)</f>
        <v/>
      </c>
      <c r="G418" s="130">
        <f>IFERROR(N(E418)*GeneratorRate,0)</f>
        <v/>
      </c>
      <c r="H418" s="130">
        <f>IFERROR(N(F418)*GovernmentRate,0)</f>
        <v/>
      </c>
      <c r="I418" s="130">
        <f>IFERROR(G418+H418,0)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IFERROR(MAX(N(D419)-N(E419),0),0)</f>
        <v/>
      </c>
      <c r="G419" s="130">
        <f>IFERROR(N(E419)*GeneratorRate,0)</f>
        <v/>
      </c>
      <c r="H419" s="130">
        <f>IFERROR(N(F419)*GovernmentRate,0)</f>
        <v/>
      </c>
      <c r="I419" s="130">
        <f>IFERROR(G419+H419,0)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IFERROR(MAX(N(D420)-N(E420),0),0)</f>
        <v/>
      </c>
      <c r="G420" s="130">
        <f>IFERROR(N(E420)*GeneratorRate,0)</f>
        <v/>
      </c>
      <c r="H420" s="130">
        <f>IFERROR(N(F420)*GovernmentRate,0)</f>
        <v/>
      </c>
      <c r="I420" s="130">
        <f>IFERROR(G420+H420,0)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IFERROR(MAX(N(D421)-N(E421),0),0)</f>
        <v/>
      </c>
      <c r="G421" s="130">
        <f>IFERROR(N(E421)*GeneratorRate,0)</f>
        <v/>
      </c>
      <c r="H421" s="130">
        <f>IFERROR(N(F421)*GovernmentRate,0)</f>
        <v/>
      </c>
      <c r="I421" s="130">
        <f>IFERROR(G421+H421,0)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IFERROR(MAX(N(D422)-N(E422),0),0)</f>
        <v/>
      </c>
      <c r="G422" s="130">
        <f>IFERROR(N(E422)*GeneratorRate,0)</f>
        <v/>
      </c>
      <c r="H422" s="130">
        <f>IFERROR(N(F422)*GovernmentRate,0)</f>
        <v/>
      </c>
      <c r="I422" s="130">
        <f>IFERROR(G422+H422,0)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IFERROR(MAX(N(D423)-N(E423),0),0)</f>
        <v/>
      </c>
      <c r="G423" s="130">
        <f>IFERROR(N(E423)*GeneratorRate,0)</f>
        <v/>
      </c>
      <c r="H423" s="130">
        <f>IFERROR(N(F423)*GovernmentRate,0)</f>
        <v/>
      </c>
      <c r="I423" s="130">
        <f>IFERROR(G423+H423,0)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IFERROR(MAX(N(D424)-N(E424),0),0)</f>
        <v/>
      </c>
      <c r="G424" s="130">
        <f>IFERROR(N(E424)*GeneratorRate,0)</f>
        <v/>
      </c>
      <c r="H424" s="130">
        <f>IFERROR(N(F424)*GovernmentRate,0)</f>
        <v/>
      </c>
      <c r="I424" s="130">
        <f>IFERROR(G424+H424,0)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IFERROR(MAX(N(D425)-N(E425),0),0)</f>
        <v/>
      </c>
      <c r="G425" s="130">
        <f>IFERROR(N(E425)*GeneratorRate,0)</f>
        <v/>
      </c>
      <c r="H425" s="130">
        <f>IFERROR(N(F425)*GovernmentRate,0)</f>
        <v/>
      </c>
      <c r="I425" s="130">
        <f>IFERROR(G425+H425,0)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IFERROR(MAX(N(D426)-N(E426),0),0)</f>
        <v/>
      </c>
      <c r="G426" s="130">
        <f>IFERROR(N(E426)*GeneratorRate,0)</f>
        <v/>
      </c>
      <c r="H426" s="130">
        <f>IFERROR(N(F426)*GovernmentRate,0)</f>
        <v/>
      </c>
      <c r="I426" s="130">
        <f>IFERROR(G426+H426,0)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IFERROR(MAX(N(D427)-N(E427),0),0)</f>
        <v/>
      </c>
      <c r="G427" s="130">
        <f>IFERROR(N(E427)*GeneratorRate,0)</f>
        <v/>
      </c>
      <c r="H427" s="130">
        <f>IFERROR(N(F427)*GovernmentRate,0)</f>
        <v/>
      </c>
      <c r="I427" s="130">
        <f>IFERROR(G427+H427,0)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IFERROR(MAX(N(D428)-N(E428),0),0)</f>
        <v/>
      </c>
      <c r="G428" s="130">
        <f>IFERROR(N(E428)*GeneratorRate,0)</f>
        <v/>
      </c>
      <c r="H428" s="130">
        <f>IFERROR(N(F428)*GovernmentRate,0)</f>
        <v/>
      </c>
      <c r="I428" s="130">
        <f>IFERROR(G428+H428,0)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IFERROR(MAX(N(D429)-N(E429),0),0)</f>
        <v/>
      </c>
      <c r="G429" s="130">
        <f>IFERROR(N(E429)*GeneratorRate,0)</f>
        <v/>
      </c>
      <c r="H429" s="130">
        <f>IFERROR(N(F429)*GovernmentRate,0)</f>
        <v/>
      </c>
      <c r="I429" s="130">
        <f>IFERROR(G429+H429,0)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IFERROR(MAX(N(D430)-N(E430),0),0)</f>
        <v/>
      </c>
      <c r="G430" s="130">
        <f>IFERROR(N(E430)*GeneratorRate,0)</f>
        <v/>
      </c>
      <c r="H430" s="130">
        <f>IFERROR(N(F430)*GovernmentRate,0)</f>
        <v/>
      </c>
      <c r="I430" s="130">
        <f>IFERROR(G430+H430,0)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IFERROR(MAX(N(D431)-N(E431),0),0)</f>
        <v/>
      </c>
      <c r="G431" s="130">
        <f>IFERROR(N(E431)*GeneratorRate,0)</f>
        <v/>
      </c>
      <c r="H431" s="130">
        <f>IFERROR(N(F431)*GovernmentRate,0)</f>
        <v/>
      </c>
      <c r="I431" s="130">
        <f>IFERROR(G431+H431,0)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IFERROR(MAX(N(D432)-N(E432),0),0)</f>
        <v/>
      </c>
      <c r="G432" s="130">
        <f>IFERROR(N(E432)*GeneratorRate,0)</f>
        <v/>
      </c>
      <c r="H432" s="130">
        <f>IFERROR(N(F432)*GovernmentRate,0)</f>
        <v/>
      </c>
      <c r="I432" s="130">
        <f>IFERROR(G432+H432,0)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IFERROR(MAX(N(D433)-N(E433),0),0)</f>
        <v/>
      </c>
      <c r="G433" s="130">
        <f>IFERROR(N(E433)*GeneratorRate,0)</f>
        <v/>
      </c>
      <c r="H433" s="130">
        <f>IFERROR(N(F433)*GovernmentRate,0)</f>
        <v/>
      </c>
      <c r="I433" s="130">
        <f>IFERROR(G433+H433,0)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IFERROR(MAX(N(D434)-N(E434),0),0)</f>
        <v/>
      </c>
      <c r="G434" s="130">
        <f>IFERROR(N(E434)*GeneratorRate,0)</f>
        <v/>
      </c>
      <c r="H434" s="130">
        <f>IFERROR(N(F434)*GovernmentRate,0)</f>
        <v/>
      </c>
      <c r="I434" s="130">
        <f>IFERROR(G434+H434,0)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IFERROR(MAX(N(D435)-N(E435),0),0)</f>
        <v/>
      </c>
      <c r="G435" s="130">
        <f>IFERROR(N(E435)*GeneratorRate,0)</f>
        <v/>
      </c>
      <c r="H435" s="130">
        <f>IFERROR(N(F435)*GovernmentRate,0)</f>
        <v/>
      </c>
      <c r="I435" s="130">
        <f>IFERROR(G435+H435,0)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IFERROR(MAX(N(D436)-N(E436),0),0)</f>
        <v/>
      </c>
      <c r="G436" s="130">
        <f>IFERROR(N(E436)*GeneratorRate,0)</f>
        <v/>
      </c>
      <c r="H436" s="130">
        <f>IFERROR(N(F436)*GovernmentRate,0)</f>
        <v/>
      </c>
      <c r="I436" s="130">
        <f>IFERROR(G436+H436,0)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IFERROR(MAX(N(D437)-N(E437),0),0)</f>
        <v/>
      </c>
      <c r="G437" s="130">
        <f>IFERROR(N(E437)*GeneratorRate,0)</f>
        <v/>
      </c>
      <c r="H437" s="130">
        <f>IFERROR(N(F437)*GovernmentRate,0)</f>
        <v/>
      </c>
      <c r="I437" s="130">
        <f>IFERROR(G437+H437,0)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IFERROR(MAX(N(D438)-N(E438),0),0)</f>
        <v/>
      </c>
      <c r="G438" s="130">
        <f>IFERROR(N(E438)*GeneratorRate,0)</f>
        <v/>
      </c>
      <c r="H438" s="130">
        <f>IFERROR(N(F438)*GovernmentRate,0)</f>
        <v/>
      </c>
      <c r="I438" s="130">
        <f>IFERROR(G438+H438,0)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IFERROR(MAX(N(D439)-N(E439),0),0)</f>
        <v/>
      </c>
      <c r="G439" s="130">
        <f>IFERROR(N(E439)*GeneratorRate,0)</f>
        <v/>
      </c>
      <c r="H439" s="130">
        <f>IFERROR(N(F439)*GovernmentRate,0)</f>
        <v/>
      </c>
      <c r="I439" s="130">
        <f>IFERROR(G439+H439,0)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IFERROR(MAX(N(D440)-N(E440),0),0)</f>
        <v/>
      </c>
      <c r="G440" s="130">
        <f>IFERROR(N(E440)*GeneratorRate,0)</f>
        <v/>
      </c>
      <c r="H440" s="130">
        <f>IFERROR(N(F440)*GovernmentRate,0)</f>
        <v/>
      </c>
      <c r="I440" s="130">
        <f>IFERROR(G440+H440,0)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IFERROR(MAX(N(D441)-N(E441),0),0)</f>
        <v/>
      </c>
      <c r="G441" s="130">
        <f>IFERROR(N(E441)*GeneratorRate,0)</f>
        <v/>
      </c>
      <c r="H441" s="130">
        <f>IFERROR(N(F441)*GovernmentRate,0)</f>
        <v/>
      </c>
      <c r="I441" s="130">
        <f>IFERROR(G441+H441,0)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IFERROR(MAX(N(D442)-N(E442),0),0)</f>
        <v/>
      </c>
      <c r="G442" s="130">
        <f>IFERROR(N(E442)*GeneratorRate,0)</f>
        <v/>
      </c>
      <c r="H442" s="130">
        <f>IFERROR(N(F442)*GovernmentRate,0)</f>
        <v/>
      </c>
      <c r="I442" s="130">
        <f>IFERROR(G442+H442,0)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IFERROR(MAX(N(D443)-N(E443),0),0)</f>
        <v/>
      </c>
      <c r="G443" s="130">
        <f>IFERROR(N(E443)*GeneratorRate,0)</f>
        <v/>
      </c>
      <c r="H443" s="130">
        <f>IFERROR(N(F443)*GovernmentRate,0)</f>
        <v/>
      </c>
      <c r="I443" s="130">
        <f>IFERROR(G443+H443,0)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IFERROR(MAX(N(D444)-N(E444),0),0)</f>
        <v/>
      </c>
      <c r="G444" s="130">
        <f>IFERROR(N(E444)*GeneratorRate,0)</f>
        <v/>
      </c>
      <c r="H444" s="130">
        <f>IFERROR(N(F444)*GovernmentRate,0)</f>
        <v/>
      </c>
      <c r="I444" s="130">
        <f>IFERROR(G444+H444,0)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IFERROR(MAX(N(D445)-N(E445),0),0)</f>
        <v/>
      </c>
      <c r="G445" s="130">
        <f>IFERROR(N(E445)*GeneratorRate,0)</f>
        <v/>
      </c>
      <c r="H445" s="130">
        <f>IFERROR(N(F445)*GovernmentRate,0)</f>
        <v/>
      </c>
      <c r="I445" s="130">
        <f>IFERROR(G445+H445,0)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IFERROR(MAX(N(D446)-N(E446),0),0)</f>
        <v/>
      </c>
      <c r="G446" s="130">
        <f>IFERROR(N(E446)*GeneratorRate,0)</f>
        <v/>
      </c>
      <c r="H446" s="130">
        <f>IFERROR(N(F446)*GovernmentRate,0)</f>
        <v/>
      </c>
      <c r="I446" s="130">
        <f>IFERROR(G446+H446,0)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IFERROR(MAX(N(D447)-N(E447),0),0)</f>
        <v/>
      </c>
      <c r="G447" s="130">
        <f>IFERROR(N(E447)*GeneratorRate,0)</f>
        <v/>
      </c>
      <c r="H447" s="130">
        <f>IFERROR(N(F447)*GovernmentRate,0)</f>
        <v/>
      </c>
      <c r="I447" s="130">
        <f>IFERROR(G447+H447,0)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IFERROR(MAX(N(D448)-N(E448),0),0)</f>
        <v/>
      </c>
      <c r="G448" s="130">
        <f>IFERROR(N(E448)*GeneratorRate,0)</f>
        <v/>
      </c>
      <c r="H448" s="130">
        <f>IFERROR(N(F448)*GovernmentRate,0)</f>
        <v/>
      </c>
      <c r="I448" s="130">
        <f>IFERROR(G448+H448,0)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IFERROR(MAX(N(D449)-N(E449),0),0)</f>
        <v/>
      </c>
      <c r="G449" s="130">
        <f>IFERROR(N(E449)*GeneratorRate,0)</f>
        <v/>
      </c>
      <c r="H449" s="130">
        <f>IFERROR(N(F449)*GovernmentRate,0)</f>
        <v/>
      </c>
      <c r="I449" s="130">
        <f>IFERROR(G449+H449,0)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IFERROR(MAX(N(D450)-N(E450),0),0)</f>
        <v/>
      </c>
      <c r="G450" s="130">
        <f>IFERROR(N(E450)*GeneratorRate,0)</f>
        <v/>
      </c>
      <c r="H450" s="130">
        <f>IFERROR(N(F450)*GovernmentRate,0)</f>
        <v/>
      </c>
      <c r="I450" s="130">
        <f>IFERROR(G450+H450,0)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IFERROR(MAX(N(D451)-N(E451),0),0)</f>
        <v/>
      </c>
      <c r="G451" s="130">
        <f>IFERROR(N(E451)*GeneratorRate,0)</f>
        <v/>
      </c>
      <c r="H451" s="130">
        <f>IFERROR(N(F451)*GovernmentRate,0)</f>
        <v/>
      </c>
      <c r="I451" s="130">
        <f>IFERROR(G451+H451,0)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IFERROR(MAX(N(D452)-N(E452),0),0)</f>
        <v/>
      </c>
      <c r="G452" s="130">
        <f>IFERROR(N(E452)*GeneratorRate,0)</f>
        <v/>
      </c>
      <c r="H452" s="130">
        <f>IFERROR(N(F452)*GovernmentRate,0)</f>
        <v/>
      </c>
      <c r="I452" s="130">
        <f>IFERROR(G452+H452,0)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IFERROR(MAX(N(D453)-N(E453),0),0)</f>
        <v/>
      </c>
      <c r="G453" s="130">
        <f>IFERROR(N(E453)*GeneratorRate,0)</f>
        <v/>
      </c>
      <c r="H453" s="130">
        <f>IFERROR(N(F453)*GovernmentRate,0)</f>
        <v/>
      </c>
      <c r="I453" s="130">
        <f>IFERROR(G453+H453,0)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IFERROR(MAX(N(D454)-N(E454),0),0)</f>
        <v/>
      </c>
      <c r="G454" s="130">
        <f>IFERROR(N(E454)*GeneratorRate,0)</f>
        <v/>
      </c>
      <c r="H454" s="130">
        <f>IFERROR(N(F454)*GovernmentRate,0)</f>
        <v/>
      </c>
      <c r="I454" s="130">
        <f>IFERROR(G454+H454,0)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IFERROR(MAX(N(D455)-N(E455),0),0)</f>
        <v/>
      </c>
      <c r="G455" s="130">
        <f>IFERROR(N(E455)*GeneratorRate,0)</f>
        <v/>
      </c>
      <c r="H455" s="130">
        <f>IFERROR(N(F455)*GovernmentRate,0)</f>
        <v/>
      </c>
      <c r="I455" s="130">
        <f>IFERROR(G455+H455,0)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IFERROR(MAX(N(D456)-N(E456),0),0)</f>
        <v/>
      </c>
      <c r="G456" s="130">
        <f>IFERROR(N(E456)*GeneratorRate,0)</f>
        <v/>
      </c>
      <c r="H456" s="130">
        <f>IFERROR(N(F456)*GovernmentRate,0)</f>
        <v/>
      </c>
      <c r="I456" s="130">
        <f>IFERROR(G456+H456,0)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IFERROR(MAX(N(D457)-N(E457),0),0)</f>
        <v/>
      </c>
      <c r="G457" s="130">
        <f>IFERROR(N(E457)*GeneratorRate,0)</f>
        <v/>
      </c>
      <c r="H457" s="130">
        <f>IFERROR(N(F457)*GovernmentRate,0)</f>
        <v/>
      </c>
      <c r="I457" s="130">
        <f>IFERROR(G457+H457,0)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IFERROR(MAX(N(D458)-N(E458),0),0)</f>
        <v/>
      </c>
      <c r="G458" s="130">
        <f>IFERROR(N(E458)*GeneratorRate,0)</f>
        <v/>
      </c>
      <c r="H458" s="130">
        <f>IFERROR(N(F458)*GovernmentRate,0)</f>
        <v/>
      </c>
      <c r="I458" s="130">
        <f>IFERROR(G458+H458,0)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IFERROR(MAX(N(D459)-N(E459),0),0)</f>
        <v/>
      </c>
      <c r="G459" s="130">
        <f>IFERROR(N(E459)*GeneratorRate,0)</f>
        <v/>
      </c>
      <c r="H459" s="130">
        <f>IFERROR(N(F459)*GovernmentRate,0)</f>
        <v/>
      </c>
      <c r="I459" s="130">
        <f>IFERROR(G459+H459,0)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IFERROR(MAX(N(D460)-N(E460),0),0)</f>
        <v/>
      </c>
      <c r="G460" s="130">
        <f>IFERROR(N(E460)*GeneratorRate,0)</f>
        <v/>
      </c>
      <c r="H460" s="130">
        <f>IFERROR(N(F460)*GovernmentRate,0)</f>
        <v/>
      </c>
      <c r="I460" s="130">
        <f>IFERROR(G460+H460,0)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IFERROR(MAX(N(D461)-N(E461),0),0)</f>
        <v/>
      </c>
      <c r="G461" s="130">
        <f>IFERROR(N(E461)*GeneratorRate,0)</f>
        <v/>
      </c>
      <c r="H461" s="130">
        <f>IFERROR(N(F461)*GovernmentRate,0)</f>
        <v/>
      </c>
      <c r="I461" s="130">
        <f>IFERROR(G461+H461,0)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IFERROR(MAX(N(D462)-N(E462),0),0)</f>
        <v/>
      </c>
      <c r="G462" s="130">
        <f>IFERROR(N(E462)*GeneratorRate,0)</f>
        <v/>
      </c>
      <c r="H462" s="130">
        <f>IFERROR(N(F462)*GovernmentRate,0)</f>
        <v/>
      </c>
      <c r="I462" s="130">
        <f>IFERROR(G462+H462,0)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IFERROR(MAX(N(D463)-N(E463),0),0)</f>
        <v/>
      </c>
      <c r="G463" s="130">
        <f>IFERROR(N(E463)*GeneratorRate,0)</f>
        <v/>
      </c>
      <c r="H463" s="130">
        <f>IFERROR(N(F463)*GovernmentRate,0)</f>
        <v/>
      </c>
      <c r="I463" s="130">
        <f>IFERROR(G463+H463,0)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IFERROR(MAX(N(D464)-N(E464),0),0)</f>
        <v/>
      </c>
      <c r="G464" s="130">
        <f>IFERROR(N(E464)*GeneratorRate,0)</f>
        <v/>
      </c>
      <c r="H464" s="130">
        <f>IFERROR(N(F464)*GovernmentRate,0)</f>
        <v/>
      </c>
      <c r="I464" s="130">
        <f>IFERROR(G464+H464,0)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IFERROR(MAX(N(D465)-N(E465),0),0)</f>
        <v/>
      </c>
      <c r="G465" s="130">
        <f>IFERROR(N(E465)*GeneratorRate,0)</f>
        <v/>
      </c>
      <c r="H465" s="130">
        <f>IFERROR(N(F465)*GovernmentRate,0)</f>
        <v/>
      </c>
      <c r="I465" s="130">
        <f>IFERROR(G465+H465,0)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IFERROR(MAX(N(D466)-N(E466),0),0)</f>
        <v/>
      </c>
      <c r="G466" s="130">
        <f>IFERROR(N(E466)*GeneratorRate,0)</f>
        <v/>
      </c>
      <c r="H466" s="130">
        <f>IFERROR(N(F466)*GovernmentRate,0)</f>
        <v/>
      </c>
      <c r="I466" s="130">
        <f>IFERROR(G466+H466,0)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IFERROR(MAX(N(D467)-N(E467),0),0)</f>
        <v/>
      </c>
      <c r="G467" s="130">
        <f>IFERROR(N(E467)*GeneratorRate,0)</f>
        <v/>
      </c>
      <c r="H467" s="130">
        <f>IFERROR(N(F467)*GovernmentRate,0)</f>
        <v/>
      </c>
      <c r="I467" s="130">
        <f>IFERROR(G467+H467,0)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IFERROR(MAX(N(D468)-N(E468),0),0)</f>
        <v/>
      </c>
      <c r="G468" s="130">
        <f>IFERROR(N(E468)*GeneratorRate,0)</f>
        <v/>
      </c>
      <c r="H468" s="130">
        <f>IFERROR(N(F468)*GovernmentRate,0)</f>
        <v/>
      </c>
      <c r="I468" s="130">
        <f>IFERROR(G468+H468,0)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IFERROR(MAX(N(D469)-N(E469),0),0)</f>
        <v/>
      </c>
      <c r="G469" s="130">
        <f>IFERROR(N(E469)*GeneratorRate,0)</f>
        <v/>
      </c>
      <c r="H469" s="130">
        <f>IFERROR(N(F469)*GovernmentRate,0)</f>
        <v/>
      </c>
      <c r="I469" s="130">
        <f>IFERROR(G469+H469,0)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IFERROR(MAX(N(D470)-N(E470),0),0)</f>
        <v/>
      </c>
      <c r="G470" s="130">
        <f>IFERROR(N(E470)*GeneratorRate,0)</f>
        <v/>
      </c>
      <c r="H470" s="130">
        <f>IFERROR(N(F470)*GovernmentRate,0)</f>
        <v/>
      </c>
      <c r="I470" s="130">
        <f>IFERROR(G470+H470,0)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IFERROR(MAX(N(D471)-N(E471),0),0)</f>
        <v/>
      </c>
      <c r="G471" s="130">
        <f>IFERROR(N(E471)*GeneratorRate,0)</f>
        <v/>
      </c>
      <c r="H471" s="130">
        <f>IFERROR(N(F471)*GovernmentRate,0)</f>
        <v/>
      </c>
      <c r="I471" s="130">
        <f>IFERROR(G471+H471,0)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IFERROR(MAX(N(D472)-N(E472),0),0)</f>
        <v/>
      </c>
      <c r="G472" s="130">
        <f>IFERROR(N(E472)*GeneratorRate,0)</f>
        <v/>
      </c>
      <c r="H472" s="130">
        <f>IFERROR(N(F472)*GovernmentRate,0)</f>
        <v/>
      </c>
      <c r="I472" s="130">
        <f>IFERROR(G472+H472,0)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IFERROR(MAX(N(D473)-N(E473),0),0)</f>
        <v/>
      </c>
      <c r="G473" s="130">
        <f>IFERROR(N(E473)*GeneratorRate,0)</f>
        <v/>
      </c>
      <c r="H473" s="130">
        <f>IFERROR(N(F473)*GovernmentRate,0)</f>
        <v/>
      </c>
      <c r="I473" s="130">
        <f>IFERROR(G473+H473,0)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IFERROR(MAX(N(D474)-N(E474),0),0)</f>
        <v/>
      </c>
      <c r="G474" s="130">
        <f>IFERROR(N(E474)*GeneratorRate,0)</f>
        <v/>
      </c>
      <c r="H474" s="130">
        <f>IFERROR(N(F474)*GovernmentRate,0)</f>
        <v/>
      </c>
      <c r="I474" s="130">
        <f>IFERROR(G474+H474,0)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IFERROR(MAX(N(D475)-N(E475),0),0)</f>
        <v/>
      </c>
      <c r="G475" s="130">
        <f>IFERROR(N(E475)*GeneratorRate,0)</f>
        <v/>
      </c>
      <c r="H475" s="130">
        <f>IFERROR(N(F475)*GovernmentRate,0)</f>
        <v/>
      </c>
      <c r="I475" s="130">
        <f>IFERROR(G475+H475,0)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IFERROR(MAX(N(D476)-N(E476),0),0)</f>
        <v/>
      </c>
      <c r="G476" s="130">
        <f>IFERROR(N(E476)*GeneratorRate,0)</f>
        <v/>
      </c>
      <c r="H476" s="130">
        <f>IFERROR(N(F476)*GovernmentRate,0)</f>
        <v/>
      </c>
      <c r="I476" s="130">
        <f>IFERROR(G476+H476,0)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IFERROR(MAX(N(D477)-N(E477),0),0)</f>
        <v/>
      </c>
      <c r="G477" s="130">
        <f>IFERROR(N(E477)*GeneratorRate,0)</f>
        <v/>
      </c>
      <c r="H477" s="130">
        <f>IFERROR(N(F477)*GovernmentRate,0)</f>
        <v/>
      </c>
      <c r="I477" s="130">
        <f>IFERROR(G477+H477,0)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IFERROR(MAX(N(D478)-N(E478),0),0)</f>
        <v/>
      </c>
      <c r="G478" s="130">
        <f>IFERROR(N(E478)*GeneratorRate,0)</f>
        <v/>
      </c>
      <c r="H478" s="130">
        <f>IFERROR(N(F478)*GovernmentRate,0)</f>
        <v/>
      </c>
      <c r="I478" s="130">
        <f>IFERROR(G478+H478,0)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IFERROR(MAX(N(D479)-N(E479),0),0)</f>
        <v/>
      </c>
      <c r="G479" s="130">
        <f>IFERROR(N(E479)*GeneratorRate,0)</f>
        <v/>
      </c>
      <c r="H479" s="130">
        <f>IFERROR(N(F479)*GovernmentRate,0)</f>
        <v/>
      </c>
      <c r="I479" s="130">
        <f>IFERROR(G479+H479,0)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IFERROR(MAX(N(D480)-N(E480),0),0)</f>
        <v/>
      </c>
      <c r="G480" s="130">
        <f>IFERROR(N(E480)*GeneratorRate,0)</f>
        <v/>
      </c>
      <c r="H480" s="130">
        <f>IFERROR(N(F480)*GovernmentRate,0)</f>
        <v/>
      </c>
      <c r="I480" s="130">
        <f>IFERROR(G480+H480,0)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IFERROR(MAX(N(D481)-N(E481),0),0)</f>
        <v/>
      </c>
      <c r="G481" s="130">
        <f>IFERROR(N(E481)*GeneratorRate,0)</f>
        <v/>
      </c>
      <c r="H481" s="130">
        <f>IFERROR(N(F481)*GovernmentRate,0)</f>
        <v/>
      </c>
      <c r="I481" s="130">
        <f>IFERROR(G481+H481,0)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IFERROR(MAX(N(D482)-N(E482),0),0)</f>
        <v/>
      </c>
      <c r="G482" s="130">
        <f>IFERROR(N(E482)*GeneratorRate,0)</f>
        <v/>
      </c>
      <c r="H482" s="130">
        <f>IFERROR(N(F482)*GovernmentRate,0)</f>
        <v/>
      </c>
      <c r="I482" s="130">
        <f>IFERROR(G482+H482,0)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IFERROR(MAX(N(D483)-N(E483),0),0)</f>
        <v/>
      </c>
      <c r="G483" s="130">
        <f>IFERROR(N(E483)*GeneratorRate,0)</f>
        <v/>
      </c>
      <c r="H483" s="130">
        <f>IFERROR(N(F483)*GovernmentRate,0)</f>
        <v/>
      </c>
      <c r="I483" s="130">
        <f>IFERROR(G483+H483,0)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IFERROR(MAX(N(D484)-N(E484),0),0)</f>
        <v/>
      </c>
      <c r="G484" s="130">
        <f>IFERROR(N(E484)*GeneratorRate,0)</f>
        <v/>
      </c>
      <c r="H484" s="130">
        <f>IFERROR(N(F484)*GovernmentRate,0)</f>
        <v/>
      </c>
      <c r="I484" s="130">
        <f>IFERROR(G484+H484,0)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IFERROR(MAX(N(D485)-N(E485),0),0)</f>
        <v/>
      </c>
      <c r="G485" s="130">
        <f>IFERROR(N(E485)*GeneratorRate,0)</f>
        <v/>
      </c>
      <c r="H485" s="130">
        <f>IFERROR(N(F485)*GovernmentRate,0)</f>
        <v/>
      </c>
      <c r="I485" s="130">
        <f>IFERROR(G485+H485,0)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IFERROR(MAX(N(D486)-N(E486),0),0)</f>
        <v/>
      </c>
      <c r="G486" s="130">
        <f>IFERROR(N(E486)*GeneratorRate,0)</f>
        <v/>
      </c>
      <c r="H486" s="130">
        <f>IFERROR(N(F486)*GovernmentRate,0)</f>
        <v/>
      </c>
      <c r="I486" s="130">
        <f>IFERROR(G486+H486,0)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IFERROR(MAX(N(D487)-N(E487),0),0)</f>
        <v/>
      </c>
      <c r="G487" s="130">
        <f>IFERROR(N(E487)*GeneratorRate,0)</f>
        <v/>
      </c>
      <c r="H487" s="130">
        <f>IFERROR(N(F487)*GovernmentRate,0)</f>
        <v/>
      </c>
      <c r="I487" s="130">
        <f>IFERROR(G487+H487,0)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IFERROR(MAX(N(D488)-N(E488),0),0)</f>
        <v/>
      </c>
      <c r="G488" s="130">
        <f>IFERROR(N(E488)*GeneratorRate,0)</f>
        <v/>
      </c>
      <c r="H488" s="130">
        <f>IFERROR(N(F488)*GovernmentRate,0)</f>
        <v/>
      </c>
      <c r="I488" s="130">
        <f>IFERROR(G488+H488,0)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IFERROR(MAX(N(D489)-N(E489),0),0)</f>
        <v/>
      </c>
      <c r="G489" s="130">
        <f>IFERROR(N(E489)*GeneratorRate,0)</f>
        <v/>
      </c>
      <c r="H489" s="130">
        <f>IFERROR(N(F489)*GovernmentRate,0)</f>
        <v/>
      </c>
      <c r="I489" s="130">
        <f>IFERROR(G489+H489,0)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IFERROR(MAX(N(D490)-N(E490),0),0)</f>
        <v/>
      </c>
      <c r="G490" s="130">
        <f>IFERROR(N(E490)*GeneratorRate,0)</f>
        <v/>
      </c>
      <c r="H490" s="130">
        <f>IFERROR(N(F490)*GovernmentRate,0)</f>
        <v/>
      </c>
      <c r="I490" s="130">
        <f>IFERROR(G490+H490,0)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IFERROR(MAX(N(D491)-N(E491),0),0)</f>
        <v/>
      </c>
      <c r="G491" s="130">
        <f>IFERROR(N(E491)*GeneratorRate,0)</f>
        <v/>
      </c>
      <c r="H491" s="130">
        <f>IFERROR(N(F491)*GovernmentRate,0)</f>
        <v/>
      </c>
      <c r="I491" s="130">
        <f>IFERROR(G491+H491,0)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IFERROR(MAX(N(D492)-N(E492),0),0)</f>
        <v/>
      </c>
      <c r="G492" s="130">
        <f>IFERROR(N(E492)*GeneratorRate,0)</f>
        <v/>
      </c>
      <c r="H492" s="130">
        <f>IFERROR(N(F492)*GovernmentRate,0)</f>
        <v/>
      </c>
      <c r="I492" s="130">
        <f>IFERROR(G492+H492,0)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IFERROR(MAX(N(D493)-N(E493),0),0)</f>
        <v/>
      </c>
      <c r="G493" s="130">
        <f>IFERROR(N(E493)*GeneratorRate,0)</f>
        <v/>
      </c>
      <c r="H493" s="130">
        <f>IFERROR(N(F493)*GovernmentRate,0)</f>
        <v/>
      </c>
      <c r="I493" s="130">
        <f>IFERROR(G493+H493,0)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IFERROR(MAX(N(D494)-N(E494),0),0)</f>
        <v/>
      </c>
      <c r="G494" s="130">
        <f>IFERROR(N(E494)*GeneratorRate,0)</f>
        <v/>
      </c>
      <c r="H494" s="130">
        <f>IFERROR(N(F494)*GovernmentRate,0)</f>
        <v/>
      </c>
      <c r="I494" s="130">
        <f>IFERROR(G494+H494,0)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IFERROR(MAX(N(D495)-N(E495),0),0)</f>
        <v/>
      </c>
      <c r="G495" s="130">
        <f>IFERROR(N(E495)*GeneratorRate,0)</f>
        <v/>
      </c>
      <c r="H495" s="130">
        <f>IFERROR(N(F495)*GovernmentRate,0)</f>
        <v/>
      </c>
      <c r="I495" s="130">
        <f>IFERROR(G495+H495,0)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IFERROR(MAX(N(D496)-N(E496),0),0)</f>
        <v/>
      </c>
      <c r="G496" s="130">
        <f>IFERROR(N(E496)*GeneratorRate,0)</f>
        <v/>
      </c>
      <c r="H496" s="130">
        <f>IFERROR(N(F496)*GovernmentRate,0)</f>
        <v/>
      </c>
      <c r="I496" s="130">
        <f>IFERROR(G496+H496,0)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IFERROR(MAX(N(D497)-N(E497),0),0)</f>
        <v/>
      </c>
      <c r="G497" s="130">
        <f>IFERROR(N(E497)*GeneratorRate,0)</f>
        <v/>
      </c>
      <c r="H497" s="130">
        <f>IFERROR(N(F497)*GovernmentRate,0)</f>
        <v/>
      </c>
      <c r="I497" s="130">
        <f>IFERROR(G497+H497,0)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IFERROR(MAX(N(D498)-N(E498),0),0)</f>
        <v/>
      </c>
      <c r="G498" s="130">
        <f>IFERROR(N(E498)*GeneratorRate,0)</f>
        <v/>
      </c>
      <c r="H498" s="130">
        <f>IFERROR(N(F498)*GovernmentRate,0)</f>
        <v/>
      </c>
      <c r="I498" s="130">
        <f>IFERROR(G498+H498,0)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IFERROR(MAX(N(D499)-N(E499),0),0)</f>
        <v/>
      </c>
      <c r="G499" s="130">
        <f>IFERROR(N(E499)*GeneratorRate,0)</f>
        <v/>
      </c>
      <c r="H499" s="130">
        <f>IFERROR(N(F499)*GovernmentRate,0)</f>
        <v/>
      </c>
      <c r="I499" s="130">
        <f>IFERROR(G499+H499,0)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IFERROR(MAX(N(D500)-N(E500),0),0)</f>
        <v/>
      </c>
      <c r="G500" s="130">
        <f>IFERROR(N(E500)*GeneratorRate,0)</f>
        <v/>
      </c>
      <c r="H500" s="130">
        <f>IFERROR(N(F500)*GovernmentRate,0)</f>
        <v/>
      </c>
      <c r="I500" s="130">
        <f>IFERROR(G500+H500,0)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IFERROR(MAX(N(D501)-N(E501),0),0)</f>
        <v/>
      </c>
      <c r="G501" s="130">
        <f>IFERROR(N(E501)*GeneratorRate,0)</f>
        <v/>
      </c>
      <c r="H501" s="130">
        <f>IFERROR(N(F501)*GovernmentRate,0)</f>
        <v/>
      </c>
      <c r="I501" s="130">
        <f>IFERROR(G501+H501,0)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IFERROR(MAX(N(D502)-N(E502),0),0)</f>
        <v/>
      </c>
      <c r="G502" s="130">
        <f>IFERROR(N(E502)*GeneratorRate,0)</f>
        <v/>
      </c>
      <c r="H502" s="130">
        <f>IFERROR(N(F502)*GovernmentRate,0)</f>
        <v/>
      </c>
      <c r="I502" s="130">
        <f>IFERROR(G502+H502,0)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IFERROR(MAX(N(D503)-N(E503),0),0)</f>
        <v/>
      </c>
      <c r="G503" s="130">
        <f>IFERROR(N(E503)*GeneratorRate,0)</f>
        <v/>
      </c>
      <c r="H503" s="130">
        <f>IFERROR(N(F503)*GovernmentRate,0)</f>
        <v/>
      </c>
      <c r="I503" s="130">
        <f>IFERROR(G503+H503,0)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IFERROR(MAX(N(D504)-N(E504),0),0)</f>
        <v/>
      </c>
      <c r="G504" s="130">
        <f>IFERROR(N(E504)*GeneratorRate,0)</f>
        <v/>
      </c>
      <c r="H504" s="130">
        <f>IFERROR(N(F504)*GovernmentRate,0)</f>
        <v/>
      </c>
      <c r="I504" s="130">
        <f>IFERROR(G504+H504,0)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IFERROR(MAX(N(D505)-N(E505),0),0)</f>
        <v/>
      </c>
      <c r="G505" s="130">
        <f>IFERROR(N(E505)*GeneratorRate,0)</f>
        <v/>
      </c>
      <c r="H505" s="130">
        <f>IFERROR(N(F505)*GovernmentRate,0)</f>
        <v/>
      </c>
      <c r="I505" s="130">
        <f>IFERROR(G505+H505,0)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IFERROR(MAX(N(D506)-N(E506),0),0)</f>
        <v/>
      </c>
      <c r="G506" s="130">
        <f>IFERROR(N(E506)*GeneratorRate,0)</f>
        <v/>
      </c>
      <c r="H506" s="130">
        <f>IFERROR(N(F506)*GovernmentRate,0)</f>
        <v/>
      </c>
      <c r="I506" s="130">
        <f>IFERROR(G506+H506,0)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IFERROR(MAX(N(D507)-N(E507),0),0)</f>
        <v/>
      </c>
      <c r="G507" s="130">
        <f>IFERROR(N(E507)*GeneratorRate,0)</f>
        <v/>
      </c>
      <c r="H507" s="130">
        <f>IFERROR(N(F507)*GovernmentRate,0)</f>
        <v/>
      </c>
      <c r="I507" s="130">
        <f>IFERROR(G507+H507,0)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IFERROR(MAX(N(D508)-N(E508),0),0)</f>
        <v/>
      </c>
      <c r="G508" s="130">
        <f>IFERROR(N(E508)*GeneratorRate,0)</f>
        <v/>
      </c>
      <c r="H508" s="130">
        <f>IFERROR(N(F508)*GovernmentRate,0)</f>
        <v/>
      </c>
      <c r="I508" s="130">
        <f>IFERROR(G508+H508,0)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IFERROR(MAX(N(D509)-N(E509),0),0)</f>
        <v/>
      </c>
      <c r="G509" s="130">
        <f>IFERROR(N(E509)*GeneratorRate,0)</f>
        <v/>
      </c>
      <c r="H509" s="130">
        <f>IFERROR(N(F509)*GovernmentRate,0)</f>
        <v/>
      </c>
      <c r="I509" s="130">
        <f>IFERROR(G509+H509,0)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IFERROR(MAX(N(D510)-N(E510),0),0)</f>
        <v/>
      </c>
      <c r="G510" s="130">
        <f>IFERROR(N(E510)*GeneratorRate,0)</f>
        <v/>
      </c>
      <c r="H510" s="130">
        <f>IFERROR(N(F510)*GovernmentRate,0)</f>
        <v/>
      </c>
      <c r="I510" s="130">
        <f>IFERROR(G510+H510,0)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IFERROR(MAX(N(D511)-N(E511),0),0)</f>
        <v/>
      </c>
      <c r="G511" s="130">
        <f>IFERROR(N(E511)*GeneratorRate,0)</f>
        <v/>
      </c>
      <c r="H511" s="130">
        <f>IFERROR(N(F511)*GovernmentRate,0)</f>
        <v/>
      </c>
      <c r="I511" s="130">
        <f>IFERROR(G511+H511,0)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IFERROR(MAX(N(D512)-N(E512),0),0)</f>
        <v/>
      </c>
      <c r="G512" s="130">
        <f>IFERROR(N(E512)*GeneratorRate,0)</f>
        <v/>
      </c>
      <c r="H512" s="130">
        <f>IFERROR(N(F512)*GovernmentRate,0)</f>
        <v/>
      </c>
      <c r="I512" s="130">
        <f>IFERROR(G512+H512,0)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IFERROR(MAX(N(D513)-N(E513),0),0)</f>
        <v/>
      </c>
      <c r="G513" s="130">
        <f>IFERROR(N(E513)*GeneratorRate,0)</f>
        <v/>
      </c>
      <c r="H513" s="130">
        <f>IFERROR(N(F513)*GovernmentRate,0)</f>
        <v/>
      </c>
      <c r="I513" s="130">
        <f>IFERROR(G513+H513,0)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IFERROR(MAX(N(D514)-N(E514),0),0)</f>
        <v/>
      </c>
      <c r="G514" s="130">
        <f>IFERROR(N(E514)*GeneratorRate,0)</f>
        <v/>
      </c>
      <c r="H514" s="130">
        <f>IFERROR(N(F514)*GovernmentRate,0)</f>
        <v/>
      </c>
      <c r="I514" s="130">
        <f>IFERROR(G514+H514,0)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IFERROR(MAX(N(D515)-N(E515),0),0)</f>
        <v/>
      </c>
      <c r="G515" s="130">
        <f>IFERROR(N(E515)*GeneratorRate,0)</f>
        <v/>
      </c>
      <c r="H515" s="130">
        <f>IFERROR(N(F515)*GovernmentRate,0)</f>
        <v/>
      </c>
      <c r="I515" s="130">
        <f>IFERROR(G515+H515,0)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IFERROR(MAX(N(D516)-N(E516),0),0)</f>
        <v/>
      </c>
      <c r="G516" s="130">
        <f>IFERROR(N(E516)*GeneratorRate,0)</f>
        <v/>
      </c>
      <c r="H516" s="130">
        <f>IFERROR(N(F516)*GovernmentRate,0)</f>
        <v/>
      </c>
      <c r="I516" s="130">
        <f>IFERROR(G516+H516,0)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IFERROR(MAX(N(D517)-N(E517),0),0)</f>
        <v/>
      </c>
      <c r="G517" s="130">
        <f>IFERROR(N(E517)*GeneratorRate,0)</f>
        <v/>
      </c>
      <c r="H517" s="130">
        <f>IFERROR(N(F517)*GovernmentRate,0)</f>
        <v/>
      </c>
      <c r="I517" s="130">
        <f>IFERROR(G517+H517,0)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IFERROR(MAX(N(D518)-N(E518),0),0)</f>
        <v/>
      </c>
      <c r="G518" s="130">
        <f>IFERROR(N(E518)*GeneratorRate,0)</f>
        <v/>
      </c>
      <c r="H518" s="130">
        <f>IFERROR(N(F518)*GovernmentRate,0)</f>
        <v/>
      </c>
      <c r="I518" s="130">
        <f>IFERROR(G518+H518,0)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IFERROR(MAX(N(D519)-N(E519),0),0)</f>
        <v/>
      </c>
      <c r="G519" s="130">
        <f>IFERROR(N(E519)*GeneratorRate,0)</f>
        <v/>
      </c>
      <c r="H519" s="130">
        <f>IFERROR(N(F519)*GovernmentRate,0)</f>
        <v/>
      </c>
      <c r="I519" s="130">
        <f>IFERROR(G519+H519,0)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IFERROR(MAX(N(D520)-N(E520),0),0)</f>
        <v/>
      </c>
      <c r="G520" s="130">
        <f>IFERROR(N(E520)*GeneratorRate,0)</f>
        <v/>
      </c>
      <c r="H520" s="130">
        <f>IFERROR(N(F520)*GovernmentRate,0)</f>
        <v/>
      </c>
      <c r="I520" s="130">
        <f>IFERROR(G520+H520,0)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IFERROR(MAX(N(D521)-N(E521),0),0)</f>
        <v/>
      </c>
      <c r="G521" s="130">
        <f>IFERROR(N(E521)*GeneratorRate,0)</f>
        <v/>
      </c>
      <c r="H521" s="130">
        <f>IFERROR(N(F521)*GovernmentRate,0)</f>
        <v/>
      </c>
      <c r="I521" s="130">
        <f>IFERROR(G521+H521,0)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IFERROR(MAX(N(D522)-N(E522),0),0)</f>
        <v/>
      </c>
      <c r="G522" s="130">
        <f>IFERROR(N(E522)*GeneratorRate,0)</f>
        <v/>
      </c>
      <c r="H522" s="130">
        <f>IFERROR(N(F522)*GovernmentRate,0)</f>
        <v/>
      </c>
      <c r="I522" s="130">
        <f>IFERROR(G522+H522,0)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IFERROR(MAX(N(D523)-N(E523),0),0)</f>
        <v/>
      </c>
      <c r="G523" s="130">
        <f>IFERROR(N(E523)*GeneratorRate,0)</f>
        <v/>
      </c>
      <c r="H523" s="130">
        <f>IFERROR(N(F523)*GovernmentRate,0)</f>
        <v/>
      </c>
      <c r="I523" s="130">
        <f>IFERROR(G523+H523,0)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IFERROR(MAX(N(D524)-N(E524),0),0)</f>
        <v/>
      </c>
      <c r="G524" s="130">
        <f>IFERROR(N(E524)*GeneratorRate,0)</f>
        <v/>
      </c>
      <c r="H524" s="130">
        <f>IFERROR(N(F524)*GovernmentRate,0)</f>
        <v/>
      </c>
      <c r="I524" s="130">
        <f>IFERROR(G524+H524,0)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IFERROR(MAX(N(D525)-N(E525),0),0)</f>
        <v/>
      </c>
      <c r="G525" s="130">
        <f>IFERROR(N(E525)*GeneratorRate,0)</f>
        <v/>
      </c>
      <c r="H525" s="130">
        <f>IFERROR(N(F525)*GovernmentRate,0)</f>
        <v/>
      </c>
      <c r="I525" s="130">
        <f>IFERROR(G525+H525,0)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IFERROR(MAX(N(D526)-N(E526),0),0)</f>
        <v/>
      </c>
      <c r="G526" s="130">
        <f>IFERROR(N(E526)*GeneratorRate,0)</f>
        <v/>
      </c>
      <c r="H526" s="130">
        <f>IFERROR(N(F526)*GovernmentRate,0)</f>
        <v/>
      </c>
      <c r="I526" s="130">
        <f>IFERROR(G526+H526,0)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IFERROR(MAX(N(D527)-N(E527),0),0)</f>
        <v/>
      </c>
      <c r="G527" s="130">
        <f>IFERROR(N(E527)*GeneratorRate,0)</f>
        <v/>
      </c>
      <c r="H527" s="130">
        <f>IFERROR(N(F527)*GovernmentRate,0)</f>
        <v/>
      </c>
      <c r="I527" s="130">
        <f>IFERROR(G527+H527,0)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IFERROR(MAX(N(D528)-N(E528),0),0)</f>
        <v/>
      </c>
      <c r="G528" s="130">
        <f>IFERROR(N(E528)*GeneratorRate,0)</f>
        <v/>
      </c>
      <c r="H528" s="130">
        <f>IFERROR(N(F528)*GovernmentRate,0)</f>
        <v/>
      </c>
      <c r="I528" s="130">
        <f>IFERROR(G528+H528,0)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IFERROR(MAX(N(D529)-N(E529),0),0)</f>
        <v/>
      </c>
      <c r="G529" s="130">
        <f>IFERROR(N(E529)*GeneratorRate,0)</f>
        <v/>
      </c>
      <c r="H529" s="130">
        <f>IFERROR(N(F529)*GovernmentRate,0)</f>
        <v/>
      </c>
      <c r="I529" s="130">
        <f>IFERROR(G529+H529,0)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IFERROR(MAX(N(D530)-N(E530),0),0)</f>
        <v/>
      </c>
      <c r="G530" s="130">
        <f>IFERROR(N(E530)*GeneratorRate,0)</f>
        <v/>
      </c>
      <c r="H530" s="130">
        <f>IFERROR(N(F530)*GovernmentRate,0)</f>
        <v/>
      </c>
      <c r="I530" s="130">
        <f>IFERROR(G530+H530,0)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IFERROR(MAX(N(D531)-N(E531),0),0)</f>
        <v/>
      </c>
      <c r="G531" s="130">
        <f>IFERROR(N(E531)*GeneratorRate,0)</f>
        <v/>
      </c>
      <c r="H531" s="130">
        <f>IFERROR(N(F531)*GovernmentRate,0)</f>
        <v/>
      </c>
      <c r="I531" s="130">
        <f>IFERROR(G531+H531,0)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IFERROR(MAX(N(D532)-N(E532),0),0)</f>
        <v/>
      </c>
      <c r="G532" s="130">
        <f>IFERROR(N(E532)*GeneratorRate,0)</f>
        <v/>
      </c>
      <c r="H532" s="130">
        <f>IFERROR(N(F532)*GovernmentRate,0)</f>
        <v/>
      </c>
      <c r="I532" s="130">
        <f>IFERROR(G532+H532,0)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IFERROR(MAX(N(D533)-N(E533),0),0)</f>
        <v/>
      </c>
      <c r="G533" s="130">
        <f>IFERROR(N(E533)*GeneratorRate,0)</f>
        <v/>
      </c>
      <c r="H533" s="130">
        <f>IFERROR(N(F533)*GovernmentRate,0)</f>
        <v/>
      </c>
      <c r="I533" s="130">
        <f>IFERROR(G533+H533,0)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IFERROR(MAX(N(D534)-N(E534),0),0)</f>
        <v/>
      </c>
      <c r="G534" s="130">
        <f>IFERROR(N(E534)*GeneratorRate,0)</f>
        <v/>
      </c>
      <c r="H534" s="130">
        <f>IFERROR(N(F534)*GovernmentRate,0)</f>
        <v/>
      </c>
      <c r="I534" s="130">
        <f>IFERROR(G534+H534,0)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IFERROR(MAX(N(D535)-N(E535),0),0)</f>
        <v/>
      </c>
      <c r="G535" s="130">
        <f>IFERROR(N(E535)*GeneratorRate,0)</f>
        <v/>
      </c>
      <c r="H535" s="130">
        <f>IFERROR(N(F535)*GovernmentRate,0)</f>
        <v/>
      </c>
      <c r="I535" s="130">
        <f>IFERROR(G535+H535,0)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IFERROR(MAX(N(D536)-N(E536),0),0)</f>
        <v/>
      </c>
      <c r="G536" s="130">
        <f>IFERROR(N(E536)*GeneratorRate,0)</f>
        <v/>
      </c>
      <c r="H536" s="130">
        <f>IFERROR(N(F536)*GovernmentRate,0)</f>
        <v/>
      </c>
      <c r="I536" s="130">
        <f>IFERROR(G536+H536,0)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IFERROR(MAX(N(D537)-N(E537),0),0)</f>
        <v/>
      </c>
      <c r="G537" s="130">
        <f>IFERROR(N(E537)*GeneratorRate,0)</f>
        <v/>
      </c>
      <c r="H537" s="130">
        <f>IFERROR(N(F537)*GovernmentRate,0)</f>
        <v/>
      </c>
      <c r="I537" s="130">
        <f>IFERROR(G537+H537,0)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IFERROR(MAX(N(D538)-N(E538),0),0)</f>
        <v/>
      </c>
      <c r="G538" s="130">
        <f>IFERROR(N(E538)*GeneratorRate,0)</f>
        <v/>
      </c>
      <c r="H538" s="130">
        <f>IFERROR(N(F538)*GovernmentRate,0)</f>
        <v/>
      </c>
      <c r="I538" s="130">
        <f>IFERROR(G538+H538,0)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IFERROR(MAX(N(D539)-N(E539),0),0)</f>
        <v/>
      </c>
      <c r="G539" s="130">
        <f>IFERROR(N(E539)*GeneratorRate,0)</f>
        <v/>
      </c>
      <c r="H539" s="130">
        <f>IFERROR(N(F539)*GovernmentRate,0)</f>
        <v/>
      </c>
      <c r="I539" s="130">
        <f>IFERROR(G539+H539,0)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IFERROR(MAX(N(D540)-N(E540),0),0)</f>
        <v/>
      </c>
      <c r="G540" s="130">
        <f>IFERROR(N(E540)*GeneratorRate,0)</f>
        <v/>
      </c>
      <c r="H540" s="130">
        <f>IFERROR(N(F540)*GovernmentRate,0)</f>
        <v/>
      </c>
      <c r="I540" s="130">
        <f>IFERROR(G540+H540,0)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IFERROR(MAX(N(D541)-N(E541),0),0)</f>
        <v/>
      </c>
      <c r="G541" s="130">
        <f>IFERROR(N(E541)*GeneratorRate,0)</f>
        <v/>
      </c>
      <c r="H541" s="130">
        <f>IFERROR(N(F541)*GovernmentRate,0)</f>
        <v/>
      </c>
      <c r="I541" s="130">
        <f>IFERROR(G541+H541,0)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IFERROR(MAX(N(D542)-N(E542),0),0)</f>
        <v/>
      </c>
      <c r="G542" s="130">
        <f>IFERROR(N(E542)*GeneratorRate,0)</f>
        <v/>
      </c>
      <c r="H542" s="130">
        <f>IFERROR(N(F542)*GovernmentRate,0)</f>
        <v/>
      </c>
      <c r="I542" s="130">
        <f>IFERROR(G542+H542,0)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IFERROR(MAX(N(D543)-N(E543),0),0)</f>
        <v/>
      </c>
      <c r="G543" s="130">
        <f>IFERROR(N(E543)*GeneratorRate,0)</f>
        <v/>
      </c>
      <c r="H543" s="130">
        <f>IFERROR(N(F543)*GovernmentRate,0)</f>
        <v/>
      </c>
      <c r="I543" s="130">
        <f>IFERROR(G543+H543,0)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IFERROR(MAX(N(D544)-N(E544),0),0)</f>
        <v/>
      </c>
      <c r="G544" s="130">
        <f>IFERROR(N(E544)*GeneratorRate,0)</f>
        <v/>
      </c>
      <c r="H544" s="130">
        <f>IFERROR(N(F544)*GovernmentRate,0)</f>
        <v/>
      </c>
      <c r="I544" s="130">
        <f>IFERROR(G544+H544,0)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IFERROR(MAX(N(D545)-N(E545),0),0)</f>
        <v/>
      </c>
      <c r="G545" s="130">
        <f>IFERROR(N(E545)*GeneratorRate,0)</f>
        <v/>
      </c>
      <c r="H545" s="130">
        <f>IFERROR(N(F545)*GovernmentRate,0)</f>
        <v/>
      </c>
      <c r="I545" s="130">
        <f>IFERROR(G545+H545,0)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IFERROR(MAX(N(D546)-N(E546),0),0)</f>
        <v/>
      </c>
      <c r="G546" s="130">
        <f>IFERROR(N(E546)*GeneratorRate,0)</f>
        <v/>
      </c>
      <c r="H546" s="130">
        <f>IFERROR(N(F546)*GovernmentRate,0)</f>
        <v/>
      </c>
      <c r="I546" s="130">
        <f>IFERROR(G546+H546,0)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IFERROR(MAX(N(D547)-N(E547),0),0)</f>
        <v/>
      </c>
      <c r="G547" s="130">
        <f>IFERROR(N(E547)*GeneratorRate,0)</f>
        <v/>
      </c>
      <c r="H547" s="130">
        <f>IFERROR(N(F547)*GovernmentRate,0)</f>
        <v/>
      </c>
      <c r="I547" s="130">
        <f>IFERROR(G547+H547,0)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IFERROR(MAX(N(D548)-N(E548),0),0)</f>
        <v/>
      </c>
      <c r="G548" s="130">
        <f>IFERROR(N(E548)*GeneratorRate,0)</f>
        <v/>
      </c>
      <c r="H548" s="130">
        <f>IFERROR(N(F548)*GovernmentRate,0)</f>
        <v/>
      </c>
      <c r="I548" s="130">
        <f>IFERROR(G548+H548,0)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IFERROR(MAX(N(D549)-N(E549),0),0)</f>
        <v/>
      </c>
      <c r="G549" s="130">
        <f>IFERROR(N(E549)*GeneratorRate,0)</f>
        <v/>
      </c>
      <c r="H549" s="130">
        <f>IFERROR(N(F549)*GovernmentRate,0)</f>
        <v/>
      </c>
      <c r="I549" s="130">
        <f>IFERROR(G549+H549,0)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IFERROR(MAX(N(D550)-N(E550),0),0)</f>
        <v/>
      </c>
      <c r="G550" s="130">
        <f>IFERROR(N(E550)*GeneratorRate,0)</f>
        <v/>
      </c>
      <c r="H550" s="130">
        <f>IFERROR(N(F550)*GovernmentRate,0)</f>
        <v/>
      </c>
      <c r="I550" s="130">
        <f>IFERROR(G550+H550,0)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IFERROR(MAX(N(D551)-N(E551),0),0)</f>
        <v/>
      </c>
      <c r="G551" s="130">
        <f>IFERROR(N(E551)*GeneratorRate,0)</f>
        <v/>
      </c>
      <c r="H551" s="130">
        <f>IFERROR(N(F551)*GovernmentRate,0)</f>
        <v/>
      </c>
      <c r="I551" s="130">
        <f>IFERROR(G551+H551,0)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IFERROR(MAX(N(D552)-N(E552),0),0)</f>
        <v/>
      </c>
      <c r="G552" s="130">
        <f>IFERROR(N(E552)*GeneratorRate,0)</f>
        <v/>
      </c>
      <c r="H552" s="130">
        <f>IFERROR(N(F552)*GovernmentRate,0)</f>
        <v/>
      </c>
      <c r="I552" s="130">
        <f>IFERROR(G552+H552,0)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IFERROR(MAX(N(D553)-N(E553),0),0)</f>
        <v/>
      </c>
      <c r="G553" s="130">
        <f>IFERROR(N(E553)*GeneratorRate,0)</f>
        <v/>
      </c>
      <c r="H553" s="130">
        <f>IFERROR(N(F553)*GovernmentRate,0)</f>
        <v/>
      </c>
      <c r="I553" s="130">
        <f>IFERROR(G553+H553,0)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IFERROR(MAX(N(D554)-N(E554),0),0)</f>
        <v/>
      </c>
      <c r="G554" s="130">
        <f>IFERROR(N(E554)*GeneratorRate,0)</f>
        <v/>
      </c>
      <c r="H554" s="130">
        <f>IFERROR(N(F554)*GovernmentRate,0)</f>
        <v/>
      </c>
      <c r="I554" s="130">
        <f>IFERROR(G554+H554,0)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IFERROR(MAX(N(D555)-N(E555),0),0)</f>
        <v/>
      </c>
      <c r="G555" s="130">
        <f>IFERROR(N(E555)*GeneratorRate,0)</f>
        <v/>
      </c>
      <c r="H555" s="130">
        <f>IFERROR(N(F555)*GovernmentRate,0)</f>
        <v/>
      </c>
      <c r="I555" s="130">
        <f>IFERROR(G555+H555,0)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IFERROR(MAX(N(D556)-N(E556),0),0)</f>
        <v/>
      </c>
      <c r="G556" s="130">
        <f>IFERROR(N(E556)*GeneratorRate,0)</f>
        <v/>
      </c>
      <c r="H556" s="130">
        <f>IFERROR(N(F556)*GovernmentRate,0)</f>
        <v/>
      </c>
      <c r="I556" s="130">
        <f>IFERROR(G556+H556,0)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IFERROR(MAX(N(D557)-N(E557),0),0)</f>
        <v/>
      </c>
      <c r="G557" s="130">
        <f>IFERROR(N(E557)*GeneratorRate,0)</f>
        <v/>
      </c>
      <c r="H557" s="130">
        <f>IFERROR(N(F557)*GovernmentRate,0)</f>
        <v/>
      </c>
      <c r="I557" s="130">
        <f>IFERROR(G557+H557,0)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IFERROR(MAX(N(D558)-N(E558),0),0)</f>
        <v/>
      </c>
      <c r="G558" s="130">
        <f>IFERROR(N(E558)*GeneratorRate,0)</f>
        <v/>
      </c>
      <c r="H558" s="130">
        <f>IFERROR(N(F558)*GovernmentRate,0)</f>
        <v/>
      </c>
      <c r="I558" s="130">
        <f>IFERROR(G558+H558,0)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IFERROR(MAX(N(D559)-N(E559),0),0)</f>
        <v/>
      </c>
      <c r="G559" s="130">
        <f>IFERROR(N(E559)*GeneratorRate,0)</f>
        <v/>
      </c>
      <c r="H559" s="130">
        <f>IFERROR(N(F559)*GovernmentRate,0)</f>
        <v/>
      </c>
      <c r="I559" s="130">
        <f>IFERROR(G559+H559,0)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IFERROR(MAX(N(D560)-N(E560),0),0)</f>
        <v/>
      </c>
      <c r="G560" s="130">
        <f>IFERROR(N(E560)*GeneratorRate,0)</f>
        <v/>
      </c>
      <c r="H560" s="130">
        <f>IFERROR(N(F560)*GovernmentRate,0)</f>
        <v/>
      </c>
      <c r="I560" s="130">
        <f>IFERROR(G560+H560,0)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IFERROR(MAX(N(D561)-N(E561),0),0)</f>
        <v/>
      </c>
      <c r="G561" s="130">
        <f>IFERROR(N(E561)*GeneratorRate,0)</f>
        <v/>
      </c>
      <c r="H561" s="130">
        <f>IFERROR(N(F561)*GovernmentRate,0)</f>
        <v/>
      </c>
      <c r="I561" s="130">
        <f>IFERROR(G561+H561,0)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IFERROR(MAX(N(D562)-N(E562),0),0)</f>
        <v/>
      </c>
      <c r="G562" s="130">
        <f>IFERROR(N(E562)*GeneratorRate,0)</f>
        <v/>
      </c>
      <c r="H562" s="130">
        <f>IFERROR(N(F562)*GovernmentRate,0)</f>
        <v/>
      </c>
      <c r="I562" s="130">
        <f>IFERROR(G562+H562,0)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IFERROR(MAX(N(D563)-N(E563),0),0)</f>
        <v/>
      </c>
      <c r="G563" s="130">
        <f>IFERROR(N(E563)*GeneratorRate,0)</f>
        <v/>
      </c>
      <c r="H563" s="130">
        <f>IFERROR(N(F563)*GovernmentRate,0)</f>
        <v/>
      </c>
      <c r="I563" s="130">
        <f>IFERROR(G563+H563,0)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IFERROR(MAX(N(D564)-N(E564),0),0)</f>
        <v/>
      </c>
      <c r="G564" s="130">
        <f>IFERROR(N(E564)*GeneratorRate,0)</f>
        <v/>
      </c>
      <c r="H564" s="130">
        <f>IFERROR(N(F564)*GovernmentRate,0)</f>
        <v/>
      </c>
      <c r="I564" s="130">
        <f>IFERROR(G564+H564,0)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IFERROR(MAX(N(D565)-N(E565),0),0)</f>
        <v/>
      </c>
      <c r="G565" s="130">
        <f>IFERROR(N(E565)*GeneratorRate,0)</f>
        <v/>
      </c>
      <c r="H565" s="130">
        <f>IFERROR(N(F565)*GovernmentRate,0)</f>
        <v/>
      </c>
      <c r="I565" s="130">
        <f>IFERROR(G565+H565,0)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IFERROR(MAX(N(D566)-N(E566),0),0)</f>
        <v/>
      </c>
      <c r="G566" s="130">
        <f>IFERROR(N(E566)*GeneratorRate,0)</f>
        <v/>
      </c>
      <c r="H566" s="130">
        <f>IFERROR(N(F566)*GovernmentRate,0)</f>
        <v/>
      </c>
      <c r="I566" s="130">
        <f>IFERROR(G566+H566,0)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IFERROR(MAX(N(D567)-N(E567),0),0)</f>
        <v/>
      </c>
      <c r="G567" s="130">
        <f>IFERROR(N(E567)*GeneratorRate,0)</f>
        <v/>
      </c>
      <c r="H567" s="130">
        <f>IFERROR(N(F567)*GovernmentRate,0)</f>
        <v/>
      </c>
      <c r="I567" s="130">
        <f>IFERROR(G567+H567,0)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IFERROR(MAX(N(D568)-N(E568),0),0)</f>
        <v/>
      </c>
      <c r="G568" s="130">
        <f>IFERROR(N(E568)*GeneratorRate,0)</f>
        <v/>
      </c>
      <c r="H568" s="130">
        <f>IFERROR(N(F568)*GovernmentRate,0)</f>
        <v/>
      </c>
      <c r="I568" s="130">
        <f>IFERROR(G568+H568,0)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IFERROR(MAX(N(D569)-N(E569),0),0)</f>
        <v/>
      </c>
      <c r="G569" s="130">
        <f>IFERROR(N(E569)*GeneratorRate,0)</f>
        <v/>
      </c>
      <c r="H569" s="130">
        <f>IFERROR(N(F569)*GovernmentRate,0)</f>
        <v/>
      </c>
      <c r="I569" s="130">
        <f>IFERROR(G569+H569,0)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IFERROR(MAX(N(D570)-N(E570),0),0)</f>
        <v/>
      </c>
      <c r="G570" s="130">
        <f>IFERROR(N(E570)*GeneratorRate,0)</f>
        <v/>
      </c>
      <c r="H570" s="130">
        <f>IFERROR(N(F570)*GovernmentRate,0)</f>
        <v/>
      </c>
      <c r="I570" s="130">
        <f>IFERROR(G570+H570,0)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IFERROR(MAX(N(D571)-N(E571),0),0)</f>
        <v/>
      </c>
      <c r="G571" s="130">
        <f>IFERROR(N(E571)*GeneratorRate,0)</f>
        <v/>
      </c>
      <c r="H571" s="130">
        <f>IFERROR(N(F571)*GovernmentRate,0)</f>
        <v/>
      </c>
      <c r="I571" s="130">
        <f>IFERROR(G571+H571,0)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IFERROR(MAX(N(D572)-N(E572),0),0)</f>
        <v/>
      </c>
      <c r="G572" s="130">
        <f>IFERROR(N(E572)*GeneratorRate,0)</f>
        <v/>
      </c>
      <c r="H572" s="130">
        <f>IFERROR(N(F572)*GovernmentRate,0)</f>
        <v/>
      </c>
      <c r="I572" s="130">
        <f>IFERROR(G572+H572,0)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IFERROR(MAX(N(D573)-N(E573),0),0)</f>
        <v/>
      </c>
      <c r="G573" s="130">
        <f>IFERROR(N(E573)*GeneratorRate,0)</f>
        <v/>
      </c>
      <c r="H573" s="130">
        <f>IFERROR(N(F573)*GovernmentRate,0)</f>
        <v/>
      </c>
      <c r="I573" s="130">
        <f>IFERROR(G573+H573,0)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IFERROR(MAX(N(D574)-N(E574),0),0)</f>
        <v/>
      </c>
      <c r="G574" s="130">
        <f>IFERROR(N(E574)*GeneratorRate,0)</f>
        <v/>
      </c>
      <c r="H574" s="130">
        <f>IFERROR(N(F574)*GovernmentRate,0)</f>
        <v/>
      </c>
      <c r="I574" s="130">
        <f>IFERROR(G574+H574,0)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IFERROR(MAX(N(D575)-N(E575),0),0)</f>
        <v/>
      </c>
      <c r="G575" s="130">
        <f>IFERROR(N(E575)*GeneratorRate,0)</f>
        <v/>
      </c>
      <c r="H575" s="130">
        <f>IFERROR(N(F575)*GovernmentRate,0)</f>
        <v/>
      </c>
      <c r="I575" s="130">
        <f>IFERROR(G575+H575,0)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IFERROR(MAX(N(D576)-N(E576),0),0)</f>
        <v/>
      </c>
      <c r="G576" s="130">
        <f>IFERROR(N(E576)*GeneratorRate,0)</f>
        <v/>
      </c>
      <c r="H576" s="130">
        <f>IFERROR(N(F576)*GovernmentRate,0)</f>
        <v/>
      </c>
      <c r="I576" s="130">
        <f>IFERROR(G576+H576,0)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IFERROR(MAX(N(D577)-N(E577),0),0)</f>
        <v/>
      </c>
      <c r="G577" s="130">
        <f>IFERROR(N(E577)*GeneratorRate,0)</f>
        <v/>
      </c>
      <c r="H577" s="130">
        <f>IFERROR(N(F577)*GovernmentRate,0)</f>
        <v/>
      </c>
      <c r="I577" s="130">
        <f>IFERROR(G577+H577,0)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IFERROR(MAX(N(D578)-N(E578),0),0)</f>
        <v/>
      </c>
      <c r="G578" s="130">
        <f>IFERROR(N(E578)*GeneratorRate,0)</f>
        <v/>
      </c>
      <c r="H578" s="130">
        <f>IFERROR(N(F578)*GovernmentRate,0)</f>
        <v/>
      </c>
      <c r="I578" s="130">
        <f>IFERROR(G578+H578,0)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IFERROR(MAX(N(D579)-N(E579),0),0)</f>
        <v/>
      </c>
      <c r="G579" s="130">
        <f>IFERROR(N(E579)*GeneratorRate,0)</f>
        <v/>
      </c>
      <c r="H579" s="130">
        <f>IFERROR(N(F579)*GovernmentRate,0)</f>
        <v/>
      </c>
      <c r="I579" s="130">
        <f>IFERROR(G579+H579,0)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IFERROR(MAX(N(D580)-N(E580),0),0)</f>
        <v/>
      </c>
      <c r="G580" s="130">
        <f>IFERROR(N(E580)*GeneratorRate,0)</f>
        <v/>
      </c>
      <c r="H580" s="130">
        <f>IFERROR(N(F580)*GovernmentRate,0)</f>
        <v/>
      </c>
      <c r="I580" s="130">
        <f>IFERROR(G580+H580,0)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IFERROR(MAX(N(D581)-N(E581),0),0)</f>
        <v/>
      </c>
      <c r="G581" s="130">
        <f>IFERROR(N(E581)*GeneratorRate,0)</f>
        <v/>
      </c>
      <c r="H581" s="130">
        <f>IFERROR(N(F581)*GovernmentRate,0)</f>
        <v/>
      </c>
      <c r="I581" s="130">
        <f>IFERROR(G581+H581,0)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IFERROR(MAX(N(D582)-N(E582),0),0)</f>
        <v/>
      </c>
      <c r="G582" s="130">
        <f>IFERROR(N(E582)*GeneratorRate,0)</f>
        <v/>
      </c>
      <c r="H582" s="130">
        <f>IFERROR(N(F582)*GovernmentRate,0)</f>
        <v/>
      </c>
      <c r="I582" s="130">
        <f>IFERROR(G582+H582,0)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IFERROR(MAX(N(D583)-N(E583),0),0)</f>
        <v/>
      </c>
      <c r="G583" s="130">
        <f>IFERROR(N(E583)*GeneratorRate,0)</f>
        <v/>
      </c>
      <c r="H583" s="130">
        <f>IFERROR(N(F583)*GovernmentRate,0)</f>
        <v/>
      </c>
      <c r="I583" s="130">
        <f>IFERROR(G583+H583,0)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IFERROR(MAX(N(D584)-N(E584),0),0)</f>
        <v/>
      </c>
      <c r="G584" s="130">
        <f>IFERROR(N(E584)*GeneratorRate,0)</f>
        <v/>
      </c>
      <c r="H584" s="130">
        <f>IFERROR(N(F584)*GovernmentRate,0)</f>
        <v/>
      </c>
      <c r="I584" s="130">
        <f>IFERROR(G584+H584,0)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IFERROR(MAX(N(D585)-N(E585),0),0)</f>
        <v/>
      </c>
      <c r="G585" s="130">
        <f>IFERROR(N(E585)*GeneratorRate,0)</f>
        <v/>
      </c>
      <c r="H585" s="130">
        <f>IFERROR(N(F585)*GovernmentRate,0)</f>
        <v/>
      </c>
      <c r="I585" s="130">
        <f>IFERROR(G585+H585,0)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IFERROR(MAX(N(D586)-N(E586),0),0)</f>
        <v/>
      </c>
      <c r="G586" s="130">
        <f>IFERROR(N(E586)*GeneratorRate,0)</f>
        <v/>
      </c>
      <c r="H586" s="130">
        <f>IFERROR(N(F586)*GovernmentRate,0)</f>
        <v/>
      </c>
      <c r="I586" s="130">
        <f>IFERROR(G586+H586,0)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IFERROR(MAX(N(D587)-N(E587),0),0)</f>
        <v/>
      </c>
      <c r="G587" s="130">
        <f>IFERROR(N(E587)*GeneratorRate,0)</f>
        <v/>
      </c>
      <c r="H587" s="130">
        <f>IFERROR(N(F587)*GovernmentRate,0)</f>
        <v/>
      </c>
      <c r="I587" s="130">
        <f>IFERROR(G587+H587,0)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IFERROR(MAX(N(D588)-N(E588),0),0)</f>
        <v/>
      </c>
      <c r="G588" s="130">
        <f>IFERROR(N(E588)*GeneratorRate,0)</f>
        <v/>
      </c>
      <c r="H588" s="130">
        <f>IFERROR(N(F588)*GovernmentRate,0)</f>
        <v/>
      </c>
      <c r="I588" s="130">
        <f>IFERROR(G588+H588,0)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IFERROR(MAX(N(D589)-N(E589),0),0)</f>
        <v/>
      </c>
      <c r="G589" s="130">
        <f>IFERROR(N(E589)*GeneratorRate,0)</f>
        <v/>
      </c>
      <c r="H589" s="130">
        <f>IFERROR(N(F589)*GovernmentRate,0)</f>
        <v/>
      </c>
      <c r="I589" s="130">
        <f>IFERROR(G589+H589,0)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IFERROR(MAX(N(D590)-N(E590),0),0)</f>
        <v/>
      </c>
      <c r="G590" s="130">
        <f>IFERROR(N(E590)*GeneratorRate,0)</f>
        <v/>
      </c>
      <c r="H590" s="130">
        <f>IFERROR(N(F590)*GovernmentRate,0)</f>
        <v/>
      </c>
      <c r="I590" s="130">
        <f>IFERROR(G590+H590,0)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IFERROR(MAX(N(D591)-N(E591),0),0)</f>
        <v/>
      </c>
      <c r="G591" s="130">
        <f>IFERROR(N(E591)*GeneratorRate,0)</f>
        <v/>
      </c>
      <c r="H591" s="130">
        <f>IFERROR(N(F591)*GovernmentRate,0)</f>
        <v/>
      </c>
      <c r="I591" s="130">
        <f>IFERROR(G591+H591,0)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IFERROR(MAX(N(D592)-N(E592),0),0)</f>
        <v/>
      </c>
      <c r="G592" s="130">
        <f>IFERROR(N(E592)*GeneratorRate,0)</f>
        <v/>
      </c>
      <c r="H592" s="130">
        <f>IFERROR(N(F592)*GovernmentRate,0)</f>
        <v/>
      </c>
      <c r="I592" s="130">
        <f>IFERROR(G592+H592,0)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IFERROR(MAX(N(D593)-N(E593),0),0)</f>
        <v/>
      </c>
      <c r="G593" s="130">
        <f>IFERROR(N(E593)*GeneratorRate,0)</f>
        <v/>
      </c>
      <c r="H593" s="130">
        <f>IFERROR(N(F593)*GovernmentRate,0)</f>
        <v/>
      </c>
      <c r="I593" s="130">
        <f>IFERROR(G593+H593,0)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IFERROR(MAX(N(D594)-N(E594),0),0)</f>
        <v/>
      </c>
      <c r="G594" s="130">
        <f>IFERROR(N(E594)*GeneratorRate,0)</f>
        <v/>
      </c>
      <c r="H594" s="130">
        <f>IFERROR(N(F594)*GovernmentRate,0)</f>
        <v/>
      </c>
      <c r="I594" s="130">
        <f>IFERROR(G594+H594,0)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IFERROR(MAX(N(D595)-N(E595),0),0)</f>
        <v/>
      </c>
      <c r="G595" s="130">
        <f>IFERROR(N(E595)*GeneratorRate,0)</f>
        <v/>
      </c>
      <c r="H595" s="130">
        <f>IFERROR(N(F595)*GovernmentRate,0)</f>
        <v/>
      </c>
      <c r="I595" s="130">
        <f>IFERROR(G595+H595,0)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IFERROR(MAX(N(D596)-N(E596),0),0)</f>
        <v/>
      </c>
      <c r="G596" s="130">
        <f>IFERROR(N(E596)*GeneratorRate,0)</f>
        <v/>
      </c>
      <c r="H596" s="130">
        <f>IFERROR(N(F596)*GovernmentRate,0)</f>
        <v/>
      </c>
      <c r="I596" s="130">
        <f>IFERROR(G596+H596,0)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IFERROR(MAX(N(D597)-N(E597),0),0)</f>
        <v/>
      </c>
      <c r="G597" s="130">
        <f>IFERROR(N(E597)*GeneratorRate,0)</f>
        <v/>
      </c>
      <c r="H597" s="130">
        <f>IFERROR(N(F597)*GovernmentRate,0)</f>
        <v/>
      </c>
      <c r="I597" s="130">
        <f>IFERROR(G597+H597,0)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IFERROR(MAX(N(D598)-N(E598),0),0)</f>
        <v/>
      </c>
      <c r="G598" s="130">
        <f>IFERROR(N(E598)*GeneratorRate,0)</f>
        <v/>
      </c>
      <c r="H598" s="130">
        <f>IFERROR(N(F598)*GovernmentRate,0)</f>
        <v/>
      </c>
      <c r="I598" s="130">
        <f>IFERROR(G598+H598,0)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IFERROR(MAX(N(D599)-N(E599),0),0)</f>
        <v/>
      </c>
      <c r="G599" s="130">
        <f>IFERROR(N(E599)*GeneratorRate,0)</f>
        <v/>
      </c>
      <c r="H599" s="130">
        <f>IFERROR(N(F599)*GovernmentRate,0)</f>
        <v/>
      </c>
      <c r="I599" s="130">
        <f>IFERROR(G599+H599,0)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IFERROR(MAX(N(D600)-N(E600),0),0)</f>
        <v/>
      </c>
      <c r="G600" s="130">
        <f>IFERROR(N(E600)*GeneratorRate,0)</f>
        <v/>
      </c>
      <c r="H600" s="130">
        <f>IFERROR(N(F600)*GovernmentRate,0)</f>
        <v/>
      </c>
      <c r="I600" s="130">
        <f>IFERROR(G600+H600,0)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IFERROR(MAX(N(D601)-N(E601),0),0)</f>
        <v/>
      </c>
      <c r="G601" s="130">
        <f>IFERROR(N(E601)*GeneratorRate,0)</f>
        <v/>
      </c>
      <c r="H601" s="130">
        <f>IFERROR(N(F601)*GovernmentRate,0)</f>
        <v/>
      </c>
      <c r="I601" s="130">
        <f>IFERROR(G601+H601,0)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IFERROR(MAX(N(D602)-N(E602),0),0)</f>
        <v/>
      </c>
      <c r="G602" s="130">
        <f>IFERROR(N(E602)*GeneratorRate,0)</f>
        <v/>
      </c>
      <c r="H602" s="130">
        <f>IFERROR(N(F602)*GovernmentRate,0)</f>
        <v/>
      </c>
      <c r="I602" s="130">
        <f>IFERROR(G602+H602,0)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IFERROR(MAX(N(D603)-N(E603),0),0)</f>
        <v/>
      </c>
      <c r="G603" s="130">
        <f>IFERROR(N(E603)*GeneratorRate,0)</f>
        <v/>
      </c>
      <c r="H603" s="130">
        <f>IFERROR(N(F603)*GovernmentRate,0)</f>
        <v/>
      </c>
      <c r="I603" s="130">
        <f>IFERROR(G603+H603,0)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IFERROR(MAX(N(D604)-N(E604),0),0)</f>
        <v/>
      </c>
      <c r="G604" s="130">
        <f>IFERROR(N(E604)*GeneratorRate,0)</f>
        <v/>
      </c>
      <c r="H604" s="130">
        <f>IFERROR(N(F604)*GovernmentRate,0)</f>
        <v/>
      </c>
      <c r="I604" s="130">
        <f>IFERROR(G604+H604,0)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IFERROR(MAX(N(D605)-N(E605),0),0)</f>
        <v/>
      </c>
      <c r="G605" s="130">
        <f>IFERROR(N(E605)*GeneratorRate,0)</f>
        <v/>
      </c>
      <c r="H605" s="130">
        <f>IFERROR(N(F605)*GovernmentRate,0)</f>
        <v/>
      </c>
      <c r="I605" s="130">
        <f>IFERROR(G605+H605,0)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IFERROR(MAX(N(D606)-N(E606),0),0)</f>
        <v/>
      </c>
      <c r="G606" s="130">
        <f>IFERROR(N(E606)*GeneratorRate,0)</f>
        <v/>
      </c>
      <c r="H606" s="130">
        <f>IFERROR(N(F606)*GovernmentRate,0)</f>
        <v/>
      </c>
      <c r="I606" s="130">
        <f>IFERROR(G606+H606,0)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IFERROR(MAX(N(D607)-N(E607),0),0)</f>
        <v/>
      </c>
      <c r="G607" s="130">
        <f>IFERROR(N(E607)*GeneratorRate,0)</f>
        <v/>
      </c>
      <c r="H607" s="130">
        <f>IFERROR(N(F607)*GovernmentRate,0)</f>
        <v/>
      </c>
      <c r="I607" s="130">
        <f>IFERROR(G607+H607,0)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IFERROR(MAX(N(D608)-N(E608),0),0)</f>
        <v/>
      </c>
      <c r="G608" s="130">
        <f>IFERROR(N(E608)*GeneratorRate,0)</f>
        <v/>
      </c>
      <c r="H608" s="130">
        <f>IFERROR(N(F608)*GovernmentRate,0)</f>
        <v/>
      </c>
      <c r="I608" s="130">
        <f>IFERROR(G608+H608,0)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IFERROR(MAX(N(D609)-N(E609),0),0)</f>
        <v/>
      </c>
      <c r="G609" s="130">
        <f>IFERROR(N(E609)*GeneratorRate,0)</f>
        <v/>
      </c>
      <c r="H609" s="130">
        <f>IFERROR(N(F609)*GovernmentRate,0)</f>
        <v/>
      </c>
      <c r="I609" s="130">
        <f>IFERROR(G609+H609,0)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IFERROR(MAX(N(D610)-N(E610),0),0)</f>
        <v/>
      </c>
      <c r="G610" s="130">
        <f>IFERROR(N(E610)*GeneratorRate,0)</f>
        <v/>
      </c>
      <c r="H610" s="130">
        <f>IFERROR(N(F610)*GovernmentRate,0)</f>
        <v/>
      </c>
      <c r="I610" s="130">
        <f>IFERROR(G610+H610,0)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IFERROR(MAX(N(D611)-N(E611),0),0)</f>
        <v/>
      </c>
      <c r="G611" s="130">
        <f>IFERROR(N(E611)*GeneratorRate,0)</f>
        <v/>
      </c>
      <c r="H611" s="130">
        <f>IFERROR(N(F611)*GovernmentRate,0)</f>
        <v/>
      </c>
      <c r="I611" s="130">
        <f>IFERROR(G611+H611,0)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IFERROR(MAX(N(D612)-N(E612),0),0)</f>
        <v/>
      </c>
      <c r="G612" s="130">
        <f>IFERROR(N(E612)*GeneratorRate,0)</f>
        <v/>
      </c>
      <c r="H612" s="130">
        <f>IFERROR(N(F612)*GovernmentRate,0)</f>
        <v/>
      </c>
      <c r="I612" s="130">
        <f>IFERROR(G612+H612,0)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IFERROR(MAX(N(D613)-N(E613),0),0)</f>
        <v/>
      </c>
      <c r="G613" s="130">
        <f>IFERROR(N(E613)*GeneratorRate,0)</f>
        <v/>
      </c>
      <c r="H613" s="130">
        <f>IFERROR(N(F613)*GovernmentRate,0)</f>
        <v/>
      </c>
      <c r="I613" s="130">
        <f>IFERROR(G613+H613,0)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IFERROR(MAX(N(D614)-N(E614),0),0)</f>
        <v/>
      </c>
      <c r="G614" s="130">
        <f>IFERROR(N(E614)*GeneratorRate,0)</f>
        <v/>
      </c>
      <c r="H614" s="130">
        <f>IFERROR(N(F614)*GovernmentRate,0)</f>
        <v/>
      </c>
      <c r="I614" s="130">
        <f>IFERROR(G614+H614,0)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IFERROR(MAX(N(D615)-N(E615),0),0)</f>
        <v/>
      </c>
      <c r="G615" s="130">
        <f>IFERROR(N(E615)*GeneratorRate,0)</f>
        <v/>
      </c>
      <c r="H615" s="130">
        <f>IFERROR(N(F615)*GovernmentRate,0)</f>
        <v/>
      </c>
      <c r="I615" s="130">
        <f>IFERROR(G615+H615,0)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IFERROR(MAX(N(D616)-N(E616),0),0)</f>
        <v/>
      </c>
      <c r="G616" s="130">
        <f>IFERROR(N(E616)*GeneratorRate,0)</f>
        <v/>
      </c>
      <c r="H616" s="130">
        <f>IFERROR(N(F616)*GovernmentRate,0)</f>
        <v/>
      </c>
      <c r="I616" s="130">
        <f>IFERROR(G616+H616,0)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IFERROR(MAX(N(D617)-N(E617),0),0)</f>
        <v/>
      </c>
      <c r="G617" s="130">
        <f>IFERROR(N(E617)*GeneratorRate,0)</f>
        <v/>
      </c>
      <c r="H617" s="130">
        <f>IFERROR(N(F617)*GovernmentRate,0)</f>
        <v/>
      </c>
      <c r="I617" s="130">
        <f>IFERROR(G617+H617,0)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IFERROR(MAX(N(D618)-N(E618),0),0)</f>
        <v/>
      </c>
      <c r="G618" s="130">
        <f>IFERROR(N(E618)*GeneratorRate,0)</f>
        <v/>
      </c>
      <c r="H618" s="130">
        <f>IFERROR(N(F618)*GovernmentRate,0)</f>
        <v/>
      </c>
      <c r="I618" s="130">
        <f>IFERROR(G618+H618,0)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IFERROR(MAX(N(D619)-N(E619),0),0)</f>
        <v/>
      </c>
      <c r="G619" s="130">
        <f>IFERROR(N(E619)*GeneratorRate,0)</f>
        <v/>
      </c>
      <c r="H619" s="130">
        <f>IFERROR(N(F619)*GovernmentRate,0)</f>
        <v/>
      </c>
      <c r="I619" s="130">
        <f>IFERROR(G619+H619,0)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IFERROR(MAX(N(D620)-N(E620),0),0)</f>
        <v/>
      </c>
      <c r="G620" s="130">
        <f>IFERROR(N(E620)*GeneratorRate,0)</f>
        <v/>
      </c>
      <c r="H620" s="130">
        <f>IFERROR(N(F620)*GovernmentRate,0)</f>
        <v/>
      </c>
      <c r="I620" s="130">
        <f>IFERROR(G620+H620,0)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IFERROR(MAX(N(D621)-N(E621),0),0)</f>
        <v/>
      </c>
      <c r="G621" s="130">
        <f>IFERROR(N(E621)*GeneratorRate,0)</f>
        <v/>
      </c>
      <c r="H621" s="130">
        <f>IFERROR(N(F621)*GovernmentRate,0)</f>
        <v/>
      </c>
      <c r="I621" s="130">
        <f>IFERROR(G621+H621,0)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IFERROR(MAX(N(D622)-N(E622),0),0)</f>
        <v/>
      </c>
      <c r="G622" s="130">
        <f>IFERROR(N(E622)*GeneratorRate,0)</f>
        <v/>
      </c>
      <c r="H622" s="130">
        <f>IFERROR(N(F622)*GovernmentRate,0)</f>
        <v/>
      </c>
      <c r="I622" s="130">
        <f>IFERROR(G622+H622,0)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IFERROR(MAX(N(D623)-N(E623),0),0)</f>
        <v/>
      </c>
      <c r="G623" s="130">
        <f>IFERROR(N(E623)*GeneratorRate,0)</f>
        <v/>
      </c>
      <c r="H623" s="130">
        <f>IFERROR(N(F623)*GovernmentRate,0)</f>
        <v/>
      </c>
      <c r="I623" s="130">
        <f>IFERROR(G623+H623,0)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IFERROR(MAX(N(D624)-N(E624),0),0)</f>
        <v/>
      </c>
      <c r="G624" s="130">
        <f>IFERROR(N(E624)*GeneratorRate,0)</f>
        <v/>
      </c>
      <c r="H624" s="130">
        <f>IFERROR(N(F624)*GovernmentRate,0)</f>
        <v/>
      </c>
      <c r="I624" s="130">
        <f>IFERROR(G624+H624,0)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IFERROR(MAX(N(D625)-N(E625),0),0)</f>
        <v/>
      </c>
      <c r="G625" s="130">
        <f>IFERROR(N(E625)*GeneratorRate,0)</f>
        <v/>
      </c>
      <c r="H625" s="130">
        <f>IFERROR(N(F625)*GovernmentRate,0)</f>
        <v/>
      </c>
      <c r="I625" s="130">
        <f>IFERROR(G625+H625,0)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IFERROR(MAX(N(D626)-N(E626),0),0)</f>
        <v/>
      </c>
      <c r="G626" s="130">
        <f>IFERROR(N(E626)*GeneratorRate,0)</f>
        <v/>
      </c>
      <c r="H626" s="130">
        <f>IFERROR(N(F626)*GovernmentRate,0)</f>
        <v/>
      </c>
      <c r="I626" s="130">
        <f>IFERROR(G626+H626,0)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IFERROR(MAX(N(D627)-N(E627),0),0)</f>
        <v/>
      </c>
      <c r="G627" s="130">
        <f>IFERROR(N(E627)*GeneratorRate,0)</f>
        <v/>
      </c>
      <c r="H627" s="130">
        <f>IFERROR(N(F627)*GovernmentRate,0)</f>
        <v/>
      </c>
      <c r="I627" s="130">
        <f>IFERROR(G627+H627,0)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IFERROR(MAX(N(D628)-N(E628),0),0)</f>
        <v/>
      </c>
      <c r="G628" s="130">
        <f>IFERROR(N(E628)*GeneratorRate,0)</f>
        <v/>
      </c>
      <c r="H628" s="130">
        <f>IFERROR(N(F628)*GovernmentRate,0)</f>
        <v/>
      </c>
      <c r="I628" s="130">
        <f>IFERROR(G628+H628,0)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IFERROR(MAX(N(D629)-N(E629),0),0)</f>
        <v/>
      </c>
      <c r="G629" s="130">
        <f>IFERROR(N(E629)*GeneratorRate,0)</f>
        <v/>
      </c>
      <c r="H629" s="130">
        <f>IFERROR(N(F629)*GovernmentRate,0)</f>
        <v/>
      </c>
      <c r="I629" s="130">
        <f>IFERROR(G629+H629,0)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IFERROR(MAX(N(D630)-N(E630),0),0)</f>
        <v/>
      </c>
      <c r="G630" s="130">
        <f>IFERROR(N(E630)*GeneratorRate,0)</f>
        <v/>
      </c>
      <c r="H630" s="130">
        <f>IFERROR(N(F630)*GovernmentRate,0)</f>
        <v/>
      </c>
      <c r="I630" s="130">
        <f>IFERROR(G630+H630,0)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IFERROR(MAX(N(D631)-N(E631),0),0)</f>
        <v/>
      </c>
      <c r="G631" s="130">
        <f>IFERROR(N(E631)*GeneratorRate,0)</f>
        <v/>
      </c>
      <c r="H631" s="130">
        <f>IFERROR(N(F631)*GovernmentRate,0)</f>
        <v/>
      </c>
      <c r="I631" s="130">
        <f>IFERROR(G631+H631,0)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IFERROR(MAX(N(D632)-N(E632),0),0)</f>
        <v/>
      </c>
      <c r="G632" s="130">
        <f>IFERROR(N(E632)*GeneratorRate,0)</f>
        <v/>
      </c>
      <c r="H632" s="130">
        <f>IFERROR(N(F632)*GovernmentRate,0)</f>
        <v/>
      </c>
      <c r="I632" s="130">
        <f>IFERROR(G632+H632,0)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IFERROR(MAX(N(D633)-N(E633),0),0)</f>
        <v/>
      </c>
      <c r="G633" s="130">
        <f>IFERROR(N(E633)*GeneratorRate,0)</f>
        <v/>
      </c>
      <c r="H633" s="130">
        <f>IFERROR(N(F633)*GovernmentRate,0)</f>
        <v/>
      </c>
      <c r="I633" s="130">
        <f>IFERROR(G633+H633,0)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IFERROR(MAX(N(D634)-N(E634),0),0)</f>
        <v/>
      </c>
      <c r="G634" s="130">
        <f>IFERROR(N(E634)*GeneratorRate,0)</f>
        <v/>
      </c>
      <c r="H634" s="130">
        <f>IFERROR(N(F634)*GovernmentRate,0)</f>
        <v/>
      </c>
      <c r="I634" s="130">
        <f>IFERROR(G634+H634,0)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IFERROR(MAX(N(D635)-N(E635),0),0)</f>
        <v/>
      </c>
      <c r="G635" s="130">
        <f>IFERROR(N(E635)*GeneratorRate,0)</f>
        <v/>
      </c>
      <c r="H635" s="130">
        <f>IFERROR(N(F635)*GovernmentRate,0)</f>
        <v/>
      </c>
      <c r="I635" s="130">
        <f>IFERROR(G635+H635,0)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IFERROR(MAX(N(D636)-N(E636),0),0)</f>
        <v/>
      </c>
      <c r="G636" s="130">
        <f>IFERROR(N(E636)*GeneratorRate,0)</f>
        <v/>
      </c>
      <c r="H636" s="130">
        <f>IFERROR(N(F636)*GovernmentRate,0)</f>
        <v/>
      </c>
      <c r="I636" s="130">
        <f>IFERROR(G636+H636,0)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IFERROR(MAX(N(D637)-N(E637),0),0)</f>
        <v/>
      </c>
      <c r="G637" s="130">
        <f>IFERROR(N(E637)*GeneratorRate,0)</f>
        <v/>
      </c>
      <c r="H637" s="130">
        <f>IFERROR(N(F637)*GovernmentRate,0)</f>
        <v/>
      </c>
      <c r="I637" s="130">
        <f>IFERROR(G637+H637,0)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IFERROR(MAX(N(D638)-N(E638),0),0)</f>
        <v/>
      </c>
      <c r="G638" s="130">
        <f>IFERROR(N(E638)*GeneratorRate,0)</f>
        <v/>
      </c>
      <c r="H638" s="130">
        <f>IFERROR(N(F638)*GovernmentRate,0)</f>
        <v/>
      </c>
      <c r="I638" s="130">
        <f>IFERROR(G638+H638,0)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IFERROR(MAX(N(D639)-N(E639),0),0)</f>
        <v/>
      </c>
      <c r="G639" s="130">
        <f>IFERROR(N(E639)*GeneratorRate,0)</f>
        <v/>
      </c>
      <c r="H639" s="130">
        <f>IFERROR(N(F639)*GovernmentRate,0)</f>
        <v/>
      </c>
      <c r="I639" s="130">
        <f>IFERROR(G639+H639,0)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IFERROR(MAX(N(D640)-N(E640),0),0)</f>
        <v/>
      </c>
      <c r="G640" s="130">
        <f>IFERROR(N(E640)*GeneratorRate,0)</f>
        <v/>
      </c>
      <c r="H640" s="130">
        <f>IFERROR(N(F640)*GovernmentRate,0)</f>
        <v/>
      </c>
      <c r="I640" s="130">
        <f>IFERROR(G640+H640,0)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IFERROR(MAX(N(D641)-N(E641),0),0)</f>
        <v/>
      </c>
      <c r="G641" s="130">
        <f>IFERROR(N(E641)*GeneratorRate,0)</f>
        <v/>
      </c>
      <c r="H641" s="130">
        <f>IFERROR(N(F641)*GovernmentRate,0)</f>
        <v/>
      </c>
      <c r="I641" s="130">
        <f>IFERROR(G641+H641,0)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IFERROR(MAX(N(D642)-N(E642),0),0)</f>
        <v/>
      </c>
      <c r="G642" s="130">
        <f>IFERROR(N(E642)*GeneratorRate,0)</f>
        <v/>
      </c>
      <c r="H642" s="130">
        <f>IFERROR(N(F642)*GovernmentRate,0)</f>
        <v/>
      </c>
      <c r="I642" s="130">
        <f>IFERROR(G642+H642,0)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IFERROR(MAX(N(D643)-N(E643),0),0)</f>
        <v/>
      </c>
      <c r="G643" s="130">
        <f>IFERROR(N(E643)*GeneratorRate,0)</f>
        <v/>
      </c>
      <c r="H643" s="130">
        <f>IFERROR(N(F643)*GovernmentRate,0)</f>
        <v/>
      </c>
      <c r="I643" s="130">
        <f>IFERROR(G643+H643,0)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IFERROR(MAX(N(D644)-N(E644),0),0)</f>
        <v/>
      </c>
      <c r="G644" s="130">
        <f>IFERROR(N(E644)*GeneratorRate,0)</f>
        <v/>
      </c>
      <c r="H644" s="130">
        <f>IFERROR(N(F644)*GovernmentRate,0)</f>
        <v/>
      </c>
      <c r="I644" s="130">
        <f>IFERROR(G644+H644,0)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IFERROR(MAX(N(D645)-N(E645),0),0)</f>
        <v/>
      </c>
      <c r="G645" s="130">
        <f>IFERROR(N(E645)*GeneratorRate,0)</f>
        <v/>
      </c>
      <c r="H645" s="130">
        <f>IFERROR(N(F645)*GovernmentRate,0)</f>
        <v/>
      </c>
      <c r="I645" s="130">
        <f>IFERROR(G645+H645,0)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IFERROR(MAX(N(D646)-N(E646),0),0)</f>
        <v/>
      </c>
      <c r="G646" s="130">
        <f>IFERROR(N(E646)*GeneratorRate,0)</f>
        <v/>
      </c>
      <c r="H646" s="130">
        <f>IFERROR(N(F646)*GovernmentRate,0)</f>
        <v/>
      </c>
      <c r="I646" s="130">
        <f>IFERROR(G646+H646,0)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IFERROR(MAX(N(D647)-N(E647),0),0)</f>
        <v/>
      </c>
      <c r="G647" s="130">
        <f>IFERROR(N(E647)*GeneratorRate,0)</f>
        <v/>
      </c>
      <c r="H647" s="130">
        <f>IFERROR(N(F647)*GovernmentRate,0)</f>
        <v/>
      </c>
      <c r="I647" s="130">
        <f>IFERROR(G647+H647,0)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IFERROR(MAX(N(D648)-N(E648),0),0)</f>
        <v/>
      </c>
      <c r="G648" s="130">
        <f>IFERROR(N(E648)*GeneratorRate,0)</f>
        <v/>
      </c>
      <c r="H648" s="130">
        <f>IFERROR(N(F648)*GovernmentRate,0)</f>
        <v/>
      </c>
      <c r="I648" s="130">
        <f>IFERROR(G648+H648,0)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IFERROR(MAX(N(D649)-N(E649),0),0)</f>
        <v/>
      </c>
      <c r="G649" s="130">
        <f>IFERROR(N(E649)*GeneratorRate,0)</f>
        <v/>
      </c>
      <c r="H649" s="130">
        <f>IFERROR(N(F649)*GovernmentRate,0)</f>
        <v/>
      </c>
      <c r="I649" s="130">
        <f>IFERROR(G649+H649,0)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IFERROR(MAX(N(D650)-N(E650),0),0)</f>
        <v/>
      </c>
      <c r="G650" s="130">
        <f>IFERROR(N(E650)*GeneratorRate,0)</f>
        <v/>
      </c>
      <c r="H650" s="130">
        <f>IFERROR(N(F650)*GovernmentRate,0)</f>
        <v/>
      </c>
      <c r="I650" s="130">
        <f>IFERROR(G650+H650,0)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IFERROR(MAX(N(D651)-N(E651),0),0)</f>
        <v/>
      </c>
      <c r="G651" s="130">
        <f>IFERROR(N(E651)*GeneratorRate,0)</f>
        <v/>
      </c>
      <c r="H651" s="130">
        <f>IFERROR(N(F651)*GovernmentRate,0)</f>
        <v/>
      </c>
      <c r="I651" s="130">
        <f>IFERROR(G651+H651,0)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IFERROR(MAX(N(D652)-N(E652),0),0)</f>
        <v/>
      </c>
      <c r="G652" s="130">
        <f>IFERROR(N(E652)*GeneratorRate,0)</f>
        <v/>
      </c>
      <c r="H652" s="130">
        <f>IFERROR(N(F652)*GovernmentRate,0)</f>
        <v/>
      </c>
      <c r="I652" s="130">
        <f>IFERROR(G652+H652,0)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IFERROR(MAX(N(D653)-N(E653),0),0)</f>
        <v/>
      </c>
      <c r="G653" s="130">
        <f>IFERROR(N(E653)*GeneratorRate,0)</f>
        <v/>
      </c>
      <c r="H653" s="130">
        <f>IFERROR(N(F653)*GovernmentRate,0)</f>
        <v/>
      </c>
      <c r="I653" s="130">
        <f>IFERROR(G653+H653,0)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IFERROR(MAX(N(D654)-N(E654),0),0)</f>
        <v/>
      </c>
      <c r="G654" s="130">
        <f>IFERROR(N(E654)*GeneratorRate,0)</f>
        <v/>
      </c>
      <c r="H654" s="130">
        <f>IFERROR(N(F654)*GovernmentRate,0)</f>
        <v/>
      </c>
      <c r="I654" s="130">
        <f>IFERROR(G654+H654,0)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IFERROR(MAX(N(D655)-N(E655),0),0)</f>
        <v/>
      </c>
      <c r="G655" s="130">
        <f>IFERROR(N(E655)*GeneratorRate,0)</f>
        <v/>
      </c>
      <c r="H655" s="130">
        <f>IFERROR(N(F655)*GovernmentRate,0)</f>
        <v/>
      </c>
      <c r="I655" s="130">
        <f>IFERROR(G655+H655,0)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IFERROR(MAX(N(D656)-N(E656),0),0)</f>
        <v/>
      </c>
      <c r="G656" s="130">
        <f>IFERROR(N(E656)*GeneratorRate,0)</f>
        <v/>
      </c>
      <c r="H656" s="130">
        <f>IFERROR(N(F656)*GovernmentRate,0)</f>
        <v/>
      </c>
      <c r="I656" s="130">
        <f>IFERROR(G656+H656,0)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IFERROR(MAX(N(D657)-N(E657),0),0)</f>
        <v/>
      </c>
      <c r="G657" s="130">
        <f>IFERROR(N(E657)*GeneratorRate,0)</f>
        <v/>
      </c>
      <c r="H657" s="130">
        <f>IFERROR(N(F657)*GovernmentRate,0)</f>
        <v/>
      </c>
      <c r="I657" s="130">
        <f>IFERROR(G657+H657,0)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IFERROR(MAX(N(D658)-N(E658),0),0)</f>
        <v/>
      </c>
      <c r="G658" s="130">
        <f>IFERROR(N(E658)*GeneratorRate,0)</f>
        <v/>
      </c>
      <c r="H658" s="130">
        <f>IFERROR(N(F658)*GovernmentRate,0)</f>
        <v/>
      </c>
      <c r="I658" s="130">
        <f>IFERROR(G658+H658,0)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IFERROR(MAX(N(D659)-N(E659),0),0)</f>
        <v/>
      </c>
      <c r="G659" s="130">
        <f>IFERROR(N(E659)*GeneratorRate,0)</f>
        <v/>
      </c>
      <c r="H659" s="130">
        <f>IFERROR(N(F659)*GovernmentRate,0)</f>
        <v/>
      </c>
      <c r="I659" s="130">
        <f>IFERROR(G659+H659,0)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IFERROR(MAX(N(D660)-N(E660),0),0)</f>
        <v/>
      </c>
      <c r="G660" s="130">
        <f>IFERROR(N(E660)*GeneratorRate,0)</f>
        <v/>
      </c>
      <c r="H660" s="130">
        <f>IFERROR(N(F660)*GovernmentRate,0)</f>
        <v/>
      </c>
      <c r="I660" s="130">
        <f>IFERROR(G660+H660,0)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IFERROR(MAX(N(D661)-N(E661),0),0)</f>
        <v/>
      </c>
      <c r="G661" s="130">
        <f>IFERROR(N(E661)*GeneratorRate,0)</f>
        <v/>
      </c>
      <c r="H661" s="130">
        <f>IFERROR(N(F661)*GovernmentRate,0)</f>
        <v/>
      </c>
      <c r="I661" s="130">
        <f>IFERROR(G661+H661,0)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IFERROR(MAX(N(D662)-N(E662),0),0)</f>
        <v/>
      </c>
      <c r="G662" s="130">
        <f>IFERROR(N(E662)*GeneratorRate,0)</f>
        <v/>
      </c>
      <c r="H662" s="130">
        <f>IFERROR(N(F662)*GovernmentRate,0)</f>
        <v/>
      </c>
      <c r="I662" s="130">
        <f>IFERROR(G662+H662,0)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IFERROR(MAX(N(D663)-N(E663),0),0)</f>
        <v/>
      </c>
      <c r="G663" s="130">
        <f>IFERROR(N(E663)*GeneratorRate,0)</f>
        <v/>
      </c>
      <c r="H663" s="130">
        <f>IFERROR(N(F663)*GovernmentRate,0)</f>
        <v/>
      </c>
      <c r="I663" s="130">
        <f>IFERROR(G663+H663,0)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IFERROR(MAX(N(D664)-N(E664),0),0)</f>
        <v/>
      </c>
      <c r="G664" s="130">
        <f>IFERROR(N(E664)*GeneratorRate,0)</f>
        <v/>
      </c>
      <c r="H664" s="130">
        <f>IFERROR(N(F664)*GovernmentRate,0)</f>
        <v/>
      </c>
      <c r="I664" s="130">
        <f>IFERROR(G664+H664,0)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IFERROR(MAX(N(D665)-N(E665),0),0)</f>
        <v/>
      </c>
      <c r="G665" s="130">
        <f>IFERROR(N(E665)*GeneratorRate,0)</f>
        <v/>
      </c>
      <c r="H665" s="130">
        <f>IFERROR(N(F665)*GovernmentRate,0)</f>
        <v/>
      </c>
      <c r="I665" s="130">
        <f>IFERROR(G665+H665,0)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IFERROR(MAX(N(D666)-N(E666),0),0)</f>
        <v/>
      </c>
      <c r="G666" s="130">
        <f>IFERROR(N(E666)*GeneratorRate,0)</f>
        <v/>
      </c>
      <c r="H666" s="130">
        <f>IFERROR(N(F666)*GovernmentRate,0)</f>
        <v/>
      </c>
      <c r="I666" s="130">
        <f>IFERROR(G666+H666,0)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IFERROR(MAX(N(D667)-N(E667),0),0)</f>
        <v/>
      </c>
      <c r="G667" s="130">
        <f>IFERROR(N(E667)*GeneratorRate,0)</f>
        <v/>
      </c>
      <c r="H667" s="130">
        <f>IFERROR(N(F667)*GovernmentRate,0)</f>
        <v/>
      </c>
      <c r="I667" s="130">
        <f>IFERROR(G667+H667,0)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IFERROR(MAX(N(D668)-N(E668),0),0)</f>
        <v/>
      </c>
      <c r="G668" s="130">
        <f>IFERROR(N(E668)*GeneratorRate,0)</f>
        <v/>
      </c>
      <c r="H668" s="130">
        <f>IFERROR(N(F668)*GovernmentRate,0)</f>
        <v/>
      </c>
      <c r="I668" s="130">
        <f>IFERROR(G668+H668,0)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IFERROR(MAX(N(D669)-N(E669),0),0)</f>
        <v/>
      </c>
      <c r="G669" s="130">
        <f>IFERROR(N(E669)*GeneratorRate,0)</f>
        <v/>
      </c>
      <c r="H669" s="130">
        <f>IFERROR(N(F669)*GovernmentRate,0)</f>
        <v/>
      </c>
      <c r="I669" s="130">
        <f>IFERROR(G669+H669,0)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IFERROR(MAX(N(D670)-N(E670),0),0)</f>
        <v/>
      </c>
      <c r="G670" s="130">
        <f>IFERROR(N(E670)*GeneratorRate,0)</f>
        <v/>
      </c>
      <c r="H670" s="130">
        <f>IFERROR(N(F670)*GovernmentRate,0)</f>
        <v/>
      </c>
      <c r="I670" s="130">
        <f>IFERROR(G670+H670,0)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IFERROR(MAX(N(D671)-N(E671),0),0)</f>
        <v/>
      </c>
      <c r="G671" s="130">
        <f>IFERROR(N(E671)*GeneratorRate,0)</f>
        <v/>
      </c>
      <c r="H671" s="130">
        <f>IFERROR(N(F671)*GovernmentRate,0)</f>
        <v/>
      </c>
      <c r="I671" s="130">
        <f>IFERROR(G671+H671,0)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IFERROR(MAX(N(D672)-N(E672),0),0)</f>
        <v/>
      </c>
      <c r="G672" s="130">
        <f>IFERROR(N(E672)*GeneratorRate,0)</f>
        <v/>
      </c>
      <c r="H672" s="130">
        <f>IFERROR(N(F672)*GovernmentRate,0)</f>
        <v/>
      </c>
      <c r="I672" s="130">
        <f>IFERROR(G672+H672,0)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IFERROR(MAX(N(D673)-N(E673),0),0)</f>
        <v/>
      </c>
      <c r="G673" s="130">
        <f>IFERROR(N(E673)*GeneratorRate,0)</f>
        <v/>
      </c>
      <c r="H673" s="130">
        <f>IFERROR(N(F673)*GovernmentRate,0)</f>
        <v/>
      </c>
      <c r="I673" s="130">
        <f>IFERROR(G673+H673,0)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IFERROR(MAX(N(D674)-N(E674),0),0)</f>
        <v/>
      </c>
      <c r="G674" s="130">
        <f>IFERROR(N(E674)*GeneratorRate,0)</f>
        <v/>
      </c>
      <c r="H674" s="130">
        <f>IFERROR(N(F674)*GovernmentRate,0)</f>
        <v/>
      </c>
      <c r="I674" s="130">
        <f>IFERROR(G674+H674,0)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IFERROR(MAX(N(D675)-N(E675),0),0)</f>
        <v/>
      </c>
      <c r="G675" s="130">
        <f>IFERROR(N(E675)*GeneratorRate,0)</f>
        <v/>
      </c>
      <c r="H675" s="130">
        <f>IFERROR(N(F675)*GovernmentRate,0)</f>
        <v/>
      </c>
      <c r="I675" s="130">
        <f>IFERROR(G675+H675,0)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IFERROR(MAX(N(D676)-N(E676),0),0)</f>
        <v/>
      </c>
      <c r="G676" s="130">
        <f>IFERROR(N(E676)*GeneratorRate,0)</f>
        <v/>
      </c>
      <c r="H676" s="130">
        <f>IFERROR(N(F676)*GovernmentRate,0)</f>
        <v/>
      </c>
      <c r="I676" s="130">
        <f>IFERROR(G676+H676,0)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IFERROR(MAX(N(D677)-N(E677),0),0)</f>
        <v/>
      </c>
      <c r="G677" s="130">
        <f>IFERROR(N(E677)*GeneratorRate,0)</f>
        <v/>
      </c>
      <c r="H677" s="130">
        <f>IFERROR(N(F677)*GovernmentRate,0)</f>
        <v/>
      </c>
      <c r="I677" s="130">
        <f>IFERROR(G677+H677,0)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IFERROR(MAX(N(D678)-N(E678),0),0)</f>
        <v/>
      </c>
      <c r="G678" s="130">
        <f>IFERROR(N(E678)*GeneratorRate,0)</f>
        <v/>
      </c>
      <c r="H678" s="130">
        <f>IFERROR(N(F678)*GovernmentRate,0)</f>
        <v/>
      </c>
      <c r="I678" s="130">
        <f>IFERROR(G678+H678,0)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IFERROR(MAX(N(D679)-N(E679),0),0)</f>
        <v/>
      </c>
      <c r="G679" s="130">
        <f>IFERROR(N(E679)*GeneratorRate,0)</f>
        <v/>
      </c>
      <c r="H679" s="130">
        <f>IFERROR(N(F679)*GovernmentRate,0)</f>
        <v/>
      </c>
      <c r="I679" s="130">
        <f>IFERROR(G679+H679,0)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IFERROR(MAX(N(D680)-N(E680),0),0)</f>
        <v/>
      </c>
      <c r="G680" s="130">
        <f>IFERROR(N(E680)*GeneratorRate,0)</f>
        <v/>
      </c>
      <c r="H680" s="130">
        <f>IFERROR(N(F680)*GovernmentRate,0)</f>
        <v/>
      </c>
      <c r="I680" s="130">
        <f>IFERROR(G680+H680,0)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IFERROR(MAX(N(D681)-N(E681),0),0)</f>
        <v/>
      </c>
      <c r="G681" s="130">
        <f>IFERROR(N(E681)*GeneratorRate,0)</f>
        <v/>
      </c>
      <c r="H681" s="130">
        <f>IFERROR(N(F681)*GovernmentRate,0)</f>
        <v/>
      </c>
      <c r="I681" s="130">
        <f>IFERROR(G681+H681,0)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IFERROR(MAX(N(D682)-N(E682),0),0)</f>
        <v/>
      </c>
      <c r="G682" s="130">
        <f>IFERROR(N(E682)*GeneratorRate,0)</f>
        <v/>
      </c>
      <c r="H682" s="130">
        <f>IFERROR(N(F682)*GovernmentRate,0)</f>
        <v/>
      </c>
      <c r="I682" s="130">
        <f>IFERROR(G682+H682,0)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IFERROR(MAX(N(D683)-N(E683),0),0)</f>
        <v/>
      </c>
      <c r="G683" s="130">
        <f>IFERROR(N(E683)*GeneratorRate,0)</f>
        <v/>
      </c>
      <c r="H683" s="130">
        <f>IFERROR(N(F683)*GovernmentRate,0)</f>
        <v/>
      </c>
      <c r="I683" s="130">
        <f>IFERROR(G683+H683,0)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IFERROR(MAX(N(D684)-N(E684),0),0)</f>
        <v/>
      </c>
      <c r="G684" s="130">
        <f>IFERROR(N(E684)*GeneratorRate,0)</f>
        <v/>
      </c>
      <c r="H684" s="130">
        <f>IFERROR(N(F684)*GovernmentRate,0)</f>
        <v/>
      </c>
      <c r="I684" s="130">
        <f>IFERROR(G684+H684,0)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IFERROR(MAX(N(D685)-N(E685),0),0)</f>
        <v/>
      </c>
      <c r="G685" s="130">
        <f>IFERROR(N(E685)*GeneratorRate,0)</f>
        <v/>
      </c>
      <c r="H685" s="130">
        <f>IFERROR(N(F685)*GovernmentRate,0)</f>
        <v/>
      </c>
      <c r="I685" s="130">
        <f>IFERROR(G685+H685,0)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IFERROR(MAX(N(D686)-N(E686),0),0)</f>
        <v/>
      </c>
      <c r="G686" s="130">
        <f>IFERROR(N(E686)*GeneratorRate,0)</f>
        <v/>
      </c>
      <c r="H686" s="130">
        <f>IFERROR(N(F686)*GovernmentRate,0)</f>
        <v/>
      </c>
      <c r="I686" s="130">
        <f>IFERROR(G686+H686,0)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IFERROR(MAX(N(D687)-N(E687),0),0)</f>
        <v/>
      </c>
      <c r="G687" s="130">
        <f>IFERROR(N(E687)*GeneratorRate,0)</f>
        <v/>
      </c>
      <c r="H687" s="130">
        <f>IFERROR(N(F687)*GovernmentRate,0)</f>
        <v/>
      </c>
      <c r="I687" s="130">
        <f>IFERROR(G687+H687,0)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IFERROR(MAX(N(D688)-N(E688),0),0)</f>
        <v/>
      </c>
      <c r="G688" s="130">
        <f>IFERROR(N(E688)*GeneratorRate,0)</f>
        <v/>
      </c>
      <c r="H688" s="130">
        <f>IFERROR(N(F688)*GovernmentRate,0)</f>
        <v/>
      </c>
      <c r="I688" s="130">
        <f>IFERROR(G688+H688,0)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IFERROR(MAX(N(D689)-N(E689),0),0)</f>
        <v/>
      </c>
      <c r="G689" s="130">
        <f>IFERROR(N(E689)*GeneratorRate,0)</f>
        <v/>
      </c>
      <c r="H689" s="130">
        <f>IFERROR(N(F689)*GovernmentRate,0)</f>
        <v/>
      </c>
      <c r="I689" s="130">
        <f>IFERROR(G689+H689,0)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IFERROR(MAX(N(D690)-N(E690),0),0)</f>
        <v/>
      </c>
      <c r="G690" s="130">
        <f>IFERROR(N(E690)*GeneratorRate,0)</f>
        <v/>
      </c>
      <c r="H690" s="130">
        <f>IFERROR(N(F690)*GovernmentRate,0)</f>
        <v/>
      </c>
      <c r="I690" s="130">
        <f>IFERROR(G690+H690,0)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IFERROR(MAX(N(D691)-N(E691),0),0)</f>
        <v/>
      </c>
      <c r="G691" s="130">
        <f>IFERROR(N(E691)*GeneratorRate,0)</f>
        <v/>
      </c>
      <c r="H691" s="130">
        <f>IFERROR(N(F691)*GovernmentRate,0)</f>
        <v/>
      </c>
      <c r="I691" s="130">
        <f>IFERROR(G691+H691,0)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IFERROR(MAX(N(D692)-N(E692),0),0)</f>
        <v/>
      </c>
      <c r="G692" s="130">
        <f>IFERROR(N(E692)*GeneratorRate,0)</f>
        <v/>
      </c>
      <c r="H692" s="130">
        <f>IFERROR(N(F692)*GovernmentRate,0)</f>
        <v/>
      </c>
      <c r="I692" s="130">
        <f>IFERROR(G692+H692,0)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IFERROR(MAX(N(D693)-N(E693),0),0)</f>
        <v/>
      </c>
      <c r="G693" s="130">
        <f>IFERROR(N(E693)*GeneratorRate,0)</f>
        <v/>
      </c>
      <c r="H693" s="130">
        <f>IFERROR(N(F693)*GovernmentRate,0)</f>
        <v/>
      </c>
      <c r="I693" s="130">
        <f>IFERROR(G693+H693,0)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IFERROR(MAX(N(D694)-N(E694),0),0)</f>
        <v/>
      </c>
      <c r="G694" s="130">
        <f>IFERROR(N(E694)*GeneratorRate,0)</f>
        <v/>
      </c>
      <c r="H694" s="130">
        <f>IFERROR(N(F694)*GovernmentRate,0)</f>
        <v/>
      </c>
      <c r="I694" s="130">
        <f>IFERROR(G694+H694,0)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IFERROR(MAX(N(D695)-N(E695),0),0)</f>
        <v/>
      </c>
      <c r="G695" s="130">
        <f>IFERROR(N(E695)*GeneratorRate,0)</f>
        <v/>
      </c>
      <c r="H695" s="130">
        <f>IFERROR(N(F695)*GovernmentRate,0)</f>
        <v/>
      </c>
      <c r="I695" s="130">
        <f>IFERROR(G695+H695,0)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IFERROR(MAX(N(D696)-N(E696),0),0)</f>
        <v/>
      </c>
      <c r="G696" s="130">
        <f>IFERROR(N(E696)*GeneratorRate,0)</f>
        <v/>
      </c>
      <c r="H696" s="130">
        <f>IFERROR(N(F696)*GovernmentRate,0)</f>
        <v/>
      </c>
      <c r="I696" s="130">
        <f>IFERROR(G696+H696,0)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IFERROR(MAX(N(D697)-N(E697),0),0)</f>
        <v/>
      </c>
      <c r="G697" s="130">
        <f>IFERROR(N(E697)*GeneratorRate,0)</f>
        <v/>
      </c>
      <c r="H697" s="130">
        <f>IFERROR(N(F697)*GovernmentRate,0)</f>
        <v/>
      </c>
      <c r="I697" s="130">
        <f>IFERROR(G697+H697,0)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IFERROR(MAX(N(D698)-N(E698),0),0)</f>
        <v/>
      </c>
      <c r="G698" s="130">
        <f>IFERROR(N(E698)*GeneratorRate,0)</f>
        <v/>
      </c>
      <c r="H698" s="130">
        <f>IFERROR(N(F698)*GovernmentRate,0)</f>
        <v/>
      </c>
      <c r="I698" s="130">
        <f>IFERROR(G698+H698,0)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IFERROR(MAX(N(D699)-N(E699),0),0)</f>
        <v/>
      </c>
      <c r="G699" s="130">
        <f>IFERROR(N(E699)*GeneratorRate,0)</f>
        <v/>
      </c>
      <c r="H699" s="130">
        <f>IFERROR(N(F699)*GovernmentRate,0)</f>
        <v/>
      </c>
      <c r="I699" s="130">
        <f>IFERROR(G699+H699,0)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IFERROR(MAX(N(D700)-N(E700),0),0)</f>
        <v/>
      </c>
      <c r="G700" s="130">
        <f>IFERROR(N(E700)*GeneratorRate,0)</f>
        <v/>
      </c>
      <c r="H700" s="130">
        <f>IFERROR(N(F700)*GovernmentRate,0)</f>
        <v/>
      </c>
      <c r="I700" s="130">
        <f>IFERROR(G700+H700,0)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IFERROR(MAX(N(D701)-N(E701),0),0)</f>
        <v/>
      </c>
      <c r="G701" s="130">
        <f>IFERROR(N(E701)*GeneratorRate,0)</f>
        <v/>
      </c>
      <c r="H701" s="130">
        <f>IFERROR(N(F701)*GovernmentRate,0)</f>
        <v/>
      </c>
      <c r="I701" s="130">
        <f>IFERROR(G701+H701,0)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IFERROR(MAX(N(D702)-N(E702),0),0)</f>
        <v/>
      </c>
      <c r="G702" s="130">
        <f>IFERROR(N(E702)*GeneratorRate,0)</f>
        <v/>
      </c>
      <c r="H702" s="130">
        <f>IFERROR(N(F702)*GovernmentRate,0)</f>
        <v/>
      </c>
      <c r="I702" s="130">
        <f>IFERROR(G702+H702,0)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IFERROR(MAX(N(D703)-N(E703),0),0)</f>
        <v/>
      </c>
      <c r="G703" s="130">
        <f>IFERROR(N(E703)*GeneratorRate,0)</f>
        <v/>
      </c>
      <c r="H703" s="130">
        <f>IFERROR(N(F703)*GovernmentRate,0)</f>
        <v/>
      </c>
      <c r="I703" s="130">
        <f>IFERROR(G703+H703,0)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IFERROR(MAX(N(D704)-N(E704),0),0)</f>
        <v/>
      </c>
      <c r="G704" s="130">
        <f>IFERROR(N(E704)*GeneratorRate,0)</f>
        <v/>
      </c>
      <c r="H704" s="130">
        <f>IFERROR(N(F704)*GovernmentRate,0)</f>
        <v/>
      </c>
      <c r="I704" s="130">
        <f>IFERROR(G704+H704,0)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IFERROR(MAX(N(D705)-N(E705),0),0)</f>
        <v/>
      </c>
      <c r="G705" s="130">
        <f>IFERROR(N(E705)*GeneratorRate,0)</f>
        <v/>
      </c>
      <c r="H705" s="130">
        <f>IFERROR(N(F705)*GovernmentRate,0)</f>
        <v/>
      </c>
      <c r="I705" s="130">
        <f>IFERROR(G705+H705,0)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IFERROR(MAX(N(D706)-N(E706),0),0)</f>
        <v/>
      </c>
      <c r="G706" s="130">
        <f>IFERROR(N(E706)*GeneratorRate,0)</f>
        <v/>
      </c>
      <c r="H706" s="130">
        <f>IFERROR(N(F706)*GovernmentRate,0)</f>
        <v/>
      </c>
      <c r="I706" s="130">
        <f>IFERROR(G706+H706,0)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IFERROR(MAX(N(D707)-N(E707),0),0)</f>
        <v/>
      </c>
      <c r="G707" s="130">
        <f>IFERROR(N(E707)*GeneratorRate,0)</f>
        <v/>
      </c>
      <c r="H707" s="130">
        <f>IFERROR(N(F707)*GovernmentRate,0)</f>
        <v/>
      </c>
      <c r="I707" s="130">
        <f>IFERROR(G707+H707,0)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IFERROR(MAX(N(D708)-N(E708),0),0)</f>
        <v/>
      </c>
      <c r="G708" s="130">
        <f>IFERROR(N(E708)*GeneratorRate,0)</f>
        <v/>
      </c>
      <c r="H708" s="130">
        <f>IFERROR(N(F708)*GovernmentRate,0)</f>
        <v/>
      </c>
      <c r="I708" s="130">
        <f>IFERROR(G708+H708,0)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IFERROR(MAX(N(D709)-N(E709),0),0)</f>
        <v/>
      </c>
      <c r="G709" s="130">
        <f>IFERROR(N(E709)*GeneratorRate,0)</f>
        <v/>
      </c>
      <c r="H709" s="130">
        <f>IFERROR(N(F709)*GovernmentRate,0)</f>
        <v/>
      </c>
      <c r="I709" s="130">
        <f>IFERROR(G709+H709,0)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IFERROR(MAX(N(D710)-N(E710),0),0)</f>
        <v/>
      </c>
      <c r="G710" s="130">
        <f>IFERROR(N(E710)*GeneratorRate,0)</f>
        <v/>
      </c>
      <c r="H710" s="130">
        <f>IFERROR(N(F710)*GovernmentRate,0)</f>
        <v/>
      </c>
      <c r="I710" s="130">
        <f>IFERROR(G710+H710,0)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IFERROR(MAX(N(D711)-N(E711),0),0)</f>
        <v/>
      </c>
      <c r="G711" s="130">
        <f>IFERROR(N(E711)*GeneratorRate,0)</f>
        <v/>
      </c>
      <c r="H711" s="130">
        <f>IFERROR(N(F711)*GovernmentRate,0)</f>
        <v/>
      </c>
      <c r="I711" s="130">
        <f>IFERROR(G711+H711,0)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IFERROR(MAX(N(D712)-N(E712),0),0)</f>
        <v/>
      </c>
      <c r="G712" s="130">
        <f>IFERROR(N(E712)*GeneratorRate,0)</f>
        <v/>
      </c>
      <c r="H712" s="130">
        <f>IFERROR(N(F712)*GovernmentRate,0)</f>
        <v/>
      </c>
      <c r="I712" s="130">
        <f>IFERROR(G712+H712,0)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IFERROR(MAX(N(D713)-N(E713),0),0)</f>
        <v/>
      </c>
      <c r="G713" s="130">
        <f>IFERROR(N(E713)*GeneratorRate,0)</f>
        <v/>
      </c>
      <c r="H713" s="130">
        <f>IFERROR(N(F713)*GovernmentRate,0)</f>
        <v/>
      </c>
      <c r="I713" s="130">
        <f>IFERROR(G713+H713,0)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IFERROR(MAX(N(D714)-N(E714),0),0)</f>
        <v/>
      </c>
      <c r="G714" s="130">
        <f>IFERROR(N(E714)*GeneratorRate,0)</f>
        <v/>
      </c>
      <c r="H714" s="130">
        <f>IFERROR(N(F714)*GovernmentRate,0)</f>
        <v/>
      </c>
      <c r="I714" s="130">
        <f>IFERROR(G714+H714,0)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IFERROR(MAX(N(D715)-N(E715),0),0)</f>
        <v/>
      </c>
      <c r="G715" s="130">
        <f>IFERROR(N(E715)*GeneratorRate,0)</f>
        <v/>
      </c>
      <c r="H715" s="130">
        <f>IFERROR(N(F715)*GovernmentRate,0)</f>
        <v/>
      </c>
      <c r="I715" s="130">
        <f>IFERROR(G715+H715,0)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IFERROR(MAX(N(D716)-N(E716),0),0)</f>
        <v/>
      </c>
      <c r="G716" s="130">
        <f>IFERROR(N(E716)*GeneratorRate,0)</f>
        <v/>
      </c>
      <c r="H716" s="130">
        <f>IFERROR(N(F716)*GovernmentRate,0)</f>
        <v/>
      </c>
      <c r="I716" s="130">
        <f>IFERROR(G716+H716,0)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IFERROR(MAX(N(D717)-N(E717),0),0)</f>
        <v/>
      </c>
      <c r="G717" s="130">
        <f>IFERROR(N(E717)*GeneratorRate,0)</f>
        <v/>
      </c>
      <c r="H717" s="130">
        <f>IFERROR(N(F717)*GovernmentRate,0)</f>
        <v/>
      </c>
      <c r="I717" s="130">
        <f>IFERROR(G717+H717,0)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IFERROR(MAX(N(D718)-N(E718),0),0)</f>
        <v/>
      </c>
      <c r="G718" s="130">
        <f>IFERROR(N(E718)*GeneratorRate,0)</f>
        <v/>
      </c>
      <c r="H718" s="130">
        <f>IFERROR(N(F718)*GovernmentRate,0)</f>
        <v/>
      </c>
      <c r="I718" s="130">
        <f>IFERROR(G718+H718,0)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IFERROR(MAX(N(D719)-N(E719),0),0)</f>
        <v/>
      </c>
      <c r="G719" s="130">
        <f>IFERROR(N(E719)*GeneratorRate,0)</f>
        <v/>
      </c>
      <c r="H719" s="130">
        <f>IFERROR(N(F719)*GovernmentRate,0)</f>
        <v/>
      </c>
      <c r="I719" s="130">
        <f>IFERROR(G719+H719,0)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IFERROR(MAX(N(D720)-N(E720),0),0)</f>
        <v/>
      </c>
      <c r="G720" s="130">
        <f>IFERROR(N(E720)*GeneratorRate,0)</f>
        <v/>
      </c>
      <c r="H720" s="130">
        <f>IFERROR(N(F720)*GovernmentRate,0)</f>
        <v/>
      </c>
      <c r="I720" s="130">
        <f>IFERROR(G720+H720,0)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IFERROR(MAX(N(D721)-N(E721),0),0)</f>
        <v/>
      </c>
      <c r="G721" s="130">
        <f>IFERROR(N(E721)*GeneratorRate,0)</f>
        <v/>
      </c>
      <c r="H721" s="130">
        <f>IFERROR(N(F721)*GovernmentRate,0)</f>
        <v/>
      </c>
      <c r="I721" s="130">
        <f>IFERROR(G721+H721,0)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IFERROR(MAX(N(D722)-N(E722),0),0)</f>
        <v/>
      </c>
      <c r="G722" s="130">
        <f>IFERROR(N(E722)*GeneratorRate,0)</f>
        <v/>
      </c>
      <c r="H722" s="130">
        <f>IFERROR(N(F722)*GovernmentRate,0)</f>
        <v/>
      </c>
      <c r="I722" s="130">
        <f>IFERROR(G722+H722,0)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IFERROR(MAX(N(D723)-N(E723),0),0)</f>
        <v/>
      </c>
      <c r="G723" s="130">
        <f>IFERROR(N(E723)*GeneratorRate,0)</f>
        <v/>
      </c>
      <c r="H723" s="130">
        <f>IFERROR(N(F723)*GovernmentRate,0)</f>
        <v/>
      </c>
      <c r="I723" s="130">
        <f>IFERROR(G723+H723,0)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IFERROR(MAX(N(D724)-N(E724),0),0)</f>
        <v/>
      </c>
      <c r="G724" s="130">
        <f>IFERROR(N(E724)*GeneratorRate,0)</f>
        <v/>
      </c>
      <c r="H724" s="130">
        <f>IFERROR(N(F724)*GovernmentRate,0)</f>
        <v/>
      </c>
      <c r="I724" s="130">
        <f>IFERROR(G724+H724,0)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IFERROR(MAX(N(D725)-N(E725),0),0)</f>
        <v/>
      </c>
      <c r="G725" s="130">
        <f>IFERROR(N(E725)*GeneratorRate,0)</f>
        <v/>
      </c>
      <c r="H725" s="130">
        <f>IFERROR(N(F725)*GovernmentRate,0)</f>
        <v/>
      </c>
      <c r="I725" s="130">
        <f>IFERROR(G725+H725,0)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IFERROR(MAX(N(D726)-N(E726),0),0)</f>
        <v/>
      </c>
      <c r="G726" s="130">
        <f>IFERROR(N(E726)*GeneratorRate,0)</f>
        <v/>
      </c>
      <c r="H726" s="130">
        <f>IFERROR(N(F726)*GovernmentRate,0)</f>
        <v/>
      </c>
      <c r="I726" s="130">
        <f>IFERROR(G726+H726,0)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IFERROR(MAX(N(D727)-N(E727),0),0)</f>
        <v/>
      </c>
      <c r="G727" s="130">
        <f>IFERROR(N(E727)*GeneratorRate,0)</f>
        <v/>
      </c>
      <c r="H727" s="130">
        <f>IFERROR(N(F727)*GovernmentRate,0)</f>
        <v/>
      </c>
      <c r="I727" s="130">
        <f>IFERROR(G727+H727,0)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IFERROR(MAX(N(D728)-N(E728),0),0)</f>
        <v/>
      </c>
      <c r="G728" s="130">
        <f>IFERROR(N(E728)*GeneratorRate,0)</f>
        <v/>
      </c>
      <c r="H728" s="130">
        <f>IFERROR(N(F728)*GovernmentRate,0)</f>
        <v/>
      </c>
      <c r="I728" s="130">
        <f>IFERROR(G728+H728,0)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IFERROR(MAX(N(D729)-N(E729),0),0)</f>
        <v/>
      </c>
      <c r="G729" s="130">
        <f>IFERROR(N(E729)*GeneratorRate,0)</f>
        <v/>
      </c>
      <c r="H729" s="130">
        <f>IFERROR(N(F729)*GovernmentRate,0)</f>
        <v/>
      </c>
      <c r="I729" s="130">
        <f>IFERROR(G729+H729,0)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IFERROR(MAX(N(D730)-N(E730),0),0)</f>
        <v/>
      </c>
      <c r="G730" s="130">
        <f>IFERROR(N(E730)*GeneratorRate,0)</f>
        <v/>
      </c>
      <c r="H730" s="130">
        <f>IFERROR(N(F730)*GovernmentRate,0)</f>
        <v/>
      </c>
      <c r="I730" s="130">
        <f>IFERROR(G730+H730,0)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IFERROR(MAX(N(D731)-N(E731),0),0)</f>
        <v/>
      </c>
      <c r="G731" s="130">
        <f>IFERROR(N(E731)*GeneratorRate,0)</f>
        <v/>
      </c>
      <c r="H731" s="130">
        <f>IFERROR(N(F731)*GovernmentRate,0)</f>
        <v/>
      </c>
      <c r="I731" s="130">
        <f>IFERROR(G731+H731,0)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IFERROR(MAX(N(D732)-N(E732),0),0)</f>
        <v/>
      </c>
      <c r="G732" s="130">
        <f>IFERROR(N(E732)*GeneratorRate,0)</f>
        <v/>
      </c>
      <c r="H732" s="130">
        <f>IFERROR(N(F732)*GovernmentRate,0)</f>
        <v/>
      </c>
      <c r="I732" s="130">
        <f>IFERROR(G732+H732,0)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IFERROR(MAX(N(D733)-N(E733),0),0)</f>
        <v/>
      </c>
      <c r="G733" s="130">
        <f>IFERROR(N(E733)*GeneratorRate,0)</f>
        <v/>
      </c>
      <c r="H733" s="130">
        <f>IFERROR(N(F733)*GovernmentRate,0)</f>
        <v/>
      </c>
      <c r="I733" s="130">
        <f>IFERROR(G733+H733,0)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IFERROR(MAX(N(D734)-N(E734),0),0)</f>
        <v/>
      </c>
      <c r="G734" s="130">
        <f>IFERROR(N(E734)*GeneratorRate,0)</f>
        <v/>
      </c>
      <c r="H734" s="130">
        <f>IFERROR(N(F734)*GovernmentRate,0)</f>
        <v/>
      </c>
      <c r="I734" s="130">
        <f>IFERROR(G734+H734,0)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IFERROR(MAX(N(D735)-N(E735),0),0)</f>
        <v/>
      </c>
      <c r="G735" s="130">
        <f>IFERROR(N(E735)*GeneratorRate,0)</f>
        <v/>
      </c>
      <c r="H735" s="130">
        <f>IFERROR(N(F735)*GovernmentRate,0)</f>
        <v/>
      </c>
      <c r="I735" s="130">
        <f>IFERROR(G735+H735,0)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IFERROR(MAX(N(D736)-N(E736),0),0)</f>
        <v/>
      </c>
      <c r="G736" s="130">
        <f>IFERROR(N(E736)*GeneratorRate,0)</f>
        <v/>
      </c>
      <c r="H736" s="130">
        <f>IFERROR(N(F736)*GovernmentRate,0)</f>
        <v/>
      </c>
      <c r="I736" s="130">
        <f>IFERROR(G736+H736,0)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IFERROR(MAX(N(D737)-N(E737),0),0)</f>
        <v/>
      </c>
      <c r="G737" s="130">
        <f>IFERROR(N(E737)*GeneratorRate,0)</f>
        <v/>
      </c>
      <c r="H737" s="130">
        <f>IFERROR(N(F737)*GovernmentRate,0)</f>
        <v/>
      </c>
      <c r="I737" s="130">
        <f>IFERROR(G737+H737,0)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IFERROR(MAX(N(D738)-N(E738),0),0)</f>
        <v/>
      </c>
      <c r="G738" s="130">
        <f>IFERROR(N(E738)*GeneratorRate,0)</f>
        <v/>
      </c>
      <c r="H738" s="130">
        <f>IFERROR(N(F738)*GovernmentRate,0)</f>
        <v/>
      </c>
      <c r="I738" s="130">
        <f>IFERROR(G738+H738,0)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IFERROR(MAX(N(D739)-N(E739),0),0)</f>
        <v/>
      </c>
      <c r="G739" s="130">
        <f>IFERROR(N(E739)*GeneratorRate,0)</f>
        <v/>
      </c>
      <c r="H739" s="130">
        <f>IFERROR(N(F739)*GovernmentRate,0)</f>
        <v/>
      </c>
      <c r="I739" s="130">
        <f>IFERROR(G739+H739,0)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IFERROR(MAX(N(D740)-N(E740),0),0)</f>
        <v/>
      </c>
      <c r="G740" s="130">
        <f>IFERROR(N(E740)*GeneratorRate,0)</f>
        <v/>
      </c>
      <c r="H740" s="130">
        <f>IFERROR(N(F740)*GovernmentRate,0)</f>
        <v/>
      </c>
      <c r="I740" s="130">
        <f>IFERROR(G740+H740,0)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IFERROR(MAX(N(D741)-N(E741),0),0)</f>
        <v/>
      </c>
      <c r="G741" s="130">
        <f>IFERROR(N(E741)*GeneratorRate,0)</f>
        <v/>
      </c>
      <c r="H741" s="130">
        <f>IFERROR(N(F741)*GovernmentRate,0)</f>
        <v/>
      </c>
      <c r="I741" s="130">
        <f>IFERROR(G741+H741,0)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IFERROR(MAX(N(D742)-N(E742),0),0)</f>
        <v/>
      </c>
      <c r="G742" s="130">
        <f>IFERROR(N(E742)*GeneratorRate,0)</f>
        <v/>
      </c>
      <c r="H742" s="130">
        <f>IFERROR(N(F742)*GovernmentRate,0)</f>
        <v/>
      </c>
      <c r="I742" s="130">
        <f>IFERROR(G742+H742,0)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IFERROR(MAX(N(D743)-N(E743),0),0)</f>
        <v/>
      </c>
      <c r="G743" s="130">
        <f>IFERROR(N(E743)*GeneratorRate,0)</f>
        <v/>
      </c>
      <c r="H743" s="130">
        <f>IFERROR(N(F743)*GovernmentRate,0)</f>
        <v/>
      </c>
      <c r="I743" s="130">
        <f>IFERROR(G743+H743,0)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IFERROR(MAX(N(D744)-N(E744),0),0)</f>
        <v/>
      </c>
      <c r="G744" s="130">
        <f>IFERROR(N(E744)*GeneratorRate,0)</f>
        <v/>
      </c>
      <c r="H744" s="130">
        <f>IFERROR(N(F744)*GovernmentRate,0)</f>
        <v/>
      </c>
      <c r="I744" s="130">
        <f>IFERROR(G744+H744,0)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IFERROR(MAX(N(D745)-N(E745),0),0)</f>
        <v/>
      </c>
      <c r="G745" s="130">
        <f>IFERROR(N(E745)*GeneratorRate,0)</f>
        <v/>
      </c>
      <c r="H745" s="130">
        <f>IFERROR(N(F745)*GovernmentRate,0)</f>
        <v/>
      </c>
      <c r="I745" s="130">
        <f>IFERROR(G745+H745,0)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IFERROR(MAX(N(D746)-N(E746),0),0)</f>
        <v/>
      </c>
      <c r="G746" s="130">
        <f>IFERROR(N(E746)*GeneratorRate,0)</f>
        <v/>
      </c>
      <c r="H746" s="130">
        <f>IFERROR(N(F746)*GovernmentRate,0)</f>
        <v/>
      </c>
      <c r="I746" s="130">
        <f>IFERROR(G746+H746,0)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IFERROR(MAX(N(D747)-N(E747),0),0)</f>
        <v/>
      </c>
      <c r="G747" s="130">
        <f>IFERROR(N(E747)*GeneratorRate,0)</f>
        <v/>
      </c>
      <c r="H747" s="130">
        <f>IFERROR(N(F747)*GovernmentRate,0)</f>
        <v/>
      </c>
      <c r="I747" s="130">
        <f>IFERROR(G747+H747,0)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IFERROR(MAX(N(D748)-N(E748),0),0)</f>
        <v/>
      </c>
      <c r="G748" s="130">
        <f>IFERROR(N(E748)*GeneratorRate,0)</f>
        <v/>
      </c>
      <c r="H748" s="130">
        <f>IFERROR(N(F748)*GovernmentRate,0)</f>
        <v/>
      </c>
      <c r="I748" s="130">
        <f>IFERROR(G748+H748,0)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IFERROR(MAX(N(D749)-N(E749),0),0)</f>
        <v/>
      </c>
      <c r="G749" s="130">
        <f>IFERROR(N(E749)*GeneratorRate,0)</f>
        <v/>
      </c>
      <c r="H749" s="130">
        <f>IFERROR(N(F749)*GovernmentRate,0)</f>
        <v/>
      </c>
      <c r="I749" s="130">
        <f>IFERROR(G749+H749,0)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IFERROR(MAX(N(D750)-N(E750),0),0)</f>
        <v/>
      </c>
      <c r="G750" s="130">
        <f>IFERROR(N(E750)*GeneratorRate,0)</f>
        <v/>
      </c>
      <c r="H750" s="130">
        <f>IFERROR(N(F750)*GovernmentRate,0)</f>
        <v/>
      </c>
      <c r="I750" s="130">
        <f>IFERROR(G750+H750,0)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IFERROR(MAX(N(D751)-N(E751),0),0)</f>
        <v/>
      </c>
      <c r="G751" s="130">
        <f>IFERROR(N(E751)*GeneratorRate,0)</f>
        <v/>
      </c>
      <c r="H751" s="130">
        <f>IFERROR(N(F751)*GovernmentRate,0)</f>
        <v/>
      </c>
      <c r="I751" s="130">
        <f>IFERROR(G751+H751,0)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IFERROR(MAX(N(D752)-N(E752),0),0)</f>
        <v/>
      </c>
      <c r="G752" s="130">
        <f>IFERROR(N(E752)*GeneratorRate,0)</f>
        <v/>
      </c>
      <c r="H752" s="130">
        <f>IFERROR(N(F752)*GovernmentRate,0)</f>
        <v/>
      </c>
      <c r="I752" s="130">
        <f>IFERROR(G752+H752,0)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IFERROR(MAX(N(D753)-N(E753),0),0)</f>
        <v/>
      </c>
      <c r="G753" s="130">
        <f>IFERROR(N(E753)*GeneratorRate,0)</f>
        <v/>
      </c>
      <c r="H753" s="130">
        <f>IFERROR(N(F753)*GovernmentRate,0)</f>
        <v/>
      </c>
      <c r="I753" s="130">
        <f>IFERROR(G753+H753,0)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IFERROR(MAX(N(D754)-N(E754),0),0)</f>
        <v/>
      </c>
      <c r="G754" s="130">
        <f>IFERROR(N(E754)*GeneratorRate,0)</f>
        <v/>
      </c>
      <c r="H754" s="130">
        <f>IFERROR(N(F754)*GovernmentRate,0)</f>
        <v/>
      </c>
      <c r="I754" s="130">
        <f>IFERROR(G754+H754,0)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IFERROR(MAX(N(D755)-N(E755),0),0)</f>
        <v/>
      </c>
      <c r="G755" s="130">
        <f>IFERROR(N(E755)*GeneratorRate,0)</f>
        <v/>
      </c>
      <c r="H755" s="130">
        <f>IFERROR(N(F755)*GovernmentRate,0)</f>
        <v/>
      </c>
      <c r="I755" s="130">
        <f>IFERROR(G755+H755,0)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IFERROR(MAX(N(D756)-N(E756),0),0)</f>
        <v/>
      </c>
      <c r="G756" s="130">
        <f>IFERROR(N(E756)*GeneratorRate,0)</f>
        <v/>
      </c>
      <c r="H756" s="130">
        <f>IFERROR(N(F756)*GovernmentRate,0)</f>
        <v/>
      </c>
      <c r="I756" s="130">
        <f>IFERROR(G756+H756,0)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IFERROR(MAX(N(D757)-N(E757),0),0)</f>
        <v/>
      </c>
      <c r="G757" s="130">
        <f>IFERROR(N(E757)*GeneratorRate,0)</f>
        <v/>
      </c>
      <c r="H757" s="130">
        <f>IFERROR(N(F757)*GovernmentRate,0)</f>
        <v/>
      </c>
      <c r="I757" s="130">
        <f>IFERROR(G757+H757,0)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IFERROR(MAX(N(D758)-N(E758),0),0)</f>
        <v/>
      </c>
      <c r="G758" s="130">
        <f>IFERROR(N(E758)*GeneratorRate,0)</f>
        <v/>
      </c>
      <c r="H758" s="130">
        <f>IFERROR(N(F758)*GovernmentRate,0)</f>
        <v/>
      </c>
      <c r="I758" s="130">
        <f>IFERROR(G758+H758,0)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IFERROR(MAX(N(D759)-N(E759),0),0)</f>
        <v/>
      </c>
      <c r="G759" s="130">
        <f>IFERROR(N(E759)*GeneratorRate,0)</f>
        <v/>
      </c>
      <c r="H759" s="130">
        <f>IFERROR(N(F759)*GovernmentRate,0)</f>
        <v/>
      </c>
      <c r="I759" s="130">
        <f>IFERROR(G759+H759,0)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IFERROR(MAX(N(D760)-N(E760),0),0)</f>
        <v/>
      </c>
      <c r="G760" s="130">
        <f>IFERROR(N(E760)*GeneratorRate,0)</f>
        <v/>
      </c>
      <c r="H760" s="130">
        <f>IFERROR(N(F760)*GovernmentRate,0)</f>
        <v/>
      </c>
      <c r="I760" s="130">
        <f>IFERROR(G760+H760,0)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IFERROR(MAX(N(D761)-N(E761),0),0)</f>
        <v/>
      </c>
      <c r="G761" s="130">
        <f>IFERROR(N(E761)*GeneratorRate,0)</f>
        <v/>
      </c>
      <c r="H761" s="130">
        <f>IFERROR(N(F761)*GovernmentRate,0)</f>
        <v/>
      </c>
      <c r="I761" s="130">
        <f>IFERROR(G761+H761,0)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IFERROR(MAX(N(D762)-N(E762),0),0)</f>
        <v/>
      </c>
      <c r="G762" s="130">
        <f>IFERROR(N(E762)*GeneratorRate,0)</f>
        <v/>
      </c>
      <c r="H762" s="130">
        <f>IFERROR(N(F762)*GovernmentRate,0)</f>
        <v/>
      </c>
      <c r="I762" s="130">
        <f>IFERROR(G762+H762,0)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IFERROR(MAX(N(D763)-N(E763),0),0)</f>
        <v/>
      </c>
      <c r="G763" s="130">
        <f>IFERROR(N(E763)*GeneratorRate,0)</f>
        <v/>
      </c>
      <c r="H763" s="130">
        <f>IFERROR(N(F763)*GovernmentRate,0)</f>
        <v/>
      </c>
      <c r="I763" s="130">
        <f>IFERROR(G763+H763,0)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IFERROR(MAX(N(D764)-N(E764),0),0)</f>
        <v/>
      </c>
      <c r="G764" s="130">
        <f>IFERROR(N(E764)*GeneratorRate,0)</f>
        <v/>
      </c>
      <c r="H764" s="130">
        <f>IFERROR(N(F764)*GovernmentRate,0)</f>
        <v/>
      </c>
      <c r="I764" s="130">
        <f>IFERROR(G764+H764,0)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IFERROR(MAX(N(D765)-N(E765),0),0)</f>
        <v/>
      </c>
      <c r="G765" s="130">
        <f>IFERROR(N(E765)*GeneratorRate,0)</f>
        <v/>
      </c>
      <c r="H765" s="130">
        <f>IFERROR(N(F765)*GovernmentRate,0)</f>
        <v/>
      </c>
      <c r="I765" s="130">
        <f>IFERROR(G765+H765,0)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IFERROR(MAX(N(D766)-N(E766),0),0)</f>
        <v/>
      </c>
      <c r="G766" s="130">
        <f>IFERROR(N(E766)*GeneratorRate,0)</f>
        <v/>
      </c>
      <c r="H766" s="130">
        <f>IFERROR(N(F766)*GovernmentRate,0)</f>
        <v/>
      </c>
      <c r="I766" s="130">
        <f>IFERROR(G766+H766,0)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IFERROR(MAX(N(D767)-N(E767),0),0)</f>
        <v/>
      </c>
      <c r="G767" s="130">
        <f>IFERROR(N(E767)*GeneratorRate,0)</f>
        <v/>
      </c>
      <c r="H767" s="130">
        <f>IFERROR(N(F767)*GovernmentRate,0)</f>
        <v/>
      </c>
      <c r="I767" s="130">
        <f>IFERROR(G767+H767,0)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IFERROR(MAX(N(D768)-N(E768),0),0)</f>
        <v/>
      </c>
      <c r="G768" s="130">
        <f>IFERROR(N(E768)*GeneratorRate,0)</f>
        <v/>
      </c>
      <c r="H768" s="130">
        <f>IFERROR(N(F768)*GovernmentRate,0)</f>
        <v/>
      </c>
      <c r="I768" s="130">
        <f>IFERROR(G768+H768,0)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IFERROR(MAX(N(D769)-N(E769),0),0)</f>
        <v/>
      </c>
      <c r="G769" s="130">
        <f>IFERROR(N(E769)*GeneratorRate,0)</f>
        <v/>
      </c>
      <c r="H769" s="130">
        <f>IFERROR(N(F769)*GovernmentRate,0)</f>
        <v/>
      </c>
      <c r="I769" s="130">
        <f>IFERROR(G769+H769,0)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IFERROR(MAX(N(D770)-N(E770),0),0)</f>
        <v/>
      </c>
      <c r="G770" s="130">
        <f>IFERROR(N(E770)*GeneratorRate,0)</f>
        <v/>
      </c>
      <c r="H770" s="130">
        <f>IFERROR(N(F770)*GovernmentRate,0)</f>
        <v/>
      </c>
      <c r="I770" s="130">
        <f>IFERROR(G770+H770,0)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IFERROR(MAX(N(D771)-N(E771),0),0)</f>
        <v/>
      </c>
      <c r="G771" s="130">
        <f>IFERROR(N(E771)*GeneratorRate,0)</f>
        <v/>
      </c>
      <c r="H771" s="130">
        <f>IFERROR(N(F771)*GovernmentRate,0)</f>
        <v/>
      </c>
      <c r="I771" s="130">
        <f>IFERROR(G771+H771,0)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IFERROR(MAX(N(D772)-N(E772),0),0)</f>
        <v/>
      </c>
      <c r="G772" s="130">
        <f>IFERROR(N(E772)*GeneratorRate,0)</f>
        <v/>
      </c>
      <c r="H772" s="130">
        <f>IFERROR(N(F772)*GovernmentRate,0)</f>
        <v/>
      </c>
      <c r="I772" s="130">
        <f>IFERROR(G772+H772,0)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IFERROR(MAX(N(D773)-N(E773),0),0)</f>
        <v/>
      </c>
      <c r="G773" s="130">
        <f>IFERROR(N(E773)*GeneratorRate,0)</f>
        <v/>
      </c>
      <c r="H773" s="130">
        <f>IFERROR(N(F773)*GovernmentRate,0)</f>
        <v/>
      </c>
      <c r="I773" s="130">
        <f>IFERROR(G773+H773,0)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IFERROR(MAX(N(D774)-N(E774),0),0)</f>
        <v/>
      </c>
      <c r="G774" s="130">
        <f>IFERROR(N(E774)*GeneratorRate,0)</f>
        <v/>
      </c>
      <c r="H774" s="130">
        <f>IFERROR(N(F774)*GovernmentRate,0)</f>
        <v/>
      </c>
      <c r="I774" s="130">
        <f>IFERROR(G774+H774,0)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IFERROR(MAX(N(D775)-N(E775),0),0)</f>
        <v/>
      </c>
      <c r="G775" s="130">
        <f>IFERROR(N(E775)*GeneratorRate,0)</f>
        <v/>
      </c>
      <c r="H775" s="130">
        <f>IFERROR(N(F775)*GovernmentRate,0)</f>
        <v/>
      </c>
      <c r="I775" s="130">
        <f>IFERROR(G775+H775,0)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IFERROR(MAX(N(D776)-N(E776),0),0)</f>
        <v/>
      </c>
      <c r="G776" s="130">
        <f>IFERROR(N(E776)*GeneratorRate,0)</f>
        <v/>
      </c>
      <c r="H776" s="130">
        <f>IFERROR(N(F776)*GovernmentRate,0)</f>
        <v/>
      </c>
      <c r="I776" s="130">
        <f>IFERROR(G776+H776,0)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IFERROR(MAX(N(D777)-N(E777),0),0)</f>
        <v/>
      </c>
      <c r="G777" s="130">
        <f>IFERROR(N(E777)*GeneratorRate,0)</f>
        <v/>
      </c>
      <c r="H777" s="130">
        <f>IFERROR(N(F777)*GovernmentRate,0)</f>
        <v/>
      </c>
      <c r="I777" s="130">
        <f>IFERROR(G777+H777,0)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IFERROR(MAX(N(D778)-N(E778),0),0)</f>
        <v/>
      </c>
      <c r="G778" s="130">
        <f>IFERROR(N(E778)*GeneratorRate,0)</f>
        <v/>
      </c>
      <c r="H778" s="130">
        <f>IFERROR(N(F778)*GovernmentRate,0)</f>
        <v/>
      </c>
      <c r="I778" s="130">
        <f>IFERROR(G778+H778,0)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IFERROR(MAX(N(D779)-N(E779),0),0)</f>
        <v/>
      </c>
      <c r="G779" s="130">
        <f>IFERROR(N(E779)*GeneratorRate,0)</f>
        <v/>
      </c>
      <c r="H779" s="130">
        <f>IFERROR(N(F779)*GovernmentRate,0)</f>
        <v/>
      </c>
      <c r="I779" s="130">
        <f>IFERROR(G779+H779,0)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IFERROR(MAX(N(D780)-N(E780),0),0)</f>
        <v/>
      </c>
      <c r="G780" s="130">
        <f>IFERROR(N(E780)*GeneratorRate,0)</f>
        <v/>
      </c>
      <c r="H780" s="130">
        <f>IFERROR(N(F780)*GovernmentRate,0)</f>
        <v/>
      </c>
      <c r="I780" s="130">
        <f>IFERROR(G780+H780,0)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IFERROR(MAX(N(D781)-N(E781),0),0)</f>
        <v/>
      </c>
      <c r="G781" s="130">
        <f>IFERROR(N(E781)*GeneratorRate,0)</f>
        <v/>
      </c>
      <c r="H781" s="130">
        <f>IFERROR(N(F781)*GovernmentRate,0)</f>
        <v/>
      </c>
      <c r="I781" s="130">
        <f>IFERROR(G781+H781,0)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IFERROR(MAX(N(D782)-N(E782),0),0)</f>
        <v/>
      </c>
      <c r="G782" s="130">
        <f>IFERROR(N(E782)*GeneratorRate,0)</f>
        <v/>
      </c>
      <c r="H782" s="130">
        <f>IFERROR(N(F782)*GovernmentRate,0)</f>
        <v/>
      </c>
      <c r="I782" s="130">
        <f>IFERROR(G782+H782,0)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IFERROR(MAX(N(D783)-N(E783),0),0)</f>
        <v/>
      </c>
      <c r="G783" s="130">
        <f>IFERROR(N(E783)*GeneratorRate,0)</f>
        <v/>
      </c>
      <c r="H783" s="130">
        <f>IFERROR(N(F783)*GovernmentRate,0)</f>
        <v/>
      </c>
      <c r="I783" s="130">
        <f>IFERROR(G783+H783,0)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IFERROR(MAX(N(D784)-N(E784),0),0)</f>
        <v/>
      </c>
      <c r="G784" s="130">
        <f>IFERROR(N(E784)*GeneratorRate,0)</f>
        <v/>
      </c>
      <c r="H784" s="130">
        <f>IFERROR(N(F784)*GovernmentRate,0)</f>
        <v/>
      </c>
      <c r="I784" s="130">
        <f>IFERROR(G784+H784,0)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IFERROR(MAX(N(D785)-N(E785),0),0)</f>
        <v/>
      </c>
      <c r="G785" s="130">
        <f>IFERROR(N(E785)*GeneratorRate,0)</f>
        <v/>
      </c>
      <c r="H785" s="130">
        <f>IFERROR(N(F785)*GovernmentRate,0)</f>
        <v/>
      </c>
      <c r="I785" s="130">
        <f>IFERROR(G785+H785,0)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IFERROR(MAX(N(D786)-N(E786),0),0)</f>
        <v/>
      </c>
      <c r="G786" s="130">
        <f>IFERROR(N(E786)*GeneratorRate,0)</f>
        <v/>
      </c>
      <c r="H786" s="130">
        <f>IFERROR(N(F786)*GovernmentRate,0)</f>
        <v/>
      </c>
      <c r="I786" s="130">
        <f>IFERROR(G786+H786,0)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IFERROR(MAX(N(D787)-N(E787),0),0)</f>
        <v/>
      </c>
      <c r="G787" s="130">
        <f>IFERROR(N(E787)*GeneratorRate,0)</f>
        <v/>
      </c>
      <c r="H787" s="130">
        <f>IFERROR(N(F787)*GovernmentRate,0)</f>
        <v/>
      </c>
      <c r="I787" s="130">
        <f>IFERROR(G787+H787,0)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IFERROR(MAX(N(D788)-N(E788),0),0)</f>
        <v/>
      </c>
      <c r="G788" s="130">
        <f>IFERROR(N(E788)*GeneratorRate,0)</f>
        <v/>
      </c>
      <c r="H788" s="130">
        <f>IFERROR(N(F788)*GovernmentRate,0)</f>
        <v/>
      </c>
      <c r="I788" s="130">
        <f>IFERROR(G788+H788,0)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IFERROR(MAX(N(D789)-N(E789),0),0)</f>
        <v/>
      </c>
      <c r="G789" s="130">
        <f>IFERROR(N(E789)*GeneratorRate,0)</f>
        <v/>
      </c>
      <c r="H789" s="130">
        <f>IFERROR(N(F789)*GovernmentRate,0)</f>
        <v/>
      </c>
      <c r="I789" s="130">
        <f>IFERROR(G789+H789,0)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IFERROR(MAX(N(D790)-N(E790),0),0)</f>
        <v/>
      </c>
      <c r="G790" s="130">
        <f>IFERROR(N(E790)*GeneratorRate,0)</f>
        <v/>
      </c>
      <c r="H790" s="130">
        <f>IFERROR(N(F790)*GovernmentRate,0)</f>
        <v/>
      </c>
      <c r="I790" s="130">
        <f>IFERROR(G790+H790,0)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IFERROR(MAX(N(D791)-N(E791),0),0)</f>
        <v/>
      </c>
      <c r="G791" s="130">
        <f>IFERROR(N(E791)*GeneratorRate,0)</f>
        <v/>
      </c>
      <c r="H791" s="130">
        <f>IFERROR(N(F791)*GovernmentRate,0)</f>
        <v/>
      </c>
      <c r="I791" s="130">
        <f>IFERROR(G791+H791,0)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IFERROR(MAX(N(D792)-N(E792),0),0)</f>
        <v/>
      </c>
      <c r="G792" s="130">
        <f>IFERROR(N(E792)*GeneratorRate,0)</f>
        <v/>
      </c>
      <c r="H792" s="130">
        <f>IFERROR(N(F792)*GovernmentRate,0)</f>
        <v/>
      </c>
      <c r="I792" s="130">
        <f>IFERROR(G792+H792,0)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IFERROR(MAX(N(D793)-N(E793),0),0)</f>
        <v/>
      </c>
      <c r="G793" s="130">
        <f>IFERROR(N(E793)*GeneratorRate,0)</f>
        <v/>
      </c>
      <c r="H793" s="130">
        <f>IFERROR(N(F793)*GovernmentRate,0)</f>
        <v/>
      </c>
      <c r="I793" s="130">
        <f>IFERROR(G793+H793,0)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IFERROR(MAX(N(D794)-N(E794),0),0)</f>
        <v/>
      </c>
      <c r="G794" s="130">
        <f>IFERROR(N(E794)*GeneratorRate,0)</f>
        <v/>
      </c>
      <c r="H794" s="130">
        <f>IFERROR(N(F794)*GovernmentRate,0)</f>
        <v/>
      </c>
      <c r="I794" s="130">
        <f>IFERROR(G794+H794,0)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IFERROR(MAX(N(D795)-N(E795),0),0)</f>
        <v/>
      </c>
      <c r="G795" s="130">
        <f>IFERROR(N(E795)*GeneratorRate,0)</f>
        <v/>
      </c>
      <c r="H795" s="130">
        <f>IFERROR(N(F795)*GovernmentRate,0)</f>
        <v/>
      </c>
      <c r="I795" s="130">
        <f>IFERROR(G795+H795,0)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IFERROR(MAX(N(D796)-N(E796),0),0)</f>
        <v/>
      </c>
      <c r="G796" s="130">
        <f>IFERROR(N(E796)*GeneratorRate,0)</f>
        <v/>
      </c>
      <c r="H796" s="130">
        <f>IFERROR(N(F796)*GovernmentRate,0)</f>
        <v/>
      </c>
      <c r="I796" s="130">
        <f>IFERROR(G796+H796,0)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IFERROR(MAX(N(D797)-N(E797),0),0)</f>
        <v/>
      </c>
      <c r="G797" s="130">
        <f>IFERROR(N(E797)*GeneratorRate,0)</f>
        <v/>
      </c>
      <c r="H797" s="130">
        <f>IFERROR(N(F797)*GovernmentRate,0)</f>
        <v/>
      </c>
      <c r="I797" s="130">
        <f>IFERROR(G797+H797,0)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IFERROR(MAX(N(D798)-N(E798),0),0)</f>
        <v/>
      </c>
      <c r="G798" s="130">
        <f>IFERROR(N(E798)*GeneratorRate,0)</f>
        <v/>
      </c>
      <c r="H798" s="130">
        <f>IFERROR(N(F798)*GovernmentRate,0)</f>
        <v/>
      </c>
      <c r="I798" s="130">
        <f>IFERROR(G798+H798,0)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IFERROR(MAX(N(D799)-N(E799),0),0)</f>
        <v/>
      </c>
      <c r="G799" s="130">
        <f>IFERROR(N(E799)*GeneratorRate,0)</f>
        <v/>
      </c>
      <c r="H799" s="130">
        <f>IFERROR(N(F799)*GovernmentRate,0)</f>
        <v/>
      </c>
      <c r="I799" s="130">
        <f>IFERROR(G799+H799,0)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IFERROR(MAX(N(D800)-N(E800),0),0)</f>
        <v/>
      </c>
      <c r="G800" s="130">
        <f>IFERROR(N(E800)*GeneratorRate,0)</f>
        <v/>
      </c>
      <c r="H800" s="130">
        <f>IFERROR(N(F800)*GovernmentRate,0)</f>
        <v/>
      </c>
      <c r="I800" s="130">
        <f>IFERROR(G800+H800,0)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IFERROR(IF(SUMIFS('Electricity Management'!$J:$J,'Electricity Management'!$A:$A,$C$11,'Electricity Management'!$B:$B,DATE(YEAR($C$7),MONTH($C$7),1),'Electricity Management'!$C:$C,$C$12)=0,_xlfn.XLOOKUP($C$6,'Client DB &amp; Bed Mgmt'!$D:$D,'Client DB &amp; Bed Mgmt'!$J:$J,0),SUMIFS('Electricity Management'!$J:$J,'Electricity Management'!$A:$A,$C$11,'Electricity Management'!$B:$B,DATE(YEAR($C$7),MONTH($C$7),1),'Electricity Management'!$C:$C,$C$12)),0)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IFERROR(IF(SUMIFS('Electricity Management'!$T:$T,'Electricity Management'!$K:$K,$C$11,'Electricity Management'!$B:$B,DATE(YEAR($C$7),MONTH($C$7),1),'Electricity Management'!$L:$L,$C$12)=0,_xlfn.XLOOKUP($C$6,'Client DB &amp; Bed Mgmt'!$D:$D,'Client DB &amp; Bed Mgmt'!$K:$K,0),SUMIFS('Electricity Management'!$T:$T,'Electricity Management'!$K:$K,$C$11,'Electricity Management'!$B:$B,DATE(YEAR($C$7),MONTH($C$7),1),'Electricity Management'!$L:$L,$C$12)),0)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AB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  <col width="13" customWidth="1" style="83" min="24" max="24"/>
    <col width="13" customWidth="1" style="83" min="25" max="25"/>
    <col width="13" customWidth="1" style="83" min="26" max="26"/>
    <col width="13" customWidth="1" style="83" min="27" max="27"/>
    <col width="13" customWidth="1" style="83" min="28" max="28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46296</v>
      </c>
      <c r="C4" s="88" t="n"/>
      <c r="D4" s="102" t="inlineStr">
        <is>
          <t>Actual Revenue Total</t>
        </is>
      </c>
      <c r="E4" s="168">
        <f>SUM(FinancialModel[Actual Revenue])</f>
        <v/>
      </c>
      <c r="F4" s="88" t="n"/>
      <c r="G4" s="102" t="inlineStr">
        <is>
          <t>Occupied Beds by Dorm</t>
        </is>
      </c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 / Dorm</t>
        </is>
      </c>
      <c r="B5" s="95">
        <f>IFERROR(AVERAGE(DormRegistry[Bed Capacity]),0)</f>
        <v/>
      </c>
      <c r="C5" s="88" t="n"/>
      <c r="D5" s="102" t="inlineStr">
        <is>
          <t>Target Revenue Total</t>
        </is>
      </c>
      <c r="E5" s="168">
        <f>SUM(FinancialModel[Target Revenue])</f>
        <v/>
      </c>
      <c r="F5" s="88" t="n"/>
      <c r="G5" s="102" t="inlineStr">
        <is>
          <t>Dorm 1</t>
        </is>
      </c>
      <c r="H5" s="182">
        <f>SUMPRODUCT(('Client DB &amp; Bed Mgmt'!$A$5:$A$428="Dorm 1")*('Client DB &amp; Bed Mgmt'!$D$5:$D$428&lt;&gt;"")*--(('Client DB &amp; Bed Mgmt'!$M$5:$M$428="")+IFERROR('Client DB &amp; Bed Mgmt'!$M$5:$M$428&lt;=EOMONTH(CurrentMonth,0),FALSE)&gt;0)*--(('Client DB &amp; Bed Mgmt'!$N$5:$N$428="")+NOT(ISNUMBER('Client DB &amp; Bed Mgmt'!$N$5:$N$428))+IFERROR('Client DB &amp; Bed Mgmt'!$N$5:$N$428&gt;=DATE(YEAR(CurrentMonth),MONTH(CurrentMonth),1),FALSE)&gt;0))</f>
        <v/>
      </c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Default Rent Setting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SUM(FinancialModel[Operating Expenses])</f>
        <v/>
      </c>
      <c r="F6" s="88" t="n"/>
      <c r="G6" s="102" t="inlineStr">
        <is>
          <t>Dorm 2</t>
        </is>
      </c>
      <c r="H6" s="182">
        <f>SUMPRODUCT(('Client DB &amp; Bed Mgmt'!$A$5:$A$428="Dorm 2")*('Client DB &amp; Bed Mgmt'!$D$5:$D$428&lt;&gt;"")*--(('Client DB &amp; Bed Mgmt'!$M$5:$M$428="")+IFERROR('Client DB &amp; Bed Mgmt'!$M$5:$M$428&lt;=EOMONTH(CurrentMonth,0),FALSE)&gt;0)*--(('Client DB &amp; Bed Mgmt'!$N$5:$N$428="")+NOT(ISNUMBER('Client DB &amp; Bed Mgmt'!$N$5:$N$428))+IFERROR('Client DB &amp; Bed Mgmt'!$N$5:$N$428&gt;=DATE(YEAR(CurrentMonth),MONTH(CurrentMonth),1),FALSE)&gt;0))</f>
        <v/>
      </c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SUM(FinancialModel[Net Profit])</f>
        <v/>
      </c>
      <c r="F7" s="88" t="n"/>
      <c r="G7" s="102" t="inlineStr">
        <is>
          <t>Dorm 3</t>
        </is>
      </c>
      <c r="H7" s="182">
        <f>SUMPRODUCT(('Client DB &amp; Bed Mgmt'!$A$5:$A$428="Dorm 3")*('Client DB &amp; Bed Mgmt'!$D$5:$D$428&lt;&gt;"")*--(('Client DB &amp; Bed Mgmt'!$M$5:$M$428="")+IFERROR('Client DB &amp; Bed Mgmt'!$M$5:$M$428&lt;=EOMONTH(CurrentMonth,0),FALSE)&gt;0)*--(('Client DB &amp; Bed Mgmt'!$N$5:$N$428="")+NOT(ISNUMBER('Client DB &amp; Bed Mgmt'!$N$5:$N$428))+IFERROR('Client DB &amp; Bed Mgmt'!$N$5:$N$428&gt;=DATE(YEAR(CurrentMonth),MONTH(CurrentMonth),1),FALSE)&gt;0))</f>
        <v/>
      </c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COUNT(FinancialModel[Actual Revenue])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  <c r="V13" s="82" t="inlineStr">
        <is>
          <t>Occupied Beds</t>
        </is>
      </c>
      <c r="X13" s="82" t="n"/>
      <c r="Y13" s="82" t="n"/>
      <c r="Z13" s="82" t="n"/>
      <c r="AA13" s="82" t="n"/>
      <c r="AB13" s="82" t="n"/>
    </row>
    <row r="14" ht="14.25" customHeight="1" s="83">
      <c r="A14" s="125">
        <f>EDATE($B$4,0)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$B$6*(1+$B$8)^(YEAR(A14)-YEAR($B$4))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  <c r="V14" s="82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X14" s="82" t="n"/>
      <c r="Y14" s="82" t="n"/>
      <c r="Z14" s="82" t="n"/>
      <c r="AA14" s="82" t="n"/>
      <c r="AB14" s="82" t="n"/>
    </row>
    <row r="15" hidden="1" ht="14.25" customHeight="1" s="83">
      <c r="A15" s="125">
        <f>EDATE($B$4,0)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$B$6*(1+$B$8)^(YEAR(A15)-YEAR($B$4))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  <c r="V15" s="82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X15" s="82" t="n"/>
      <c r="Y15" s="82" t="n"/>
      <c r="Z15" s="82" t="n"/>
      <c r="AA15" s="82" t="n"/>
      <c r="AB15" s="82" t="n"/>
    </row>
    <row r="16" hidden="1" ht="14.25" customHeight="1" s="83">
      <c r="A16" s="125">
        <f>EDATE($B$4,0)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$B$6*(1+$B$8)^(YEAR(A16)-YEAR($B$4))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  <c r="V16" s="82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X16" s="82" t="n"/>
      <c r="Y16" s="82" t="n"/>
      <c r="Z16" s="82" t="n"/>
      <c r="AA16" s="82" t="n"/>
      <c r="AB16" s="82" t="n"/>
    </row>
    <row r="17" ht="14.25" customHeight="1" s="83">
      <c r="A17" s="125">
        <f>EDATE($B$4,1)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$B$6*(1+$B$8)^(YEAR(A17)-YEAR($B$4))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  <c r="V17" s="82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X17" s="82" t="n"/>
      <c r="Y17" s="82" t="n"/>
      <c r="Z17" s="82" t="n"/>
      <c r="AA17" s="82" t="n"/>
      <c r="AB17" s="82" t="n"/>
    </row>
    <row r="18" hidden="1" ht="14.25" customHeight="1" s="83">
      <c r="A18" s="125">
        <f>EDATE($B$4,1)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$B$6*(1+$B$8)^(YEAR(A18)-YEAR($B$4))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  <c r="V18" s="82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X18" s="82" t="n"/>
      <c r="Y18" s="82" t="n"/>
      <c r="Z18" s="82" t="n"/>
      <c r="AA18" s="82" t="n"/>
      <c r="AB18" s="82" t="n"/>
    </row>
    <row r="19" hidden="1" ht="14.25" customHeight="1" s="83">
      <c r="A19" s="125">
        <f>EDATE($B$4,1)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$B$6*(1+$B$8)^(YEAR(A19)-YEAR($B$4))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  <c r="V19" s="82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X19" s="82" t="n"/>
      <c r="Y19" s="82" t="n"/>
      <c r="Z19" s="82" t="n"/>
      <c r="AA19" s="82" t="n"/>
      <c r="AB19" s="82" t="n"/>
    </row>
    <row r="20" ht="14.25" customHeight="1" s="83">
      <c r="A20" s="125">
        <f>EDATE($B$4,2)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$B$6*(1+$B$8)^(YEAR(A20)-YEAR($B$4))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  <c r="V20" s="82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X20" s="82" t="n"/>
      <c r="Y20" s="82" t="n"/>
      <c r="Z20" s="82" t="n"/>
      <c r="AA20" s="82" t="n"/>
      <c r="AB20" s="82" t="n"/>
    </row>
    <row r="21" hidden="1" ht="14.25" customHeight="1" s="83">
      <c r="A21" s="125">
        <f>EDATE($B$4,2)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$B$6*(1+$B$8)^(YEAR(A21)-YEAR($B$4))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  <c r="V21" s="82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X21" s="82" t="n"/>
      <c r="Y21" s="82" t="n"/>
      <c r="Z21" s="82" t="n"/>
      <c r="AA21" s="82" t="n"/>
      <c r="AB21" s="82" t="n"/>
    </row>
    <row r="22" hidden="1" ht="14.25" customHeight="1" s="83">
      <c r="A22" s="125">
        <f>EDATE($B$4,2)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$B$6*(1+$B$8)^(YEAR(A22)-YEAR($B$4))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  <c r="V22" s="82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X22" s="82" t="n"/>
      <c r="Y22" s="82" t="n"/>
      <c r="Z22" s="82" t="n"/>
      <c r="AA22" s="82" t="n"/>
      <c r="AB22" s="82" t="n"/>
    </row>
    <row r="23" ht="14.25" customHeight="1" s="83">
      <c r="A23" s="125">
        <f>EDATE($B$4,3)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$B$6*(1+$B$8)^(YEAR(A23)-YEAR($B$4))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  <c r="V23" s="82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X23" s="82" t="n"/>
      <c r="Y23" s="82" t="n"/>
      <c r="Z23" s="82" t="n"/>
      <c r="AA23" s="82" t="n"/>
      <c r="AB23" s="82" t="n"/>
    </row>
    <row r="24" hidden="1" ht="14.25" customHeight="1" s="83">
      <c r="A24" s="125">
        <f>EDATE($B$4,3)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$B$6*(1+$B$8)^(YEAR(A24)-YEAR($B$4))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  <c r="V24" s="82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X24" s="82" t="n"/>
      <c r="Y24" s="82" t="n"/>
      <c r="Z24" s="82" t="n"/>
      <c r="AA24" s="82" t="n"/>
      <c r="AB24" s="82" t="n"/>
    </row>
    <row r="25" hidden="1" ht="14.25" customHeight="1" s="83">
      <c r="A25" s="125">
        <f>EDATE($B$4,3)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$B$6*(1+$B$8)^(YEAR(A25)-YEAR($B$4))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  <c r="V25" s="82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X25" s="82" t="n"/>
      <c r="Y25" s="82" t="n"/>
      <c r="Z25" s="82" t="n"/>
      <c r="AA25" s="82" t="n"/>
      <c r="AB25" s="82" t="n"/>
    </row>
    <row r="26" ht="14.25" customHeight="1" s="83">
      <c r="A26" s="125">
        <f>EDATE($B$4,4)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$B$6*(1+$B$8)^(YEAR(A26)-YEAR($B$4))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  <c r="V26" s="82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X26" s="82" t="n"/>
      <c r="Y26" s="82" t="n"/>
      <c r="Z26" s="82" t="n"/>
      <c r="AA26" s="82" t="n"/>
      <c r="AB26" s="82" t="n"/>
    </row>
    <row r="27" hidden="1" ht="14.25" customHeight="1" s="83">
      <c r="A27" s="125">
        <f>EDATE($B$4,4)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$B$6*(1+$B$8)^(YEAR(A27)-YEAR($B$4))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  <c r="V27" s="82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X27" s="82" t="n"/>
      <c r="Y27" s="82" t="n"/>
      <c r="Z27" s="82" t="n"/>
      <c r="AA27" s="82" t="n"/>
      <c r="AB27" s="82" t="n"/>
    </row>
    <row r="28" hidden="1" ht="14.25" customHeight="1" s="83">
      <c r="A28" s="125">
        <f>EDATE($B$4,4)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$B$6*(1+$B$8)^(YEAR(A28)-YEAR($B$4))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  <c r="V28" s="82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X28" s="82" t="n"/>
      <c r="Y28" s="82" t="n"/>
      <c r="Z28" s="82" t="n"/>
      <c r="AA28" s="82" t="n"/>
      <c r="AB28" s="82" t="n"/>
    </row>
    <row r="29" ht="14.25" customHeight="1" s="83">
      <c r="A29" s="125">
        <f>EDATE($B$4,5)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$B$6*(1+$B$8)^(YEAR(A29)-YEAR($B$4))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  <c r="V29" s="82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X29" s="82" t="n"/>
      <c r="Y29" s="82" t="n"/>
      <c r="Z29" s="82" t="n"/>
      <c r="AA29" s="82" t="n"/>
      <c r="AB29" s="82" t="n"/>
    </row>
    <row r="30" hidden="1" ht="14.25" customHeight="1" s="83">
      <c r="A30" s="125">
        <f>EDATE($B$4,5)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$B$6*(1+$B$8)^(YEAR(A30)-YEAR($B$4))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  <c r="V30" s="82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X30" s="82" t="n"/>
      <c r="Y30" s="82" t="n"/>
      <c r="Z30" s="82" t="n"/>
      <c r="AA30" s="82" t="n"/>
      <c r="AB30" s="82" t="n"/>
    </row>
    <row r="31" hidden="1" ht="14.25" customHeight="1" s="83">
      <c r="A31" s="125">
        <f>EDATE($B$4,5)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$B$6*(1+$B$8)^(YEAR(A31)-YEAR($B$4))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  <c r="V31" s="82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X31" s="82" t="n"/>
      <c r="Y31" s="82" t="n"/>
      <c r="Z31" s="82" t="n"/>
      <c r="AA31" s="82" t="n"/>
      <c r="AB31" s="82" t="n"/>
    </row>
    <row r="32" ht="14.25" customHeight="1" s="83">
      <c r="A32" s="125">
        <f>EDATE($B$4,6)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$B$6*(1+$B$8)^(YEAR(A32)-YEAR($B$4))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  <c r="V32" s="82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X32" s="82" t="n"/>
      <c r="Y32" s="82" t="n"/>
      <c r="Z32" s="82" t="n"/>
      <c r="AA32" s="82" t="n"/>
      <c r="AB32" s="82" t="n"/>
    </row>
    <row r="33" hidden="1" ht="14.25" customHeight="1" s="83">
      <c r="A33" s="125">
        <f>EDATE($B$4,6)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$B$6*(1+$B$8)^(YEAR(A33)-YEAR($B$4))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  <c r="V33" s="82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X33" s="82" t="n"/>
      <c r="Y33" s="82" t="n"/>
      <c r="Z33" s="82" t="n"/>
      <c r="AA33" s="82" t="n"/>
      <c r="AB33" s="82" t="n"/>
    </row>
    <row r="34" hidden="1" ht="14.25" customHeight="1" s="83">
      <c r="A34" s="125">
        <f>EDATE($B$4,6)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$B$6*(1+$B$8)^(YEAR(A34)-YEAR($B$4))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  <c r="V34" s="82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X34" s="82" t="n"/>
      <c r="Y34" s="82" t="n"/>
      <c r="Z34" s="82" t="n"/>
      <c r="AA34" s="82" t="n"/>
      <c r="AB34" s="82" t="n"/>
    </row>
    <row r="35" ht="14.25" customHeight="1" s="83">
      <c r="A35" s="125">
        <f>EDATE($B$4,7)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$B$6*(1+$B$8)^(YEAR(A35)-YEAR($B$4))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  <c r="V35" s="82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X35" s="82" t="n"/>
      <c r="Y35" s="82" t="n"/>
      <c r="Z35" s="82" t="n"/>
      <c r="AA35" s="82" t="n"/>
      <c r="AB35" s="82" t="n"/>
    </row>
    <row r="36" hidden="1" ht="14.25" customHeight="1" s="83">
      <c r="A36" s="125">
        <f>EDATE($B$4,7)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$B$6*(1+$B$8)^(YEAR(A36)-YEAR($B$4))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  <c r="V36" s="82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X36" s="82" t="n"/>
      <c r="Y36" s="82" t="n"/>
      <c r="Z36" s="82" t="n"/>
      <c r="AA36" s="82" t="n"/>
      <c r="AB36" s="82" t="n"/>
    </row>
    <row r="37" hidden="1" ht="14.25" customHeight="1" s="83">
      <c r="A37" s="125">
        <f>EDATE($B$4,7)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$B$6*(1+$B$8)^(YEAR(A37)-YEAR($B$4))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  <c r="V37" s="82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X37" s="82" t="n"/>
      <c r="Y37" s="82" t="n"/>
      <c r="Z37" s="82" t="n"/>
      <c r="AA37" s="82" t="n"/>
      <c r="AB37" s="82" t="n"/>
    </row>
    <row r="38" ht="14.25" customHeight="1" s="83">
      <c r="A38" s="125">
        <f>EDATE($B$4,8)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$B$6*(1+$B$8)^(YEAR(A38)-YEAR($B$4))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  <c r="V38" s="82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X38" s="82" t="n"/>
      <c r="Y38" s="82" t="n"/>
      <c r="Z38" s="82" t="n"/>
      <c r="AA38" s="82" t="n"/>
      <c r="AB38" s="82" t="n"/>
    </row>
    <row r="39" hidden="1" ht="14.25" customHeight="1" s="83">
      <c r="A39" s="125">
        <f>EDATE($B$4,8)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$B$6*(1+$B$8)^(YEAR(A39)-YEAR($B$4))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  <c r="V39" s="82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X39" s="82" t="n"/>
      <c r="Y39" s="82" t="n"/>
      <c r="Z39" s="82" t="n"/>
      <c r="AA39" s="82" t="n"/>
      <c r="AB39" s="82" t="n"/>
    </row>
    <row r="40" hidden="1" ht="14.25" customHeight="1" s="83">
      <c r="A40" s="125">
        <f>EDATE($B$4,8)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$B$6*(1+$B$8)^(YEAR(A40)-YEAR($B$4))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  <c r="V40" s="82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X40" s="82" t="n"/>
      <c r="Y40" s="82" t="n"/>
      <c r="Z40" s="82" t="n"/>
      <c r="AA40" s="82" t="n"/>
      <c r="AB40" s="82" t="n"/>
    </row>
    <row r="41" ht="14.25" customHeight="1" s="83">
      <c r="A41" s="125">
        <f>EDATE($B$4,9)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$B$6*(1+$B$8)^(YEAR(A41)-YEAR($B$4))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  <c r="V41" s="82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X41" s="82" t="n"/>
      <c r="Y41" s="82" t="n"/>
      <c r="Z41" s="82" t="n"/>
      <c r="AA41" s="82" t="n"/>
      <c r="AB41" s="82" t="n"/>
    </row>
    <row r="42" hidden="1" ht="14.25" customHeight="1" s="83">
      <c r="A42" s="125">
        <f>EDATE($B$4,9)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$B$6*(1+$B$8)^(YEAR(A42)-YEAR($B$4))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  <c r="V42" s="82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X42" s="82" t="n"/>
      <c r="Y42" s="82" t="n"/>
      <c r="Z42" s="82" t="n"/>
      <c r="AA42" s="82" t="n"/>
      <c r="AB42" s="82" t="n"/>
    </row>
    <row r="43" hidden="1" ht="14.25" customHeight="1" s="83">
      <c r="A43" s="125">
        <f>EDATE($B$4,9)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$B$6*(1+$B$8)^(YEAR(A43)-YEAR($B$4))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  <c r="V43" s="82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X43" s="82" t="n"/>
      <c r="Y43" s="82" t="n"/>
      <c r="Z43" s="82" t="n"/>
      <c r="AA43" s="82" t="n"/>
      <c r="AB43" s="82" t="n"/>
    </row>
    <row r="44" ht="14.25" customHeight="1" s="83">
      <c r="A44" s="125">
        <f>EDATE($B$4,10)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$B$6*(1+$B$8)^(YEAR(A44)-YEAR($B$4))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  <c r="V44" s="82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X44" s="82" t="n"/>
      <c r="Y44" s="82" t="n"/>
      <c r="Z44" s="82" t="n"/>
      <c r="AA44" s="82" t="n"/>
      <c r="AB44" s="82" t="n"/>
    </row>
    <row r="45" hidden="1" ht="14.25" customHeight="1" s="83">
      <c r="A45" s="125">
        <f>EDATE($B$4,10)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$B$6*(1+$B$8)^(YEAR(A45)-YEAR($B$4))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  <c r="V45" s="82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X45" s="82" t="n"/>
      <c r="Y45" s="82" t="n"/>
      <c r="Z45" s="82" t="n"/>
      <c r="AA45" s="82" t="n"/>
      <c r="AB45" s="82" t="n"/>
    </row>
    <row r="46" hidden="1" ht="14.25" customHeight="1" s="83">
      <c r="A46" s="125">
        <f>EDATE($B$4,10)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$B$6*(1+$B$8)^(YEAR(A46)-YEAR($B$4))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  <c r="V46" s="82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X46" s="82" t="n"/>
      <c r="Y46" s="82" t="n"/>
      <c r="Z46" s="82" t="n"/>
      <c r="AA46" s="82" t="n"/>
      <c r="AB46" s="82" t="n"/>
    </row>
    <row r="47" ht="14.25" customHeight="1" s="83">
      <c r="A47" s="125">
        <f>EDATE($B$4,11)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$B$6*(1+$B$8)^(YEAR(A47)-YEAR($B$4))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  <c r="V47" s="82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X47" s="82" t="n"/>
      <c r="Y47" s="82" t="n"/>
      <c r="Z47" s="82" t="n"/>
      <c r="AA47" s="82" t="n"/>
      <c r="AB47" s="82" t="n"/>
    </row>
    <row r="48" hidden="1" ht="14.25" customHeight="1" s="83">
      <c r="A48" s="125">
        <f>EDATE($B$4,11)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$B$6*(1+$B$8)^(YEAR(A48)-YEAR($B$4))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  <c r="V48" s="82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X48" s="82" t="n"/>
      <c r="Y48" s="82" t="n"/>
      <c r="Z48" s="82" t="n"/>
      <c r="AA48" s="82" t="n"/>
      <c r="AB48" s="82" t="n"/>
    </row>
    <row r="49" hidden="1" ht="14.25" customHeight="1" s="83">
      <c r="A49" s="125">
        <f>EDATE($B$4,11)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$B$6*(1+$B$8)^(YEAR(A49)-YEAR($B$4))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  <c r="V49" s="82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X49" s="82" t="n"/>
      <c r="Y49" s="82" t="n"/>
      <c r="Z49" s="82" t="n"/>
      <c r="AA49" s="82" t="n"/>
      <c r="AB49" s="82" t="n"/>
    </row>
    <row r="50" hidden="1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idden="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idden="1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idden="1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idden="1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idden="1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idden="1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idden="1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idden="1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idden="1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idden="1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idden="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idden="1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idden="1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idden="1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idden="1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idden="1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idden="1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idden="1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idden="1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idden="1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idden="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idden="1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idden="1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idden="1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idden="1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idden="1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idden="1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idden="1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idden="1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idden="1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idden="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idden="1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idden="1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idden="1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idden="1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idden="1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idden="1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idden="1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idden="1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idden="1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idden="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idden="1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idden="1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idden="1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idden="1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idden="1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idden="1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idden="1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idden="1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idden="1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idden="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idden="1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idden="1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idden="1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idden="1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idden="1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idden="1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idden="1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idden="1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idden="1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idden="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idden="1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idden="1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idden="1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idden="1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idden="1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idden="1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idden="1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idden="1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idden="1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idden="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idden="1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idden="1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idden="1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idden="1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idden="1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idden="1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idden="1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idden="1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idden="1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idden="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idden="1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idden="1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idden="1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idden="1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idden="1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idden="1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idden="1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idden="1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idden="1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idden="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idden="1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idden="1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idden="1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idden="1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idden="1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idden="1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idden="1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idden="1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idden="1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idden="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idden="1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idden="1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idden="1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idden="1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idden="1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idden="1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idden="1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idden="1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idden="1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idden="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idden="1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idden="1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idden="1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idden="1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idden="1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idden="1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idden="1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idden="1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idden="1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idden="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idden="1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idden="1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idden="1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idden="1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idden="1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idden="1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idden="1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idden="1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idden="1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idden="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idden="1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idden="1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idden="1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idden="1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idden="1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idden="1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idden="1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idden="1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idden="1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idden="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idden="1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idden="1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idden="1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idden="1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idden="1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idden="1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idden="1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idden="1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idden="1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idden="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idden="1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idden="1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idden="1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idden="1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idden="1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idden="1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idden="1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idden="1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idden="1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idden="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idden="1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idden="1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idden="1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idden="1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idden="1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idden="1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idden="1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idden="1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idden="1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idden="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idden="1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idden="1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idden="1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idden="1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idden="1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idden="1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idden="1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idden="1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idden="1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idden="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idden="1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idden="1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idden="1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idden="1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idden="1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idden="1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idden="1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idden="1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idden="1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idden="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idden="1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idden="1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idden="1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idden="1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idden="1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idden="1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idden="1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idden="1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idden="1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idden="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idden="1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idden="1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idden="1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idden="1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idden="1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idden="1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idden="1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idden="1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idden="1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idden="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idden="1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idden="1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idden="1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idden="1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idden="1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idden="1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idden="1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idden="1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idden="1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idden="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idden="1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idden="1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idden="1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idden="1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idden="1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idden="1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idden="1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idden="1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idden="1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idden="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idden="1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idden="1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idden="1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idden="1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idden="1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idden="1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idden="1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idden="1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idden="1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idden="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idden="1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idden="1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idden="1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idden="1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idden="1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idden="1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idden="1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idden="1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idden="1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SUM(FinancialModel_7[Actual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102" t="inlineStr">
        <is>
          <t>Target Revenue Total</t>
        </is>
      </c>
      <c r="E5" s="168">
        <f>SUM(FinancialModel_7[Target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SUM(FinancialModel_7[Operating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SUM(FinancialModel_7[Net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IFERROR(AVERAGE(FinancialModel_7[Net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COUNTA(FinancialModel_7[Dorm Name])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2026-06-27T14:28:31Z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