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V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B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3" customWidth="1" style="83" min="24" max="24"/>
    <col width="13" customWidth="1" style="83" min="25" max="25"/>
    <col width="13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46296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Beds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 / Dorm</t>
        </is>
      </c>
      <c r="B5" s="95">
        <f>IFERROR(AVERAGE(DormRegistry[Bed Capacity]),0)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Default Rent Setting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82" t="inlineStr">
        <is>
          <t>Occupied Beds</t>
        </is>
      </c>
      <c r="X13" s="82" t="n"/>
      <c r="Y13" s="82" t="n"/>
      <c r="Z13" s="82" t="n"/>
      <c r="AA13" s="82" t="n"/>
      <c r="AB13" s="82" t="n"/>
    </row>
    <row r="14" ht="14.25" customHeight="1" s="83">
      <c r="A14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14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14" s="17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Mgmt'!$N$5:$N$428&gt;=DATE(YEAR(A14),MONTH(A14),1),FALSE)&gt;0))=0,"",IFERROR(_xlfn.XLOOKUP(B14,DormRegistry[Dorm Name],DormRegistry[Ownership Type]),""))</f>
        <v/>
      </c>
      <c r="D14" s="17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Mgmt'!$N$5:$N$428&gt;=DATE(YEAR(A14),MONTH(A14),1),FALSE)&gt;0))=0,"",IFERROR(_xlfn.XLOOKUP(B14,DormRegistry[Dorm Name],DormRegistry[Bed Capacity]),0))</f>
        <v/>
      </c>
      <c r="E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Mgmt'!$N$5:$N$428&gt;=DATE(YEAR(A14),MONTH(A14),1),FALSE)&gt;0))=0,"",$B$6*(1+$B$8)^(YEAR(A14)-YEAR($B$4)))</f>
        <v/>
      </c>
      <c r="F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Mgmt'!$N$5:$N$428&gt;=DATE(YEAR(A14),MONTH(A14),1),FALSE)&gt;0))=0,"",$B$7)</f>
        <v/>
      </c>
      <c r="G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Mgmt'!$N$5:$N$428&gt;=DATE(YEAR(A14),MONTH(A14),1),FALSE)&gt;0))=0,"",$B$8)</f>
        <v/>
      </c>
      <c r="H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Mgmt'!$N$5:$N$428&gt;=DATE(YEAR(A14),MONTH(A14),1),FALSE)&gt;0))=0,"",D14*E14)</f>
        <v/>
      </c>
      <c r="I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Mgmt'!$M$5:$M$428,DATE(YEAR(A14),MONTH(A14),1))))+1)/DAY(EOMONTH(A14,0))),0))</f>
        <v/>
      </c>
      <c r="J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Mgmt'!$N$5:$N$428&gt;=DATE(YEAR(A14),MONTH(A14),1),FALSE)&gt;0))=0,"",D14*F14*E14)</f>
        <v/>
      </c>
      <c r="K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Mgmt'!$N$5:$N$428&gt;=DATE(YEAR(A14),MONTH(A14),1),FALSE)&gt;0))=0,"",75)</f>
        <v/>
      </c>
      <c r="L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Mgmt'!$N$5:$N$428&gt;=DATE(YEAR(A14),MONTH(A14),1),FALSE)&gt;0))=0,"",50)</f>
        <v/>
      </c>
      <c r="M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Mgmt'!$N$5:$N$428&gt;=DATE(YEAR(A14),MONTH(A14),1),FALSE)&gt;0))=0,"",150)</f>
        <v/>
      </c>
      <c r="N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Mgmt'!$N$5:$N$428&gt;=DATE(YEAR(A14),MONTH(A14),1),FALSE)&gt;0))=0,"",125)</f>
        <v/>
      </c>
      <c r="O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Mgmt'!$N$5:$N$428&gt;=DATE(YEAR(A14),MONTH(A14),1),FALSE)&gt;0))=0,"",60)</f>
        <v/>
      </c>
      <c r="P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Mgmt'!$N$5:$N$428&gt;=DATE(YEAR(A14),MONTH(A14),1),FALSE)&gt;0))=0,"",80)</f>
        <v/>
      </c>
      <c r="Q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Mgmt'!$N$5:$N$428&gt;=DATE(YEAR(A14),MONTH(A14),1),FALSE)&gt;0))=0,"",40)</f>
        <v/>
      </c>
      <c r="R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Mgmt'!$N$5:$N$428&gt;=DATE(YEAR(A14),MONTH(A14),1),FALSE)&gt;0))=0,"",IF(C14="Owned",0,2500))</f>
        <v/>
      </c>
      <c r="S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Mgmt'!$N$5:$N$428&gt;=DATE(YEAR(A14),MONTH(A14),1),FALSE)&gt;0))=0,"",SUM(K14:R14))</f>
        <v/>
      </c>
      <c r="T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Mgmt'!$N$5:$N$428&gt;=DATE(YEAR(A14),MONTH(A14),1),FALSE)&gt;0))=0,"",I14-S14)</f>
        <v/>
      </c>
      <c r="U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Mgmt'!$N$5:$N$428&gt;=DATE(YEAR(A14),MONTH(A14),1),FALSE)&gt;0))=0,"",IFERROR(T14/I14,0))</f>
        <v/>
      </c>
      <c r="V14" s="82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Mgmt'!$M$5:$M$428,DATE(YEAR(A14),MONTH(A14),1))))+1)/DAY(EOMONTH(A14,0))),0))</f>
        <v/>
      </c>
      <c r="X14" s="82" t="n"/>
      <c r="Y14" s="82" t="n"/>
      <c r="Z14" s="82" t="n"/>
      <c r="AA14" s="82" t="n"/>
      <c r="AB14" s="82" t="n"/>
    </row>
    <row r="15" hidden="1" ht="14.25" customHeight="1" s="83">
      <c r="A15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15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15" s="17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Mgmt'!$N$5:$N$428&gt;=DATE(YEAR(A15),MONTH(A15),1),FALSE)&gt;0))=0,"",IFERROR(_xlfn.XLOOKUP(B15,DormRegistry[Dorm Name],DormRegistry[Ownership Type]),""))</f>
        <v/>
      </c>
      <c r="D15" s="17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Mgmt'!$N$5:$N$428&gt;=DATE(YEAR(A15),MONTH(A15),1),FALSE)&gt;0))=0,"",IFERROR(_xlfn.XLOOKUP(B15,DormRegistry[Dorm Name],DormRegistry[Bed Capacity]),0))</f>
        <v/>
      </c>
      <c r="E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Mgmt'!$N$5:$N$428&gt;=DATE(YEAR(A15),MONTH(A15),1),FALSE)&gt;0))=0,"",$B$6*(1+$B$8)^(YEAR(A15)-YEAR($B$4)))</f>
        <v/>
      </c>
      <c r="F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Mgmt'!$N$5:$N$428&gt;=DATE(YEAR(A15),MONTH(A15),1),FALSE)&gt;0))=0,"",$B$7)</f>
        <v/>
      </c>
      <c r="G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Mgmt'!$N$5:$N$428&gt;=DATE(YEAR(A15),MONTH(A15),1),FALSE)&gt;0))=0,"",$B$8)</f>
        <v/>
      </c>
      <c r="H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Mgmt'!$N$5:$N$428&gt;=DATE(YEAR(A15),MONTH(A15),1),FALSE)&gt;0))=0,"",D15*E15)</f>
        <v/>
      </c>
      <c r="I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Mgmt'!$M$5:$M$428,DATE(YEAR(A15),MONTH(A15),1))))+1)/DAY(EOMONTH(A15,0))),0))</f>
        <v/>
      </c>
      <c r="J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Mgmt'!$N$5:$N$428&gt;=DATE(YEAR(A15),MONTH(A15),1),FALSE)&gt;0))=0,"",D15*F15*E15)</f>
        <v/>
      </c>
      <c r="K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Mgmt'!$N$5:$N$428&gt;=DATE(YEAR(A15),MONTH(A15),1),FALSE)&gt;0))=0,"",75)</f>
        <v/>
      </c>
      <c r="L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Mgmt'!$N$5:$N$428&gt;=DATE(YEAR(A15),MONTH(A15),1),FALSE)&gt;0))=0,"",50)</f>
        <v/>
      </c>
      <c r="M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Mgmt'!$N$5:$N$428&gt;=DATE(YEAR(A15),MONTH(A15),1),FALSE)&gt;0))=0,"",150)</f>
        <v/>
      </c>
      <c r="N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Mgmt'!$N$5:$N$428&gt;=DATE(YEAR(A15),MONTH(A15),1),FALSE)&gt;0))=0,"",125)</f>
        <v/>
      </c>
      <c r="O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Mgmt'!$N$5:$N$428&gt;=DATE(YEAR(A15),MONTH(A15),1),FALSE)&gt;0))=0,"",60)</f>
        <v/>
      </c>
      <c r="P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Mgmt'!$N$5:$N$428&gt;=DATE(YEAR(A15),MONTH(A15),1),FALSE)&gt;0))=0,"",80)</f>
        <v/>
      </c>
      <c r="Q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Mgmt'!$N$5:$N$428&gt;=DATE(YEAR(A15),MONTH(A15),1),FALSE)&gt;0))=0,"",40)</f>
        <v/>
      </c>
      <c r="R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Mgmt'!$N$5:$N$428&gt;=DATE(YEAR(A15),MONTH(A15),1),FALSE)&gt;0))=0,"",IF(C15="Owned",0,2500))</f>
        <v/>
      </c>
      <c r="S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Mgmt'!$N$5:$N$428&gt;=DATE(YEAR(A15),MONTH(A15),1),FALSE)&gt;0))=0,"",SUM(K15:R15))</f>
        <v/>
      </c>
      <c r="T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Mgmt'!$N$5:$N$428&gt;=DATE(YEAR(A15),MONTH(A15),1),FALSE)&gt;0))=0,"",I15-S15)</f>
        <v/>
      </c>
      <c r="U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Mgmt'!$N$5:$N$428&gt;=DATE(YEAR(A15),MONTH(A15),1),FALSE)&gt;0))=0,"",IFERROR(T15/I15,0))</f>
        <v/>
      </c>
      <c r="V15" s="82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Mgmt'!$M$5:$M$428,DATE(YEAR(A15),MONTH(A15),1))))+1)/DAY(EOMONTH(A15,0))),0))</f>
        <v/>
      </c>
      <c r="X15" s="82" t="n"/>
      <c r="Y15" s="82" t="n"/>
      <c r="Z15" s="82" t="n"/>
      <c r="AA15" s="82" t="n"/>
      <c r="AB15" s="82" t="n"/>
    </row>
    <row r="16" hidden="1" ht="14.25" customHeight="1" s="83">
      <c r="A16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16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16" s="17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Mgmt'!$N$5:$N$428&gt;=DATE(YEAR(A16),MONTH(A16),1),FALSE)&gt;0))=0,"",IFERROR(_xlfn.XLOOKUP(B16,DormRegistry[Dorm Name],DormRegistry[Ownership Type]),""))</f>
        <v/>
      </c>
      <c r="D16" s="17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Mgmt'!$N$5:$N$428&gt;=DATE(YEAR(A16),MONTH(A16),1),FALSE)&gt;0))=0,"",IFERROR(_xlfn.XLOOKUP(B16,DormRegistry[Dorm Name],DormRegistry[Bed Capacity]),0))</f>
        <v/>
      </c>
      <c r="E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Mgmt'!$N$5:$N$428&gt;=DATE(YEAR(A16),MONTH(A16),1),FALSE)&gt;0))=0,"",$B$6*(1+$B$8)^(YEAR(A16)-YEAR($B$4)))</f>
        <v/>
      </c>
      <c r="F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Mgmt'!$N$5:$N$428&gt;=DATE(YEAR(A16),MONTH(A16),1),FALSE)&gt;0))=0,"",$B$7)</f>
        <v/>
      </c>
      <c r="G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Mgmt'!$N$5:$N$428&gt;=DATE(YEAR(A16),MONTH(A16),1),FALSE)&gt;0))=0,"",$B$8)</f>
        <v/>
      </c>
      <c r="H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Mgmt'!$N$5:$N$428&gt;=DATE(YEAR(A16),MONTH(A16),1),FALSE)&gt;0))=0,"",D16*E16)</f>
        <v/>
      </c>
      <c r="I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Mgmt'!$M$5:$M$428,DATE(YEAR(A16),MONTH(A16),1))))+1)/DAY(EOMONTH(A16,0))),0))</f>
        <v/>
      </c>
      <c r="J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Mgmt'!$N$5:$N$428&gt;=DATE(YEAR(A16),MONTH(A16),1),FALSE)&gt;0))=0,"",D16*F16*E16)</f>
        <v/>
      </c>
      <c r="K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Mgmt'!$N$5:$N$428&gt;=DATE(YEAR(A16),MONTH(A16),1),FALSE)&gt;0))=0,"",75)</f>
        <v/>
      </c>
      <c r="L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Mgmt'!$N$5:$N$428&gt;=DATE(YEAR(A16),MONTH(A16),1),FALSE)&gt;0))=0,"",50)</f>
        <v/>
      </c>
      <c r="M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Mgmt'!$N$5:$N$428&gt;=DATE(YEAR(A16),MONTH(A16),1),FALSE)&gt;0))=0,"",150)</f>
        <v/>
      </c>
      <c r="N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Mgmt'!$N$5:$N$428&gt;=DATE(YEAR(A16),MONTH(A16),1),FALSE)&gt;0))=0,"",125)</f>
        <v/>
      </c>
      <c r="O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Mgmt'!$N$5:$N$428&gt;=DATE(YEAR(A16),MONTH(A16),1),FALSE)&gt;0))=0,"",60)</f>
        <v/>
      </c>
      <c r="P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Mgmt'!$N$5:$N$428&gt;=DATE(YEAR(A16),MONTH(A16),1),FALSE)&gt;0))=0,"",80)</f>
        <v/>
      </c>
      <c r="Q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Mgmt'!$N$5:$N$428&gt;=DATE(YEAR(A16),MONTH(A16),1),FALSE)&gt;0))=0,"",40)</f>
        <v/>
      </c>
      <c r="R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Mgmt'!$N$5:$N$428&gt;=DATE(YEAR(A16),MONTH(A16),1),FALSE)&gt;0))=0,"",IF(C16="Owned",0,2500))</f>
        <v/>
      </c>
      <c r="S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Mgmt'!$N$5:$N$428&gt;=DATE(YEAR(A16),MONTH(A16),1),FALSE)&gt;0))=0,"",SUM(K16:R16))</f>
        <v/>
      </c>
      <c r="T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Mgmt'!$N$5:$N$428&gt;=DATE(YEAR(A16),MONTH(A16),1),FALSE)&gt;0))=0,"",I16-S16)</f>
        <v/>
      </c>
      <c r="U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Mgmt'!$N$5:$N$428&gt;=DATE(YEAR(A16),MONTH(A16),1),FALSE)&gt;0))=0,"",IFERROR(T16/I16,0))</f>
        <v/>
      </c>
      <c r="V16" s="82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Mgmt'!$M$5:$M$428,DATE(YEAR(A16),MONTH(A16),1))))+1)/DAY(EOMONTH(A16,0))),0))</f>
        <v/>
      </c>
      <c r="X16" s="82" t="n"/>
      <c r="Y16" s="82" t="n"/>
      <c r="Z16" s="82" t="n"/>
      <c r="AA16" s="82" t="n"/>
      <c r="AB16" s="82" t="n"/>
    </row>
    <row r="17" ht="14.25" customHeight="1" s="83">
      <c r="A17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17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17" s="17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Mgmt'!$N$5:$N$428&gt;=DATE(YEAR(A17),MONTH(A17),1),FALSE)&gt;0))=0,"",IFERROR(_xlfn.XLOOKUP(B17,DormRegistry[Dorm Name],DormRegistry[Ownership Type]),""))</f>
        <v/>
      </c>
      <c r="D17" s="17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Mgmt'!$N$5:$N$428&gt;=DATE(YEAR(A17),MONTH(A17),1),FALSE)&gt;0))=0,"",IFERROR(_xlfn.XLOOKUP(B17,DormRegistry[Dorm Name],DormRegistry[Bed Capacity]),0))</f>
        <v/>
      </c>
      <c r="E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Mgmt'!$N$5:$N$428&gt;=DATE(YEAR(A17),MONTH(A17),1),FALSE)&gt;0))=0,"",$B$6*(1+$B$8)^(YEAR(A17)-YEAR($B$4)))</f>
        <v/>
      </c>
      <c r="F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Mgmt'!$N$5:$N$428&gt;=DATE(YEAR(A17),MONTH(A17),1),FALSE)&gt;0))=0,"",$B$7)</f>
        <v/>
      </c>
      <c r="G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Mgmt'!$N$5:$N$428&gt;=DATE(YEAR(A17),MONTH(A17),1),FALSE)&gt;0))=0,"",$B$8)</f>
        <v/>
      </c>
      <c r="H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Mgmt'!$N$5:$N$428&gt;=DATE(YEAR(A17),MONTH(A17),1),FALSE)&gt;0))=0,"",D17*E17)</f>
        <v/>
      </c>
      <c r="I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Mgmt'!$M$5:$M$428,DATE(YEAR(A17),MONTH(A17),1))))+1)/DAY(EOMONTH(A17,0))),0))</f>
        <v/>
      </c>
      <c r="J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Mgmt'!$N$5:$N$428&gt;=DATE(YEAR(A17),MONTH(A17),1),FALSE)&gt;0))=0,"",D17*F17*E17)</f>
        <v/>
      </c>
      <c r="K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Mgmt'!$N$5:$N$428&gt;=DATE(YEAR(A17),MONTH(A17),1),FALSE)&gt;0))=0,"",75)</f>
        <v/>
      </c>
      <c r="L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Mgmt'!$N$5:$N$428&gt;=DATE(YEAR(A17),MONTH(A17),1),FALSE)&gt;0))=0,"",50)</f>
        <v/>
      </c>
      <c r="M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Mgmt'!$N$5:$N$428&gt;=DATE(YEAR(A17),MONTH(A17),1),FALSE)&gt;0))=0,"",150)</f>
        <v/>
      </c>
      <c r="N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Mgmt'!$N$5:$N$428&gt;=DATE(YEAR(A17),MONTH(A17),1),FALSE)&gt;0))=0,"",125)</f>
        <v/>
      </c>
      <c r="O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Mgmt'!$N$5:$N$428&gt;=DATE(YEAR(A17),MONTH(A17),1),FALSE)&gt;0))=0,"",60)</f>
        <v/>
      </c>
      <c r="P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Mgmt'!$N$5:$N$428&gt;=DATE(YEAR(A17),MONTH(A17),1),FALSE)&gt;0))=0,"",80)</f>
        <v/>
      </c>
      <c r="Q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Mgmt'!$N$5:$N$428&gt;=DATE(YEAR(A17),MONTH(A17),1),FALSE)&gt;0))=0,"",40)</f>
        <v/>
      </c>
      <c r="R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Mgmt'!$N$5:$N$428&gt;=DATE(YEAR(A17),MONTH(A17),1),FALSE)&gt;0))=0,"",IF(C17="Owned",0,2500))</f>
        <v/>
      </c>
      <c r="S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Mgmt'!$N$5:$N$428&gt;=DATE(YEAR(A17),MONTH(A17),1),FALSE)&gt;0))=0,"",SUM(K17:R17))</f>
        <v/>
      </c>
      <c r="T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Mgmt'!$N$5:$N$428&gt;=DATE(YEAR(A17),MONTH(A17),1),FALSE)&gt;0))=0,"",I17-S17)</f>
        <v/>
      </c>
      <c r="U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Mgmt'!$N$5:$N$428&gt;=DATE(YEAR(A17),MONTH(A17),1),FALSE)&gt;0))=0,"",IFERROR(T17/I17,0))</f>
        <v/>
      </c>
      <c r="V17" s="82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Mgmt'!$M$5:$M$428,DATE(YEAR(A17),MONTH(A17),1))))+1)/DAY(EOMONTH(A17,0))),0))</f>
        <v/>
      </c>
      <c r="X17" s="82" t="n"/>
      <c r="Y17" s="82" t="n"/>
      <c r="Z17" s="82" t="n"/>
      <c r="AA17" s="82" t="n"/>
      <c r="AB17" s="82" t="n"/>
    </row>
    <row r="18" hidden="1" ht="14.25" customHeight="1" s="83">
      <c r="A18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18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18" s="17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Mgmt'!$N$5:$N$428&gt;=DATE(YEAR(A18),MONTH(A18),1),FALSE)&gt;0))=0,"",IFERROR(_xlfn.XLOOKUP(B18,DormRegistry[Dorm Name],DormRegistry[Ownership Type]),""))</f>
        <v/>
      </c>
      <c r="D18" s="17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Mgmt'!$N$5:$N$428&gt;=DATE(YEAR(A18),MONTH(A18),1),FALSE)&gt;0))=0,"",IFERROR(_xlfn.XLOOKUP(B18,DormRegistry[Dorm Name],DormRegistry[Bed Capacity]),0))</f>
        <v/>
      </c>
      <c r="E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Mgmt'!$N$5:$N$428&gt;=DATE(YEAR(A18),MONTH(A18),1),FALSE)&gt;0))=0,"",$B$6*(1+$B$8)^(YEAR(A18)-YEAR($B$4)))</f>
        <v/>
      </c>
      <c r="F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Mgmt'!$N$5:$N$428&gt;=DATE(YEAR(A18),MONTH(A18),1),FALSE)&gt;0))=0,"",$B$7)</f>
        <v/>
      </c>
      <c r="G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Mgmt'!$N$5:$N$428&gt;=DATE(YEAR(A18),MONTH(A18),1),FALSE)&gt;0))=0,"",$B$8)</f>
        <v/>
      </c>
      <c r="H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Mgmt'!$N$5:$N$428&gt;=DATE(YEAR(A18),MONTH(A18),1),FALSE)&gt;0))=0,"",D18*E18)</f>
        <v/>
      </c>
      <c r="I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Mgmt'!$M$5:$M$428,DATE(YEAR(A18),MONTH(A18),1))))+1)/DAY(EOMONTH(A18,0))),0))</f>
        <v/>
      </c>
      <c r="J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Mgmt'!$N$5:$N$428&gt;=DATE(YEAR(A18),MONTH(A18),1),FALSE)&gt;0))=0,"",D18*F18*E18)</f>
        <v/>
      </c>
      <c r="K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Mgmt'!$N$5:$N$428&gt;=DATE(YEAR(A18),MONTH(A18),1),FALSE)&gt;0))=0,"",75)</f>
        <v/>
      </c>
      <c r="L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Mgmt'!$N$5:$N$428&gt;=DATE(YEAR(A18),MONTH(A18),1),FALSE)&gt;0))=0,"",50)</f>
        <v/>
      </c>
      <c r="M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Mgmt'!$N$5:$N$428&gt;=DATE(YEAR(A18),MONTH(A18),1),FALSE)&gt;0))=0,"",150)</f>
        <v/>
      </c>
      <c r="N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Mgmt'!$N$5:$N$428&gt;=DATE(YEAR(A18),MONTH(A18),1),FALSE)&gt;0))=0,"",125)</f>
        <v/>
      </c>
      <c r="O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Mgmt'!$N$5:$N$428&gt;=DATE(YEAR(A18),MONTH(A18),1),FALSE)&gt;0))=0,"",60)</f>
        <v/>
      </c>
      <c r="P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Mgmt'!$N$5:$N$428&gt;=DATE(YEAR(A18),MONTH(A18),1),FALSE)&gt;0))=0,"",80)</f>
        <v/>
      </c>
      <c r="Q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Mgmt'!$N$5:$N$428&gt;=DATE(YEAR(A18),MONTH(A18),1),FALSE)&gt;0))=0,"",40)</f>
        <v/>
      </c>
      <c r="R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Mgmt'!$N$5:$N$428&gt;=DATE(YEAR(A18),MONTH(A18),1),FALSE)&gt;0))=0,"",IF(C18="Owned",0,2500))</f>
        <v/>
      </c>
      <c r="S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Mgmt'!$N$5:$N$428&gt;=DATE(YEAR(A18),MONTH(A18),1),FALSE)&gt;0))=0,"",SUM(K18:R18))</f>
        <v/>
      </c>
      <c r="T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Mgmt'!$N$5:$N$428&gt;=DATE(YEAR(A18),MONTH(A18),1),FALSE)&gt;0))=0,"",I18-S18)</f>
        <v/>
      </c>
      <c r="U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Mgmt'!$N$5:$N$428&gt;=DATE(YEAR(A18),MONTH(A18),1),FALSE)&gt;0))=0,"",IFERROR(T18/I18,0))</f>
        <v/>
      </c>
      <c r="V18" s="82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Mgmt'!$M$5:$M$428,DATE(YEAR(A18),MONTH(A18),1))))+1)/DAY(EOMONTH(A18,0))),0))</f>
        <v/>
      </c>
      <c r="X18" s="82" t="n"/>
      <c r="Y18" s="82" t="n"/>
      <c r="Z18" s="82" t="n"/>
      <c r="AA18" s="82" t="n"/>
      <c r="AB18" s="82" t="n"/>
    </row>
    <row r="19" hidden="1" ht="14.25" customHeight="1" s="83">
      <c r="A19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19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19" s="17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Mgmt'!$N$5:$N$428&gt;=DATE(YEAR(A19),MONTH(A19),1),FALSE)&gt;0))=0,"",IFERROR(_xlfn.XLOOKUP(B19,DormRegistry[Dorm Name],DormRegistry[Ownership Type]),""))</f>
        <v/>
      </c>
      <c r="D19" s="17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Mgmt'!$N$5:$N$428&gt;=DATE(YEAR(A19),MONTH(A19),1),FALSE)&gt;0))=0,"",IFERROR(_xlfn.XLOOKUP(B19,DormRegistry[Dorm Name],DormRegistry[Bed Capacity]),0))</f>
        <v/>
      </c>
      <c r="E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Mgmt'!$N$5:$N$428&gt;=DATE(YEAR(A19),MONTH(A19),1),FALSE)&gt;0))=0,"",$B$6*(1+$B$8)^(YEAR(A19)-YEAR($B$4)))</f>
        <v/>
      </c>
      <c r="F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Mgmt'!$N$5:$N$428&gt;=DATE(YEAR(A19),MONTH(A19),1),FALSE)&gt;0))=0,"",$B$7)</f>
        <v/>
      </c>
      <c r="G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Mgmt'!$N$5:$N$428&gt;=DATE(YEAR(A19),MONTH(A19),1),FALSE)&gt;0))=0,"",$B$8)</f>
        <v/>
      </c>
      <c r="H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Mgmt'!$N$5:$N$428&gt;=DATE(YEAR(A19),MONTH(A19),1),FALSE)&gt;0))=0,"",D19*E19)</f>
        <v/>
      </c>
      <c r="I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Mgmt'!$M$5:$M$428,DATE(YEAR(A19),MONTH(A19),1))))+1)/DAY(EOMONTH(A19,0))),0))</f>
        <v/>
      </c>
      <c r="J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Mgmt'!$N$5:$N$428&gt;=DATE(YEAR(A19),MONTH(A19),1),FALSE)&gt;0))=0,"",D19*F19*E19)</f>
        <v/>
      </c>
      <c r="K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Mgmt'!$N$5:$N$428&gt;=DATE(YEAR(A19),MONTH(A19),1),FALSE)&gt;0))=0,"",75)</f>
        <v/>
      </c>
      <c r="L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Mgmt'!$N$5:$N$428&gt;=DATE(YEAR(A19),MONTH(A19),1),FALSE)&gt;0))=0,"",50)</f>
        <v/>
      </c>
      <c r="M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Mgmt'!$N$5:$N$428&gt;=DATE(YEAR(A19),MONTH(A19),1),FALSE)&gt;0))=0,"",150)</f>
        <v/>
      </c>
      <c r="N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Mgmt'!$N$5:$N$428&gt;=DATE(YEAR(A19),MONTH(A19),1),FALSE)&gt;0))=0,"",125)</f>
        <v/>
      </c>
      <c r="O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Mgmt'!$N$5:$N$428&gt;=DATE(YEAR(A19),MONTH(A19),1),FALSE)&gt;0))=0,"",60)</f>
        <v/>
      </c>
      <c r="P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Mgmt'!$N$5:$N$428&gt;=DATE(YEAR(A19),MONTH(A19),1),FALSE)&gt;0))=0,"",80)</f>
        <v/>
      </c>
      <c r="Q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Mgmt'!$N$5:$N$428&gt;=DATE(YEAR(A19),MONTH(A19),1),FALSE)&gt;0))=0,"",40)</f>
        <v/>
      </c>
      <c r="R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Mgmt'!$N$5:$N$428&gt;=DATE(YEAR(A19),MONTH(A19),1),FALSE)&gt;0))=0,"",IF(C19="Owned",0,2500))</f>
        <v/>
      </c>
      <c r="S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Mgmt'!$N$5:$N$428&gt;=DATE(YEAR(A19),MONTH(A19),1),FALSE)&gt;0))=0,"",SUM(K19:R19))</f>
        <v/>
      </c>
      <c r="T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Mgmt'!$N$5:$N$428&gt;=DATE(YEAR(A19),MONTH(A19),1),FALSE)&gt;0))=0,"",I19-S19)</f>
        <v/>
      </c>
      <c r="U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Mgmt'!$N$5:$N$428&gt;=DATE(YEAR(A19),MONTH(A19),1),FALSE)&gt;0))=0,"",IFERROR(T19/I19,0))</f>
        <v/>
      </c>
      <c r="V19" s="82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Mgmt'!$M$5:$M$428,DATE(YEAR(A19),MONTH(A19),1))))+1)/DAY(EOMONTH(A19,0))),0))</f>
        <v/>
      </c>
      <c r="X19" s="82" t="n"/>
      <c r="Y19" s="82" t="n"/>
      <c r="Z19" s="82" t="n"/>
      <c r="AA19" s="82" t="n"/>
      <c r="AB19" s="82" t="n"/>
    </row>
    <row r="20" ht="14.25" customHeight="1" s="83">
      <c r="A20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0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0" s="17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Mgmt'!$N$5:$N$428&gt;=DATE(YEAR(A20),MONTH(A20),1),FALSE)&gt;0))=0,"",IFERROR(_xlfn.XLOOKUP(B20,DormRegistry[Dorm Name],DormRegistry[Ownership Type]),""))</f>
        <v/>
      </c>
      <c r="D20" s="17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Mgmt'!$N$5:$N$428&gt;=DATE(YEAR(A20),MONTH(A20),1),FALSE)&gt;0))=0,"",IFERROR(_xlfn.XLOOKUP(B20,DormRegistry[Dorm Name],DormRegistry[Bed Capacity]),0))</f>
        <v/>
      </c>
      <c r="E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Mgmt'!$N$5:$N$428&gt;=DATE(YEAR(A20),MONTH(A20),1),FALSE)&gt;0))=0,"",$B$6*(1+$B$8)^(YEAR(A20)-YEAR($B$4)))</f>
        <v/>
      </c>
      <c r="F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Mgmt'!$N$5:$N$428&gt;=DATE(YEAR(A20),MONTH(A20),1),FALSE)&gt;0))=0,"",$B$7)</f>
        <v/>
      </c>
      <c r="G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Mgmt'!$N$5:$N$428&gt;=DATE(YEAR(A20),MONTH(A20),1),FALSE)&gt;0))=0,"",$B$8)</f>
        <v/>
      </c>
      <c r="H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Mgmt'!$N$5:$N$428&gt;=DATE(YEAR(A20),MONTH(A20),1),FALSE)&gt;0))=0,"",D20*E20)</f>
        <v/>
      </c>
      <c r="I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Mgmt'!$M$5:$M$428,DATE(YEAR(A20),MONTH(A20),1))))+1)/DAY(EOMONTH(A20,0))),0))</f>
        <v/>
      </c>
      <c r="J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Mgmt'!$N$5:$N$428&gt;=DATE(YEAR(A20),MONTH(A20),1),FALSE)&gt;0))=0,"",D20*F20*E20)</f>
        <v/>
      </c>
      <c r="K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Mgmt'!$N$5:$N$428&gt;=DATE(YEAR(A20),MONTH(A20),1),FALSE)&gt;0))=0,"",75)</f>
        <v/>
      </c>
      <c r="L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Mgmt'!$N$5:$N$428&gt;=DATE(YEAR(A20),MONTH(A20),1),FALSE)&gt;0))=0,"",50)</f>
        <v/>
      </c>
      <c r="M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Mgmt'!$N$5:$N$428&gt;=DATE(YEAR(A20),MONTH(A20),1),FALSE)&gt;0))=0,"",150)</f>
        <v/>
      </c>
      <c r="N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Mgmt'!$N$5:$N$428&gt;=DATE(YEAR(A20),MONTH(A20),1),FALSE)&gt;0))=0,"",125)</f>
        <v/>
      </c>
      <c r="O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Mgmt'!$N$5:$N$428&gt;=DATE(YEAR(A20),MONTH(A20),1),FALSE)&gt;0))=0,"",60)</f>
        <v/>
      </c>
      <c r="P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Mgmt'!$N$5:$N$428&gt;=DATE(YEAR(A20),MONTH(A20),1),FALSE)&gt;0))=0,"",80)</f>
        <v/>
      </c>
      <c r="Q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Mgmt'!$N$5:$N$428&gt;=DATE(YEAR(A20),MONTH(A20),1),FALSE)&gt;0))=0,"",40)</f>
        <v/>
      </c>
      <c r="R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Mgmt'!$N$5:$N$428&gt;=DATE(YEAR(A20),MONTH(A20),1),FALSE)&gt;0))=0,"",IF(C20="Owned",0,2500))</f>
        <v/>
      </c>
      <c r="S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Mgmt'!$N$5:$N$428&gt;=DATE(YEAR(A20),MONTH(A20),1),FALSE)&gt;0))=0,"",SUM(K20:R20))</f>
        <v/>
      </c>
      <c r="T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Mgmt'!$N$5:$N$428&gt;=DATE(YEAR(A20),MONTH(A20),1),FALSE)&gt;0))=0,"",I20-S20)</f>
        <v/>
      </c>
      <c r="U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Mgmt'!$N$5:$N$428&gt;=DATE(YEAR(A20),MONTH(A20),1),FALSE)&gt;0))=0,"",IFERROR(T20/I20,0))</f>
        <v/>
      </c>
      <c r="V20" s="82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Mgmt'!$M$5:$M$428,DATE(YEAR(A20),MONTH(A20),1))))+1)/DAY(EOMONTH(A20,0))),0))</f>
        <v/>
      </c>
      <c r="X20" s="82" t="n"/>
      <c r="Y20" s="82" t="n"/>
      <c r="Z20" s="82" t="n"/>
      <c r="AA20" s="82" t="n"/>
      <c r="AB20" s="82" t="n"/>
    </row>
    <row r="21" hidden="1" ht="14.25" customHeight="1" s="83">
      <c r="A21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1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1" s="17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Mgmt'!$N$5:$N$428&gt;=DATE(YEAR(A21),MONTH(A21),1),FALSE)&gt;0))=0,"",IFERROR(_xlfn.XLOOKUP(B21,DormRegistry[Dorm Name],DormRegistry[Ownership Type]),""))</f>
        <v/>
      </c>
      <c r="D21" s="17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Mgmt'!$N$5:$N$428&gt;=DATE(YEAR(A21),MONTH(A21),1),FALSE)&gt;0))=0,"",IFERROR(_xlfn.XLOOKUP(B21,DormRegistry[Dorm Name],DormRegistry[Bed Capacity]),0))</f>
        <v/>
      </c>
      <c r="E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Mgmt'!$N$5:$N$428&gt;=DATE(YEAR(A21),MONTH(A21),1),FALSE)&gt;0))=0,"",$B$6*(1+$B$8)^(YEAR(A21)-YEAR($B$4)))</f>
        <v/>
      </c>
      <c r="F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Mgmt'!$N$5:$N$428&gt;=DATE(YEAR(A21),MONTH(A21),1),FALSE)&gt;0))=0,"",$B$7)</f>
        <v/>
      </c>
      <c r="G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Mgmt'!$N$5:$N$428&gt;=DATE(YEAR(A21),MONTH(A21),1),FALSE)&gt;0))=0,"",$B$8)</f>
        <v/>
      </c>
      <c r="H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Mgmt'!$N$5:$N$428&gt;=DATE(YEAR(A21),MONTH(A21),1),FALSE)&gt;0))=0,"",D21*E21)</f>
        <v/>
      </c>
      <c r="I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Mgmt'!$M$5:$M$428,DATE(YEAR(A21),MONTH(A21),1))))+1)/DAY(EOMONTH(A21,0))),0))</f>
        <v/>
      </c>
      <c r="J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Mgmt'!$N$5:$N$428&gt;=DATE(YEAR(A21),MONTH(A21),1),FALSE)&gt;0))=0,"",D21*F21*E21)</f>
        <v/>
      </c>
      <c r="K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Mgmt'!$N$5:$N$428&gt;=DATE(YEAR(A21),MONTH(A21),1),FALSE)&gt;0))=0,"",75)</f>
        <v/>
      </c>
      <c r="L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Mgmt'!$N$5:$N$428&gt;=DATE(YEAR(A21),MONTH(A21),1),FALSE)&gt;0))=0,"",50)</f>
        <v/>
      </c>
      <c r="M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Mgmt'!$N$5:$N$428&gt;=DATE(YEAR(A21),MONTH(A21),1),FALSE)&gt;0))=0,"",150)</f>
        <v/>
      </c>
      <c r="N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Mgmt'!$N$5:$N$428&gt;=DATE(YEAR(A21),MONTH(A21),1),FALSE)&gt;0))=0,"",125)</f>
        <v/>
      </c>
      <c r="O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Mgmt'!$N$5:$N$428&gt;=DATE(YEAR(A21),MONTH(A21),1),FALSE)&gt;0))=0,"",60)</f>
        <v/>
      </c>
      <c r="P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Mgmt'!$N$5:$N$428&gt;=DATE(YEAR(A21),MONTH(A21),1),FALSE)&gt;0))=0,"",80)</f>
        <v/>
      </c>
      <c r="Q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Mgmt'!$N$5:$N$428&gt;=DATE(YEAR(A21),MONTH(A21),1),FALSE)&gt;0))=0,"",40)</f>
        <v/>
      </c>
      <c r="R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Mgmt'!$N$5:$N$428&gt;=DATE(YEAR(A21),MONTH(A21),1),FALSE)&gt;0))=0,"",IF(C21="Owned",0,2500))</f>
        <v/>
      </c>
      <c r="S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Mgmt'!$N$5:$N$428&gt;=DATE(YEAR(A21),MONTH(A21),1),FALSE)&gt;0))=0,"",SUM(K21:R21))</f>
        <v/>
      </c>
      <c r="T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Mgmt'!$N$5:$N$428&gt;=DATE(YEAR(A21),MONTH(A21),1),FALSE)&gt;0))=0,"",I21-S21)</f>
        <v/>
      </c>
      <c r="U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Mgmt'!$N$5:$N$428&gt;=DATE(YEAR(A21),MONTH(A21),1),FALSE)&gt;0))=0,"",IFERROR(T21/I21,0))</f>
        <v/>
      </c>
      <c r="V21" s="82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Mgmt'!$M$5:$M$428,DATE(YEAR(A21),MONTH(A21),1))))+1)/DAY(EOMONTH(A21,0))),0))</f>
        <v/>
      </c>
      <c r="X21" s="82" t="n"/>
      <c r="Y21" s="82" t="n"/>
      <c r="Z21" s="82" t="n"/>
      <c r="AA21" s="82" t="n"/>
      <c r="AB21" s="82" t="n"/>
    </row>
    <row r="22" hidden="1" ht="14.25" customHeight="1" s="83">
      <c r="A22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2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2" s="17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Mgmt'!$N$5:$N$428&gt;=DATE(YEAR(A22),MONTH(A22),1),FALSE)&gt;0))=0,"",IFERROR(_xlfn.XLOOKUP(B22,DormRegistry[Dorm Name],DormRegistry[Ownership Type]),""))</f>
        <v/>
      </c>
      <c r="D22" s="17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Mgmt'!$N$5:$N$428&gt;=DATE(YEAR(A22),MONTH(A22),1),FALSE)&gt;0))=0,"",IFERROR(_xlfn.XLOOKUP(B22,DormRegistry[Dorm Name],DormRegistry[Bed Capacity]),0))</f>
        <v/>
      </c>
      <c r="E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Mgmt'!$N$5:$N$428&gt;=DATE(YEAR(A22),MONTH(A22),1),FALSE)&gt;0))=0,"",$B$6*(1+$B$8)^(YEAR(A22)-YEAR($B$4)))</f>
        <v/>
      </c>
      <c r="F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Mgmt'!$N$5:$N$428&gt;=DATE(YEAR(A22),MONTH(A22),1),FALSE)&gt;0))=0,"",$B$7)</f>
        <v/>
      </c>
      <c r="G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Mgmt'!$N$5:$N$428&gt;=DATE(YEAR(A22),MONTH(A22),1),FALSE)&gt;0))=0,"",$B$8)</f>
        <v/>
      </c>
      <c r="H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Mgmt'!$N$5:$N$428&gt;=DATE(YEAR(A22),MONTH(A22),1),FALSE)&gt;0))=0,"",D22*E22)</f>
        <v/>
      </c>
      <c r="I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Mgmt'!$M$5:$M$428,DATE(YEAR(A22),MONTH(A22),1))))+1)/DAY(EOMONTH(A22,0))),0))</f>
        <v/>
      </c>
      <c r="J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Mgmt'!$N$5:$N$428&gt;=DATE(YEAR(A22),MONTH(A22),1),FALSE)&gt;0))=0,"",D22*F22*E22)</f>
        <v/>
      </c>
      <c r="K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Mgmt'!$N$5:$N$428&gt;=DATE(YEAR(A22),MONTH(A22),1),FALSE)&gt;0))=0,"",75)</f>
        <v/>
      </c>
      <c r="L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Mgmt'!$N$5:$N$428&gt;=DATE(YEAR(A22),MONTH(A22),1),FALSE)&gt;0))=0,"",50)</f>
        <v/>
      </c>
      <c r="M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Mgmt'!$N$5:$N$428&gt;=DATE(YEAR(A22),MONTH(A22),1),FALSE)&gt;0))=0,"",150)</f>
        <v/>
      </c>
      <c r="N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Mgmt'!$N$5:$N$428&gt;=DATE(YEAR(A22),MONTH(A22),1),FALSE)&gt;0))=0,"",125)</f>
        <v/>
      </c>
      <c r="O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Mgmt'!$N$5:$N$428&gt;=DATE(YEAR(A22),MONTH(A22),1),FALSE)&gt;0))=0,"",60)</f>
        <v/>
      </c>
      <c r="P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Mgmt'!$N$5:$N$428&gt;=DATE(YEAR(A22),MONTH(A22),1),FALSE)&gt;0))=0,"",80)</f>
        <v/>
      </c>
      <c r="Q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Mgmt'!$N$5:$N$428&gt;=DATE(YEAR(A22),MONTH(A22),1),FALSE)&gt;0))=0,"",40)</f>
        <v/>
      </c>
      <c r="R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Mgmt'!$N$5:$N$428&gt;=DATE(YEAR(A22),MONTH(A22),1),FALSE)&gt;0))=0,"",IF(C22="Owned",0,2500))</f>
        <v/>
      </c>
      <c r="S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Mgmt'!$N$5:$N$428&gt;=DATE(YEAR(A22),MONTH(A22),1),FALSE)&gt;0))=0,"",SUM(K22:R22))</f>
        <v/>
      </c>
      <c r="T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Mgmt'!$N$5:$N$428&gt;=DATE(YEAR(A22),MONTH(A22),1),FALSE)&gt;0))=0,"",I22-S22)</f>
        <v/>
      </c>
      <c r="U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Mgmt'!$N$5:$N$428&gt;=DATE(YEAR(A22),MONTH(A22),1),FALSE)&gt;0))=0,"",IFERROR(T22/I22,0))</f>
        <v/>
      </c>
      <c r="V22" s="82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Mgmt'!$M$5:$M$428,DATE(YEAR(A22),MONTH(A22),1))))+1)/DAY(EOMONTH(A22,0))),0))</f>
        <v/>
      </c>
      <c r="X22" s="82" t="n"/>
      <c r="Y22" s="82" t="n"/>
      <c r="Z22" s="82" t="n"/>
      <c r="AA22" s="82" t="n"/>
      <c r="AB22" s="82" t="n"/>
    </row>
    <row r="23" ht="14.25" customHeight="1" s="83">
      <c r="A23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3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3" s="17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Mgmt'!$N$5:$N$428&gt;=DATE(YEAR(A23),MONTH(A23),1),FALSE)&gt;0))=0,"",IFERROR(_xlfn.XLOOKUP(B23,DormRegistry[Dorm Name],DormRegistry[Ownership Type]),""))</f>
        <v/>
      </c>
      <c r="D23" s="17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Mgmt'!$N$5:$N$428&gt;=DATE(YEAR(A23),MONTH(A23),1),FALSE)&gt;0))=0,"",IFERROR(_xlfn.XLOOKUP(B23,DormRegistry[Dorm Name],DormRegistry[Bed Capacity]),0))</f>
        <v/>
      </c>
      <c r="E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Mgmt'!$N$5:$N$428&gt;=DATE(YEAR(A23),MONTH(A23),1),FALSE)&gt;0))=0,"",$B$6*(1+$B$8)^(YEAR(A23)-YEAR($B$4)))</f>
        <v/>
      </c>
      <c r="F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Mgmt'!$N$5:$N$428&gt;=DATE(YEAR(A23),MONTH(A23),1),FALSE)&gt;0))=0,"",$B$7)</f>
        <v/>
      </c>
      <c r="G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Mgmt'!$N$5:$N$428&gt;=DATE(YEAR(A23),MONTH(A23),1),FALSE)&gt;0))=0,"",$B$8)</f>
        <v/>
      </c>
      <c r="H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Mgmt'!$N$5:$N$428&gt;=DATE(YEAR(A23),MONTH(A23),1),FALSE)&gt;0))=0,"",D23*E23)</f>
        <v/>
      </c>
      <c r="I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Mgmt'!$M$5:$M$428,DATE(YEAR(A23),MONTH(A23),1))))+1)/DAY(EOMONTH(A23,0))),0))</f>
        <v/>
      </c>
      <c r="J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Mgmt'!$N$5:$N$428&gt;=DATE(YEAR(A23),MONTH(A23),1),FALSE)&gt;0))=0,"",D23*F23*E23)</f>
        <v/>
      </c>
      <c r="K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Mgmt'!$N$5:$N$428&gt;=DATE(YEAR(A23),MONTH(A23),1),FALSE)&gt;0))=0,"",75)</f>
        <v/>
      </c>
      <c r="L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Mgmt'!$N$5:$N$428&gt;=DATE(YEAR(A23),MONTH(A23),1),FALSE)&gt;0))=0,"",50)</f>
        <v/>
      </c>
      <c r="M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Mgmt'!$N$5:$N$428&gt;=DATE(YEAR(A23),MONTH(A23),1),FALSE)&gt;0))=0,"",150)</f>
        <v/>
      </c>
      <c r="N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Mgmt'!$N$5:$N$428&gt;=DATE(YEAR(A23),MONTH(A23),1),FALSE)&gt;0))=0,"",125)</f>
        <v/>
      </c>
      <c r="O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Mgmt'!$N$5:$N$428&gt;=DATE(YEAR(A23),MONTH(A23),1),FALSE)&gt;0))=0,"",60)</f>
        <v/>
      </c>
      <c r="P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Mgmt'!$N$5:$N$428&gt;=DATE(YEAR(A23),MONTH(A23),1),FALSE)&gt;0))=0,"",80)</f>
        <v/>
      </c>
      <c r="Q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Mgmt'!$N$5:$N$428&gt;=DATE(YEAR(A23),MONTH(A23),1),FALSE)&gt;0))=0,"",40)</f>
        <v/>
      </c>
      <c r="R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Mgmt'!$N$5:$N$428&gt;=DATE(YEAR(A23),MONTH(A23),1),FALSE)&gt;0))=0,"",IF(C23="Owned",0,2500))</f>
        <v/>
      </c>
      <c r="S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Mgmt'!$N$5:$N$428&gt;=DATE(YEAR(A23),MONTH(A23),1),FALSE)&gt;0))=0,"",SUM(K23:R23))</f>
        <v/>
      </c>
      <c r="T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Mgmt'!$N$5:$N$428&gt;=DATE(YEAR(A23),MONTH(A23),1),FALSE)&gt;0))=0,"",I23-S23)</f>
        <v/>
      </c>
      <c r="U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Mgmt'!$N$5:$N$428&gt;=DATE(YEAR(A23),MONTH(A23),1),FALSE)&gt;0))=0,"",IFERROR(T23/I23,0))</f>
        <v/>
      </c>
      <c r="V23" s="82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Mgmt'!$M$5:$M$428,DATE(YEAR(A23),MONTH(A23),1))))+1)/DAY(EOMONTH(A23,0))),0))</f>
        <v/>
      </c>
      <c r="X23" s="82" t="n"/>
      <c r="Y23" s="82" t="n"/>
      <c r="Z23" s="82" t="n"/>
      <c r="AA23" s="82" t="n"/>
      <c r="AB23" s="82" t="n"/>
    </row>
    <row r="24" hidden="1" ht="14.25" customHeight="1" s="83">
      <c r="A24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4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4" s="17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Mgmt'!$N$5:$N$428&gt;=DATE(YEAR(A24),MONTH(A24),1),FALSE)&gt;0))=0,"",IFERROR(_xlfn.XLOOKUP(B24,DormRegistry[Dorm Name],DormRegistry[Ownership Type]),""))</f>
        <v/>
      </c>
      <c r="D24" s="17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Mgmt'!$N$5:$N$428&gt;=DATE(YEAR(A24),MONTH(A24),1),FALSE)&gt;0))=0,"",IFERROR(_xlfn.XLOOKUP(B24,DormRegistry[Dorm Name],DormRegistry[Bed Capacity]),0))</f>
        <v/>
      </c>
      <c r="E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Mgmt'!$N$5:$N$428&gt;=DATE(YEAR(A24),MONTH(A24),1),FALSE)&gt;0))=0,"",$B$6*(1+$B$8)^(YEAR(A24)-YEAR($B$4)))</f>
        <v/>
      </c>
      <c r="F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Mgmt'!$N$5:$N$428&gt;=DATE(YEAR(A24),MONTH(A24),1),FALSE)&gt;0))=0,"",$B$7)</f>
        <v/>
      </c>
      <c r="G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Mgmt'!$N$5:$N$428&gt;=DATE(YEAR(A24),MONTH(A24),1),FALSE)&gt;0))=0,"",$B$8)</f>
        <v/>
      </c>
      <c r="H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Mgmt'!$N$5:$N$428&gt;=DATE(YEAR(A24),MONTH(A24),1),FALSE)&gt;0))=0,"",D24*E24)</f>
        <v/>
      </c>
      <c r="I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Mgmt'!$M$5:$M$428,DATE(YEAR(A24),MONTH(A24),1))))+1)/DAY(EOMONTH(A24,0))),0))</f>
        <v/>
      </c>
      <c r="J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Mgmt'!$N$5:$N$428&gt;=DATE(YEAR(A24),MONTH(A24),1),FALSE)&gt;0))=0,"",D24*F24*E24)</f>
        <v/>
      </c>
      <c r="K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Mgmt'!$N$5:$N$428&gt;=DATE(YEAR(A24),MONTH(A24),1),FALSE)&gt;0))=0,"",75)</f>
        <v/>
      </c>
      <c r="L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Mgmt'!$N$5:$N$428&gt;=DATE(YEAR(A24),MONTH(A24),1),FALSE)&gt;0))=0,"",50)</f>
        <v/>
      </c>
      <c r="M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Mgmt'!$N$5:$N$428&gt;=DATE(YEAR(A24),MONTH(A24),1),FALSE)&gt;0))=0,"",150)</f>
        <v/>
      </c>
      <c r="N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Mgmt'!$N$5:$N$428&gt;=DATE(YEAR(A24),MONTH(A24),1),FALSE)&gt;0))=0,"",125)</f>
        <v/>
      </c>
      <c r="O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Mgmt'!$N$5:$N$428&gt;=DATE(YEAR(A24),MONTH(A24),1),FALSE)&gt;0))=0,"",60)</f>
        <v/>
      </c>
      <c r="P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Mgmt'!$N$5:$N$428&gt;=DATE(YEAR(A24),MONTH(A24),1),FALSE)&gt;0))=0,"",80)</f>
        <v/>
      </c>
      <c r="Q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Mgmt'!$N$5:$N$428&gt;=DATE(YEAR(A24),MONTH(A24),1),FALSE)&gt;0))=0,"",40)</f>
        <v/>
      </c>
      <c r="R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Mgmt'!$N$5:$N$428&gt;=DATE(YEAR(A24),MONTH(A24),1),FALSE)&gt;0))=0,"",IF(C24="Owned",0,2500))</f>
        <v/>
      </c>
      <c r="S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Mgmt'!$N$5:$N$428&gt;=DATE(YEAR(A24),MONTH(A24),1),FALSE)&gt;0))=0,"",SUM(K24:R24))</f>
        <v/>
      </c>
      <c r="T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Mgmt'!$N$5:$N$428&gt;=DATE(YEAR(A24),MONTH(A24),1),FALSE)&gt;0))=0,"",I24-S24)</f>
        <v/>
      </c>
      <c r="U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Mgmt'!$N$5:$N$428&gt;=DATE(YEAR(A24),MONTH(A24),1),FALSE)&gt;0))=0,"",IFERROR(T24/I24,0))</f>
        <v/>
      </c>
      <c r="V24" s="82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Mgmt'!$M$5:$M$428,DATE(YEAR(A24),MONTH(A24),1))))+1)/DAY(EOMONTH(A24,0))),0))</f>
        <v/>
      </c>
      <c r="X24" s="82" t="n"/>
      <c r="Y24" s="82" t="n"/>
      <c r="Z24" s="82" t="n"/>
      <c r="AA24" s="82" t="n"/>
      <c r="AB24" s="82" t="n"/>
    </row>
    <row r="25" hidden="1" ht="14.25" customHeight="1" s="83">
      <c r="A25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5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5" s="17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Mgmt'!$N$5:$N$428&gt;=DATE(YEAR(A25),MONTH(A25),1),FALSE)&gt;0))=0,"",IFERROR(_xlfn.XLOOKUP(B25,DormRegistry[Dorm Name],DormRegistry[Ownership Type]),""))</f>
        <v/>
      </c>
      <c r="D25" s="17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Mgmt'!$N$5:$N$428&gt;=DATE(YEAR(A25),MONTH(A25),1),FALSE)&gt;0))=0,"",IFERROR(_xlfn.XLOOKUP(B25,DormRegistry[Dorm Name],DormRegistry[Bed Capacity]),0))</f>
        <v/>
      </c>
      <c r="E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Mgmt'!$N$5:$N$428&gt;=DATE(YEAR(A25),MONTH(A25),1),FALSE)&gt;0))=0,"",$B$6*(1+$B$8)^(YEAR(A25)-YEAR($B$4)))</f>
        <v/>
      </c>
      <c r="F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Mgmt'!$N$5:$N$428&gt;=DATE(YEAR(A25),MONTH(A25),1),FALSE)&gt;0))=0,"",$B$7)</f>
        <v/>
      </c>
      <c r="G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Mgmt'!$N$5:$N$428&gt;=DATE(YEAR(A25),MONTH(A25),1),FALSE)&gt;0))=0,"",$B$8)</f>
        <v/>
      </c>
      <c r="H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Mgmt'!$N$5:$N$428&gt;=DATE(YEAR(A25),MONTH(A25),1),FALSE)&gt;0))=0,"",D25*E25)</f>
        <v/>
      </c>
      <c r="I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Mgmt'!$M$5:$M$428,DATE(YEAR(A25),MONTH(A25),1))))+1)/DAY(EOMONTH(A25,0))),0))</f>
        <v/>
      </c>
      <c r="J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Mgmt'!$N$5:$N$428&gt;=DATE(YEAR(A25),MONTH(A25),1),FALSE)&gt;0))=0,"",D25*F25*E25)</f>
        <v/>
      </c>
      <c r="K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Mgmt'!$N$5:$N$428&gt;=DATE(YEAR(A25),MONTH(A25),1),FALSE)&gt;0))=0,"",75)</f>
        <v/>
      </c>
      <c r="L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Mgmt'!$N$5:$N$428&gt;=DATE(YEAR(A25),MONTH(A25),1),FALSE)&gt;0))=0,"",50)</f>
        <v/>
      </c>
      <c r="M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Mgmt'!$N$5:$N$428&gt;=DATE(YEAR(A25),MONTH(A25),1),FALSE)&gt;0))=0,"",150)</f>
        <v/>
      </c>
      <c r="N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Mgmt'!$N$5:$N$428&gt;=DATE(YEAR(A25),MONTH(A25),1),FALSE)&gt;0))=0,"",125)</f>
        <v/>
      </c>
      <c r="O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Mgmt'!$N$5:$N$428&gt;=DATE(YEAR(A25),MONTH(A25),1),FALSE)&gt;0))=0,"",60)</f>
        <v/>
      </c>
      <c r="P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Mgmt'!$N$5:$N$428&gt;=DATE(YEAR(A25),MONTH(A25),1),FALSE)&gt;0))=0,"",80)</f>
        <v/>
      </c>
      <c r="Q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Mgmt'!$N$5:$N$428&gt;=DATE(YEAR(A25),MONTH(A25),1),FALSE)&gt;0))=0,"",40)</f>
        <v/>
      </c>
      <c r="R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Mgmt'!$N$5:$N$428&gt;=DATE(YEAR(A25),MONTH(A25),1),FALSE)&gt;0))=0,"",IF(C25="Owned",0,2500))</f>
        <v/>
      </c>
      <c r="S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Mgmt'!$N$5:$N$428&gt;=DATE(YEAR(A25),MONTH(A25),1),FALSE)&gt;0))=0,"",SUM(K25:R25))</f>
        <v/>
      </c>
      <c r="T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Mgmt'!$N$5:$N$428&gt;=DATE(YEAR(A25),MONTH(A25),1),FALSE)&gt;0))=0,"",I25-S25)</f>
        <v/>
      </c>
      <c r="U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Mgmt'!$N$5:$N$428&gt;=DATE(YEAR(A25),MONTH(A25),1),FALSE)&gt;0))=0,"",IFERROR(T25/I25,0))</f>
        <v/>
      </c>
      <c r="V25" s="82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Mgmt'!$M$5:$M$428,DATE(YEAR(A25),MONTH(A25),1))))+1)/DAY(EOMONTH(A25,0))),0))</f>
        <v/>
      </c>
      <c r="X25" s="82" t="n"/>
      <c r="Y25" s="82" t="n"/>
      <c r="Z25" s="82" t="n"/>
      <c r="AA25" s="82" t="n"/>
      <c r="AB25" s="82" t="n"/>
    </row>
    <row r="26" ht="14.25" customHeight="1" s="83">
      <c r="A26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6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6" s="17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Mgmt'!$N$5:$N$428&gt;=DATE(YEAR(A26),MONTH(A26),1),FALSE)&gt;0))=0,"",IFERROR(_xlfn.XLOOKUP(B26,DormRegistry[Dorm Name],DormRegistry[Ownership Type]),""))</f>
        <v/>
      </c>
      <c r="D26" s="17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Mgmt'!$N$5:$N$428&gt;=DATE(YEAR(A26),MONTH(A26),1),FALSE)&gt;0))=0,"",IFERROR(_xlfn.XLOOKUP(B26,DormRegistry[Dorm Name],DormRegistry[Bed Capacity]),0))</f>
        <v/>
      </c>
      <c r="E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Mgmt'!$N$5:$N$428&gt;=DATE(YEAR(A26),MONTH(A26),1),FALSE)&gt;0))=0,"",$B$6*(1+$B$8)^(YEAR(A26)-YEAR($B$4)))</f>
        <v/>
      </c>
      <c r="F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Mgmt'!$N$5:$N$428&gt;=DATE(YEAR(A26),MONTH(A26),1),FALSE)&gt;0))=0,"",$B$7)</f>
        <v/>
      </c>
      <c r="G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Mgmt'!$N$5:$N$428&gt;=DATE(YEAR(A26),MONTH(A26),1),FALSE)&gt;0))=0,"",$B$8)</f>
        <v/>
      </c>
      <c r="H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Mgmt'!$N$5:$N$428&gt;=DATE(YEAR(A26),MONTH(A26),1),FALSE)&gt;0))=0,"",D26*E26)</f>
        <v/>
      </c>
      <c r="I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Mgmt'!$M$5:$M$428,DATE(YEAR(A26),MONTH(A26),1))))+1)/DAY(EOMONTH(A26,0))),0))</f>
        <v/>
      </c>
      <c r="J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Mgmt'!$N$5:$N$428&gt;=DATE(YEAR(A26),MONTH(A26),1),FALSE)&gt;0))=0,"",D26*F26*E26)</f>
        <v/>
      </c>
      <c r="K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Mgmt'!$N$5:$N$428&gt;=DATE(YEAR(A26),MONTH(A26),1),FALSE)&gt;0))=0,"",75)</f>
        <v/>
      </c>
      <c r="L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Mgmt'!$N$5:$N$428&gt;=DATE(YEAR(A26),MONTH(A26),1),FALSE)&gt;0))=0,"",50)</f>
        <v/>
      </c>
      <c r="M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Mgmt'!$N$5:$N$428&gt;=DATE(YEAR(A26),MONTH(A26),1),FALSE)&gt;0))=0,"",150)</f>
        <v/>
      </c>
      <c r="N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Mgmt'!$N$5:$N$428&gt;=DATE(YEAR(A26),MONTH(A26),1),FALSE)&gt;0))=0,"",125)</f>
        <v/>
      </c>
      <c r="O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Mgmt'!$N$5:$N$428&gt;=DATE(YEAR(A26),MONTH(A26),1),FALSE)&gt;0))=0,"",60)</f>
        <v/>
      </c>
      <c r="P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Mgmt'!$N$5:$N$428&gt;=DATE(YEAR(A26),MONTH(A26),1),FALSE)&gt;0))=0,"",80)</f>
        <v/>
      </c>
      <c r="Q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Mgmt'!$N$5:$N$428&gt;=DATE(YEAR(A26),MONTH(A26),1),FALSE)&gt;0))=0,"",40)</f>
        <v/>
      </c>
      <c r="R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Mgmt'!$N$5:$N$428&gt;=DATE(YEAR(A26),MONTH(A26),1),FALSE)&gt;0))=0,"",IF(C26="Owned",0,2500))</f>
        <v/>
      </c>
      <c r="S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Mgmt'!$N$5:$N$428&gt;=DATE(YEAR(A26),MONTH(A26),1),FALSE)&gt;0))=0,"",SUM(K26:R26))</f>
        <v/>
      </c>
      <c r="T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Mgmt'!$N$5:$N$428&gt;=DATE(YEAR(A26),MONTH(A26),1),FALSE)&gt;0))=0,"",I26-S26)</f>
        <v/>
      </c>
      <c r="U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Mgmt'!$N$5:$N$428&gt;=DATE(YEAR(A26),MONTH(A26),1),FALSE)&gt;0))=0,"",IFERROR(T26/I26,0))</f>
        <v/>
      </c>
      <c r="V26" s="82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Mgmt'!$M$5:$M$428,DATE(YEAR(A26),MONTH(A26),1))))+1)/DAY(EOMONTH(A26,0))),0))</f>
        <v/>
      </c>
      <c r="X26" s="82" t="n"/>
      <c r="Y26" s="82" t="n"/>
      <c r="Z26" s="82" t="n"/>
      <c r="AA26" s="82" t="n"/>
      <c r="AB26" s="82" t="n"/>
    </row>
    <row r="27" hidden="1" ht="14.25" customHeight="1" s="83">
      <c r="A27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7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7" s="17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Mgmt'!$N$5:$N$428&gt;=DATE(YEAR(A27),MONTH(A27),1),FALSE)&gt;0))=0,"",IFERROR(_xlfn.XLOOKUP(B27,DormRegistry[Dorm Name],DormRegistry[Ownership Type]),""))</f>
        <v/>
      </c>
      <c r="D27" s="17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Mgmt'!$N$5:$N$428&gt;=DATE(YEAR(A27),MONTH(A27),1),FALSE)&gt;0))=0,"",IFERROR(_xlfn.XLOOKUP(B27,DormRegistry[Dorm Name],DormRegistry[Bed Capacity]),0))</f>
        <v/>
      </c>
      <c r="E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Mgmt'!$N$5:$N$428&gt;=DATE(YEAR(A27),MONTH(A27),1),FALSE)&gt;0))=0,"",$B$6*(1+$B$8)^(YEAR(A27)-YEAR($B$4)))</f>
        <v/>
      </c>
      <c r="F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Mgmt'!$N$5:$N$428&gt;=DATE(YEAR(A27),MONTH(A27),1),FALSE)&gt;0))=0,"",$B$7)</f>
        <v/>
      </c>
      <c r="G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Mgmt'!$N$5:$N$428&gt;=DATE(YEAR(A27),MONTH(A27),1),FALSE)&gt;0))=0,"",$B$8)</f>
        <v/>
      </c>
      <c r="H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Mgmt'!$N$5:$N$428&gt;=DATE(YEAR(A27),MONTH(A27),1),FALSE)&gt;0))=0,"",D27*E27)</f>
        <v/>
      </c>
      <c r="I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Mgmt'!$M$5:$M$428,DATE(YEAR(A27),MONTH(A27),1))))+1)/DAY(EOMONTH(A27,0))),0))</f>
        <v/>
      </c>
      <c r="J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Mgmt'!$N$5:$N$428&gt;=DATE(YEAR(A27),MONTH(A27),1),FALSE)&gt;0))=0,"",D27*F27*E27)</f>
        <v/>
      </c>
      <c r="K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Mgmt'!$N$5:$N$428&gt;=DATE(YEAR(A27),MONTH(A27),1),FALSE)&gt;0))=0,"",75)</f>
        <v/>
      </c>
      <c r="L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Mgmt'!$N$5:$N$428&gt;=DATE(YEAR(A27),MONTH(A27),1),FALSE)&gt;0))=0,"",50)</f>
        <v/>
      </c>
      <c r="M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Mgmt'!$N$5:$N$428&gt;=DATE(YEAR(A27),MONTH(A27),1),FALSE)&gt;0))=0,"",150)</f>
        <v/>
      </c>
      <c r="N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Mgmt'!$N$5:$N$428&gt;=DATE(YEAR(A27),MONTH(A27),1),FALSE)&gt;0))=0,"",125)</f>
        <v/>
      </c>
      <c r="O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Mgmt'!$N$5:$N$428&gt;=DATE(YEAR(A27),MONTH(A27),1),FALSE)&gt;0))=0,"",60)</f>
        <v/>
      </c>
      <c r="P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Mgmt'!$N$5:$N$428&gt;=DATE(YEAR(A27),MONTH(A27),1),FALSE)&gt;0))=0,"",80)</f>
        <v/>
      </c>
      <c r="Q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Mgmt'!$N$5:$N$428&gt;=DATE(YEAR(A27),MONTH(A27),1),FALSE)&gt;0))=0,"",40)</f>
        <v/>
      </c>
      <c r="R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Mgmt'!$N$5:$N$428&gt;=DATE(YEAR(A27),MONTH(A27),1),FALSE)&gt;0))=0,"",IF(C27="Owned",0,2500))</f>
        <v/>
      </c>
      <c r="S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Mgmt'!$N$5:$N$428&gt;=DATE(YEAR(A27),MONTH(A27),1),FALSE)&gt;0))=0,"",SUM(K27:R27))</f>
        <v/>
      </c>
      <c r="T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Mgmt'!$N$5:$N$428&gt;=DATE(YEAR(A27),MONTH(A27),1),FALSE)&gt;0))=0,"",I27-S27)</f>
        <v/>
      </c>
      <c r="U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Mgmt'!$N$5:$N$428&gt;=DATE(YEAR(A27),MONTH(A27),1),FALSE)&gt;0))=0,"",IFERROR(T27/I27,0))</f>
        <v/>
      </c>
      <c r="V27" s="82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Mgmt'!$M$5:$M$428,DATE(YEAR(A27),MONTH(A27),1))))+1)/DAY(EOMONTH(A27,0))),0))</f>
        <v/>
      </c>
      <c r="X27" s="82" t="n"/>
      <c r="Y27" s="82" t="n"/>
      <c r="Z27" s="82" t="n"/>
      <c r="AA27" s="82" t="n"/>
      <c r="AB27" s="82" t="n"/>
    </row>
    <row r="28" hidden="1" ht="14.25" customHeight="1" s="83">
      <c r="A28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8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8" s="17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Mgmt'!$N$5:$N$428&gt;=DATE(YEAR(A28),MONTH(A28),1),FALSE)&gt;0))=0,"",IFERROR(_xlfn.XLOOKUP(B28,DormRegistry[Dorm Name],DormRegistry[Ownership Type]),""))</f>
        <v/>
      </c>
      <c r="D28" s="17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Mgmt'!$N$5:$N$428&gt;=DATE(YEAR(A28),MONTH(A28),1),FALSE)&gt;0))=0,"",IFERROR(_xlfn.XLOOKUP(B28,DormRegistry[Dorm Name],DormRegistry[Bed Capacity]),0))</f>
        <v/>
      </c>
      <c r="E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Mgmt'!$N$5:$N$428&gt;=DATE(YEAR(A28),MONTH(A28),1),FALSE)&gt;0))=0,"",$B$6*(1+$B$8)^(YEAR(A28)-YEAR($B$4)))</f>
        <v/>
      </c>
      <c r="F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Mgmt'!$N$5:$N$428&gt;=DATE(YEAR(A28),MONTH(A28),1),FALSE)&gt;0))=0,"",$B$7)</f>
        <v/>
      </c>
      <c r="G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Mgmt'!$N$5:$N$428&gt;=DATE(YEAR(A28),MONTH(A28),1),FALSE)&gt;0))=0,"",$B$8)</f>
        <v/>
      </c>
      <c r="H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Mgmt'!$N$5:$N$428&gt;=DATE(YEAR(A28),MONTH(A28),1),FALSE)&gt;0))=0,"",D28*E28)</f>
        <v/>
      </c>
      <c r="I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Mgmt'!$M$5:$M$428,DATE(YEAR(A28),MONTH(A28),1))))+1)/DAY(EOMONTH(A28,0))),0))</f>
        <v/>
      </c>
      <c r="J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Mgmt'!$N$5:$N$428&gt;=DATE(YEAR(A28),MONTH(A28),1),FALSE)&gt;0))=0,"",D28*F28*E28)</f>
        <v/>
      </c>
      <c r="K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Mgmt'!$N$5:$N$428&gt;=DATE(YEAR(A28),MONTH(A28),1),FALSE)&gt;0))=0,"",75)</f>
        <v/>
      </c>
      <c r="L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Mgmt'!$N$5:$N$428&gt;=DATE(YEAR(A28),MONTH(A28),1),FALSE)&gt;0))=0,"",50)</f>
        <v/>
      </c>
      <c r="M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Mgmt'!$N$5:$N$428&gt;=DATE(YEAR(A28),MONTH(A28),1),FALSE)&gt;0))=0,"",150)</f>
        <v/>
      </c>
      <c r="N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Mgmt'!$N$5:$N$428&gt;=DATE(YEAR(A28),MONTH(A28),1),FALSE)&gt;0))=0,"",125)</f>
        <v/>
      </c>
      <c r="O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Mgmt'!$N$5:$N$428&gt;=DATE(YEAR(A28),MONTH(A28),1),FALSE)&gt;0))=0,"",60)</f>
        <v/>
      </c>
      <c r="P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Mgmt'!$N$5:$N$428&gt;=DATE(YEAR(A28),MONTH(A28),1),FALSE)&gt;0))=0,"",80)</f>
        <v/>
      </c>
      <c r="Q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Mgmt'!$N$5:$N$428&gt;=DATE(YEAR(A28),MONTH(A28),1),FALSE)&gt;0))=0,"",40)</f>
        <v/>
      </c>
      <c r="R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Mgmt'!$N$5:$N$428&gt;=DATE(YEAR(A28),MONTH(A28),1),FALSE)&gt;0))=0,"",IF(C28="Owned",0,2500))</f>
        <v/>
      </c>
      <c r="S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Mgmt'!$N$5:$N$428&gt;=DATE(YEAR(A28),MONTH(A28),1),FALSE)&gt;0))=0,"",SUM(K28:R28))</f>
        <v/>
      </c>
      <c r="T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Mgmt'!$N$5:$N$428&gt;=DATE(YEAR(A28),MONTH(A28),1),FALSE)&gt;0))=0,"",I28-S28)</f>
        <v/>
      </c>
      <c r="U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Mgmt'!$N$5:$N$428&gt;=DATE(YEAR(A28),MONTH(A28),1),FALSE)&gt;0))=0,"",IFERROR(T28/I28,0))</f>
        <v/>
      </c>
      <c r="V28" s="82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Mgmt'!$M$5:$M$428,DATE(YEAR(A28),MONTH(A28),1))))+1)/DAY(EOMONTH(A28,0))),0))</f>
        <v/>
      </c>
      <c r="X28" s="82" t="n"/>
      <c r="Y28" s="82" t="n"/>
      <c r="Z28" s="82" t="n"/>
      <c r="AA28" s="82" t="n"/>
      <c r="AB28" s="82" t="n"/>
    </row>
    <row r="29" ht="14.25" customHeight="1" s="83">
      <c r="A29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29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29" s="17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Mgmt'!$N$5:$N$428&gt;=DATE(YEAR(A29),MONTH(A29),1),FALSE)&gt;0))=0,"",IFERROR(_xlfn.XLOOKUP(B29,DormRegistry[Dorm Name],DormRegistry[Ownership Type]),""))</f>
        <v/>
      </c>
      <c r="D29" s="17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Mgmt'!$N$5:$N$428&gt;=DATE(YEAR(A29),MONTH(A29),1),FALSE)&gt;0))=0,"",IFERROR(_xlfn.XLOOKUP(B29,DormRegistry[Dorm Name],DormRegistry[Bed Capacity]),0))</f>
        <v/>
      </c>
      <c r="E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Mgmt'!$N$5:$N$428&gt;=DATE(YEAR(A29),MONTH(A29),1),FALSE)&gt;0))=0,"",$B$6*(1+$B$8)^(YEAR(A29)-YEAR($B$4)))</f>
        <v/>
      </c>
      <c r="F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Mgmt'!$N$5:$N$428&gt;=DATE(YEAR(A29),MONTH(A29),1),FALSE)&gt;0))=0,"",$B$7)</f>
        <v/>
      </c>
      <c r="G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Mgmt'!$N$5:$N$428&gt;=DATE(YEAR(A29),MONTH(A29),1),FALSE)&gt;0))=0,"",$B$8)</f>
        <v/>
      </c>
      <c r="H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Mgmt'!$N$5:$N$428&gt;=DATE(YEAR(A29),MONTH(A29),1),FALSE)&gt;0))=0,"",D29*E29)</f>
        <v/>
      </c>
      <c r="I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Mgmt'!$M$5:$M$428,DATE(YEAR(A29),MONTH(A29),1))))+1)/DAY(EOMONTH(A29,0))),0))</f>
        <v/>
      </c>
      <c r="J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Mgmt'!$N$5:$N$428&gt;=DATE(YEAR(A29),MONTH(A29),1),FALSE)&gt;0))=0,"",D29*F29*E29)</f>
        <v/>
      </c>
      <c r="K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Mgmt'!$N$5:$N$428&gt;=DATE(YEAR(A29),MONTH(A29),1),FALSE)&gt;0))=0,"",75)</f>
        <v/>
      </c>
      <c r="L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Mgmt'!$N$5:$N$428&gt;=DATE(YEAR(A29),MONTH(A29),1),FALSE)&gt;0))=0,"",50)</f>
        <v/>
      </c>
      <c r="M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Mgmt'!$N$5:$N$428&gt;=DATE(YEAR(A29),MONTH(A29),1),FALSE)&gt;0))=0,"",150)</f>
        <v/>
      </c>
      <c r="N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Mgmt'!$N$5:$N$428&gt;=DATE(YEAR(A29),MONTH(A29),1),FALSE)&gt;0))=0,"",125)</f>
        <v/>
      </c>
      <c r="O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Mgmt'!$N$5:$N$428&gt;=DATE(YEAR(A29),MONTH(A29),1),FALSE)&gt;0))=0,"",60)</f>
        <v/>
      </c>
      <c r="P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Mgmt'!$N$5:$N$428&gt;=DATE(YEAR(A29),MONTH(A29),1),FALSE)&gt;0))=0,"",80)</f>
        <v/>
      </c>
      <c r="Q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Mgmt'!$N$5:$N$428&gt;=DATE(YEAR(A29),MONTH(A29),1),FALSE)&gt;0))=0,"",40)</f>
        <v/>
      </c>
      <c r="R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Mgmt'!$N$5:$N$428&gt;=DATE(YEAR(A29),MONTH(A29),1),FALSE)&gt;0))=0,"",IF(C29="Owned",0,2500))</f>
        <v/>
      </c>
      <c r="S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Mgmt'!$N$5:$N$428&gt;=DATE(YEAR(A29),MONTH(A29),1),FALSE)&gt;0))=0,"",SUM(K29:R29))</f>
        <v/>
      </c>
      <c r="T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Mgmt'!$N$5:$N$428&gt;=DATE(YEAR(A29),MONTH(A29),1),FALSE)&gt;0))=0,"",I29-S29)</f>
        <v/>
      </c>
      <c r="U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Mgmt'!$N$5:$N$428&gt;=DATE(YEAR(A29),MONTH(A29),1),FALSE)&gt;0))=0,"",IFERROR(T29/I29,0))</f>
        <v/>
      </c>
      <c r="V29" s="82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Mgmt'!$M$5:$M$428,DATE(YEAR(A29),MONTH(A29),1))))+1)/DAY(EOMONTH(A29,0))),0))</f>
        <v/>
      </c>
      <c r="X29" s="82" t="n"/>
      <c r="Y29" s="82" t="n"/>
      <c r="Z29" s="82" t="n"/>
      <c r="AA29" s="82" t="n"/>
      <c r="AB29" s="82" t="n"/>
    </row>
    <row r="30" hidden="1" ht="14.25" customHeight="1" s="83">
      <c r="A30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0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0" s="17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Mgmt'!$N$5:$N$428&gt;=DATE(YEAR(A30),MONTH(A30),1),FALSE)&gt;0))=0,"",IFERROR(_xlfn.XLOOKUP(B30,DormRegistry[Dorm Name],DormRegistry[Ownership Type]),""))</f>
        <v/>
      </c>
      <c r="D30" s="17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Mgmt'!$N$5:$N$428&gt;=DATE(YEAR(A30),MONTH(A30),1),FALSE)&gt;0))=0,"",IFERROR(_xlfn.XLOOKUP(B30,DormRegistry[Dorm Name],DormRegistry[Bed Capacity]),0))</f>
        <v/>
      </c>
      <c r="E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Mgmt'!$N$5:$N$428&gt;=DATE(YEAR(A30),MONTH(A30),1),FALSE)&gt;0))=0,"",$B$6*(1+$B$8)^(YEAR(A30)-YEAR($B$4)))</f>
        <v/>
      </c>
      <c r="F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Mgmt'!$N$5:$N$428&gt;=DATE(YEAR(A30),MONTH(A30),1),FALSE)&gt;0))=0,"",$B$7)</f>
        <v/>
      </c>
      <c r="G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Mgmt'!$N$5:$N$428&gt;=DATE(YEAR(A30),MONTH(A30),1),FALSE)&gt;0))=0,"",$B$8)</f>
        <v/>
      </c>
      <c r="H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Mgmt'!$N$5:$N$428&gt;=DATE(YEAR(A30),MONTH(A30),1),FALSE)&gt;0))=0,"",D30*E30)</f>
        <v/>
      </c>
      <c r="I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Mgmt'!$M$5:$M$428,DATE(YEAR(A30),MONTH(A30),1))))+1)/DAY(EOMONTH(A30,0))),0))</f>
        <v/>
      </c>
      <c r="J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Mgmt'!$N$5:$N$428&gt;=DATE(YEAR(A30),MONTH(A30),1),FALSE)&gt;0))=0,"",D30*F30*E30)</f>
        <v/>
      </c>
      <c r="K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Mgmt'!$N$5:$N$428&gt;=DATE(YEAR(A30),MONTH(A30),1),FALSE)&gt;0))=0,"",75)</f>
        <v/>
      </c>
      <c r="L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Mgmt'!$N$5:$N$428&gt;=DATE(YEAR(A30),MONTH(A30),1),FALSE)&gt;0))=0,"",50)</f>
        <v/>
      </c>
      <c r="M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Mgmt'!$N$5:$N$428&gt;=DATE(YEAR(A30),MONTH(A30),1),FALSE)&gt;0))=0,"",150)</f>
        <v/>
      </c>
      <c r="N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Mgmt'!$N$5:$N$428&gt;=DATE(YEAR(A30),MONTH(A30),1),FALSE)&gt;0))=0,"",125)</f>
        <v/>
      </c>
      <c r="O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Mgmt'!$N$5:$N$428&gt;=DATE(YEAR(A30),MONTH(A30),1),FALSE)&gt;0))=0,"",60)</f>
        <v/>
      </c>
      <c r="P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Mgmt'!$N$5:$N$428&gt;=DATE(YEAR(A30),MONTH(A30),1),FALSE)&gt;0))=0,"",80)</f>
        <v/>
      </c>
      <c r="Q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Mgmt'!$N$5:$N$428&gt;=DATE(YEAR(A30),MONTH(A30),1),FALSE)&gt;0))=0,"",40)</f>
        <v/>
      </c>
      <c r="R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Mgmt'!$N$5:$N$428&gt;=DATE(YEAR(A30),MONTH(A30),1),FALSE)&gt;0))=0,"",IF(C30="Owned",0,2500))</f>
        <v/>
      </c>
      <c r="S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Mgmt'!$N$5:$N$428&gt;=DATE(YEAR(A30),MONTH(A30),1),FALSE)&gt;0))=0,"",SUM(K30:R30))</f>
        <v/>
      </c>
      <c r="T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Mgmt'!$N$5:$N$428&gt;=DATE(YEAR(A30),MONTH(A30),1),FALSE)&gt;0))=0,"",I30-S30)</f>
        <v/>
      </c>
      <c r="U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Mgmt'!$N$5:$N$428&gt;=DATE(YEAR(A30),MONTH(A30),1),FALSE)&gt;0))=0,"",IFERROR(T30/I30,0))</f>
        <v/>
      </c>
      <c r="V30" s="82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Mgmt'!$M$5:$M$428,DATE(YEAR(A30),MONTH(A30),1))))+1)/DAY(EOMONTH(A30,0))),0))</f>
        <v/>
      </c>
      <c r="X30" s="82" t="n"/>
      <c r="Y30" s="82" t="n"/>
      <c r="Z30" s="82" t="n"/>
      <c r="AA30" s="82" t="n"/>
      <c r="AB30" s="82" t="n"/>
    </row>
    <row r="31" hidden="1" ht="14.25" customHeight="1" s="83">
      <c r="A31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1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1" s="17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Mgmt'!$N$5:$N$428&gt;=DATE(YEAR(A31),MONTH(A31),1),FALSE)&gt;0))=0,"",IFERROR(_xlfn.XLOOKUP(B31,DormRegistry[Dorm Name],DormRegistry[Ownership Type]),""))</f>
        <v/>
      </c>
      <c r="D31" s="17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Mgmt'!$N$5:$N$428&gt;=DATE(YEAR(A31),MONTH(A31),1),FALSE)&gt;0))=0,"",IFERROR(_xlfn.XLOOKUP(B31,DormRegistry[Dorm Name],DormRegistry[Bed Capacity]),0))</f>
        <v/>
      </c>
      <c r="E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Mgmt'!$N$5:$N$428&gt;=DATE(YEAR(A31),MONTH(A31),1),FALSE)&gt;0))=0,"",$B$6*(1+$B$8)^(YEAR(A31)-YEAR($B$4)))</f>
        <v/>
      </c>
      <c r="F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Mgmt'!$N$5:$N$428&gt;=DATE(YEAR(A31),MONTH(A31),1),FALSE)&gt;0))=0,"",$B$7)</f>
        <v/>
      </c>
      <c r="G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Mgmt'!$N$5:$N$428&gt;=DATE(YEAR(A31),MONTH(A31),1),FALSE)&gt;0))=0,"",$B$8)</f>
        <v/>
      </c>
      <c r="H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Mgmt'!$N$5:$N$428&gt;=DATE(YEAR(A31),MONTH(A31),1),FALSE)&gt;0))=0,"",D31*E31)</f>
        <v/>
      </c>
      <c r="I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Mgmt'!$M$5:$M$428,DATE(YEAR(A31),MONTH(A31),1))))+1)/DAY(EOMONTH(A31,0))),0))</f>
        <v/>
      </c>
      <c r="J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Mgmt'!$N$5:$N$428&gt;=DATE(YEAR(A31),MONTH(A31),1),FALSE)&gt;0))=0,"",D31*F31*E31)</f>
        <v/>
      </c>
      <c r="K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Mgmt'!$N$5:$N$428&gt;=DATE(YEAR(A31),MONTH(A31),1),FALSE)&gt;0))=0,"",75)</f>
        <v/>
      </c>
      <c r="L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Mgmt'!$N$5:$N$428&gt;=DATE(YEAR(A31),MONTH(A31),1),FALSE)&gt;0))=0,"",50)</f>
        <v/>
      </c>
      <c r="M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Mgmt'!$N$5:$N$428&gt;=DATE(YEAR(A31),MONTH(A31),1),FALSE)&gt;0))=0,"",150)</f>
        <v/>
      </c>
      <c r="N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Mgmt'!$N$5:$N$428&gt;=DATE(YEAR(A31),MONTH(A31),1),FALSE)&gt;0))=0,"",125)</f>
        <v/>
      </c>
      <c r="O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Mgmt'!$N$5:$N$428&gt;=DATE(YEAR(A31),MONTH(A31),1),FALSE)&gt;0))=0,"",60)</f>
        <v/>
      </c>
      <c r="P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Mgmt'!$N$5:$N$428&gt;=DATE(YEAR(A31),MONTH(A31),1),FALSE)&gt;0))=0,"",80)</f>
        <v/>
      </c>
      <c r="Q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Mgmt'!$N$5:$N$428&gt;=DATE(YEAR(A31),MONTH(A31),1),FALSE)&gt;0))=0,"",40)</f>
        <v/>
      </c>
      <c r="R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Mgmt'!$N$5:$N$428&gt;=DATE(YEAR(A31),MONTH(A31),1),FALSE)&gt;0))=0,"",IF(C31="Owned",0,2500))</f>
        <v/>
      </c>
      <c r="S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Mgmt'!$N$5:$N$428&gt;=DATE(YEAR(A31),MONTH(A31),1),FALSE)&gt;0))=0,"",SUM(K31:R31))</f>
        <v/>
      </c>
      <c r="T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Mgmt'!$N$5:$N$428&gt;=DATE(YEAR(A31),MONTH(A31),1),FALSE)&gt;0))=0,"",I31-S31)</f>
        <v/>
      </c>
      <c r="U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Mgmt'!$N$5:$N$428&gt;=DATE(YEAR(A31),MONTH(A31),1),FALSE)&gt;0))=0,"",IFERROR(T31/I31,0))</f>
        <v/>
      </c>
      <c r="V31" s="82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Mgmt'!$M$5:$M$428,DATE(YEAR(A31),MONTH(A31),1))))+1)/DAY(EOMONTH(A31,0))),0))</f>
        <v/>
      </c>
      <c r="X31" s="82" t="n"/>
      <c r="Y31" s="82" t="n"/>
      <c r="Z31" s="82" t="n"/>
      <c r="AA31" s="82" t="n"/>
      <c r="AB31" s="82" t="n"/>
    </row>
    <row r="32" ht="14.25" customHeight="1" s="83">
      <c r="A32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2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2" s="17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Mgmt'!$N$5:$N$428&gt;=DATE(YEAR(A32),MONTH(A32),1),FALSE)&gt;0))=0,"",IFERROR(_xlfn.XLOOKUP(B32,DormRegistry[Dorm Name],DormRegistry[Ownership Type]),""))</f>
        <v/>
      </c>
      <c r="D32" s="17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Mgmt'!$N$5:$N$428&gt;=DATE(YEAR(A32),MONTH(A32),1),FALSE)&gt;0))=0,"",IFERROR(_xlfn.XLOOKUP(B32,DormRegistry[Dorm Name],DormRegistry[Bed Capacity]),0))</f>
        <v/>
      </c>
      <c r="E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Mgmt'!$N$5:$N$428&gt;=DATE(YEAR(A32),MONTH(A32),1),FALSE)&gt;0))=0,"",$B$6*(1+$B$8)^(YEAR(A32)-YEAR($B$4)))</f>
        <v/>
      </c>
      <c r="F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Mgmt'!$N$5:$N$428&gt;=DATE(YEAR(A32),MONTH(A32),1),FALSE)&gt;0))=0,"",$B$7)</f>
        <v/>
      </c>
      <c r="G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Mgmt'!$N$5:$N$428&gt;=DATE(YEAR(A32),MONTH(A32),1),FALSE)&gt;0))=0,"",$B$8)</f>
        <v/>
      </c>
      <c r="H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Mgmt'!$N$5:$N$428&gt;=DATE(YEAR(A32),MONTH(A32),1),FALSE)&gt;0))=0,"",D32*E32)</f>
        <v/>
      </c>
      <c r="I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Mgmt'!$M$5:$M$428,DATE(YEAR(A32),MONTH(A32),1))))+1)/DAY(EOMONTH(A32,0))),0))</f>
        <v/>
      </c>
      <c r="J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Mgmt'!$N$5:$N$428&gt;=DATE(YEAR(A32),MONTH(A32),1),FALSE)&gt;0))=0,"",D32*F32*E32)</f>
        <v/>
      </c>
      <c r="K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Mgmt'!$N$5:$N$428&gt;=DATE(YEAR(A32),MONTH(A32),1),FALSE)&gt;0))=0,"",75)</f>
        <v/>
      </c>
      <c r="L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Mgmt'!$N$5:$N$428&gt;=DATE(YEAR(A32),MONTH(A32),1),FALSE)&gt;0))=0,"",50)</f>
        <v/>
      </c>
      <c r="M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Mgmt'!$N$5:$N$428&gt;=DATE(YEAR(A32),MONTH(A32),1),FALSE)&gt;0))=0,"",150)</f>
        <v/>
      </c>
      <c r="N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Mgmt'!$N$5:$N$428&gt;=DATE(YEAR(A32),MONTH(A32),1),FALSE)&gt;0))=0,"",125)</f>
        <v/>
      </c>
      <c r="O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Mgmt'!$N$5:$N$428&gt;=DATE(YEAR(A32),MONTH(A32),1),FALSE)&gt;0))=0,"",60)</f>
        <v/>
      </c>
      <c r="P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Mgmt'!$N$5:$N$428&gt;=DATE(YEAR(A32),MONTH(A32),1),FALSE)&gt;0))=0,"",80)</f>
        <v/>
      </c>
      <c r="Q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Mgmt'!$N$5:$N$428&gt;=DATE(YEAR(A32),MONTH(A32),1),FALSE)&gt;0))=0,"",40)</f>
        <v/>
      </c>
      <c r="R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Mgmt'!$N$5:$N$428&gt;=DATE(YEAR(A32),MONTH(A32),1),FALSE)&gt;0))=0,"",IF(C32="Owned",0,2500))</f>
        <v/>
      </c>
      <c r="S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Mgmt'!$N$5:$N$428&gt;=DATE(YEAR(A32),MONTH(A32),1),FALSE)&gt;0))=0,"",SUM(K32:R32))</f>
        <v/>
      </c>
      <c r="T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Mgmt'!$N$5:$N$428&gt;=DATE(YEAR(A32),MONTH(A32),1),FALSE)&gt;0))=0,"",I32-S32)</f>
        <v/>
      </c>
      <c r="U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Mgmt'!$N$5:$N$428&gt;=DATE(YEAR(A32),MONTH(A32),1),FALSE)&gt;0))=0,"",IFERROR(T32/I32,0))</f>
        <v/>
      </c>
      <c r="V32" s="82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Mgmt'!$M$5:$M$428,DATE(YEAR(A32),MONTH(A32),1))))+1)/DAY(EOMONTH(A32,0))),0))</f>
        <v/>
      </c>
      <c r="X32" s="82" t="n"/>
      <c r="Y32" s="82" t="n"/>
      <c r="Z32" s="82" t="n"/>
      <c r="AA32" s="82" t="n"/>
      <c r="AB32" s="82" t="n"/>
    </row>
    <row r="33" hidden="1" ht="14.25" customHeight="1" s="83">
      <c r="A33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3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3" s="17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Mgmt'!$N$5:$N$428&gt;=DATE(YEAR(A33),MONTH(A33),1),FALSE)&gt;0))=0,"",IFERROR(_xlfn.XLOOKUP(B33,DormRegistry[Dorm Name],DormRegistry[Ownership Type]),""))</f>
        <v/>
      </c>
      <c r="D33" s="17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Mgmt'!$N$5:$N$428&gt;=DATE(YEAR(A33),MONTH(A33),1),FALSE)&gt;0))=0,"",IFERROR(_xlfn.XLOOKUP(B33,DormRegistry[Dorm Name],DormRegistry[Bed Capacity]),0))</f>
        <v/>
      </c>
      <c r="E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Mgmt'!$N$5:$N$428&gt;=DATE(YEAR(A33),MONTH(A33),1),FALSE)&gt;0))=0,"",$B$6*(1+$B$8)^(YEAR(A33)-YEAR($B$4)))</f>
        <v/>
      </c>
      <c r="F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Mgmt'!$N$5:$N$428&gt;=DATE(YEAR(A33),MONTH(A33),1),FALSE)&gt;0))=0,"",$B$7)</f>
        <v/>
      </c>
      <c r="G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Mgmt'!$N$5:$N$428&gt;=DATE(YEAR(A33),MONTH(A33),1),FALSE)&gt;0))=0,"",$B$8)</f>
        <v/>
      </c>
      <c r="H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Mgmt'!$N$5:$N$428&gt;=DATE(YEAR(A33),MONTH(A33),1),FALSE)&gt;0))=0,"",D33*E33)</f>
        <v/>
      </c>
      <c r="I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Mgmt'!$M$5:$M$428,DATE(YEAR(A33),MONTH(A33),1))))+1)/DAY(EOMONTH(A33,0))),0))</f>
        <v/>
      </c>
      <c r="J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Mgmt'!$N$5:$N$428&gt;=DATE(YEAR(A33),MONTH(A33),1),FALSE)&gt;0))=0,"",D33*F33*E33)</f>
        <v/>
      </c>
      <c r="K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Mgmt'!$N$5:$N$428&gt;=DATE(YEAR(A33),MONTH(A33),1),FALSE)&gt;0))=0,"",75)</f>
        <v/>
      </c>
      <c r="L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Mgmt'!$N$5:$N$428&gt;=DATE(YEAR(A33),MONTH(A33),1),FALSE)&gt;0))=0,"",50)</f>
        <v/>
      </c>
      <c r="M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Mgmt'!$N$5:$N$428&gt;=DATE(YEAR(A33),MONTH(A33),1),FALSE)&gt;0))=0,"",150)</f>
        <v/>
      </c>
      <c r="N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Mgmt'!$N$5:$N$428&gt;=DATE(YEAR(A33),MONTH(A33),1),FALSE)&gt;0))=0,"",125)</f>
        <v/>
      </c>
      <c r="O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Mgmt'!$N$5:$N$428&gt;=DATE(YEAR(A33),MONTH(A33),1),FALSE)&gt;0))=0,"",60)</f>
        <v/>
      </c>
      <c r="P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Mgmt'!$N$5:$N$428&gt;=DATE(YEAR(A33),MONTH(A33),1),FALSE)&gt;0))=0,"",80)</f>
        <v/>
      </c>
      <c r="Q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Mgmt'!$N$5:$N$428&gt;=DATE(YEAR(A33),MONTH(A33),1),FALSE)&gt;0))=0,"",40)</f>
        <v/>
      </c>
      <c r="R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Mgmt'!$N$5:$N$428&gt;=DATE(YEAR(A33),MONTH(A33),1),FALSE)&gt;0))=0,"",IF(C33="Owned",0,2500))</f>
        <v/>
      </c>
      <c r="S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Mgmt'!$N$5:$N$428&gt;=DATE(YEAR(A33),MONTH(A33),1),FALSE)&gt;0))=0,"",SUM(K33:R33))</f>
        <v/>
      </c>
      <c r="T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Mgmt'!$N$5:$N$428&gt;=DATE(YEAR(A33),MONTH(A33),1),FALSE)&gt;0))=0,"",I33-S33)</f>
        <v/>
      </c>
      <c r="U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Mgmt'!$N$5:$N$428&gt;=DATE(YEAR(A33),MONTH(A33),1),FALSE)&gt;0))=0,"",IFERROR(T33/I33,0))</f>
        <v/>
      </c>
      <c r="V33" s="82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Mgmt'!$M$5:$M$428,DATE(YEAR(A33),MONTH(A33),1))))+1)/DAY(EOMONTH(A33,0))),0))</f>
        <v/>
      </c>
      <c r="X33" s="82" t="n"/>
      <c r="Y33" s="82" t="n"/>
      <c r="Z33" s="82" t="n"/>
      <c r="AA33" s="82" t="n"/>
      <c r="AB33" s="82" t="n"/>
    </row>
    <row r="34" hidden="1" ht="14.25" customHeight="1" s="83">
      <c r="A34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4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4" s="17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Mgmt'!$N$5:$N$428&gt;=DATE(YEAR(A34),MONTH(A34),1),FALSE)&gt;0))=0,"",IFERROR(_xlfn.XLOOKUP(B34,DormRegistry[Dorm Name],DormRegistry[Ownership Type]),""))</f>
        <v/>
      </c>
      <c r="D34" s="17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Mgmt'!$N$5:$N$428&gt;=DATE(YEAR(A34),MONTH(A34),1),FALSE)&gt;0))=0,"",IFERROR(_xlfn.XLOOKUP(B34,DormRegistry[Dorm Name],DormRegistry[Bed Capacity]),0))</f>
        <v/>
      </c>
      <c r="E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Mgmt'!$N$5:$N$428&gt;=DATE(YEAR(A34),MONTH(A34),1),FALSE)&gt;0))=0,"",$B$6*(1+$B$8)^(YEAR(A34)-YEAR($B$4)))</f>
        <v/>
      </c>
      <c r="F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Mgmt'!$N$5:$N$428&gt;=DATE(YEAR(A34),MONTH(A34),1),FALSE)&gt;0))=0,"",$B$7)</f>
        <v/>
      </c>
      <c r="G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Mgmt'!$N$5:$N$428&gt;=DATE(YEAR(A34),MONTH(A34),1),FALSE)&gt;0))=0,"",$B$8)</f>
        <v/>
      </c>
      <c r="H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Mgmt'!$N$5:$N$428&gt;=DATE(YEAR(A34),MONTH(A34),1),FALSE)&gt;0))=0,"",D34*E34)</f>
        <v/>
      </c>
      <c r="I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Mgmt'!$M$5:$M$428,DATE(YEAR(A34),MONTH(A34),1))))+1)/DAY(EOMONTH(A34,0))),0))</f>
        <v/>
      </c>
      <c r="J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Mgmt'!$N$5:$N$428&gt;=DATE(YEAR(A34),MONTH(A34),1),FALSE)&gt;0))=0,"",D34*F34*E34)</f>
        <v/>
      </c>
      <c r="K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Mgmt'!$N$5:$N$428&gt;=DATE(YEAR(A34),MONTH(A34),1),FALSE)&gt;0))=0,"",75)</f>
        <v/>
      </c>
      <c r="L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Mgmt'!$N$5:$N$428&gt;=DATE(YEAR(A34),MONTH(A34),1),FALSE)&gt;0))=0,"",50)</f>
        <v/>
      </c>
      <c r="M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Mgmt'!$N$5:$N$428&gt;=DATE(YEAR(A34),MONTH(A34),1),FALSE)&gt;0))=0,"",150)</f>
        <v/>
      </c>
      <c r="N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Mgmt'!$N$5:$N$428&gt;=DATE(YEAR(A34),MONTH(A34),1),FALSE)&gt;0))=0,"",125)</f>
        <v/>
      </c>
      <c r="O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Mgmt'!$N$5:$N$428&gt;=DATE(YEAR(A34),MONTH(A34),1),FALSE)&gt;0))=0,"",60)</f>
        <v/>
      </c>
      <c r="P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Mgmt'!$N$5:$N$428&gt;=DATE(YEAR(A34),MONTH(A34),1),FALSE)&gt;0))=0,"",80)</f>
        <v/>
      </c>
      <c r="Q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Mgmt'!$N$5:$N$428&gt;=DATE(YEAR(A34),MONTH(A34),1),FALSE)&gt;0))=0,"",40)</f>
        <v/>
      </c>
      <c r="R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Mgmt'!$N$5:$N$428&gt;=DATE(YEAR(A34),MONTH(A34),1),FALSE)&gt;0))=0,"",IF(C34="Owned",0,2500))</f>
        <v/>
      </c>
      <c r="S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Mgmt'!$N$5:$N$428&gt;=DATE(YEAR(A34),MONTH(A34),1),FALSE)&gt;0))=0,"",SUM(K34:R34))</f>
        <v/>
      </c>
      <c r="T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Mgmt'!$N$5:$N$428&gt;=DATE(YEAR(A34),MONTH(A34),1),FALSE)&gt;0))=0,"",I34-S34)</f>
        <v/>
      </c>
      <c r="U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Mgmt'!$N$5:$N$428&gt;=DATE(YEAR(A34),MONTH(A34),1),FALSE)&gt;0))=0,"",IFERROR(T34/I34,0))</f>
        <v/>
      </c>
      <c r="V34" s="82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Mgmt'!$M$5:$M$428,DATE(YEAR(A34),MONTH(A34),1))))+1)/DAY(EOMONTH(A34,0))),0))</f>
        <v/>
      </c>
      <c r="X34" s="82" t="n"/>
      <c r="Y34" s="82" t="n"/>
      <c r="Z34" s="82" t="n"/>
      <c r="AA34" s="82" t="n"/>
      <c r="AB34" s="82" t="n"/>
    </row>
    <row r="35" ht="14.25" customHeight="1" s="83">
      <c r="A35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5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5" s="17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Mgmt'!$N$5:$N$428&gt;=DATE(YEAR(A35),MONTH(A35),1),FALSE)&gt;0))=0,"",IFERROR(_xlfn.XLOOKUP(B35,DormRegistry[Dorm Name],DormRegistry[Ownership Type]),""))</f>
        <v/>
      </c>
      <c r="D35" s="17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Mgmt'!$N$5:$N$428&gt;=DATE(YEAR(A35),MONTH(A35),1),FALSE)&gt;0))=0,"",IFERROR(_xlfn.XLOOKUP(B35,DormRegistry[Dorm Name],DormRegistry[Bed Capacity]),0))</f>
        <v/>
      </c>
      <c r="E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Mgmt'!$N$5:$N$428&gt;=DATE(YEAR(A35),MONTH(A35),1),FALSE)&gt;0))=0,"",$B$6*(1+$B$8)^(YEAR(A35)-YEAR($B$4)))</f>
        <v/>
      </c>
      <c r="F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Mgmt'!$N$5:$N$428&gt;=DATE(YEAR(A35),MONTH(A35),1),FALSE)&gt;0))=0,"",$B$7)</f>
        <v/>
      </c>
      <c r="G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Mgmt'!$N$5:$N$428&gt;=DATE(YEAR(A35),MONTH(A35),1),FALSE)&gt;0))=0,"",$B$8)</f>
        <v/>
      </c>
      <c r="H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Mgmt'!$N$5:$N$428&gt;=DATE(YEAR(A35),MONTH(A35),1),FALSE)&gt;0))=0,"",D35*E35)</f>
        <v/>
      </c>
      <c r="I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Mgmt'!$M$5:$M$428,DATE(YEAR(A35),MONTH(A35),1))))+1)/DAY(EOMONTH(A35,0))),0))</f>
        <v/>
      </c>
      <c r="J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Mgmt'!$N$5:$N$428&gt;=DATE(YEAR(A35),MONTH(A35),1),FALSE)&gt;0))=0,"",D35*F35*E35)</f>
        <v/>
      </c>
      <c r="K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Mgmt'!$N$5:$N$428&gt;=DATE(YEAR(A35),MONTH(A35),1),FALSE)&gt;0))=0,"",75)</f>
        <v/>
      </c>
      <c r="L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Mgmt'!$N$5:$N$428&gt;=DATE(YEAR(A35),MONTH(A35),1),FALSE)&gt;0))=0,"",50)</f>
        <v/>
      </c>
      <c r="M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Mgmt'!$N$5:$N$428&gt;=DATE(YEAR(A35),MONTH(A35),1),FALSE)&gt;0))=0,"",150)</f>
        <v/>
      </c>
      <c r="N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Mgmt'!$N$5:$N$428&gt;=DATE(YEAR(A35),MONTH(A35),1),FALSE)&gt;0))=0,"",125)</f>
        <v/>
      </c>
      <c r="O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Mgmt'!$N$5:$N$428&gt;=DATE(YEAR(A35),MONTH(A35),1),FALSE)&gt;0))=0,"",60)</f>
        <v/>
      </c>
      <c r="P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Mgmt'!$N$5:$N$428&gt;=DATE(YEAR(A35),MONTH(A35),1),FALSE)&gt;0))=0,"",80)</f>
        <v/>
      </c>
      <c r="Q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Mgmt'!$N$5:$N$428&gt;=DATE(YEAR(A35),MONTH(A35),1),FALSE)&gt;0))=0,"",40)</f>
        <v/>
      </c>
      <c r="R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Mgmt'!$N$5:$N$428&gt;=DATE(YEAR(A35),MONTH(A35),1),FALSE)&gt;0))=0,"",IF(C35="Owned",0,2500))</f>
        <v/>
      </c>
      <c r="S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Mgmt'!$N$5:$N$428&gt;=DATE(YEAR(A35),MONTH(A35),1),FALSE)&gt;0))=0,"",SUM(K35:R35))</f>
        <v/>
      </c>
      <c r="T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Mgmt'!$N$5:$N$428&gt;=DATE(YEAR(A35),MONTH(A35),1),FALSE)&gt;0))=0,"",I35-S35)</f>
        <v/>
      </c>
      <c r="U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Mgmt'!$N$5:$N$428&gt;=DATE(YEAR(A35),MONTH(A35),1),FALSE)&gt;0))=0,"",IFERROR(T35/I35,0))</f>
        <v/>
      </c>
      <c r="V35" s="82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Mgmt'!$M$5:$M$428,DATE(YEAR(A35),MONTH(A35),1))))+1)/DAY(EOMONTH(A35,0))),0))</f>
        <v/>
      </c>
      <c r="X35" s="82" t="n"/>
      <c r="Y35" s="82" t="n"/>
      <c r="Z35" s="82" t="n"/>
      <c r="AA35" s="82" t="n"/>
      <c r="AB35" s="82" t="n"/>
    </row>
    <row r="36" hidden="1" ht="14.25" customHeight="1" s="83">
      <c r="A36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6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6" s="17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Mgmt'!$N$5:$N$428&gt;=DATE(YEAR(A36),MONTH(A36),1),FALSE)&gt;0))=0,"",IFERROR(_xlfn.XLOOKUP(B36,DormRegistry[Dorm Name],DormRegistry[Ownership Type]),""))</f>
        <v/>
      </c>
      <c r="D36" s="17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Mgmt'!$N$5:$N$428&gt;=DATE(YEAR(A36),MONTH(A36),1),FALSE)&gt;0))=0,"",IFERROR(_xlfn.XLOOKUP(B36,DormRegistry[Dorm Name],DormRegistry[Bed Capacity]),0))</f>
        <v/>
      </c>
      <c r="E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Mgmt'!$N$5:$N$428&gt;=DATE(YEAR(A36),MONTH(A36),1),FALSE)&gt;0))=0,"",$B$6*(1+$B$8)^(YEAR(A36)-YEAR($B$4)))</f>
        <v/>
      </c>
      <c r="F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Mgmt'!$N$5:$N$428&gt;=DATE(YEAR(A36),MONTH(A36),1),FALSE)&gt;0))=0,"",$B$7)</f>
        <v/>
      </c>
      <c r="G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Mgmt'!$N$5:$N$428&gt;=DATE(YEAR(A36),MONTH(A36),1),FALSE)&gt;0))=0,"",$B$8)</f>
        <v/>
      </c>
      <c r="H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Mgmt'!$N$5:$N$428&gt;=DATE(YEAR(A36),MONTH(A36),1),FALSE)&gt;0))=0,"",D36*E36)</f>
        <v/>
      </c>
      <c r="I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Mgmt'!$M$5:$M$428,DATE(YEAR(A36),MONTH(A36),1))))+1)/DAY(EOMONTH(A36,0))),0))</f>
        <v/>
      </c>
      <c r="J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Mgmt'!$N$5:$N$428&gt;=DATE(YEAR(A36),MONTH(A36),1),FALSE)&gt;0))=0,"",D36*F36*E36)</f>
        <v/>
      </c>
      <c r="K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Mgmt'!$N$5:$N$428&gt;=DATE(YEAR(A36),MONTH(A36),1),FALSE)&gt;0))=0,"",75)</f>
        <v/>
      </c>
      <c r="L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Mgmt'!$N$5:$N$428&gt;=DATE(YEAR(A36),MONTH(A36),1),FALSE)&gt;0))=0,"",50)</f>
        <v/>
      </c>
      <c r="M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Mgmt'!$N$5:$N$428&gt;=DATE(YEAR(A36),MONTH(A36),1),FALSE)&gt;0))=0,"",150)</f>
        <v/>
      </c>
      <c r="N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Mgmt'!$N$5:$N$428&gt;=DATE(YEAR(A36),MONTH(A36),1),FALSE)&gt;0))=0,"",125)</f>
        <v/>
      </c>
      <c r="O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Mgmt'!$N$5:$N$428&gt;=DATE(YEAR(A36),MONTH(A36),1),FALSE)&gt;0))=0,"",60)</f>
        <v/>
      </c>
      <c r="P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Mgmt'!$N$5:$N$428&gt;=DATE(YEAR(A36),MONTH(A36),1),FALSE)&gt;0))=0,"",80)</f>
        <v/>
      </c>
      <c r="Q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Mgmt'!$N$5:$N$428&gt;=DATE(YEAR(A36),MONTH(A36),1),FALSE)&gt;0))=0,"",40)</f>
        <v/>
      </c>
      <c r="R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Mgmt'!$N$5:$N$428&gt;=DATE(YEAR(A36),MONTH(A36),1),FALSE)&gt;0))=0,"",IF(C36="Owned",0,2500))</f>
        <v/>
      </c>
      <c r="S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Mgmt'!$N$5:$N$428&gt;=DATE(YEAR(A36),MONTH(A36),1),FALSE)&gt;0))=0,"",SUM(K36:R36))</f>
        <v/>
      </c>
      <c r="T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Mgmt'!$N$5:$N$428&gt;=DATE(YEAR(A36),MONTH(A36),1),FALSE)&gt;0))=0,"",I36-S36)</f>
        <v/>
      </c>
      <c r="U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Mgmt'!$N$5:$N$428&gt;=DATE(YEAR(A36),MONTH(A36),1),FALSE)&gt;0))=0,"",IFERROR(T36/I36,0))</f>
        <v/>
      </c>
      <c r="V36" s="82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Mgmt'!$M$5:$M$428,DATE(YEAR(A36),MONTH(A36),1))))+1)/DAY(EOMONTH(A36,0))),0))</f>
        <v/>
      </c>
      <c r="X36" s="82" t="n"/>
      <c r="Y36" s="82" t="n"/>
      <c r="Z36" s="82" t="n"/>
      <c r="AA36" s="82" t="n"/>
      <c r="AB36" s="82" t="n"/>
    </row>
    <row r="37" hidden="1" ht="14.25" customHeight="1" s="83">
      <c r="A37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7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7" s="17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Mgmt'!$N$5:$N$428&gt;=DATE(YEAR(A37),MONTH(A37),1),FALSE)&gt;0))=0,"",IFERROR(_xlfn.XLOOKUP(B37,DormRegistry[Dorm Name],DormRegistry[Ownership Type]),""))</f>
        <v/>
      </c>
      <c r="D37" s="17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Mgmt'!$N$5:$N$428&gt;=DATE(YEAR(A37),MONTH(A37),1),FALSE)&gt;0))=0,"",IFERROR(_xlfn.XLOOKUP(B37,DormRegistry[Dorm Name],DormRegistry[Bed Capacity]),0))</f>
        <v/>
      </c>
      <c r="E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Mgmt'!$N$5:$N$428&gt;=DATE(YEAR(A37),MONTH(A37),1),FALSE)&gt;0))=0,"",$B$6*(1+$B$8)^(YEAR(A37)-YEAR($B$4)))</f>
        <v/>
      </c>
      <c r="F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Mgmt'!$N$5:$N$428&gt;=DATE(YEAR(A37),MONTH(A37),1),FALSE)&gt;0))=0,"",$B$7)</f>
        <v/>
      </c>
      <c r="G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Mgmt'!$N$5:$N$428&gt;=DATE(YEAR(A37),MONTH(A37),1),FALSE)&gt;0))=0,"",$B$8)</f>
        <v/>
      </c>
      <c r="H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Mgmt'!$N$5:$N$428&gt;=DATE(YEAR(A37),MONTH(A37),1),FALSE)&gt;0))=0,"",D37*E37)</f>
        <v/>
      </c>
      <c r="I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Mgmt'!$M$5:$M$428,DATE(YEAR(A37),MONTH(A37),1))))+1)/DAY(EOMONTH(A37,0))),0))</f>
        <v/>
      </c>
      <c r="J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Mgmt'!$N$5:$N$428&gt;=DATE(YEAR(A37),MONTH(A37),1),FALSE)&gt;0))=0,"",D37*F37*E37)</f>
        <v/>
      </c>
      <c r="K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Mgmt'!$N$5:$N$428&gt;=DATE(YEAR(A37),MONTH(A37),1),FALSE)&gt;0))=0,"",75)</f>
        <v/>
      </c>
      <c r="L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Mgmt'!$N$5:$N$428&gt;=DATE(YEAR(A37),MONTH(A37),1),FALSE)&gt;0))=0,"",50)</f>
        <v/>
      </c>
      <c r="M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Mgmt'!$N$5:$N$428&gt;=DATE(YEAR(A37),MONTH(A37),1),FALSE)&gt;0))=0,"",150)</f>
        <v/>
      </c>
      <c r="N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Mgmt'!$N$5:$N$428&gt;=DATE(YEAR(A37),MONTH(A37),1),FALSE)&gt;0))=0,"",125)</f>
        <v/>
      </c>
      <c r="O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Mgmt'!$N$5:$N$428&gt;=DATE(YEAR(A37),MONTH(A37),1),FALSE)&gt;0))=0,"",60)</f>
        <v/>
      </c>
      <c r="P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Mgmt'!$N$5:$N$428&gt;=DATE(YEAR(A37),MONTH(A37),1),FALSE)&gt;0))=0,"",80)</f>
        <v/>
      </c>
      <c r="Q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Mgmt'!$N$5:$N$428&gt;=DATE(YEAR(A37),MONTH(A37),1),FALSE)&gt;0))=0,"",40)</f>
        <v/>
      </c>
      <c r="R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Mgmt'!$N$5:$N$428&gt;=DATE(YEAR(A37),MONTH(A37),1),FALSE)&gt;0))=0,"",IF(C37="Owned",0,2500))</f>
        <v/>
      </c>
      <c r="S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Mgmt'!$N$5:$N$428&gt;=DATE(YEAR(A37),MONTH(A37),1),FALSE)&gt;0))=0,"",SUM(K37:R37))</f>
        <v/>
      </c>
      <c r="T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Mgmt'!$N$5:$N$428&gt;=DATE(YEAR(A37),MONTH(A37),1),FALSE)&gt;0))=0,"",I37-S37)</f>
        <v/>
      </c>
      <c r="U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Mgmt'!$N$5:$N$428&gt;=DATE(YEAR(A37),MONTH(A37),1),FALSE)&gt;0))=0,"",IFERROR(T37/I37,0))</f>
        <v/>
      </c>
      <c r="V37" s="82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Mgmt'!$M$5:$M$428,DATE(YEAR(A37),MONTH(A37),1))))+1)/DAY(EOMONTH(A37,0))),0))</f>
        <v/>
      </c>
      <c r="X37" s="82" t="n"/>
      <c r="Y37" s="82" t="n"/>
      <c r="Z37" s="82" t="n"/>
      <c r="AA37" s="82" t="n"/>
      <c r="AB37" s="82" t="n"/>
    </row>
    <row r="38" ht="14.25" customHeight="1" s="83">
      <c r="A38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8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8" s="17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Mgmt'!$N$5:$N$428&gt;=DATE(YEAR(A38),MONTH(A38),1),FALSE)&gt;0))=0,"",IFERROR(_xlfn.XLOOKUP(B38,DormRegistry[Dorm Name],DormRegistry[Ownership Type]),""))</f>
        <v/>
      </c>
      <c r="D38" s="17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Mgmt'!$N$5:$N$428&gt;=DATE(YEAR(A38),MONTH(A38),1),FALSE)&gt;0))=0,"",IFERROR(_xlfn.XLOOKUP(B38,DormRegistry[Dorm Name],DormRegistry[Bed Capacity]),0))</f>
        <v/>
      </c>
      <c r="E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Mgmt'!$N$5:$N$428&gt;=DATE(YEAR(A38),MONTH(A38),1),FALSE)&gt;0))=0,"",$B$6*(1+$B$8)^(YEAR(A38)-YEAR($B$4)))</f>
        <v/>
      </c>
      <c r="F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Mgmt'!$N$5:$N$428&gt;=DATE(YEAR(A38),MONTH(A38),1),FALSE)&gt;0))=0,"",$B$7)</f>
        <v/>
      </c>
      <c r="G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Mgmt'!$N$5:$N$428&gt;=DATE(YEAR(A38),MONTH(A38),1),FALSE)&gt;0))=0,"",$B$8)</f>
        <v/>
      </c>
      <c r="H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Mgmt'!$N$5:$N$428&gt;=DATE(YEAR(A38),MONTH(A38),1),FALSE)&gt;0))=0,"",D38*E38)</f>
        <v/>
      </c>
      <c r="I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Mgmt'!$M$5:$M$428,DATE(YEAR(A38),MONTH(A38),1))))+1)/DAY(EOMONTH(A38,0))),0))</f>
        <v/>
      </c>
      <c r="J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Mgmt'!$N$5:$N$428&gt;=DATE(YEAR(A38),MONTH(A38),1),FALSE)&gt;0))=0,"",D38*F38*E38)</f>
        <v/>
      </c>
      <c r="K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Mgmt'!$N$5:$N$428&gt;=DATE(YEAR(A38),MONTH(A38),1),FALSE)&gt;0))=0,"",75)</f>
        <v/>
      </c>
      <c r="L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Mgmt'!$N$5:$N$428&gt;=DATE(YEAR(A38),MONTH(A38),1),FALSE)&gt;0))=0,"",50)</f>
        <v/>
      </c>
      <c r="M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Mgmt'!$N$5:$N$428&gt;=DATE(YEAR(A38),MONTH(A38),1),FALSE)&gt;0))=0,"",150)</f>
        <v/>
      </c>
      <c r="N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Mgmt'!$N$5:$N$428&gt;=DATE(YEAR(A38),MONTH(A38),1),FALSE)&gt;0))=0,"",125)</f>
        <v/>
      </c>
      <c r="O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Mgmt'!$N$5:$N$428&gt;=DATE(YEAR(A38),MONTH(A38),1),FALSE)&gt;0))=0,"",60)</f>
        <v/>
      </c>
      <c r="P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Mgmt'!$N$5:$N$428&gt;=DATE(YEAR(A38),MONTH(A38),1),FALSE)&gt;0))=0,"",80)</f>
        <v/>
      </c>
      <c r="Q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Mgmt'!$N$5:$N$428&gt;=DATE(YEAR(A38),MONTH(A38),1),FALSE)&gt;0))=0,"",40)</f>
        <v/>
      </c>
      <c r="R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Mgmt'!$N$5:$N$428&gt;=DATE(YEAR(A38),MONTH(A38),1),FALSE)&gt;0))=0,"",IF(C38="Owned",0,2500))</f>
        <v/>
      </c>
      <c r="S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Mgmt'!$N$5:$N$428&gt;=DATE(YEAR(A38),MONTH(A38),1),FALSE)&gt;0))=0,"",SUM(K38:R38))</f>
        <v/>
      </c>
      <c r="T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Mgmt'!$N$5:$N$428&gt;=DATE(YEAR(A38),MONTH(A38),1),FALSE)&gt;0))=0,"",I38-S38)</f>
        <v/>
      </c>
      <c r="U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Mgmt'!$N$5:$N$428&gt;=DATE(YEAR(A38),MONTH(A38),1),FALSE)&gt;0))=0,"",IFERROR(T38/I38,0))</f>
        <v/>
      </c>
      <c r="V38" s="82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Mgmt'!$M$5:$M$428,DATE(YEAR(A38),MONTH(A38),1))))+1)/DAY(EOMONTH(A38,0))),0))</f>
        <v/>
      </c>
      <c r="X38" s="82" t="n"/>
      <c r="Y38" s="82" t="n"/>
      <c r="Z38" s="82" t="n"/>
      <c r="AA38" s="82" t="n"/>
      <c r="AB38" s="82" t="n"/>
    </row>
    <row r="39" hidden="1" ht="14.25" customHeight="1" s="83">
      <c r="A39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39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39" s="17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Mgmt'!$N$5:$N$428&gt;=DATE(YEAR(A39),MONTH(A39),1),FALSE)&gt;0))=0,"",IFERROR(_xlfn.XLOOKUP(B39,DormRegistry[Dorm Name],DormRegistry[Ownership Type]),""))</f>
        <v/>
      </c>
      <c r="D39" s="17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Mgmt'!$N$5:$N$428&gt;=DATE(YEAR(A39),MONTH(A39),1),FALSE)&gt;0))=0,"",IFERROR(_xlfn.XLOOKUP(B39,DormRegistry[Dorm Name],DormRegistry[Bed Capacity]),0))</f>
        <v/>
      </c>
      <c r="E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Mgmt'!$N$5:$N$428&gt;=DATE(YEAR(A39),MONTH(A39),1),FALSE)&gt;0))=0,"",$B$6*(1+$B$8)^(YEAR(A39)-YEAR($B$4)))</f>
        <v/>
      </c>
      <c r="F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Mgmt'!$N$5:$N$428&gt;=DATE(YEAR(A39),MONTH(A39),1),FALSE)&gt;0))=0,"",$B$7)</f>
        <v/>
      </c>
      <c r="G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Mgmt'!$N$5:$N$428&gt;=DATE(YEAR(A39),MONTH(A39),1),FALSE)&gt;0))=0,"",$B$8)</f>
        <v/>
      </c>
      <c r="H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Mgmt'!$N$5:$N$428&gt;=DATE(YEAR(A39),MONTH(A39),1),FALSE)&gt;0))=0,"",D39*E39)</f>
        <v/>
      </c>
      <c r="I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Mgmt'!$M$5:$M$428,DATE(YEAR(A39),MONTH(A39),1))))+1)/DAY(EOMONTH(A39,0))),0))</f>
        <v/>
      </c>
      <c r="J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Mgmt'!$N$5:$N$428&gt;=DATE(YEAR(A39),MONTH(A39),1),FALSE)&gt;0))=0,"",D39*F39*E39)</f>
        <v/>
      </c>
      <c r="K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Mgmt'!$N$5:$N$428&gt;=DATE(YEAR(A39),MONTH(A39),1),FALSE)&gt;0))=0,"",75)</f>
        <v/>
      </c>
      <c r="L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Mgmt'!$N$5:$N$428&gt;=DATE(YEAR(A39),MONTH(A39),1),FALSE)&gt;0))=0,"",50)</f>
        <v/>
      </c>
      <c r="M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Mgmt'!$N$5:$N$428&gt;=DATE(YEAR(A39),MONTH(A39),1),FALSE)&gt;0))=0,"",150)</f>
        <v/>
      </c>
      <c r="N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Mgmt'!$N$5:$N$428&gt;=DATE(YEAR(A39),MONTH(A39),1),FALSE)&gt;0))=0,"",125)</f>
        <v/>
      </c>
      <c r="O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Mgmt'!$N$5:$N$428&gt;=DATE(YEAR(A39),MONTH(A39),1),FALSE)&gt;0))=0,"",60)</f>
        <v/>
      </c>
      <c r="P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Mgmt'!$N$5:$N$428&gt;=DATE(YEAR(A39),MONTH(A39),1),FALSE)&gt;0))=0,"",80)</f>
        <v/>
      </c>
      <c r="Q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Mgmt'!$N$5:$N$428&gt;=DATE(YEAR(A39),MONTH(A39),1),FALSE)&gt;0))=0,"",40)</f>
        <v/>
      </c>
      <c r="R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Mgmt'!$N$5:$N$428&gt;=DATE(YEAR(A39),MONTH(A39),1),FALSE)&gt;0))=0,"",IF(C39="Owned",0,2500))</f>
        <v/>
      </c>
      <c r="S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Mgmt'!$N$5:$N$428&gt;=DATE(YEAR(A39),MONTH(A39),1),FALSE)&gt;0))=0,"",SUM(K39:R39))</f>
        <v/>
      </c>
      <c r="T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Mgmt'!$N$5:$N$428&gt;=DATE(YEAR(A39),MONTH(A39),1),FALSE)&gt;0))=0,"",I39-S39)</f>
        <v/>
      </c>
      <c r="U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Mgmt'!$N$5:$N$428&gt;=DATE(YEAR(A39),MONTH(A39),1),FALSE)&gt;0))=0,"",IFERROR(T39/I39,0))</f>
        <v/>
      </c>
      <c r="V39" s="82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Mgmt'!$M$5:$M$428,DATE(YEAR(A39),MONTH(A39),1))))+1)/DAY(EOMONTH(A39,0))),0))</f>
        <v/>
      </c>
      <c r="X39" s="82" t="n"/>
      <c r="Y39" s="82" t="n"/>
      <c r="Z39" s="82" t="n"/>
      <c r="AA39" s="82" t="n"/>
      <c r="AB39" s="82" t="n"/>
    </row>
    <row r="40" hidden="1" ht="14.25" customHeight="1" s="83">
      <c r="A40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0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0" s="17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Mgmt'!$N$5:$N$428&gt;=DATE(YEAR(A40),MONTH(A40),1),FALSE)&gt;0))=0,"",IFERROR(_xlfn.XLOOKUP(B40,DormRegistry[Dorm Name],DormRegistry[Ownership Type]),""))</f>
        <v/>
      </c>
      <c r="D40" s="17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Mgmt'!$N$5:$N$428&gt;=DATE(YEAR(A40),MONTH(A40),1),FALSE)&gt;0))=0,"",IFERROR(_xlfn.XLOOKUP(B40,DormRegistry[Dorm Name],DormRegistry[Bed Capacity]),0))</f>
        <v/>
      </c>
      <c r="E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Mgmt'!$N$5:$N$428&gt;=DATE(YEAR(A40),MONTH(A40),1),FALSE)&gt;0))=0,"",$B$6*(1+$B$8)^(YEAR(A40)-YEAR($B$4)))</f>
        <v/>
      </c>
      <c r="F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Mgmt'!$N$5:$N$428&gt;=DATE(YEAR(A40),MONTH(A40),1),FALSE)&gt;0))=0,"",$B$7)</f>
        <v/>
      </c>
      <c r="G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Mgmt'!$N$5:$N$428&gt;=DATE(YEAR(A40),MONTH(A40),1),FALSE)&gt;0))=0,"",$B$8)</f>
        <v/>
      </c>
      <c r="H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Mgmt'!$N$5:$N$428&gt;=DATE(YEAR(A40),MONTH(A40),1),FALSE)&gt;0))=0,"",D40*E40)</f>
        <v/>
      </c>
      <c r="I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Mgmt'!$M$5:$M$428,DATE(YEAR(A40),MONTH(A40),1))))+1)/DAY(EOMONTH(A40,0))),0))</f>
        <v/>
      </c>
      <c r="J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Mgmt'!$N$5:$N$428&gt;=DATE(YEAR(A40),MONTH(A40),1),FALSE)&gt;0))=0,"",D40*F40*E40)</f>
        <v/>
      </c>
      <c r="K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Mgmt'!$N$5:$N$428&gt;=DATE(YEAR(A40),MONTH(A40),1),FALSE)&gt;0))=0,"",75)</f>
        <v/>
      </c>
      <c r="L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Mgmt'!$N$5:$N$428&gt;=DATE(YEAR(A40),MONTH(A40),1),FALSE)&gt;0))=0,"",50)</f>
        <v/>
      </c>
      <c r="M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Mgmt'!$N$5:$N$428&gt;=DATE(YEAR(A40),MONTH(A40),1),FALSE)&gt;0))=0,"",150)</f>
        <v/>
      </c>
      <c r="N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Mgmt'!$N$5:$N$428&gt;=DATE(YEAR(A40),MONTH(A40),1),FALSE)&gt;0))=0,"",125)</f>
        <v/>
      </c>
      <c r="O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Mgmt'!$N$5:$N$428&gt;=DATE(YEAR(A40),MONTH(A40),1),FALSE)&gt;0))=0,"",60)</f>
        <v/>
      </c>
      <c r="P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Mgmt'!$N$5:$N$428&gt;=DATE(YEAR(A40),MONTH(A40),1),FALSE)&gt;0))=0,"",80)</f>
        <v/>
      </c>
      <c r="Q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Mgmt'!$N$5:$N$428&gt;=DATE(YEAR(A40),MONTH(A40),1),FALSE)&gt;0))=0,"",40)</f>
        <v/>
      </c>
      <c r="R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Mgmt'!$N$5:$N$428&gt;=DATE(YEAR(A40),MONTH(A40),1),FALSE)&gt;0))=0,"",IF(C40="Owned",0,2500))</f>
        <v/>
      </c>
      <c r="S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Mgmt'!$N$5:$N$428&gt;=DATE(YEAR(A40),MONTH(A40),1),FALSE)&gt;0))=0,"",SUM(K40:R40))</f>
        <v/>
      </c>
      <c r="T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Mgmt'!$N$5:$N$428&gt;=DATE(YEAR(A40),MONTH(A40),1),FALSE)&gt;0))=0,"",I40-S40)</f>
        <v/>
      </c>
      <c r="U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Mgmt'!$N$5:$N$428&gt;=DATE(YEAR(A40),MONTH(A40),1),FALSE)&gt;0))=0,"",IFERROR(T40/I40,0))</f>
        <v/>
      </c>
      <c r="V40" s="82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Mgmt'!$M$5:$M$428,DATE(YEAR(A40),MONTH(A40),1))))+1)/DAY(EOMONTH(A40,0))),0))</f>
        <v/>
      </c>
      <c r="X40" s="82" t="n"/>
      <c r="Y40" s="82" t="n"/>
      <c r="Z40" s="82" t="n"/>
      <c r="AA40" s="82" t="n"/>
      <c r="AB40" s="82" t="n"/>
    </row>
    <row r="41" ht="14.25" customHeight="1" s="83">
      <c r="A41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1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1" s="17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Mgmt'!$N$5:$N$428&gt;=DATE(YEAR(A41),MONTH(A41),1),FALSE)&gt;0))=0,"",IFERROR(_xlfn.XLOOKUP(B41,DormRegistry[Dorm Name],DormRegistry[Ownership Type]),""))</f>
        <v/>
      </c>
      <c r="D41" s="17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Mgmt'!$N$5:$N$428&gt;=DATE(YEAR(A41),MONTH(A41),1),FALSE)&gt;0))=0,"",IFERROR(_xlfn.XLOOKUP(B41,DormRegistry[Dorm Name],DormRegistry[Bed Capacity]),0))</f>
        <v/>
      </c>
      <c r="E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Mgmt'!$N$5:$N$428&gt;=DATE(YEAR(A41),MONTH(A41),1),FALSE)&gt;0))=0,"",$B$6*(1+$B$8)^(YEAR(A41)-YEAR($B$4)))</f>
        <v/>
      </c>
      <c r="F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Mgmt'!$N$5:$N$428&gt;=DATE(YEAR(A41),MONTH(A41),1),FALSE)&gt;0))=0,"",$B$7)</f>
        <v/>
      </c>
      <c r="G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Mgmt'!$N$5:$N$428&gt;=DATE(YEAR(A41),MONTH(A41),1),FALSE)&gt;0))=0,"",$B$8)</f>
        <v/>
      </c>
      <c r="H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Mgmt'!$N$5:$N$428&gt;=DATE(YEAR(A41),MONTH(A41),1),FALSE)&gt;0))=0,"",D41*E41)</f>
        <v/>
      </c>
      <c r="I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Mgmt'!$M$5:$M$428,DATE(YEAR(A41),MONTH(A41),1))))+1)/DAY(EOMONTH(A41,0))),0))</f>
        <v/>
      </c>
      <c r="J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Mgmt'!$N$5:$N$428&gt;=DATE(YEAR(A41),MONTH(A41),1),FALSE)&gt;0))=0,"",D41*F41*E41)</f>
        <v/>
      </c>
      <c r="K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Mgmt'!$N$5:$N$428&gt;=DATE(YEAR(A41),MONTH(A41),1),FALSE)&gt;0))=0,"",75)</f>
        <v/>
      </c>
      <c r="L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Mgmt'!$N$5:$N$428&gt;=DATE(YEAR(A41),MONTH(A41),1),FALSE)&gt;0))=0,"",50)</f>
        <v/>
      </c>
      <c r="M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Mgmt'!$N$5:$N$428&gt;=DATE(YEAR(A41),MONTH(A41),1),FALSE)&gt;0))=0,"",150)</f>
        <v/>
      </c>
      <c r="N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Mgmt'!$N$5:$N$428&gt;=DATE(YEAR(A41),MONTH(A41),1),FALSE)&gt;0))=0,"",125)</f>
        <v/>
      </c>
      <c r="O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Mgmt'!$N$5:$N$428&gt;=DATE(YEAR(A41),MONTH(A41),1),FALSE)&gt;0))=0,"",60)</f>
        <v/>
      </c>
      <c r="P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Mgmt'!$N$5:$N$428&gt;=DATE(YEAR(A41),MONTH(A41),1),FALSE)&gt;0))=0,"",80)</f>
        <v/>
      </c>
      <c r="Q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Mgmt'!$N$5:$N$428&gt;=DATE(YEAR(A41),MONTH(A41),1),FALSE)&gt;0))=0,"",40)</f>
        <v/>
      </c>
      <c r="R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Mgmt'!$N$5:$N$428&gt;=DATE(YEAR(A41),MONTH(A41),1),FALSE)&gt;0))=0,"",IF(C41="Owned",0,2500))</f>
        <v/>
      </c>
      <c r="S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Mgmt'!$N$5:$N$428&gt;=DATE(YEAR(A41),MONTH(A41),1),FALSE)&gt;0))=0,"",SUM(K41:R41))</f>
        <v/>
      </c>
      <c r="T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Mgmt'!$N$5:$N$428&gt;=DATE(YEAR(A41),MONTH(A41),1),FALSE)&gt;0))=0,"",I41-S41)</f>
        <v/>
      </c>
      <c r="U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Mgmt'!$N$5:$N$428&gt;=DATE(YEAR(A41),MONTH(A41),1),FALSE)&gt;0))=0,"",IFERROR(T41/I41,0))</f>
        <v/>
      </c>
      <c r="V41" s="82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Mgmt'!$M$5:$M$428,DATE(YEAR(A41),MONTH(A41),1))))+1)/DAY(EOMONTH(A41,0))),0))</f>
        <v/>
      </c>
      <c r="X41" s="82" t="n"/>
      <c r="Y41" s="82" t="n"/>
      <c r="Z41" s="82" t="n"/>
      <c r="AA41" s="82" t="n"/>
      <c r="AB41" s="82" t="n"/>
    </row>
    <row r="42" hidden="1" ht="14.25" customHeight="1" s="83">
      <c r="A42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2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2" s="17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Mgmt'!$N$5:$N$428&gt;=DATE(YEAR(A42),MONTH(A42),1),FALSE)&gt;0))=0,"",IFERROR(_xlfn.XLOOKUP(B42,DormRegistry[Dorm Name],DormRegistry[Ownership Type]),""))</f>
        <v/>
      </c>
      <c r="D42" s="17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Mgmt'!$N$5:$N$428&gt;=DATE(YEAR(A42),MONTH(A42),1),FALSE)&gt;0))=0,"",IFERROR(_xlfn.XLOOKUP(B42,DormRegistry[Dorm Name],DormRegistry[Bed Capacity]),0))</f>
        <v/>
      </c>
      <c r="E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Mgmt'!$N$5:$N$428&gt;=DATE(YEAR(A42),MONTH(A42),1),FALSE)&gt;0))=0,"",$B$6*(1+$B$8)^(YEAR(A42)-YEAR($B$4)))</f>
        <v/>
      </c>
      <c r="F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Mgmt'!$N$5:$N$428&gt;=DATE(YEAR(A42),MONTH(A42),1),FALSE)&gt;0))=0,"",$B$7)</f>
        <v/>
      </c>
      <c r="G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Mgmt'!$N$5:$N$428&gt;=DATE(YEAR(A42),MONTH(A42),1),FALSE)&gt;0))=0,"",$B$8)</f>
        <v/>
      </c>
      <c r="H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Mgmt'!$N$5:$N$428&gt;=DATE(YEAR(A42),MONTH(A42),1),FALSE)&gt;0))=0,"",D42*E42)</f>
        <v/>
      </c>
      <c r="I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Mgmt'!$M$5:$M$428,DATE(YEAR(A42),MONTH(A42),1))))+1)/DAY(EOMONTH(A42,0))),0))</f>
        <v/>
      </c>
      <c r="J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Mgmt'!$N$5:$N$428&gt;=DATE(YEAR(A42),MONTH(A42),1),FALSE)&gt;0))=0,"",D42*F42*E42)</f>
        <v/>
      </c>
      <c r="K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Mgmt'!$N$5:$N$428&gt;=DATE(YEAR(A42),MONTH(A42),1),FALSE)&gt;0))=0,"",75)</f>
        <v/>
      </c>
      <c r="L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Mgmt'!$N$5:$N$428&gt;=DATE(YEAR(A42),MONTH(A42),1),FALSE)&gt;0))=0,"",50)</f>
        <v/>
      </c>
      <c r="M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Mgmt'!$N$5:$N$428&gt;=DATE(YEAR(A42),MONTH(A42),1),FALSE)&gt;0))=0,"",150)</f>
        <v/>
      </c>
      <c r="N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Mgmt'!$N$5:$N$428&gt;=DATE(YEAR(A42),MONTH(A42),1),FALSE)&gt;0))=0,"",125)</f>
        <v/>
      </c>
      <c r="O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Mgmt'!$N$5:$N$428&gt;=DATE(YEAR(A42),MONTH(A42),1),FALSE)&gt;0))=0,"",60)</f>
        <v/>
      </c>
      <c r="P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Mgmt'!$N$5:$N$428&gt;=DATE(YEAR(A42),MONTH(A42),1),FALSE)&gt;0))=0,"",80)</f>
        <v/>
      </c>
      <c r="Q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Mgmt'!$N$5:$N$428&gt;=DATE(YEAR(A42),MONTH(A42),1),FALSE)&gt;0))=0,"",40)</f>
        <v/>
      </c>
      <c r="R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Mgmt'!$N$5:$N$428&gt;=DATE(YEAR(A42),MONTH(A42),1),FALSE)&gt;0))=0,"",IF(C42="Owned",0,2500))</f>
        <v/>
      </c>
      <c r="S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Mgmt'!$N$5:$N$428&gt;=DATE(YEAR(A42),MONTH(A42),1),FALSE)&gt;0))=0,"",SUM(K42:R42))</f>
        <v/>
      </c>
      <c r="T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Mgmt'!$N$5:$N$428&gt;=DATE(YEAR(A42),MONTH(A42),1),FALSE)&gt;0))=0,"",I42-S42)</f>
        <v/>
      </c>
      <c r="U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Mgmt'!$N$5:$N$428&gt;=DATE(YEAR(A42),MONTH(A42),1),FALSE)&gt;0))=0,"",IFERROR(T42/I42,0))</f>
        <v/>
      </c>
      <c r="V42" s="82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Mgmt'!$M$5:$M$428,DATE(YEAR(A42),MONTH(A42),1))))+1)/DAY(EOMONTH(A42,0))),0))</f>
        <v/>
      </c>
      <c r="X42" s="82" t="n"/>
      <c r="Y42" s="82" t="n"/>
      <c r="Z42" s="82" t="n"/>
      <c r="AA42" s="82" t="n"/>
      <c r="AB42" s="82" t="n"/>
    </row>
    <row r="43" hidden="1" ht="14.25" customHeight="1" s="83">
      <c r="A43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3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3" s="17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Mgmt'!$N$5:$N$428&gt;=DATE(YEAR(A43),MONTH(A43),1),FALSE)&gt;0))=0,"",IFERROR(_xlfn.XLOOKUP(B43,DormRegistry[Dorm Name],DormRegistry[Ownership Type]),""))</f>
        <v/>
      </c>
      <c r="D43" s="17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Mgmt'!$N$5:$N$428&gt;=DATE(YEAR(A43),MONTH(A43),1),FALSE)&gt;0))=0,"",IFERROR(_xlfn.XLOOKUP(B43,DormRegistry[Dorm Name],DormRegistry[Bed Capacity]),0))</f>
        <v/>
      </c>
      <c r="E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Mgmt'!$N$5:$N$428&gt;=DATE(YEAR(A43),MONTH(A43),1),FALSE)&gt;0))=0,"",$B$6*(1+$B$8)^(YEAR(A43)-YEAR($B$4)))</f>
        <v/>
      </c>
      <c r="F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Mgmt'!$N$5:$N$428&gt;=DATE(YEAR(A43),MONTH(A43),1),FALSE)&gt;0))=0,"",$B$7)</f>
        <v/>
      </c>
      <c r="G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Mgmt'!$N$5:$N$428&gt;=DATE(YEAR(A43),MONTH(A43),1),FALSE)&gt;0))=0,"",$B$8)</f>
        <v/>
      </c>
      <c r="H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Mgmt'!$N$5:$N$428&gt;=DATE(YEAR(A43),MONTH(A43),1),FALSE)&gt;0))=0,"",D43*E43)</f>
        <v/>
      </c>
      <c r="I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Mgmt'!$M$5:$M$428,DATE(YEAR(A43),MONTH(A43),1))))+1)/DAY(EOMONTH(A43,0))),0))</f>
        <v/>
      </c>
      <c r="J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Mgmt'!$N$5:$N$428&gt;=DATE(YEAR(A43),MONTH(A43),1),FALSE)&gt;0))=0,"",D43*F43*E43)</f>
        <v/>
      </c>
      <c r="K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Mgmt'!$N$5:$N$428&gt;=DATE(YEAR(A43),MONTH(A43),1),FALSE)&gt;0))=0,"",75)</f>
        <v/>
      </c>
      <c r="L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Mgmt'!$N$5:$N$428&gt;=DATE(YEAR(A43),MONTH(A43),1),FALSE)&gt;0))=0,"",50)</f>
        <v/>
      </c>
      <c r="M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Mgmt'!$N$5:$N$428&gt;=DATE(YEAR(A43),MONTH(A43),1),FALSE)&gt;0))=0,"",150)</f>
        <v/>
      </c>
      <c r="N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Mgmt'!$N$5:$N$428&gt;=DATE(YEAR(A43),MONTH(A43),1),FALSE)&gt;0))=0,"",125)</f>
        <v/>
      </c>
      <c r="O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Mgmt'!$N$5:$N$428&gt;=DATE(YEAR(A43),MONTH(A43),1),FALSE)&gt;0))=0,"",60)</f>
        <v/>
      </c>
      <c r="P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Mgmt'!$N$5:$N$428&gt;=DATE(YEAR(A43),MONTH(A43),1),FALSE)&gt;0))=0,"",80)</f>
        <v/>
      </c>
      <c r="Q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Mgmt'!$N$5:$N$428&gt;=DATE(YEAR(A43),MONTH(A43),1),FALSE)&gt;0))=0,"",40)</f>
        <v/>
      </c>
      <c r="R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Mgmt'!$N$5:$N$428&gt;=DATE(YEAR(A43),MONTH(A43),1),FALSE)&gt;0))=0,"",IF(C43="Owned",0,2500))</f>
        <v/>
      </c>
      <c r="S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Mgmt'!$N$5:$N$428&gt;=DATE(YEAR(A43),MONTH(A43),1),FALSE)&gt;0))=0,"",SUM(K43:R43))</f>
        <v/>
      </c>
      <c r="T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Mgmt'!$N$5:$N$428&gt;=DATE(YEAR(A43),MONTH(A43),1),FALSE)&gt;0))=0,"",I43-S43)</f>
        <v/>
      </c>
      <c r="U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Mgmt'!$N$5:$N$428&gt;=DATE(YEAR(A43),MONTH(A43),1),FALSE)&gt;0))=0,"",IFERROR(T43/I43,0))</f>
        <v/>
      </c>
      <c r="V43" s="82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Mgmt'!$M$5:$M$428,DATE(YEAR(A43),MONTH(A43),1))))+1)/DAY(EOMONTH(A43,0))),0))</f>
        <v/>
      </c>
      <c r="X43" s="82" t="n"/>
      <c r="Y43" s="82" t="n"/>
      <c r="Z43" s="82" t="n"/>
      <c r="AA43" s="82" t="n"/>
      <c r="AB43" s="82" t="n"/>
    </row>
    <row r="44" ht="14.25" customHeight="1" s="83">
      <c r="A44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4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4" s="17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Mgmt'!$N$5:$N$428&gt;=DATE(YEAR(A44),MONTH(A44),1),FALSE)&gt;0))=0,"",IFERROR(_xlfn.XLOOKUP(B44,DormRegistry[Dorm Name],DormRegistry[Ownership Type]),""))</f>
        <v/>
      </c>
      <c r="D44" s="17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Mgmt'!$N$5:$N$428&gt;=DATE(YEAR(A44),MONTH(A44),1),FALSE)&gt;0))=0,"",IFERROR(_xlfn.XLOOKUP(B44,DormRegistry[Dorm Name],DormRegistry[Bed Capacity]),0))</f>
        <v/>
      </c>
      <c r="E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Mgmt'!$N$5:$N$428&gt;=DATE(YEAR(A44),MONTH(A44),1),FALSE)&gt;0))=0,"",$B$6*(1+$B$8)^(YEAR(A44)-YEAR($B$4)))</f>
        <v/>
      </c>
      <c r="F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Mgmt'!$N$5:$N$428&gt;=DATE(YEAR(A44),MONTH(A44),1),FALSE)&gt;0))=0,"",$B$7)</f>
        <v/>
      </c>
      <c r="G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Mgmt'!$N$5:$N$428&gt;=DATE(YEAR(A44),MONTH(A44),1),FALSE)&gt;0))=0,"",$B$8)</f>
        <v/>
      </c>
      <c r="H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Mgmt'!$N$5:$N$428&gt;=DATE(YEAR(A44),MONTH(A44),1),FALSE)&gt;0))=0,"",D44*E44)</f>
        <v/>
      </c>
      <c r="I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Mgmt'!$M$5:$M$428,DATE(YEAR(A44),MONTH(A44),1))))+1)/DAY(EOMONTH(A44,0))),0))</f>
        <v/>
      </c>
      <c r="J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Mgmt'!$N$5:$N$428&gt;=DATE(YEAR(A44),MONTH(A44),1),FALSE)&gt;0))=0,"",D44*F44*E44)</f>
        <v/>
      </c>
      <c r="K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Mgmt'!$N$5:$N$428&gt;=DATE(YEAR(A44),MONTH(A44),1),FALSE)&gt;0))=0,"",75)</f>
        <v/>
      </c>
      <c r="L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Mgmt'!$N$5:$N$428&gt;=DATE(YEAR(A44),MONTH(A44),1),FALSE)&gt;0))=0,"",50)</f>
        <v/>
      </c>
      <c r="M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Mgmt'!$N$5:$N$428&gt;=DATE(YEAR(A44),MONTH(A44),1),FALSE)&gt;0))=0,"",150)</f>
        <v/>
      </c>
      <c r="N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Mgmt'!$N$5:$N$428&gt;=DATE(YEAR(A44),MONTH(A44),1),FALSE)&gt;0))=0,"",125)</f>
        <v/>
      </c>
      <c r="O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Mgmt'!$N$5:$N$428&gt;=DATE(YEAR(A44),MONTH(A44),1),FALSE)&gt;0))=0,"",60)</f>
        <v/>
      </c>
      <c r="P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Mgmt'!$N$5:$N$428&gt;=DATE(YEAR(A44),MONTH(A44),1),FALSE)&gt;0))=0,"",80)</f>
        <v/>
      </c>
      <c r="Q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Mgmt'!$N$5:$N$428&gt;=DATE(YEAR(A44),MONTH(A44),1),FALSE)&gt;0))=0,"",40)</f>
        <v/>
      </c>
      <c r="R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Mgmt'!$N$5:$N$428&gt;=DATE(YEAR(A44),MONTH(A44),1),FALSE)&gt;0))=0,"",IF(C44="Owned",0,2500))</f>
        <v/>
      </c>
      <c r="S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Mgmt'!$N$5:$N$428&gt;=DATE(YEAR(A44),MONTH(A44),1),FALSE)&gt;0))=0,"",SUM(K44:R44))</f>
        <v/>
      </c>
      <c r="T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Mgmt'!$N$5:$N$428&gt;=DATE(YEAR(A44),MONTH(A44),1),FALSE)&gt;0))=0,"",I44-S44)</f>
        <v/>
      </c>
      <c r="U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Mgmt'!$N$5:$N$428&gt;=DATE(YEAR(A44),MONTH(A44),1),FALSE)&gt;0))=0,"",IFERROR(T44/I44,0))</f>
        <v/>
      </c>
      <c r="V44" s="82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Mgmt'!$M$5:$M$428,DATE(YEAR(A44),MONTH(A44),1))))+1)/DAY(EOMONTH(A44,0))),0))</f>
        <v/>
      </c>
      <c r="X44" s="82" t="n"/>
      <c r="Y44" s="82" t="n"/>
      <c r="Z44" s="82" t="n"/>
      <c r="AA44" s="82" t="n"/>
      <c r="AB44" s="82" t="n"/>
    </row>
    <row r="45" hidden="1" ht="14.25" customHeight="1" s="83">
      <c r="A45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5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5" s="17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Mgmt'!$N$5:$N$428&gt;=DATE(YEAR(A45),MONTH(A45),1),FALSE)&gt;0))=0,"",IFERROR(_xlfn.XLOOKUP(B45,DormRegistry[Dorm Name],DormRegistry[Ownership Type]),""))</f>
        <v/>
      </c>
      <c r="D45" s="17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Mgmt'!$N$5:$N$428&gt;=DATE(YEAR(A45),MONTH(A45),1),FALSE)&gt;0))=0,"",IFERROR(_xlfn.XLOOKUP(B45,DormRegistry[Dorm Name],DormRegistry[Bed Capacity]),0))</f>
        <v/>
      </c>
      <c r="E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Mgmt'!$N$5:$N$428&gt;=DATE(YEAR(A45),MONTH(A45),1),FALSE)&gt;0))=0,"",$B$6*(1+$B$8)^(YEAR(A45)-YEAR($B$4)))</f>
        <v/>
      </c>
      <c r="F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Mgmt'!$N$5:$N$428&gt;=DATE(YEAR(A45),MONTH(A45),1),FALSE)&gt;0))=0,"",$B$7)</f>
        <v/>
      </c>
      <c r="G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Mgmt'!$N$5:$N$428&gt;=DATE(YEAR(A45),MONTH(A45),1),FALSE)&gt;0))=0,"",$B$8)</f>
        <v/>
      </c>
      <c r="H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Mgmt'!$N$5:$N$428&gt;=DATE(YEAR(A45),MONTH(A45),1),FALSE)&gt;0))=0,"",D45*E45)</f>
        <v/>
      </c>
      <c r="I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Mgmt'!$M$5:$M$428,DATE(YEAR(A45),MONTH(A45),1))))+1)/DAY(EOMONTH(A45,0))),0))</f>
        <v/>
      </c>
      <c r="J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Mgmt'!$N$5:$N$428&gt;=DATE(YEAR(A45),MONTH(A45),1),FALSE)&gt;0))=0,"",D45*F45*E45)</f>
        <v/>
      </c>
      <c r="K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Mgmt'!$N$5:$N$428&gt;=DATE(YEAR(A45),MONTH(A45),1),FALSE)&gt;0))=0,"",75)</f>
        <v/>
      </c>
      <c r="L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Mgmt'!$N$5:$N$428&gt;=DATE(YEAR(A45),MONTH(A45),1),FALSE)&gt;0))=0,"",50)</f>
        <v/>
      </c>
      <c r="M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Mgmt'!$N$5:$N$428&gt;=DATE(YEAR(A45),MONTH(A45),1),FALSE)&gt;0))=0,"",150)</f>
        <v/>
      </c>
      <c r="N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Mgmt'!$N$5:$N$428&gt;=DATE(YEAR(A45),MONTH(A45),1),FALSE)&gt;0))=0,"",125)</f>
        <v/>
      </c>
      <c r="O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Mgmt'!$N$5:$N$428&gt;=DATE(YEAR(A45),MONTH(A45),1),FALSE)&gt;0))=0,"",60)</f>
        <v/>
      </c>
      <c r="P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Mgmt'!$N$5:$N$428&gt;=DATE(YEAR(A45),MONTH(A45),1),FALSE)&gt;0))=0,"",80)</f>
        <v/>
      </c>
      <c r="Q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Mgmt'!$N$5:$N$428&gt;=DATE(YEAR(A45),MONTH(A45),1),FALSE)&gt;0))=0,"",40)</f>
        <v/>
      </c>
      <c r="R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Mgmt'!$N$5:$N$428&gt;=DATE(YEAR(A45),MONTH(A45),1),FALSE)&gt;0))=0,"",IF(C45="Owned",0,2500))</f>
        <v/>
      </c>
      <c r="S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Mgmt'!$N$5:$N$428&gt;=DATE(YEAR(A45),MONTH(A45),1),FALSE)&gt;0))=0,"",SUM(K45:R45))</f>
        <v/>
      </c>
      <c r="T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Mgmt'!$N$5:$N$428&gt;=DATE(YEAR(A45),MONTH(A45),1),FALSE)&gt;0))=0,"",I45-S45)</f>
        <v/>
      </c>
      <c r="U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Mgmt'!$N$5:$N$428&gt;=DATE(YEAR(A45),MONTH(A45),1),FALSE)&gt;0))=0,"",IFERROR(T45/I45,0))</f>
        <v/>
      </c>
      <c r="V45" s="82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Mgmt'!$M$5:$M$428,DATE(YEAR(A45),MONTH(A45),1))))+1)/DAY(EOMONTH(A45,0))),0))</f>
        <v/>
      </c>
      <c r="X45" s="82" t="n"/>
      <c r="Y45" s="82" t="n"/>
      <c r="Z45" s="82" t="n"/>
      <c r="AA45" s="82" t="n"/>
      <c r="AB45" s="82" t="n"/>
    </row>
    <row r="46" hidden="1" ht="14.25" customHeight="1" s="83">
      <c r="A46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6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6" s="17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Mgmt'!$N$5:$N$428&gt;=DATE(YEAR(A46),MONTH(A46),1),FALSE)&gt;0))=0,"",IFERROR(_xlfn.XLOOKUP(B46,DormRegistry[Dorm Name],DormRegistry[Ownership Type]),""))</f>
        <v/>
      </c>
      <c r="D46" s="17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Mgmt'!$N$5:$N$428&gt;=DATE(YEAR(A46),MONTH(A46),1),FALSE)&gt;0))=0,"",IFERROR(_xlfn.XLOOKUP(B46,DormRegistry[Dorm Name],DormRegistry[Bed Capacity]),0))</f>
        <v/>
      </c>
      <c r="E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Mgmt'!$N$5:$N$428&gt;=DATE(YEAR(A46),MONTH(A46),1),FALSE)&gt;0))=0,"",$B$6*(1+$B$8)^(YEAR(A46)-YEAR($B$4)))</f>
        <v/>
      </c>
      <c r="F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Mgmt'!$N$5:$N$428&gt;=DATE(YEAR(A46),MONTH(A46),1),FALSE)&gt;0))=0,"",$B$7)</f>
        <v/>
      </c>
      <c r="G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Mgmt'!$N$5:$N$428&gt;=DATE(YEAR(A46),MONTH(A46),1),FALSE)&gt;0))=0,"",$B$8)</f>
        <v/>
      </c>
      <c r="H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Mgmt'!$N$5:$N$428&gt;=DATE(YEAR(A46),MONTH(A46),1),FALSE)&gt;0))=0,"",D46*E46)</f>
        <v/>
      </c>
      <c r="I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Mgmt'!$M$5:$M$428,DATE(YEAR(A46),MONTH(A46),1))))+1)/DAY(EOMONTH(A46,0))),0))</f>
        <v/>
      </c>
      <c r="J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Mgmt'!$N$5:$N$428&gt;=DATE(YEAR(A46),MONTH(A46),1),FALSE)&gt;0))=0,"",D46*F46*E46)</f>
        <v/>
      </c>
      <c r="K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Mgmt'!$N$5:$N$428&gt;=DATE(YEAR(A46),MONTH(A46),1),FALSE)&gt;0))=0,"",75)</f>
        <v/>
      </c>
      <c r="L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Mgmt'!$N$5:$N$428&gt;=DATE(YEAR(A46),MONTH(A46),1),FALSE)&gt;0))=0,"",50)</f>
        <v/>
      </c>
      <c r="M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Mgmt'!$N$5:$N$428&gt;=DATE(YEAR(A46),MONTH(A46),1),FALSE)&gt;0))=0,"",150)</f>
        <v/>
      </c>
      <c r="N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Mgmt'!$N$5:$N$428&gt;=DATE(YEAR(A46),MONTH(A46),1),FALSE)&gt;0))=0,"",125)</f>
        <v/>
      </c>
      <c r="O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Mgmt'!$N$5:$N$428&gt;=DATE(YEAR(A46),MONTH(A46),1),FALSE)&gt;0))=0,"",60)</f>
        <v/>
      </c>
      <c r="P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Mgmt'!$N$5:$N$428&gt;=DATE(YEAR(A46),MONTH(A46),1),FALSE)&gt;0))=0,"",80)</f>
        <v/>
      </c>
      <c r="Q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Mgmt'!$N$5:$N$428&gt;=DATE(YEAR(A46),MONTH(A46),1),FALSE)&gt;0))=0,"",40)</f>
        <v/>
      </c>
      <c r="R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Mgmt'!$N$5:$N$428&gt;=DATE(YEAR(A46),MONTH(A46),1),FALSE)&gt;0))=0,"",IF(C46="Owned",0,2500))</f>
        <v/>
      </c>
      <c r="S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Mgmt'!$N$5:$N$428&gt;=DATE(YEAR(A46),MONTH(A46),1),FALSE)&gt;0))=0,"",SUM(K46:R46))</f>
        <v/>
      </c>
      <c r="T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Mgmt'!$N$5:$N$428&gt;=DATE(YEAR(A46),MONTH(A46),1),FALSE)&gt;0))=0,"",I46-S46)</f>
        <v/>
      </c>
      <c r="U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Mgmt'!$N$5:$N$428&gt;=DATE(YEAR(A46),MONTH(A46),1),FALSE)&gt;0))=0,"",IFERROR(T46/I46,0))</f>
        <v/>
      </c>
      <c r="V46" s="82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Mgmt'!$M$5:$M$428,DATE(YEAR(A46),MONTH(A46),1))))+1)/DAY(EOMONTH(A46,0))),0))</f>
        <v/>
      </c>
      <c r="X46" s="82" t="n"/>
      <c r="Y46" s="82" t="n"/>
      <c r="Z46" s="82" t="n"/>
      <c r="AA46" s="82" t="n"/>
      <c r="AB46" s="82" t="n"/>
    </row>
    <row r="47" ht="14.25" customHeight="1" s="83">
      <c r="A47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7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7" s="17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Mgmt'!$N$5:$N$428&gt;=DATE(YEAR(A47),MONTH(A47),1),FALSE)&gt;0))=0,"",IFERROR(_xlfn.XLOOKUP(B47,DormRegistry[Dorm Name],DormRegistry[Ownership Type]),""))</f>
        <v/>
      </c>
      <c r="D47" s="17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Mgmt'!$N$5:$N$428&gt;=DATE(YEAR(A47),MONTH(A47),1),FALSE)&gt;0))=0,"",IFERROR(_xlfn.XLOOKUP(B47,DormRegistry[Dorm Name],DormRegistry[Bed Capacity]),0))</f>
        <v/>
      </c>
      <c r="E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Mgmt'!$N$5:$N$428&gt;=DATE(YEAR(A47),MONTH(A47),1),FALSE)&gt;0))=0,"",$B$6*(1+$B$8)^(YEAR(A47)-YEAR($B$4)))</f>
        <v/>
      </c>
      <c r="F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Mgmt'!$N$5:$N$428&gt;=DATE(YEAR(A47),MONTH(A47),1),FALSE)&gt;0))=0,"",$B$7)</f>
        <v/>
      </c>
      <c r="G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Mgmt'!$N$5:$N$428&gt;=DATE(YEAR(A47),MONTH(A47),1),FALSE)&gt;0))=0,"",$B$8)</f>
        <v/>
      </c>
      <c r="H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Mgmt'!$N$5:$N$428&gt;=DATE(YEAR(A47),MONTH(A47),1),FALSE)&gt;0))=0,"",D47*E47)</f>
        <v/>
      </c>
      <c r="I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Mgmt'!$M$5:$M$428,DATE(YEAR(A47),MONTH(A47),1))))+1)/DAY(EOMONTH(A47,0))),0))</f>
        <v/>
      </c>
      <c r="J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Mgmt'!$N$5:$N$428&gt;=DATE(YEAR(A47),MONTH(A47),1),FALSE)&gt;0))=0,"",D47*F47*E47)</f>
        <v/>
      </c>
      <c r="K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Mgmt'!$N$5:$N$428&gt;=DATE(YEAR(A47),MONTH(A47),1),FALSE)&gt;0))=0,"",75)</f>
        <v/>
      </c>
      <c r="L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Mgmt'!$N$5:$N$428&gt;=DATE(YEAR(A47),MONTH(A47),1),FALSE)&gt;0))=0,"",50)</f>
        <v/>
      </c>
      <c r="M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Mgmt'!$N$5:$N$428&gt;=DATE(YEAR(A47),MONTH(A47),1),FALSE)&gt;0))=0,"",150)</f>
        <v/>
      </c>
      <c r="N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Mgmt'!$N$5:$N$428&gt;=DATE(YEAR(A47),MONTH(A47),1),FALSE)&gt;0))=0,"",125)</f>
        <v/>
      </c>
      <c r="O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Mgmt'!$N$5:$N$428&gt;=DATE(YEAR(A47),MONTH(A47),1),FALSE)&gt;0))=0,"",60)</f>
        <v/>
      </c>
      <c r="P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Mgmt'!$N$5:$N$428&gt;=DATE(YEAR(A47),MONTH(A47),1),FALSE)&gt;0))=0,"",80)</f>
        <v/>
      </c>
      <c r="Q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Mgmt'!$N$5:$N$428&gt;=DATE(YEAR(A47),MONTH(A47),1),FALSE)&gt;0))=0,"",40)</f>
        <v/>
      </c>
      <c r="R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Mgmt'!$N$5:$N$428&gt;=DATE(YEAR(A47),MONTH(A47),1),FALSE)&gt;0))=0,"",IF(C47="Owned",0,2500))</f>
        <v/>
      </c>
      <c r="S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Mgmt'!$N$5:$N$428&gt;=DATE(YEAR(A47),MONTH(A47),1),FALSE)&gt;0))=0,"",SUM(K47:R47))</f>
        <v/>
      </c>
      <c r="T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Mgmt'!$N$5:$N$428&gt;=DATE(YEAR(A47),MONTH(A47),1),FALSE)&gt;0))=0,"",I47-S47)</f>
        <v/>
      </c>
      <c r="U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Mgmt'!$N$5:$N$428&gt;=DATE(YEAR(A47),MONTH(A47),1),FALSE)&gt;0))=0,"",IFERROR(T47/I47,0))</f>
        <v/>
      </c>
      <c r="V47" s="82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Mgmt'!$M$5:$M$428,DATE(YEAR(A47),MONTH(A47),1))))+1)/DAY(EOMONTH(A47,0))),0))</f>
        <v/>
      </c>
      <c r="X47" s="82" t="n"/>
      <c r="Y47" s="82" t="n"/>
      <c r="Z47" s="82" t="n"/>
      <c r="AA47" s="82" t="n"/>
      <c r="AB47" s="82" t="n"/>
    </row>
    <row r="48" hidden="1" ht="14.25" customHeight="1" s="83">
      <c r="A48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8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8" s="17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Mgmt'!$N$5:$N$428&gt;=DATE(YEAR(A48),MONTH(A48),1),FALSE)&gt;0))=0,"",IFERROR(_xlfn.XLOOKUP(B48,DormRegistry[Dorm Name],DormRegistry[Ownership Type]),""))</f>
        <v/>
      </c>
      <c r="D48" s="17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Mgmt'!$N$5:$N$428&gt;=DATE(YEAR(A48),MONTH(A48),1),FALSE)&gt;0))=0,"",IFERROR(_xlfn.XLOOKUP(B48,DormRegistry[Dorm Name],DormRegistry[Bed Capacity]),0))</f>
        <v/>
      </c>
      <c r="E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Mgmt'!$N$5:$N$428&gt;=DATE(YEAR(A48),MONTH(A48),1),FALSE)&gt;0))=0,"",$B$6*(1+$B$8)^(YEAR(A48)-YEAR($B$4)))</f>
        <v/>
      </c>
      <c r="F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Mgmt'!$N$5:$N$428&gt;=DATE(YEAR(A48),MONTH(A48),1),FALSE)&gt;0))=0,"",$B$7)</f>
        <v/>
      </c>
      <c r="G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Mgmt'!$N$5:$N$428&gt;=DATE(YEAR(A48),MONTH(A48),1),FALSE)&gt;0))=0,"",$B$8)</f>
        <v/>
      </c>
      <c r="H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Mgmt'!$N$5:$N$428&gt;=DATE(YEAR(A48),MONTH(A48),1),FALSE)&gt;0))=0,"",D48*E48)</f>
        <v/>
      </c>
      <c r="I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Mgmt'!$M$5:$M$428,DATE(YEAR(A48),MONTH(A48),1))))+1)/DAY(EOMONTH(A48,0))),0))</f>
        <v/>
      </c>
      <c r="J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Mgmt'!$N$5:$N$428&gt;=DATE(YEAR(A48),MONTH(A48),1),FALSE)&gt;0))=0,"",D48*F48*E48)</f>
        <v/>
      </c>
      <c r="K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Mgmt'!$N$5:$N$428&gt;=DATE(YEAR(A48),MONTH(A48),1),FALSE)&gt;0))=0,"",75)</f>
        <v/>
      </c>
      <c r="L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Mgmt'!$N$5:$N$428&gt;=DATE(YEAR(A48),MONTH(A48),1),FALSE)&gt;0))=0,"",50)</f>
        <v/>
      </c>
      <c r="M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Mgmt'!$N$5:$N$428&gt;=DATE(YEAR(A48),MONTH(A48),1),FALSE)&gt;0))=0,"",150)</f>
        <v/>
      </c>
      <c r="N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Mgmt'!$N$5:$N$428&gt;=DATE(YEAR(A48),MONTH(A48),1),FALSE)&gt;0))=0,"",125)</f>
        <v/>
      </c>
      <c r="O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Mgmt'!$N$5:$N$428&gt;=DATE(YEAR(A48),MONTH(A48),1),FALSE)&gt;0))=0,"",60)</f>
        <v/>
      </c>
      <c r="P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Mgmt'!$N$5:$N$428&gt;=DATE(YEAR(A48),MONTH(A48),1),FALSE)&gt;0))=0,"",80)</f>
        <v/>
      </c>
      <c r="Q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Mgmt'!$N$5:$N$428&gt;=DATE(YEAR(A48),MONTH(A48),1),FALSE)&gt;0))=0,"",40)</f>
        <v/>
      </c>
      <c r="R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Mgmt'!$N$5:$N$428&gt;=DATE(YEAR(A48),MONTH(A48),1),FALSE)&gt;0))=0,"",IF(C48="Owned",0,2500))</f>
        <v/>
      </c>
      <c r="S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Mgmt'!$N$5:$N$428&gt;=DATE(YEAR(A48),MONTH(A48),1),FALSE)&gt;0))=0,"",SUM(K48:R48))</f>
        <v/>
      </c>
      <c r="T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Mgmt'!$N$5:$N$428&gt;=DATE(YEAR(A48),MONTH(A48),1),FALSE)&gt;0))=0,"",I48-S48)</f>
        <v/>
      </c>
      <c r="U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Mgmt'!$N$5:$N$428&gt;=DATE(YEAR(A48),MONTH(A48),1),FALSE)&gt;0))=0,"",IFERROR(T48/I48,0))</f>
        <v/>
      </c>
      <c r="V48" s="82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Mgmt'!$M$5:$M$428,DATE(YEAR(A48),MONTH(A48),1))))+1)/DAY(EOMONTH(A48,0))),0))</f>
        <v/>
      </c>
      <c r="X48" s="82" t="n"/>
      <c r="Y48" s="82" t="n"/>
      <c r="Z48" s="82" t="n"/>
      <c r="AA48" s="82" t="n"/>
      <c r="AB48" s="82" t="n"/>
    </row>
    <row r="49" hidden="1" ht="14.25" customHeight="1" s="83">
      <c r="A49" s="125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Mgmt'!$N$5:$N$428&gt;=DATE(YEAR(EDATE($B$4,INT((ROW()-14)/3))),MONTH(EDATE($B$4,INT((ROW()-14)/3))),1),FALSE)&gt;0))=0,"",EDATE($B$4,INT((ROW()-14)/3)))</f>
        <v/>
      </c>
      <c r="B49" s="103">
        <f>IF(SUMPRODUCT(('Client DB &amp; Bed Mgmt'!$A$5:$A$428=CHOOSE(MOD(ROW()-14,3)+1,"Dorm 1","Dorm 2","Dorm 3"))*('Client DB &amp; Bed Mgmt'!$D$5:$D$428&lt;&gt;"")*--(('Client DB &amp; Bed Mgmt'!$M$5:$M$428="")+IFERROR('Client DB &amp; Bed Mgmt'!$M$5:$M$428&lt;=EOMONTH(EDATE($B$4,INT((ROW()-14)/3)),0),FALSE)&gt;0)*--(('Client DB &amp; Bed Mgmt'!$N$5:$N$428="")+NOT(ISNUMBER('Client DB &amp; Bed Mgmt'!$N$5:$N$428))+IFERROR('Client DB &amp; Bed Mgmt'!$N$5:$N$428&gt;=DATE(YEAR(EDATE($B$4,INT((ROW()-14)/3))),MONTH(EDATE($B$4,INT((ROW()-14)/3))),1),FALSE)&gt;0))=0,"",CHOOSE(MOD(ROW()-14,3)+1,"Dorm 1","Dorm 2","Dorm 3"))</f>
        <v/>
      </c>
      <c r="C49" s="17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Mgmt'!$N$5:$N$428&gt;=DATE(YEAR(A49),MONTH(A49),1),FALSE)&gt;0))=0,"",IFERROR(_xlfn.XLOOKUP(B49,DormRegistry[Dorm Name],DormRegistry[Ownership Type]),""))</f>
        <v/>
      </c>
      <c r="D49" s="17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Mgmt'!$N$5:$N$428&gt;=DATE(YEAR(A49),MONTH(A49),1),FALSE)&gt;0))=0,"",IFERROR(_xlfn.XLOOKUP(B49,DormRegistry[Dorm Name],DormRegistry[Bed Capacity]),0))</f>
        <v/>
      </c>
      <c r="E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Mgmt'!$N$5:$N$428&gt;=DATE(YEAR(A49),MONTH(A49),1),FALSE)&gt;0))=0,"",$B$6*(1+$B$8)^(YEAR(A49)-YEAR($B$4)))</f>
        <v/>
      </c>
      <c r="F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Mgmt'!$N$5:$N$428&gt;=DATE(YEAR(A49),MONTH(A49),1),FALSE)&gt;0))=0,"",$B$7)</f>
        <v/>
      </c>
      <c r="G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Mgmt'!$N$5:$N$428&gt;=DATE(YEAR(A49),MONTH(A49),1),FALSE)&gt;0))=0,"",$B$8)</f>
        <v/>
      </c>
      <c r="H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Mgmt'!$N$5:$N$428&gt;=DATE(YEAR(A49),MONTH(A49),1),FALSE)&gt;0))=0,"",D49*E49)</f>
        <v/>
      </c>
      <c r="I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Mgmt'!$M$5:$M$428,DATE(YEAR(A49),MONTH(A49),1))))+1)/DAY(EOMONTH(A49,0))),0))</f>
        <v/>
      </c>
      <c r="J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Mgmt'!$N$5:$N$428&gt;=DATE(YEAR(A49),MONTH(A49),1),FALSE)&gt;0))=0,"",D49*F49*E49)</f>
        <v/>
      </c>
      <c r="K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Mgmt'!$N$5:$N$428&gt;=DATE(YEAR(A49),MONTH(A49),1),FALSE)&gt;0))=0,"",75)</f>
        <v/>
      </c>
      <c r="L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Mgmt'!$N$5:$N$428&gt;=DATE(YEAR(A49),MONTH(A49),1),FALSE)&gt;0))=0,"",50)</f>
        <v/>
      </c>
      <c r="M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Mgmt'!$N$5:$N$428&gt;=DATE(YEAR(A49),MONTH(A49),1),FALSE)&gt;0))=0,"",150)</f>
        <v/>
      </c>
      <c r="N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Mgmt'!$N$5:$N$428&gt;=DATE(YEAR(A49),MONTH(A49),1),FALSE)&gt;0))=0,"",125)</f>
        <v/>
      </c>
      <c r="O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Mgmt'!$N$5:$N$428&gt;=DATE(YEAR(A49),MONTH(A49),1),FALSE)&gt;0))=0,"",60)</f>
        <v/>
      </c>
      <c r="P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Mgmt'!$N$5:$N$428&gt;=DATE(YEAR(A49),MONTH(A49),1),FALSE)&gt;0))=0,"",80)</f>
        <v/>
      </c>
      <c r="Q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Mgmt'!$N$5:$N$428&gt;=DATE(YEAR(A49),MONTH(A49),1),FALSE)&gt;0))=0,"",40)</f>
        <v/>
      </c>
      <c r="R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Mgmt'!$N$5:$N$428&gt;=DATE(YEAR(A49),MONTH(A49),1),FALSE)&gt;0))=0,"",IF(C49="Owned",0,2500))</f>
        <v/>
      </c>
      <c r="S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Mgmt'!$N$5:$N$428&gt;=DATE(YEAR(A49),MONTH(A49),1),FALSE)&gt;0))=0,"",SUM(K49:R49))</f>
        <v/>
      </c>
      <c r="T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Mgmt'!$N$5:$N$428&gt;=DATE(YEAR(A49),MONTH(A49),1),FALSE)&gt;0))=0,"",I49-S49)</f>
        <v/>
      </c>
      <c r="U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Mgmt'!$N$5:$N$428&gt;=DATE(YEAR(A49),MONTH(A49),1),FALSE)&gt;0))=0,"",IFERROR(T49/I49,0))</f>
        <v/>
      </c>
      <c r="V49" s="82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Mgmt'!$M$5:$M$428,DATE(YEAR(A49),MONTH(A49),1))))+1)/DAY(EOMONTH(A49,0))),0))</f>
        <v/>
      </c>
      <c r="X49" s="82" t="n"/>
      <c r="Y49" s="82" t="n"/>
      <c r="Z49" s="82" t="n"/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2026-06-27T14:44:29Z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