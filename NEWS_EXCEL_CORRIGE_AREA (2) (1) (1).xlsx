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20" customWidth="1" style="83" min="26" max="26"/>
    <col width="20" customWidth="1" style="83" min="27" max="27"/>
    <col hidden="1" width="3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Factor</t>
        </is>
      </c>
      <c r="Z5" s="124" t="inlineStr">
        <is>
          <t>Room Elec Prorata</t>
        </is>
      </c>
      <c r="AA5" s="124" t="inlineStr">
        <is>
          <t>Area Elec Prorata</t>
        </is>
      </c>
      <c r="AB5" s="124" t="n"/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05">
        <f>'Invoice Generator'!$H$24</f>
        <v/>
      </c>
      <c r="Z6" s="130">
        <f>'Invoice Generator'!$G$19*$Y$6</f>
        <v/>
      </c>
      <c r="AA6" s="130">
        <f>'Invoice Generator'!$G$20*$Y$6</f>
        <v/>
      </c>
      <c r="AB6" s="176" t="n"/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'Electricity Management'!$Z$6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IFERROR(_xlfn.XLOOKUP($C$6,'Client DB &amp; Bed Mgmt'!$D:$D,'Client DB &amp; Bed Mgmt'!$K:$K,0),0)</f>
        <v/>
      </c>
      <c r="H20" s="154">
        <f>'Electricity Management'!$AA$6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inlineStr">
        <is>
          <t>Common Area Share</t>
        </is>
      </c>
      <c r="C23" s="153" t="n"/>
      <c r="D23" s="153" t="n"/>
      <c r="E23" s="153" t="n"/>
      <c r="F23" s="153" t="n"/>
      <c r="G23" s="154">
        <f>0</f>
        <v/>
      </c>
      <c r="H23" s="154">
        <f>0</f>
        <v/>
      </c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IFERROR(MAX(0,MIN(IF(OR($G$13="",NOT(ISNUMBER($G$13))),EOMONTH($C$7,0),$G$13),EOMONTH($C$7,0))-MAX(IF(OR($G$12="",NOT(ISNUMBER($G$12))),DATE(YEAR($C$7),MONTH($C$7),1),$G$12),DATE(YEAR($C$7),MONTH($C$7),1))+1)/DAY(EOMONTH($C$7,0)),0)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SUM(G18:G23)</f>
        <v/>
      </c>
      <c r="H25" s="158">
        <f>SUM(H18:H23)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2026-06-27T12:11:32Z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