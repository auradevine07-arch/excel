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X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  <col width="24" customWidth="1" style="83" min="23" max="23"/>
    <col width="24" customWidth="1" style="83" min="24" max="24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Room Prorata Occupied Beds</t>
        </is>
      </c>
      <c r="V5" s="124" t="inlineStr">
        <is>
          <t>Room Elec Prorata / Person</t>
        </is>
      </c>
      <c r="W5" s="124" t="inlineStr">
        <is>
          <t>Area Prorata Occupied Beds</t>
        </is>
      </c>
      <c r="X5" s="124" t="inlineStr">
        <is>
          <t>Area Elec Prorata / Person</t>
        </is>
      </c>
    </row>
    <row r="6" ht="14.25" customHeight="1" s="83">
      <c r="A6" s="103" t="inlineStr">
        <is>
          <t>Dorm 1</t>
        </is>
      </c>
      <c r="B6" s="125">
        <f>INDEX(MonthList,INT((ROW()-6)/6)+1)</f>
        <v/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76">
        <f>SUMPRODUCT(('Client DB &amp; Bed Mgmt'!$A$5:$A$428=A6)*('Client DB &amp; Bed Mgmt'!$B$5:$B$428=C6)*('Client DB &amp; Bed Mgmt'!$D$5:$D$428&lt;&gt;"")*--(('Client DB &amp; Bed Mgmt'!$M$5:$M$428="")+NOT(ISNUMBER('Client DB &amp; Bed Mgmt'!$M$5:$M$428))+IFERROR('Client DB &amp; Bed Mgmt'!$M$5:$M$428&lt;=EOMONTH(B6,0),FALSE)&gt;0)*--(('Client DB &amp; Bed Mgmt'!$N$5:$N$428="")+NOT(ISNUMBER('Client DB &amp; Bed Mgmt'!$N$5:$N$428))+IFERROR('Client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</f>
        <v/>
      </c>
      <c r="V6" s="129">
        <f>IFERROR(I6/U6,0)</f>
        <v/>
      </c>
      <c r="W6" s="127">
        <f>SUMPRODUCT(('Client DB &amp; Bed Mgmt'!$A$5:$A$428=K6)*('Client DB &amp; Bed Mgmt'!$B$5:$B$428=L6)*('Client DB &amp; Bed Mgmt'!$D$5:$D$428&lt;&gt;"")*--(('Client DB &amp; Bed Mgmt'!$M$5:$M$428="")+NOT(ISNUMBER('Client DB &amp; Bed Mgmt'!$M$5:$M$428))+IFERROR('Client DB &amp; Bed Mgmt'!$M$5:$M$428&lt;=EOMONTH(B6,0),FALSE)&gt;0)*--(('Client DB &amp; Bed Mgmt'!$N$5:$N$428="")+NOT(ISNUMBER('Client DB &amp; Bed Mgmt'!$N$5:$N$428))+IFERROR('Client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</f>
        <v/>
      </c>
      <c r="X6" s="130">
        <f>IFERROR(S6/W6,0)</f>
        <v/>
      </c>
    </row>
    <row r="7" ht="14.25" customHeight="1" s="83">
      <c r="A7" s="103" t="inlineStr">
        <is>
          <t>Dorm 1</t>
        </is>
      </c>
      <c r="B7" s="125">
        <f>INDEX(MonthList,INT((ROW()-6)/6)+1)</f>
        <v/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76">
        <f>SUMPRODUCT(('Client DB &amp; Bed Mgmt'!$A$5:$A$428=A7)*('Client DB &amp; Bed Mgmt'!$B$5:$B$428=C7)*('Client DB &amp; Bed Mgmt'!$D$5:$D$428&lt;&gt;"")*--(('Client DB &amp; Bed Mgmt'!$M$5:$M$428="")+NOT(ISNUMBER('Client DB &amp; Bed Mgmt'!$M$5:$M$428))+IFERROR('Client DB &amp; Bed Mgmt'!$M$5:$M$428&lt;=EOMONTH(B7,0),FALSE)&gt;0)*--(('Client DB &amp; Bed Mgmt'!$N$5:$N$428="")+NOT(ISNUMBER('Client DB &amp; Bed Mgmt'!$N$5:$N$428))+IFERROR('Client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</f>
        <v/>
      </c>
      <c r="V7" s="129">
        <f>IFERROR(I7/U7,0)</f>
        <v/>
      </c>
      <c r="W7" s="127">
        <f>SUMPRODUCT(('Client DB &amp; Bed Mgmt'!$A$5:$A$428=K7)*('Client DB &amp; Bed Mgmt'!$B$5:$B$428=L7)*('Client DB &amp; Bed Mgmt'!$D$5:$D$428&lt;&gt;"")*--(('Client DB &amp; Bed Mgmt'!$M$5:$M$428="")+NOT(ISNUMBER('Client DB &amp; Bed Mgmt'!$M$5:$M$428))+IFERROR('Client DB &amp; Bed Mgmt'!$M$5:$M$428&lt;=EOMONTH(B7,0),FALSE)&gt;0)*--(('Client DB &amp; Bed Mgmt'!$N$5:$N$428="")+NOT(ISNUMBER('Client DB &amp; Bed Mgmt'!$N$5:$N$428))+IFERROR('Client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</f>
        <v/>
      </c>
      <c r="X7" s="130">
        <f>IFERROR(S7/W7,0)</f>
        <v/>
      </c>
    </row>
    <row r="8" ht="14.25" customHeight="1" s="83">
      <c r="A8" s="103" t="inlineStr">
        <is>
          <t>Dorm 1</t>
        </is>
      </c>
      <c r="B8" s="125">
        <f>INDEX(MonthList,INT((ROW()-6)/6)+1)</f>
        <v/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76">
        <f>SUMPRODUCT(('Client DB &amp; Bed Mgmt'!$A$5:$A$428=A8)*('Client DB &amp; Bed Mgmt'!$B$5:$B$428=C8)*('Client DB &amp; Bed Mgmt'!$D$5:$D$428&lt;&gt;"")*--(('Client DB &amp; Bed Mgmt'!$M$5:$M$428="")+NOT(ISNUMBER('Client DB &amp; Bed Mgmt'!$M$5:$M$428))+IFERROR('Client DB &amp; Bed Mgmt'!$M$5:$M$428&lt;=EOMONTH(B8,0),FALSE)&gt;0)*--(('Client DB &amp; Bed Mgmt'!$N$5:$N$428="")+NOT(ISNUMBER('Client DB &amp; Bed Mgmt'!$N$5:$N$428))+IFERROR('Client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</f>
        <v/>
      </c>
      <c r="V8" s="129">
        <f>IFERROR(I8/U8,0)</f>
        <v/>
      </c>
      <c r="W8" s="127">
        <f>SUMPRODUCT(('Client DB &amp; Bed Mgmt'!$A$5:$A$428=K8)*('Client DB &amp; Bed Mgmt'!$B$5:$B$428=L8)*('Client DB &amp; Bed Mgmt'!$D$5:$D$428&lt;&gt;"")*--(('Client DB &amp; Bed Mgmt'!$M$5:$M$428="")+NOT(ISNUMBER('Client DB &amp; Bed Mgmt'!$M$5:$M$428))+IFERROR('Client DB &amp; Bed Mgmt'!$M$5:$M$428&lt;=EOMONTH(B8,0),FALSE)&gt;0)*--(('Client DB &amp; Bed Mgmt'!$N$5:$N$428="")+NOT(ISNUMBER('Client DB &amp; Bed Mgmt'!$N$5:$N$428))+IFERROR('Client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</f>
        <v/>
      </c>
      <c r="X8" s="130">
        <f>IFERROR(S8/W8,0)</f>
        <v/>
      </c>
    </row>
    <row r="9" ht="14.25" customHeight="1" s="83">
      <c r="A9" s="103" t="inlineStr">
        <is>
          <t>Dorm 1</t>
        </is>
      </c>
      <c r="B9" s="125">
        <f>INDEX(MonthList,INT((ROW()-6)/6)+1)</f>
        <v/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76">
        <f>SUMPRODUCT(('Client DB &amp; Bed Mgmt'!$A$5:$A$428=A9)*('Client DB &amp; Bed Mgmt'!$B$5:$B$428=C9)*('Client DB &amp; Bed Mgmt'!$D$5:$D$428&lt;&gt;"")*--(('Client DB &amp; Bed Mgmt'!$M$5:$M$428="")+NOT(ISNUMBER('Client DB &amp; Bed Mgmt'!$M$5:$M$428))+IFERROR('Client DB &amp; Bed Mgmt'!$M$5:$M$428&lt;=EOMONTH(B9,0),FALSE)&gt;0)*--(('Client DB &amp; Bed Mgmt'!$N$5:$N$428="")+NOT(ISNUMBER('Client DB &amp; Bed Mgmt'!$N$5:$N$428))+IFERROR('Client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</f>
        <v/>
      </c>
      <c r="V9" s="129">
        <f>IFERROR(I9/U9,0)</f>
        <v/>
      </c>
      <c r="W9" s="127">
        <f>SUMPRODUCT(('Client DB &amp; Bed Mgmt'!$A$5:$A$428=K9)*('Client DB &amp; Bed Mgmt'!$B$5:$B$428=L9)*('Client DB &amp; Bed Mgmt'!$D$5:$D$428&lt;&gt;"")*--(('Client DB &amp; Bed Mgmt'!$M$5:$M$428="")+NOT(ISNUMBER('Client DB &amp; Bed Mgmt'!$M$5:$M$428))+IFERROR('Client DB &amp; Bed Mgmt'!$M$5:$M$428&lt;=EOMONTH(B9,0),FALSE)&gt;0)*--(('Client DB &amp; Bed Mgmt'!$N$5:$N$428="")+NOT(ISNUMBER('Client DB &amp; Bed Mgmt'!$N$5:$N$428))+IFERROR('Client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</f>
        <v/>
      </c>
      <c r="X9" s="130">
        <f>IFERROR(S9/W9,0)</f>
        <v/>
      </c>
    </row>
    <row r="10" ht="14.25" customHeight="1" s="83">
      <c r="A10" s="103" t="inlineStr">
        <is>
          <t>Dorm 1</t>
        </is>
      </c>
      <c r="B10" s="125">
        <f>INDEX(MonthList,INT((ROW()-6)/6)+1)</f>
        <v/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76">
        <f>SUMPRODUCT(('Client DB &amp; Bed Mgmt'!$A$5:$A$428=A10)*('Client DB &amp; Bed Mgmt'!$B$5:$B$428=C10)*('Client DB &amp; Bed Mgmt'!$D$5:$D$428&lt;&gt;"")*--(('Client DB &amp; Bed Mgmt'!$M$5:$M$428="")+NOT(ISNUMBER('Client DB &amp; Bed Mgmt'!$M$5:$M$428))+IFERROR('Client DB &amp; Bed Mgmt'!$M$5:$M$428&lt;=EOMONTH(B10,0),FALSE)&gt;0)*--(('Client DB &amp; Bed Mgmt'!$N$5:$N$428="")+NOT(ISNUMBER('Client DB &amp; Bed Mgmt'!$N$5:$N$428))+IFERROR('Client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</f>
        <v/>
      </c>
      <c r="V10" s="129">
        <f>IFERROR(I10/U10,0)</f>
        <v/>
      </c>
      <c r="W10" s="127">
        <f>SUMPRODUCT(('Client DB &amp; Bed Mgmt'!$A$5:$A$428=K10)*('Client DB &amp; Bed Mgmt'!$B$5:$B$428=L10)*('Client DB &amp; Bed Mgmt'!$D$5:$D$428&lt;&gt;"")*--(('Client DB &amp; Bed Mgmt'!$M$5:$M$428="")+NOT(ISNUMBER('Client DB &amp; Bed Mgmt'!$M$5:$M$428))+IFERROR('Client DB &amp; Bed Mgmt'!$M$5:$M$428&lt;=EOMONTH(B10,0),FALSE)&gt;0)*--(('Client DB &amp; Bed Mgmt'!$N$5:$N$428="")+NOT(ISNUMBER('Client DB &amp; Bed Mgmt'!$N$5:$N$428))+IFERROR('Client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</f>
        <v/>
      </c>
      <c r="X10" s="130">
        <f>IFERROR(S10/W10,0)</f>
        <v/>
      </c>
    </row>
    <row r="11" ht="14.25" customHeight="1" s="83">
      <c r="A11" s="103" t="inlineStr">
        <is>
          <t>Dorm 1</t>
        </is>
      </c>
      <c r="B11" s="125">
        <f>INDEX(MonthList,INT((ROW()-6)/6)+1)</f>
        <v/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76">
        <f>SUMPRODUCT(('Client DB &amp; Bed Mgmt'!$A$5:$A$428=A11)*('Client DB &amp; Bed Mgmt'!$B$5:$B$428=C11)*('Client DB &amp; Bed Mgmt'!$D$5:$D$428&lt;&gt;"")*--(('Client DB &amp; Bed Mgmt'!$M$5:$M$428="")+NOT(ISNUMBER('Client DB &amp; Bed Mgmt'!$M$5:$M$428))+IFERROR('Client DB &amp; Bed Mgmt'!$M$5:$M$428&lt;=EOMONTH(B11,0),FALSE)&gt;0)*--(('Client DB &amp; Bed Mgmt'!$N$5:$N$428="")+NOT(ISNUMBER('Client DB &amp; Bed Mgmt'!$N$5:$N$428))+IFERROR('Client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</f>
        <v/>
      </c>
      <c r="V11" s="129">
        <f>IFERROR(I11/U11,0)</f>
        <v/>
      </c>
      <c r="W11" s="127">
        <f>SUMPRODUCT(('Client DB &amp; Bed Mgmt'!$A$5:$A$428=K11)*('Client DB &amp; Bed Mgmt'!$B$5:$B$428=L11)*('Client DB &amp; Bed Mgmt'!$D$5:$D$428&lt;&gt;"")*--(('Client DB &amp; Bed Mgmt'!$M$5:$M$428="")+NOT(ISNUMBER('Client DB &amp; Bed Mgmt'!$M$5:$M$428))+IFERROR('Client DB &amp; Bed Mgmt'!$M$5:$M$428&lt;=EOMONTH(B11,0),FALSE)&gt;0)*--(('Client DB &amp; Bed Mgmt'!$N$5:$N$428="")+NOT(ISNUMBER('Client DB &amp; Bed Mgmt'!$N$5:$N$428))+IFERROR('Client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</f>
        <v/>
      </c>
      <c r="X11" s="130">
        <f>IFERROR(S11/W11,0)</f>
        <v/>
      </c>
    </row>
    <row r="12" ht="14.25" customHeight="1" s="83">
      <c r="A12" s="103" t="inlineStr">
        <is>
          <t>Dorm 1</t>
        </is>
      </c>
      <c r="B12" s="125">
        <f>INDEX(MonthList,INT((ROW()-6)/6)+1)</f>
        <v/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76">
        <f>SUMPRODUCT(('Client DB &amp; Bed Mgmt'!$A$5:$A$428=A12)*('Client DB &amp; Bed Mgmt'!$B$5:$B$428=C12)*('Client DB &amp; Bed Mgmt'!$D$5:$D$428&lt;&gt;"")*--(('Client DB &amp; Bed Mgmt'!$M$5:$M$428="")+NOT(ISNUMBER('Client DB &amp; Bed Mgmt'!$M$5:$M$428))+IFERROR('Client DB &amp; Bed Mgmt'!$M$5:$M$428&lt;=EOMONTH(B12,0),FALSE)&gt;0)*--(('Client DB &amp; Bed Mgmt'!$N$5:$N$428="")+NOT(ISNUMBER('Client DB &amp; Bed Mgmt'!$N$5:$N$428))+IFERROR('Client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</f>
        <v/>
      </c>
      <c r="V12" s="129">
        <f>IFERROR(I12/U12,0)</f>
        <v/>
      </c>
      <c r="W12" s="127">
        <f>SUMPRODUCT(('Client DB &amp; Bed Mgmt'!$A$5:$A$428=K12)*('Client DB &amp; Bed Mgmt'!$B$5:$B$428=L12)*('Client DB &amp; Bed Mgmt'!$D$5:$D$428&lt;&gt;"")*--(('Client DB &amp; Bed Mgmt'!$M$5:$M$428="")+NOT(ISNUMBER('Client DB &amp; Bed Mgmt'!$M$5:$M$428))+IFERROR('Client DB &amp; Bed Mgmt'!$M$5:$M$428&lt;=EOMONTH(B12,0),FALSE)&gt;0)*--(('Client DB &amp; Bed Mgmt'!$N$5:$N$428="")+NOT(ISNUMBER('Client DB &amp; Bed Mgmt'!$N$5:$N$428))+IFERROR('Client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</f>
        <v/>
      </c>
      <c r="X12" s="130">
        <f>IFERROR(S12/W12,0)</f>
        <v/>
      </c>
    </row>
    <row r="13" ht="14.25" customHeight="1" s="83">
      <c r="A13" s="103" t="inlineStr">
        <is>
          <t>Dorm 1</t>
        </is>
      </c>
      <c r="B13" s="125">
        <f>INDEX(MonthList,INT((ROW()-6)/6)+1)</f>
        <v/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76">
        <f>SUMPRODUCT(('Client DB &amp; Bed Mgmt'!$A$5:$A$428=A13)*('Client DB &amp; Bed Mgmt'!$B$5:$B$428=C13)*('Client DB &amp; Bed Mgmt'!$D$5:$D$428&lt;&gt;"")*--(('Client DB &amp; Bed Mgmt'!$M$5:$M$428="")+NOT(ISNUMBER('Client DB &amp; Bed Mgmt'!$M$5:$M$428))+IFERROR('Client DB &amp; Bed Mgmt'!$M$5:$M$428&lt;=EOMONTH(B13,0),FALSE)&gt;0)*--(('Client DB &amp; Bed Mgmt'!$N$5:$N$428="")+NOT(ISNUMBER('Client DB &amp; Bed Mgmt'!$N$5:$N$428))+IFERROR('Client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</f>
        <v/>
      </c>
      <c r="V13" s="129">
        <f>IFERROR(I13/U13,0)</f>
        <v/>
      </c>
      <c r="W13" s="127">
        <f>SUMPRODUCT(('Client DB &amp; Bed Mgmt'!$A$5:$A$428=K13)*('Client DB &amp; Bed Mgmt'!$B$5:$B$428=L13)*('Client DB &amp; Bed Mgmt'!$D$5:$D$428&lt;&gt;"")*--(('Client DB &amp; Bed Mgmt'!$M$5:$M$428="")+NOT(ISNUMBER('Client DB &amp; Bed Mgmt'!$M$5:$M$428))+IFERROR('Client DB &amp; Bed Mgmt'!$M$5:$M$428&lt;=EOMONTH(B13,0),FALSE)&gt;0)*--(('Client DB &amp; Bed Mgmt'!$N$5:$N$428="")+NOT(ISNUMBER('Client DB &amp; Bed Mgmt'!$N$5:$N$428))+IFERROR('Client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</f>
        <v/>
      </c>
      <c r="X13" s="130">
        <f>IFERROR(S13/W13,0)</f>
        <v/>
      </c>
    </row>
    <row r="14" ht="14.25" customHeight="1" s="83">
      <c r="A14" s="103" t="inlineStr">
        <is>
          <t>Dorm 1</t>
        </is>
      </c>
      <c r="B14" s="125">
        <f>INDEX(MonthList,INT((ROW()-6)/6)+1)</f>
        <v/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76">
        <f>SUMPRODUCT(('Client DB &amp; Bed Mgmt'!$A$5:$A$428=A14)*('Client DB &amp; Bed Mgmt'!$B$5:$B$428=C14)*('Client DB &amp; Bed Mgmt'!$D$5:$D$428&lt;&gt;"")*--(('Client DB &amp; Bed Mgmt'!$M$5:$M$428="")+NOT(ISNUMBER('Client DB &amp; Bed Mgmt'!$M$5:$M$428))+IFERROR('Client DB &amp; Bed Mgmt'!$M$5:$M$428&lt;=EOMONTH(B14,0),FALSE)&gt;0)*--(('Client DB &amp; Bed Mgmt'!$N$5:$N$428="")+NOT(ISNUMBER('Client DB &amp; Bed Mgmt'!$N$5:$N$428))+IFERROR('Client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</f>
        <v/>
      </c>
      <c r="V14" s="129">
        <f>IFERROR(I14/U14,0)</f>
        <v/>
      </c>
      <c r="W14" s="127">
        <f>SUMPRODUCT(('Client DB &amp; Bed Mgmt'!$A$5:$A$428=K14)*('Client DB &amp; Bed Mgmt'!$B$5:$B$428=L14)*('Client DB &amp; Bed Mgmt'!$D$5:$D$428&lt;&gt;"")*--(('Client DB &amp; Bed Mgmt'!$M$5:$M$428="")+NOT(ISNUMBER('Client DB &amp; Bed Mgmt'!$M$5:$M$428))+IFERROR('Client DB &amp; Bed Mgmt'!$M$5:$M$428&lt;=EOMONTH(B14,0),FALSE)&gt;0)*--(('Client DB &amp; Bed Mgmt'!$N$5:$N$428="")+NOT(ISNUMBER('Client DB &amp; Bed Mgmt'!$N$5:$N$428))+IFERROR('Client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</f>
        <v/>
      </c>
      <c r="X14" s="130">
        <f>IFERROR(S14/W14,0)</f>
        <v/>
      </c>
    </row>
    <row r="15" ht="14.25" customHeight="1" s="83">
      <c r="A15" s="103" t="inlineStr">
        <is>
          <t>Dorm 1</t>
        </is>
      </c>
      <c r="B15" s="125">
        <f>INDEX(MonthList,INT((ROW()-6)/6)+1)</f>
        <v/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76">
        <f>SUMPRODUCT(('Client DB &amp; Bed Mgmt'!$A$5:$A$428=A15)*('Client DB &amp; Bed Mgmt'!$B$5:$B$428=C15)*('Client DB &amp; Bed Mgmt'!$D$5:$D$428&lt;&gt;"")*--(('Client DB &amp; Bed Mgmt'!$M$5:$M$428="")+NOT(ISNUMBER('Client DB &amp; Bed Mgmt'!$M$5:$M$428))+IFERROR('Client DB &amp; Bed Mgmt'!$M$5:$M$428&lt;=EOMONTH(B15,0),FALSE)&gt;0)*--(('Client DB &amp; Bed Mgmt'!$N$5:$N$428="")+NOT(ISNUMBER('Client DB &amp; Bed Mgmt'!$N$5:$N$428))+IFERROR('Client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</f>
        <v/>
      </c>
      <c r="V15" s="129">
        <f>IFERROR(I15/U15,0)</f>
        <v/>
      </c>
      <c r="W15" s="127">
        <f>SUMPRODUCT(('Client DB &amp; Bed Mgmt'!$A$5:$A$428=K15)*('Client DB &amp; Bed Mgmt'!$B$5:$B$428=L15)*('Client DB &amp; Bed Mgmt'!$D$5:$D$428&lt;&gt;"")*--(('Client DB &amp; Bed Mgmt'!$M$5:$M$428="")+NOT(ISNUMBER('Client DB &amp; Bed Mgmt'!$M$5:$M$428))+IFERROR('Client DB &amp; Bed Mgmt'!$M$5:$M$428&lt;=EOMONTH(B15,0),FALSE)&gt;0)*--(('Client DB &amp; Bed Mgmt'!$N$5:$N$428="")+NOT(ISNUMBER('Client DB &amp; Bed Mgmt'!$N$5:$N$428))+IFERROR('Client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</f>
        <v/>
      </c>
      <c r="X15" s="130">
        <f>IFERROR(S15/W15,0)</f>
        <v/>
      </c>
    </row>
    <row r="16" ht="14.25" customHeight="1" s="83">
      <c r="A16" s="103" t="inlineStr">
        <is>
          <t>Dorm 1</t>
        </is>
      </c>
      <c r="B16" s="125">
        <f>INDEX(MonthList,INT((ROW()-6)/6)+1)</f>
        <v/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76">
        <f>SUMPRODUCT(('Client DB &amp; Bed Mgmt'!$A$5:$A$428=A16)*('Client DB &amp; Bed Mgmt'!$B$5:$B$428=C16)*('Client DB &amp; Bed Mgmt'!$D$5:$D$428&lt;&gt;"")*--(('Client DB &amp; Bed Mgmt'!$M$5:$M$428="")+NOT(ISNUMBER('Client DB &amp; Bed Mgmt'!$M$5:$M$428))+IFERROR('Client DB &amp; Bed Mgmt'!$M$5:$M$428&lt;=EOMONTH(B16,0),FALSE)&gt;0)*--(('Client DB &amp; Bed Mgmt'!$N$5:$N$428="")+NOT(ISNUMBER('Client DB &amp; Bed Mgmt'!$N$5:$N$428))+IFERROR('Client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</f>
        <v/>
      </c>
      <c r="V16" s="129">
        <f>IFERROR(I16/U16,0)</f>
        <v/>
      </c>
      <c r="W16" s="127">
        <f>SUMPRODUCT(('Client DB &amp; Bed Mgmt'!$A$5:$A$428=K16)*('Client DB &amp; Bed Mgmt'!$B$5:$B$428=L16)*('Client DB &amp; Bed Mgmt'!$D$5:$D$428&lt;&gt;"")*--(('Client DB &amp; Bed Mgmt'!$M$5:$M$428="")+NOT(ISNUMBER('Client DB &amp; Bed Mgmt'!$M$5:$M$428))+IFERROR('Client DB &amp; Bed Mgmt'!$M$5:$M$428&lt;=EOMONTH(B16,0),FALSE)&gt;0)*--(('Client DB &amp; Bed Mgmt'!$N$5:$N$428="")+NOT(ISNUMBER('Client DB &amp; Bed Mgmt'!$N$5:$N$428))+IFERROR('Client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</f>
        <v/>
      </c>
      <c r="X16" s="130">
        <f>IFERROR(S16/W16,0)</f>
        <v/>
      </c>
    </row>
    <row r="17" ht="14.25" customHeight="1" s="83">
      <c r="A17" s="103" t="inlineStr">
        <is>
          <t>Dorm 1</t>
        </is>
      </c>
      <c r="B17" s="125">
        <f>INDEX(MonthList,INT((ROW()-6)/6)+1)</f>
        <v/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76">
        <f>SUMPRODUCT(('Client DB &amp; Bed Mgmt'!$A$5:$A$428=A17)*('Client DB &amp; Bed Mgmt'!$B$5:$B$428=C17)*('Client DB &amp; Bed Mgmt'!$D$5:$D$428&lt;&gt;"")*--(('Client DB &amp; Bed Mgmt'!$M$5:$M$428="")+NOT(ISNUMBER('Client DB &amp; Bed Mgmt'!$M$5:$M$428))+IFERROR('Client DB &amp; Bed Mgmt'!$M$5:$M$428&lt;=EOMONTH(B17,0),FALSE)&gt;0)*--(('Client DB &amp; Bed Mgmt'!$N$5:$N$428="")+NOT(ISNUMBER('Client DB &amp; Bed Mgmt'!$N$5:$N$428))+IFERROR('Client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</f>
        <v/>
      </c>
      <c r="V17" s="129">
        <f>IFERROR(I17/U17,0)</f>
        <v/>
      </c>
      <c r="W17" s="127">
        <f>SUMPRODUCT(('Client DB &amp; Bed Mgmt'!$A$5:$A$428=K17)*('Client DB &amp; Bed Mgmt'!$B$5:$B$428=L17)*('Client DB &amp; Bed Mgmt'!$D$5:$D$428&lt;&gt;"")*--(('Client DB &amp; Bed Mgmt'!$M$5:$M$428="")+NOT(ISNUMBER('Client DB &amp; Bed Mgmt'!$M$5:$M$428))+IFERROR('Client DB &amp; Bed Mgmt'!$M$5:$M$428&lt;=EOMONTH(B17,0),FALSE)&gt;0)*--(('Client DB &amp; Bed Mgmt'!$N$5:$N$428="")+NOT(ISNUMBER('Client DB &amp; Bed Mgmt'!$N$5:$N$428))+IFERROR('Client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</f>
        <v/>
      </c>
      <c r="X17" s="130">
        <f>IFERROR(S17/W17,0)</f>
        <v/>
      </c>
    </row>
    <row r="18" ht="14.25" customHeight="1" s="83">
      <c r="A18" s="103" t="inlineStr">
        <is>
          <t>Dorm 1</t>
        </is>
      </c>
      <c r="B18" s="125">
        <f>INDEX(MonthList,INT((ROW()-6)/6)+1)</f>
        <v/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76">
        <f>SUMPRODUCT(('Client DB &amp; Bed Mgmt'!$A$5:$A$428=A18)*('Client DB &amp; Bed Mgmt'!$B$5:$B$428=C18)*('Client DB &amp; Bed Mgmt'!$D$5:$D$428&lt;&gt;"")*--(('Client DB &amp; Bed Mgmt'!$M$5:$M$428="")+NOT(ISNUMBER('Client DB &amp; Bed Mgmt'!$M$5:$M$428))+IFERROR('Client DB &amp; Bed Mgmt'!$M$5:$M$428&lt;=EOMONTH(B18,0),FALSE)&gt;0)*--(('Client DB &amp; Bed Mgmt'!$N$5:$N$428="")+NOT(ISNUMBER('Client DB &amp; Bed Mgmt'!$N$5:$N$428))+IFERROR('Client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</f>
        <v/>
      </c>
      <c r="V18" s="129">
        <f>IFERROR(I18/U18,0)</f>
        <v/>
      </c>
      <c r="W18" s="127">
        <f>SUMPRODUCT(('Client DB &amp; Bed Mgmt'!$A$5:$A$428=K18)*('Client DB &amp; Bed Mgmt'!$B$5:$B$428=L18)*('Client DB &amp; Bed Mgmt'!$D$5:$D$428&lt;&gt;"")*--(('Client DB &amp; Bed Mgmt'!$M$5:$M$428="")+NOT(ISNUMBER('Client DB &amp; Bed Mgmt'!$M$5:$M$428))+IFERROR('Client DB &amp; Bed Mgmt'!$M$5:$M$428&lt;=EOMONTH(B18,0),FALSE)&gt;0)*--(('Client DB &amp; Bed Mgmt'!$N$5:$N$428="")+NOT(ISNUMBER('Client DB &amp; Bed Mgmt'!$N$5:$N$428))+IFERROR('Client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</f>
        <v/>
      </c>
      <c r="X18" s="130">
        <f>IFERROR(S18/W18,0)</f>
        <v/>
      </c>
    </row>
    <row r="19" ht="14.25" customHeight="1" s="83">
      <c r="A19" s="103" t="inlineStr">
        <is>
          <t>Dorm 1</t>
        </is>
      </c>
      <c r="B19" s="125">
        <f>INDEX(MonthList,INT((ROW()-6)/6)+1)</f>
        <v/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76">
        <f>SUMPRODUCT(('Client DB &amp; Bed Mgmt'!$A$5:$A$428=A19)*('Client DB &amp; Bed Mgmt'!$B$5:$B$428=C19)*('Client DB &amp; Bed Mgmt'!$D$5:$D$428&lt;&gt;"")*--(('Client DB &amp; Bed Mgmt'!$M$5:$M$428="")+NOT(ISNUMBER('Client DB &amp; Bed Mgmt'!$M$5:$M$428))+IFERROR('Client DB &amp; Bed Mgmt'!$M$5:$M$428&lt;=EOMONTH(B19,0),FALSE)&gt;0)*--(('Client DB &amp; Bed Mgmt'!$N$5:$N$428="")+NOT(ISNUMBER('Client DB &amp; Bed Mgmt'!$N$5:$N$428))+IFERROR('Client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</f>
        <v/>
      </c>
      <c r="V19" s="129">
        <f>IFERROR(I19/U19,0)</f>
        <v/>
      </c>
      <c r="W19" s="127">
        <f>SUMPRODUCT(('Client DB &amp; Bed Mgmt'!$A$5:$A$428=K19)*('Client DB &amp; Bed Mgmt'!$B$5:$B$428=L19)*('Client DB &amp; Bed Mgmt'!$D$5:$D$428&lt;&gt;"")*--(('Client DB &amp; Bed Mgmt'!$M$5:$M$428="")+NOT(ISNUMBER('Client DB &amp; Bed Mgmt'!$M$5:$M$428))+IFERROR('Client DB &amp; Bed Mgmt'!$M$5:$M$428&lt;=EOMONTH(B19,0),FALSE)&gt;0)*--(('Client DB &amp; Bed Mgmt'!$N$5:$N$428="")+NOT(ISNUMBER('Client DB &amp; Bed Mgmt'!$N$5:$N$428))+IFERROR('Client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</f>
        <v/>
      </c>
      <c r="X19" s="130">
        <f>IFERROR(S19/W19,0)</f>
        <v/>
      </c>
    </row>
    <row r="20" ht="14.25" customHeight="1" s="83">
      <c r="A20" s="103" t="inlineStr">
        <is>
          <t>Dorm 1</t>
        </is>
      </c>
      <c r="B20" s="125">
        <f>INDEX(MonthList,INT((ROW()-6)/6)+1)</f>
        <v/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76">
        <f>SUMPRODUCT(('Client DB &amp; Bed Mgmt'!$A$5:$A$428=A20)*('Client DB &amp; Bed Mgmt'!$B$5:$B$428=C20)*('Client DB &amp; Bed Mgmt'!$D$5:$D$428&lt;&gt;"")*--(('Client DB &amp; Bed Mgmt'!$M$5:$M$428="")+NOT(ISNUMBER('Client DB &amp; Bed Mgmt'!$M$5:$M$428))+IFERROR('Client DB &amp; Bed Mgmt'!$M$5:$M$428&lt;=EOMONTH(B20,0),FALSE)&gt;0)*--(('Client DB &amp; Bed Mgmt'!$N$5:$N$428="")+NOT(ISNUMBER('Client DB &amp; Bed Mgmt'!$N$5:$N$428))+IFERROR('Client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</f>
        <v/>
      </c>
      <c r="V20" s="129">
        <f>IFERROR(I20/U20,0)</f>
        <v/>
      </c>
      <c r="W20" s="127">
        <f>SUMPRODUCT(('Client DB &amp; Bed Mgmt'!$A$5:$A$428=K20)*('Client DB &amp; Bed Mgmt'!$B$5:$B$428=L20)*('Client DB &amp; Bed Mgmt'!$D$5:$D$428&lt;&gt;"")*--(('Client DB &amp; Bed Mgmt'!$M$5:$M$428="")+NOT(ISNUMBER('Client DB &amp; Bed Mgmt'!$M$5:$M$428))+IFERROR('Client DB &amp; Bed Mgmt'!$M$5:$M$428&lt;=EOMONTH(B20,0),FALSE)&gt;0)*--(('Client DB &amp; Bed Mgmt'!$N$5:$N$428="")+NOT(ISNUMBER('Client DB &amp; Bed Mgmt'!$N$5:$N$428))+IFERROR('Client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</f>
        <v/>
      </c>
      <c r="X20" s="130">
        <f>IFERROR(S20/W20,0)</f>
        <v/>
      </c>
    </row>
    <row r="21" ht="14.25" customHeight="1" s="83">
      <c r="A21" s="103" t="inlineStr">
        <is>
          <t>Dorm 1</t>
        </is>
      </c>
      <c r="B21" s="125">
        <f>INDEX(MonthList,INT((ROW()-6)/6)+1)</f>
        <v/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76">
        <f>SUMPRODUCT(('Client DB &amp; Bed Mgmt'!$A$5:$A$428=A21)*('Client DB &amp; Bed Mgmt'!$B$5:$B$428=C21)*('Client DB &amp; Bed Mgmt'!$D$5:$D$428&lt;&gt;"")*--(('Client DB &amp; Bed Mgmt'!$M$5:$M$428="")+NOT(ISNUMBER('Client DB &amp; Bed Mgmt'!$M$5:$M$428))+IFERROR('Client DB &amp; Bed Mgmt'!$M$5:$M$428&lt;=EOMONTH(B21,0),FALSE)&gt;0)*--(('Client DB &amp; Bed Mgmt'!$N$5:$N$428="")+NOT(ISNUMBER('Client DB &amp; Bed Mgmt'!$N$5:$N$428))+IFERROR('Client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</f>
        <v/>
      </c>
      <c r="V21" s="129">
        <f>IFERROR(I21/U21,0)</f>
        <v/>
      </c>
      <c r="W21" s="127">
        <f>SUMPRODUCT(('Client DB &amp; Bed Mgmt'!$A$5:$A$428=K21)*('Client DB &amp; Bed Mgmt'!$B$5:$B$428=L21)*('Client DB &amp; Bed Mgmt'!$D$5:$D$428&lt;&gt;"")*--(('Client DB &amp; Bed Mgmt'!$M$5:$M$428="")+NOT(ISNUMBER('Client DB &amp; Bed Mgmt'!$M$5:$M$428))+IFERROR('Client DB &amp; Bed Mgmt'!$M$5:$M$428&lt;=EOMONTH(B21,0),FALSE)&gt;0)*--(('Client DB &amp; Bed Mgmt'!$N$5:$N$428="")+NOT(ISNUMBER('Client DB &amp; Bed Mgmt'!$N$5:$N$428))+IFERROR('Client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</f>
        <v/>
      </c>
      <c r="X21" s="130">
        <f>IFERROR(S21/W21,0)</f>
        <v/>
      </c>
    </row>
    <row r="22" ht="14.25" customHeight="1" s="83">
      <c r="A22" s="103" t="inlineStr">
        <is>
          <t>Dorm 1</t>
        </is>
      </c>
      <c r="B22" s="125">
        <f>INDEX(MonthList,INT((ROW()-6)/6)+1)</f>
        <v/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76">
        <f>SUMPRODUCT(('Client DB &amp; Bed Mgmt'!$A$5:$A$428=A22)*('Client DB &amp; Bed Mgmt'!$B$5:$B$428=C22)*('Client DB &amp; Bed Mgmt'!$D$5:$D$428&lt;&gt;"")*--(('Client DB &amp; Bed Mgmt'!$M$5:$M$428="")+NOT(ISNUMBER('Client DB &amp; Bed Mgmt'!$M$5:$M$428))+IFERROR('Client DB &amp; Bed Mgmt'!$M$5:$M$428&lt;=EOMONTH(B22,0),FALSE)&gt;0)*--(('Client DB &amp; Bed Mgmt'!$N$5:$N$428="")+NOT(ISNUMBER('Client DB &amp; Bed Mgmt'!$N$5:$N$428))+IFERROR('Client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</f>
        <v/>
      </c>
      <c r="V22" s="129">
        <f>IFERROR(I22/U22,0)</f>
        <v/>
      </c>
      <c r="W22" s="127">
        <f>SUMPRODUCT(('Client DB &amp; Bed Mgmt'!$A$5:$A$428=K22)*('Client DB &amp; Bed Mgmt'!$B$5:$B$428=L22)*('Client DB &amp; Bed Mgmt'!$D$5:$D$428&lt;&gt;"")*--(('Client DB &amp; Bed Mgmt'!$M$5:$M$428="")+NOT(ISNUMBER('Client DB &amp; Bed Mgmt'!$M$5:$M$428))+IFERROR('Client DB &amp; Bed Mgmt'!$M$5:$M$428&lt;=EOMONTH(B22,0),FALSE)&gt;0)*--(('Client DB &amp; Bed Mgmt'!$N$5:$N$428="")+NOT(ISNUMBER('Client DB &amp; Bed Mgmt'!$N$5:$N$428))+IFERROR('Client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</f>
        <v/>
      </c>
      <c r="X22" s="130">
        <f>IFERROR(S22/W22,0)</f>
        <v/>
      </c>
    </row>
    <row r="23" ht="14.25" customHeight="1" s="83">
      <c r="A23" s="103" t="inlineStr">
        <is>
          <t>Dorm 1</t>
        </is>
      </c>
      <c r="B23" s="125">
        <f>INDEX(MonthList,INT((ROW()-6)/6)+1)</f>
        <v/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76">
        <f>SUMPRODUCT(('Client DB &amp; Bed Mgmt'!$A$5:$A$428=A23)*('Client DB &amp; Bed Mgmt'!$B$5:$B$428=C23)*('Client DB &amp; Bed Mgmt'!$D$5:$D$428&lt;&gt;"")*--(('Client DB &amp; Bed Mgmt'!$M$5:$M$428="")+NOT(ISNUMBER('Client DB &amp; Bed Mgmt'!$M$5:$M$428))+IFERROR('Client DB &amp; Bed Mgmt'!$M$5:$M$428&lt;=EOMONTH(B23,0),FALSE)&gt;0)*--(('Client DB &amp; Bed Mgmt'!$N$5:$N$428="")+NOT(ISNUMBER('Client DB &amp; Bed Mgmt'!$N$5:$N$428))+IFERROR('Client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</f>
        <v/>
      </c>
      <c r="V23" s="129">
        <f>IFERROR(I23/U23,0)</f>
        <v/>
      </c>
      <c r="W23" s="127">
        <f>SUMPRODUCT(('Client DB &amp; Bed Mgmt'!$A$5:$A$428=K23)*('Client DB &amp; Bed Mgmt'!$B$5:$B$428=L23)*('Client DB &amp; Bed Mgmt'!$D$5:$D$428&lt;&gt;"")*--(('Client DB &amp; Bed Mgmt'!$M$5:$M$428="")+NOT(ISNUMBER('Client DB &amp; Bed Mgmt'!$M$5:$M$428))+IFERROR('Client DB &amp; Bed Mgmt'!$M$5:$M$428&lt;=EOMONTH(B23,0),FALSE)&gt;0)*--(('Client DB &amp; Bed Mgmt'!$N$5:$N$428="")+NOT(ISNUMBER('Client DB &amp; Bed Mgmt'!$N$5:$N$428))+IFERROR('Client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</f>
        <v/>
      </c>
      <c r="X23" s="130">
        <f>IFERROR(S23/W23,0)</f>
        <v/>
      </c>
    </row>
    <row r="24" ht="14.25" customHeight="1" s="83">
      <c r="A24" s="103" t="inlineStr">
        <is>
          <t>Dorm 1</t>
        </is>
      </c>
      <c r="B24" s="125">
        <f>INDEX(MonthList,INT((ROW()-6)/6)+1)</f>
        <v/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>
        <f>SUMPRODUCT(('Client DB &amp; Bed Mgmt'!$A$5:$A$428=A24)*('Client DB &amp; Bed Mgmt'!$B$5:$B$428=C24)*('Client DB &amp; Bed Mgmt'!$D$5:$D$428&lt;&gt;"")*--(('Client DB &amp; Bed Mgmt'!$M$5:$M$428="")+NOT(ISNUMBER('Client DB &amp; Bed Mgmt'!$M$5:$M$428))+IFERROR('Client DB &amp; Bed Mgmt'!$M$5:$M$428&lt;=EOMONTH(B24,0),FALSE)&gt;0)*--(('Client DB &amp; Bed Mgmt'!$N$5:$N$428="")+NOT(ISNUMBER('Client DB &amp; Bed Mgmt'!$N$5:$N$428))+IFERROR('Client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</f>
        <v/>
      </c>
      <c r="V24" s="129">
        <f>IFERROR(I24/U24,0)</f>
        <v/>
      </c>
      <c r="W24" s="127">
        <f>SUMPRODUCT(('Client DB &amp; Bed Mgmt'!$A$5:$A$428=K24)*('Client DB &amp; Bed Mgmt'!$B$5:$B$428=L24)*('Client DB &amp; Bed Mgmt'!$D$5:$D$428&lt;&gt;"")*--(('Client DB &amp; Bed Mgmt'!$M$5:$M$428="")+NOT(ISNUMBER('Client DB &amp; Bed Mgmt'!$M$5:$M$428))+IFERROR('Client DB &amp; Bed Mgmt'!$M$5:$M$428&lt;=EOMONTH(B24,0),FALSE)&gt;0)*--(('Client DB &amp; Bed Mgmt'!$N$5:$N$428="")+NOT(ISNUMBER('Client DB &amp; Bed Mgmt'!$N$5:$N$428))+IFERROR('Client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</f>
        <v/>
      </c>
      <c r="X24" s="130">
        <f>IFERROR(S24/W24,0)</f>
        <v/>
      </c>
    </row>
    <row r="25" ht="14.25" customHeight="1" s="83">
      <c r="A25" s="103" t="inlineStr">
        <is>
          <t>Dorm 1</t>
        </is>
      </c>
      <c r="B25" s="125">
        <f>INDEX(MonthList,INT((ROW()-6)/6)+1)</f>
        <v/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>
        <f>SUMPRODUCT(('Client DB &amp; Bed Mgmt'!$A$5:$A$428=A25)*('Client DB &amp; Bed Mgmt'!$B$5:$B$428=C25)*('Client DB &amp; Bed Mgmt'!$D$5:$D$428&lt;&gt;"")*--(('Client DB &amp; Bed Mgmt'!$M$5:$M$428="")+NOT(ISNUMBER('Client DB &amp; Bed Mgmt'!$M$5:$M$428))+IFERROR('Client DB &amp; Bed Mgmt'!$M$5:$M$428&lt;=EOMONTH(B25,0),FALSE)&gt;0)*--(('Client DB &amp; Bed Mgmt'!$N$5:$N$428="")+NOT(ISNUMBER('Client DB &amp; Bed Mgmt'!$N$5:$N$428))+IFERROR('Client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</f>
        <v/>
      </c>
      <c r="V25" s="129">
        <f>IFERROR(I25/U25,0)</f>
        <v/>
      </c>
      <c r="W25" s="127">
        <f>SUMPRODUCT(('Client DB &amp; Bed Mgmt'!$A$5:$A$428=K25)*('Client DB &amp; Bed Mgmt'!$B$5:$B$428=L25)*('Client DB &amp; Bed Mgmt'!$D$5:$D$428&lt;&gt;"")*--(('Client DB &amp; Bed Mgmt'!$M$5:$M$428="")+NOT(ISNUMBER('Client DB &amp; Bed Mgmt'!$M$5:$M$428))+IFERROR('Client DB &amp; Bed Mgmt'!$M$5:$M$428&lt;=EOMONTH(B25,0),FALSE)&gt;0)*--(('Client DB &amp; Bed Mgmt'!$N$5:$N$428="")+NOT(ISNUMBER('Client DB &amp; Bed Mgmt'!$N$5:$N$428))+IFERROR('Client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</f>
        <v/>
      </c>
      <c r="X25" s="130">
        <f>IFERROR(S25/W25,0)</f>
        <v/>
      </c>
    </row>
    <row r="26" ht="14.25" customHeight="1" s="83">
      <c r="A26" s="103" t="inlineStr">
        <is>
          <t>Dorm 1</t>
        </is>
      </c>
      <c r="B26" s="125">
        <f>INDEX(MonthList,INT((ROW()-6)/6)+1)</f>
        <v/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>
        <f>SUMPRODUCT(('Client DB &amp; Bed Mgmt'!$A$5:$A$428=A26)*('Client DB &amp; Bed Mgmt'!$B$5:$B$428=C26)*('Client DB &amp; Bed Mgmt'!$D$5:$D$428&lt;&gt;"")*--(('Client DB &amp; Bed Mgmt'!$M$5:$M$428="")+NOT(ISNUMBER('Client DB &amp; Bed Mgmt'!$M$5:$M$428))+IFERROR('Client DB &amp; Bed Mgmt'!$M$5:$M$428&lt;=EOMONTH(B26,0),FALSE)&gt;0)*--(('Client DB &amp; Bed Mgmt'!$N$5:$N$428="")+NOT(ISNUMBER('Client DB &amp; Bed Mgmt'!$N$5:$N$428))+IFERROR('Client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</f>
        <v/>
      </c>
      <c r="V26" s="129">
        <f>IFERROR(I26/U26,0)</f>
        <v/>
      </c>
      <c r="W26" s="127">
        <f>SUMPRODUCT(('Client DB &amp; Bed Mgmt'!$A$5:$A$428=K26)*('Client DB &amp; Bed Mgmt'!$B$5:$B$428=L26)*('Client DB &amp; Bed Mgmt'!$D$5:$D$428&lt;&gt;"")*--(('Client DB &amp; Bed Mgmt'!$M$5:$M$428="")+NOT(ISNUMBER('Client DB &amp; Bed Mgmt'!$M$5:$M$428))+IFERROR('Client DB &amp; Bed Mgmt'!$M$5:$M$428&lt;=EOMONTH(B26,0),FALSE)&gt;0)*--(('Client DB &amp; Bed Mgmt'!$N$5:$N$428="")+NOT(ISNUMBER('Client DB &amp; Bed Mgmt'!$N$5:$N$428))+IFERROR('Client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</f>
        <v/>
      </c>
      <c r="X26" s="130">
        <f>IFERROR(S26/W26,0)</f>
        <v/>
      </c>
    </row>
    <row r="27" ht="14.25" customHeight="1" s="83">
      <c r="A27" s="103" t="inlineStr">
        <is>
          <t>Dorm 1</t>
        </is>
      </c>
      <c r="B27" s="125">
        <f>INDEX(MonthList,INT((ROW()-6)/6)+1)</f>
        <v/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>
        <f>SUMPRODUCT(('Client DB &amp; Bed Mgmt'!$A$5:$A$428=A27)*('Client DB &amp; Bed Mgmt'!$B$5:$B$428=C27)*('Client DB &amp; Bed Mgmt'!$D$5:$D$428&lt;&gt;"")*--(('Client DB &amp; Bed Mgmt'!$M$5:$M$428="")+NOT(ISNUMBER('Client DB &amp; Bed Mgmt'!$M$5:$M$428))+IFERROR('Client DB &amp; Bed Mgmt'!$M$5:$M$428&lt;=EOMONTH(B27,0),FALSE)&gt;0)*--(('Client DB &amp; Bed Mgmt'!$N$5:$N$428="")+NOT(ISNUMBER('Client DB &amp; Bed Mgmt'!$N$5:$N$428))+IFERROR('Client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</f>
        <v/>
      </c>
      <c r="V27" s="129">
        <f>IFERROR(I27/U27,0)</f>
        <v/>
      </c>
      <c r="W27" s="127">
        <f>SUMPRODUCT(('Client DB &amp; Bed Mgmt'!$A$5:$A$428=K27)*('Client DB &amp; Bed Mgmt'!$B$5:$B$428=L27)*('Client DB &amp; Bed Mgmt'!$D$5:$D$428&lt;&gt;"")*--(('Client DB &amp; Bed Mgmt'!$M$5:$M$428="")+NOT(ISNUMBER('Client DB &amp; Bed Mgmt'!$M$5:$M$428))+IFERROR('Client DB &amp; Bed Mgmt'!$M$5:$M$428&lt;=EOMONTH(B27,0),FALSE)&gt;0)*--(('Client DB &amp; Bed Mgmt'!$N$5:$N$428="")+NOT(ISNUMBER('Client DB &amp; Bed Mgmt'!$N$5:$N$428))+IFERROR('Client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</f>
        <v/>
      </c>
      <c r="X27" s="130">
        <f>IFERROR(S27/W27,0)</f>
        <v/>
      </c>
    </row>
    <row r="28" ht="14.25" customHeight="1" s="83">
      <c r="A28" s="103" t="inlineStr">
        <is>
          <t>Dorm 1</t>
        </is>
      </c>
      <c r="B28" s="125">
        <f>INDEX(MonthList,INT((ROW()-6)/6)+1)</f>
        <v/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>
        <f>SUMPRODUCT(('Client DB &amp; Bed Mgmt'!$A$5:$A$428=A28)*('Client DB &amp; Bed Mgmt'!$B$5:$B$428=C28)*('Client DB &amp; Bed Mgmt'!$D$5:$D$428&lt;&gt;"")*--(('Client DB &amp; Bed Mgmt'!$M$5:$M$428="")+NOT(ISNUMBER('Client DB &amp; Bed Mgmt'!$M$5:$M$428))+IFERROR('Client DB &amp; Bed Mgmt'!$M$5:$M$428&lt;=EOMONTH(B28,0),FALSE)&gt;0)*--(('Client DB &amp; Bed Mgmt'!$N$5:$N$428="")+NOT(ISNUMBER('Client DB &amp; Bed Mgmt'!$N$5:$N$428))+IFERROR('Client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</f>
        <v/>
      </c>
      <c r="V28" s="129">
        <f>IFERROR(I28/U28,0)</f>
        <v/>
      </c>
      <c r="W28" s="127">
        <f>SUMPRODUCT(('Client DB &amp; Bed Mgmt'!$A$5:$A$428=K28)*('Client DB &amp; Bed Mgmt'!$B$5:$B$428=L28)*('Client DB &amp; Bed Mgmt'!$D$5:$D$428&lt;&gt;"")*--(('Client DB &amp; Bed Mgmt'!$M$5:$M$428="")+NOT(ISNUMBER('Client DB &amp; Bed Mgmt'!$M$5:$M$428))+IFERROR('Client DB &amp; Bed Mgmt'!$M$5:$M$428&lt;=EOMONTH(B28,0),FALSE)&gt;0)*--(('Client DB &amp; Bed Mgmt'!$N$5:$N$428="")+NOT(ISNUMBER('Client DB &amp; Bed Mgmt'!$N$5:$N$428))+IFERROR('Client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</f>
        <v/>
      </c>
      <c r="X28" s="130">
        <f>IFERROR(S28/W28,0)</f>
        <v/>
      </c>
    </row>
    <row r="29" ht="14.25" customHeight="1" s="83">
      <c r="A29" s="103" t="inlineStr">
        <is>
          <t>Dorm 1</t>
        </is>
      </c>
      <c r="B29" s="125">
        <f>INDEX(MonthList,INT((ROW()-6)/6)+1)</f>
        <v/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>
        <f>SUMPRODUCT(('Client DB &amp; Bed Mgmt'!$A$5:$A$428=A29)*('Client DB &amp; Bed Mgmt'!$B$5:$B$428=C29)*('Client DB &amp; Bed Mgmt'!$D$5:$D$428&lt;&gt;"")*--(('Client DB &amp; Bed Mgmt'!$M$5:$M$428="")+NOT(ISNUMBER('Client DB &amp; Bed Mgmt'!$M$5:$M$428))+IFERROR('Client DB &amp; Bed Mgmt'!$M$5:$M$428&lt;=EOMONTH(B29,0),FALSE)&gt;0)*--(('Client DB &amp; Bed Mgmt'!$N$5:$N$428="")+NOT(ISNUMBER('Client DB &amp; Bed Mgmt'!$N$5:$N$428))+IFERROR('Client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</f>
        <v/>
      </c>
      <c r="V29" s="129">
        <f>IFERROR(I29/U29,0)</f>
        <v/>
      </c>
      <c r="W29" s="127">
        <f>SUMPRODUCT(('Client DB &amp; Bed Mgmt'!$A$5:$A$428=K29)*('Client DB &amp; Bed Mgmt'!$B$5:$B$428=L29)*('Client DB &amp; Bed Mgmt'!$D$5:$D$428&lt;&gt;"")*--(('Client DB &amp; Bed Mgmt'!$M$5:$M$428="")+NOT(ISNUMBER('Client DB &amp; Bed Mgmt'!$M$5:$M$428))+IFERROR('Client DB &amp; Bed Mgmt'!$M$5:$M$428&lt;=EOMONTH(B29,0),FALSE)&gt;0)*--(('Client DB &amp; Bed Mgmt'!$N$5:$N$428="")+NOT(ISNUMBER('Client DB &amp; Bed Mgmt'!$N$5:$N$428))+IFERROR('Client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</f>
        <v/>
      </c>
      <c r="X29" s="130">
        <f>IFERROR(S29/W29,0)</f>
        <v/>
      </c>
    </row>
    <row r="30" ht="14.25" customHeight="1" s="83">
      <c r="A30" s="103" t="inlineStr">
        <is>
          <t>Dorm 1</t>
        </is>
      </c>
      <c r="B30" s="125">
        <f>INDEX(MonthList,INT((ROW()-6)/6)+1)</f>
        <v/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>
        <f>SUMPRODUCT(('Client DB &amp; Bed Mgmt'!$A$5:$A$428=A30)*('Client DB &amp; Bed Mgmt'!$B$5:$B$428=C30)*('Client DB &amp; Bed Mgmt'!$D$5:$D$428&lt;&gt;"")*--(('Client DB &amp; Bed Mgmt'!$M$5:$M$428="")+NOT(ISNUMBER('Client DB &amp; Bed Mgmt'!$M$5:$M$428))+IFERROR('Client DB &amp; Bed Mgmt'!$M$5:$M$428&lt;=EOMONTH(B30,0),FALSE)&gt;0)*--(('Client DB &amp; Bed Mgmt'!$N$5:$N$428="")+NOT(ISNUMBER('Client DB &amp; Bed Mgmt'!$N$5:$N$428))+IFERROR('Client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</f>
        <v/>
      </c>
      <c r="V30" s="129">
        <f>IFERROR(I30/U30,0)</f>
        <v/>
      </c>
      <c r="W30" s="127">
        <f>SUMPRODUCT(('Client DB &amp; Bed Mgmt'!$A$5:$A$428=K30)*('Client DB &amp; Bed Mgmt'!$B$5:$B$428=L30)*('Client DB &amp; Bed Mgmt'!$D$5:$D$428&lt;&gt;"")*--(('Client DB &amp; Bed Mgmt'!$M$5:$M$428="")+NOT(ISNUMBER('Client DB &amp; Bed Mgmt'!$M$5:$M$428))+IFERROR('Client DB &amp; Bed Mgmt'!$M$5:$M$428&lt;=EOMONTH(B30,0),FALSE)&gt;0)*--(('Client DB &amp; Bed Mgmt'!$N$5:$N$428="")+NOT(ISNUMBER('Client DB &amp; Bed Mgmt'!$N$5:$N$428))+IFERROR('Client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</f>
        <v/>
      </c>
      <c r="X30" s="130">
        <f>IFERROR(S30/W30,0)</f>
        <v/>
      </c>
    </row>
    <row r="31" ht="14.25" customHeight="1" s="83">
      <c r="A31" s="103" t="inlineStr">
        <is>
          <t>Dorm 1</t>
        </is>
      </c>
      <c r="B31" s="125">
        <f>INDEX(MonthList,INT((ROW()-6)/6)+1)</f>
        <v/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>
        <f>SUMPRODUCT(('Client DB &amp; Bed Mgmt'!$A$5:$A$428=A31)*('Client DB &amp; Bed Mgmt'!$B$5:$B$428=C31)*('Client DB &amp; Bed Mgmt'!$D$5:$D$428&lt;&gt;"")*--(('Client DB &amp; Bed Mgmt'!$M$5:$M$428="")+NOT(ISNUMBER('Client DB &amp; Bed Mgmt'!$M$5:$M$428))+IFERROR('Client DB &amp; Bed Mgmt'!$M$5:$M$428&lt;=EOMONTH(B31,0),FALSE)&gt;0)*--(('Client DB &amp; Bed Mgmt'!$N$5:$N$428="")+NOT(ISNUMBER('Client DB &amp; Bed Mgmt'!$N$5:$N$428))+IFERROR('Client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</f>
        <v/>
      </c>
      <c r="V31" s="129">
        <f>IFERROR(I31/U31,0)</f>
        <v/>
      </c>
      <c r="W31" s="127">
        <f>SUMPRODUCT(('Client DB &amp; Bed Mgmt'!$A$5:$A$428=K31)*('Client DB &amp; Bed Mgmt'!$B$5:$B$428=L31)*('Client DB &amp; Bed Mgmt'!$D$5:$D$428&lt;&gt;"")*--(('Client DB &amp; Bed Mgmt'!$M$5:$M$428="")+NOT(ISNUMBER('Client DB &amp; Bed Mgmt'!$M$5:$M$428))+IFERROR('Client DB &amp; Bed Mgmt'!$M$5:$M$428&lt;=EOMONTH(B31,0),FALSE)&gt;0)*--(('Client DB &amp; Bed Mgmt'!$N$5:$N$428="")+NOT(ISNUMBER('Client DB &amp; Bed Mgmt'!$N$5:$N$428))+IFERROR('Client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</f>
        <v/>
      </c>
      <c r="X31" s="130">
        <f>IFERROR(S31/W31,0)</f>
        <v/>
      </c>
    </row>
    <row r="32" ht="14.25" customHeight="1" s="83">
      <c r="A32" s="103" t="inlineStr">
        <is>
          <t>Dorm 1</t>
        </is>
      </c>
      <c r="B32" s="125">
        <f>INDEX(MonthList,INT((ROW()-6)/6)+1)</f>
        <v/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>
        <f>SUMPRODUCT(('Client DB &amp; Bed Mgmt'!$A$5:$A$428=A32)*('Client DB &amp; Bed Mgmt'!$B$5:$B$428=C32)*('Client DB &amp; Bed Mgmt'!$D$5:$D$428&lt;&gt;"")*--(('Client DB &amp; Bed Mgmt'!$M$5:$M$428="")+NOT(ISNUMBER('Client DB &amp; Bed Mgmt'!$M$5:$M$428))+IFERROR('Client DB &amp; Bed Mgmt'!$M$5:$M$428&lt;=EOMONTH(B32,0),FALSE)&gt;0)*--(('Client DB &amp; Bed Mgmt'!$N$5:$N$428="")+NOT(ISNUMBER('Client DB &amp; Bed Mgmt'!$N$5:$N$428))+IFERROR('Client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</f>
        <v/>
      </c>
      <c r="V32" s="129">
        <f>IFERROR(I32/U32,0)</f>
        <v/>
      </c>
      <c r="W32" s="127">
        <f>SUMPRODUCT(('Client DB &amp; Bed Mgmt'!$A$5:$A$428=K32)*('Client DB &amp; Bed Mgmt'!$B$5:$B$428=L32)*('Client DB &amp; Bed Mgmt'!$D$5:$D$428&lt;&gt;"")*--(('Client DB &amp; Bed Mgmt'!$M$5:$M$428="")+NOT(ISNUMBER('Client DB &amp; Bed Mgmt'!$M$5:$M$428))+IFERROR('Client DB &amp; Bed Mgmt'!$M$5:$M$428&lt;=EOMONTH(B32,0),FALSE)&gt;0)*--(('Client DB &amp; Bed Mgmt'!$N$5:$N$428="")+NOT(ISNUMBER('Client DB &amp; Bed Mgmt'!$N$5:$N$428))+IFERROR('Client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</f>
        <v/>
      </c>
      <c r="X32" s="130">
        <f>IFERROR(S32/W32,0)</f>
        <v/>
      </c>
    </row>
    <row r="33" ht="14.25" customHeight="1" s="83">
      <c r="A33" s="103" t="inlineStr">
        <is>
          <t>Dorm 1</t>
        </is>
      </c>
      <c r="B33" s="125">
        <f>INDEX(MonthList,INT((ROW()-6)/6)+1)</f>
        <v/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>
        <f>SUMPRODUCT(('Client DB &amp; Bed Mgmt'!$A$5:$A$428=A33)*('Client DB &amp; Bed Mgmt'!$B$5:$B$428=C33)*('Client DB &amp; Bed Mgmt'!$D$5:$D$428&lt;&gt;"")*--(('Client DB &amp; Bed Mgmt'!$M$5:$M$428="")+NOT(ISNUMBER('Client DB &amp; Bed Mgmt'!$M$5:$M$428))+IFERROR('Client DB &amp; Bed Mgmt'!$M$5:$M$428&lt;=EOMONTH(B33,0),FALSE)&gt;0)*--(('Client DB &amp; Bed Mgmt'!$N$5:$N$428="")+NOT(ISNUMBER('Client DB &amp; Bed Mgmt'!$N$5:$N$428))+IFERROR('Client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</f>
        <v/>
      </c>
      <c r="V33" s="129">
        <f>IFERROR(I33/U33,0)</f>
        <v/>
      </c>
      <c r="W33" s="127">
        <f>SUMPRODUCT(('Client DB &amp; Bed Mgmt'!$A$5:$A$428=K33)*('Client DB &amp; Bed Mgmt'!$B$5:$B$428=L33)*('Client DB &amp; Bed Mgmt'!$D$5:$D$428&lt;&gt;"")*--(('Client DB &amp; Bed Mgmt'!$M$5:$M$428="")+NOT(ISNUMBER('Client DB &amp; Bed Mgmt'!$M$5:$M$428))+IFERROR('Client DB &amp; Bed Mgmt'!$M$5:$M$428&lt;=EOMONTH(B33,0),FALSE)&gt;0)*--(('Client DB &amp; Bed Mgmt'!$N$5:$N$428="")+NOT(ISNUMBER('Client DB &amp; Bed Mgmt'!$N$5:$N$428))+IFERROR('Client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</f>
        <v/>
      </c>
      <c r="X33" s="130">
        <f>IFERROR(S33/W33,0)</f>
        <v/>
      </c>
    </row>
    <row r="34" ht="14.25" customHeight="1" s="83">
      <c r="A34" s="103" t="inlineStr">
        <is>
          <t>Dorm 1</t>
        </is>
      </c>
      <c r="B34" s="125">
        <f>INDEX(MonthList,INT((ROW()-6)/6)+1)</f>
        <v/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>
        <f>SUMPRODUCT(('Client DB &amp; Bed Mgmt'!$A$5:$A$428=A34)*('Client DB &amp; Bed Mgmt'!$B$5:$B$428=C34)*('Client DB &amp; Bed Mgmt'!$D$5:$D$428&lt;&gt;"")*--(('Client DB &amp; Bed Mgmt'!$M$5:$M$428="")+NOT(ISNUMBER('Client DB &amp; Bed Mgmt'!$M$5:$M$428))+IFERROR('Client DB &amp; Bed Mgmt'!$M$5:$M$428&lt;=EOMONTH(B34,0),FALSE)&gt;0)*--(('Client DB &amp; Bed Mgmt'!$N$5:$N$428="")+NOT(ISNUMBER('Client DB &amp; Bed Mgmt'!$N$5:$N$428))+IFERROR('Client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</f>
        <v/>
      </c>
      <c r="V34" s="129">
        <f>IFERROR(I34/U34,0)</f>
        <v/>
      </c>
      <c r="W34" s="127">
        <f>SUMPRODUCT(('Client DB &amp; Bed Mgmt'!$A$5:$A$428=K34)*('Client DB &amp; Bed Mgmt'!$B$5:$B$428=L34)*('Client DB &amp; Bed Mgmt'!$D$5:$D$428&lt;&gt;"")*--(('Client DB &amp; Bed Mgmt'!$M$5:$M$428="")+NOT(ISNUMBER('Client DB &amp; Bed Mgmt'!$M$5:$M$428))+IFERROR('Client DB &amp; Bed Mgmt'!$M$5:$M$428&lt;=EOMONTH(B34,0),FALSE)&gt;0)*--(('Client DB &amp; Bed Mgmt'!$N$5:$N$428="")+NOT(ISNUMBER('Client DB &amp; Bed Mgmt'!$N$5:$N$428))+IFERROR('Client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</f>
        <v/>
      </c>
      <c r="X34" s="130">
        <f>IFERROR(S34/W34,0)</f>
        <v/>
      </c>
    </row>
    <row r="35" ht="14.25" customHeight="1" s="83">
      <c r="A35" s="103" t="inlineStr">
        <is>
          <t>Dorm 1</t>
        </is>
      </c>
      <c r="B35" s="125">
        <f>INDEX(MonthList,INT((ROW()-6)/6)+1)</f>
        <v/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>
        <f>SUMPRODUCT(('Client DB &amp; Bed Mgmt'!$A$5:$A$428=A35)*('Client DB &amp; Bed Mgmt'!$B$5:$B$428=C35)*('Client DB &amp; Bed Mgmt'!$D$5:$D$428&lt;&gt;"")*--(('Client DB &amp; Bed Mgmt'!$M$5:$M$428="")+NOT(ISNUMBER('Client DB &amp; Bed Mgmt'!$M$5:$M$428))+IFERROR('Client DB &amp; Bed Mgmt'!$M$5:$M$428&lt;=EOMONTH(B35,0),FALSE)&gt;0)*--(('Client DB &amp; Bed Mgmt'!$N$5:$N$428="")+NOT(ISNUMBER('Client DB &amp; Bed Mgmt'!$N$5:$N$428))+IFERROR('Client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</f>
        <v/>
      </c>
      <c r="V35" s="129">
        <f>IFERROR(I35/U35,0)</f>
        <v/>
      </c>
      <c r="W35" s="127">
        <f>SUMPRODUCT(('Client DB &amp; Bed Mgmt'!$A$5:$A$428=K35)*('Client DB &amp; Bed Mgmt'!$B$5:$B$428=L35)*('Client DB &amp; Bed Mgmt'!$D$5:$D$428&lt;&gt;"")*--(('Client DB &amp; Bed Mgmt'!$M$5:$M$428="")+NOT(ISNUMBER('Client DB &amp; Bed Mgmt'!$M$5:$M$428))+IFERROR('Client DB &amp; Bed Mgmt'!$M$5:$M$428&lt;=EOMONTH(B35,0),FALSE)&gt;0)*--(('Client DB &amp; Bed Mgmt'!$N$5:$N$428="")+NOT(ISNUMBER('Client DB &amp; Bed Mgmt'!$N$5:$N$428))+IFERROR('Client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</f>
        <v/>
      </c>
      <c r="X35" s="130">
        <f>IFERROR(S35/W35,0)</f>
        <v/>
      </c>
    </row>
    <row r="36" ht="14.25" customHeight="1" s="83">
      <c r="A36" s="103" t="inlineStr">
        <is>
          <t>Dorm 1</t>
        </is>
      </c>
      <c r="B36" s="125">
        <f>INDEX(MonthList,INT((ROW()-6)/6)+1)</f>
        <v/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>
        <f>SUMPRODUCT(('Client DB &amp; Bed Mgmt'!$A$5:$A$428=A36)*('Client DB &amp; Bed Mgmt'!$B$5:$B$428=C36)*('Client DB &amp; Bed Mgmt'!$D$5:$D$428&lt;&gt;"")*--(('Client DB &amp; Bed Mgmt'!$M$5:$M$428="")+NOT(ISNUMBER('Client DB &amp; Bed Mgmt'!$M$5:$M$428))+IFERROR('Client DB &amp; Bed Mgmt'!$M$5:$M$428&lt;=EOMONTH(B36,0),FALSE)&gt;0)*--(('Client DB &amp; Bed Mgmt'!$N$5:$N$428="")+NOT(ISNUMBER('Client DB &amp; Bed Mgmt'!$N$5:$N$428))+IFERROR('Client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</f>
        <v/>
      </c>
      <c r="V36" s="129">
        <f>IFERROR(I36/U36,0)</f>
        <v/>
      </c>
      <c r="W36" s="127">
        <f>SUMPRODUCT(('Client DB &amp; Bed Mgmt'!$A$5:$A$428=K36)*('Client DB &amp; Bed Mgmt'!$B$5:$B$428=L36)*('Client DB &amp; Bed Mgmt'!$D$5:$D$428&lt;&gt;"")*--(('Client DB &amp; Bed Mgmt'!$M$5:$M$428="")+NOT(ISNUMBER('Client DB &amp; Bed Mgmt'!$M$5:$M$428))+IFERROR('Client DB &amp; Bed Mgmt'!$M$5:$M$428&lt;=EOMONTH(B36,0),FALSE)&gt;0)*--(('Client DB &amp; Bed Mgmt'!$N$5:$N$428="")+NOT(ISNUMBER('Client DB &amp; Bed Mgmt'!$N$5:$N$428))+IFERROR('Client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</f>
        <v/>
      </c>
      <c r="X36" s="130">
        <f>IFERROR(S36/W36,0)</f>
        <v/>
      </c>
    </row>
    <row r="37" ht="14.25" customHeight="1" s="83">
      <c r="A37" s="103" t="inlineStr">
        <is>
          <t>Dorm 1</t>
        </is>
      </c>
      <c r="B37" s="125">
        <f>INDEX(MonthList,INT((ROW()-6)/6)+1)</f>
        <v/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>
        <f>SUMPRODUCT(('Client DB &amp; Bed Mgmt'!$A$5:$A$428=A37)*('Client DB &amp; Bed Mgmt'!$B$5:$B$428=C37)*('Client DB &amp; Bed Mgmt'!$D$5:$D$428&lt;&gt;"")*--(('Client DB &amp; Bed Mgmt'!$M$5:$M$428="")+NOT(ISNUMBER('Client DB &amp; Bed Mgmt'!$M$5:$M$428))+IFERROR('Client DB &amp; Bed Mgmt'!$M$5:$M$428&lt;=EOMONTH(B37,0),FALSE)&gt;0)*--(('Client DB &amp; Bed Mgmt'!$N$5:$N$428="")+NOT(ISNUMBER('Client DB &amp; Bed Mgmt'!$N$5:$N$428))+IFERROR('Client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</f>
        <v/>
      </c>
      <c r="V37" s="129">
        <f>IFERROR(I37/U37,0)</f>
        <v/>
      </c>
      <c r="W37" s="127">
        <f>SUMPRODUCT(('Client DB &amp; Bed Mgmt'!$A$5:$A$428=K37)*('Client DB &amp; Bed Mgmt'!$B$5:$B$428=L37)*('Client DB &amp; Bed Mgmt'!$D$5:$D$428&lt;&gt;"")*--(('Client DB &amp; Bed Mgmt'!$M$5:$M$428="")+NOT(ISNUMBER('Client DB &amp; Bed Mgmt'!$M$5:$M$428))+IFERROR('Client DB &amp; Bed Mgmt'!$M$5:$M$428&lt;=EOMONTH(B37,0),FALSE)&gt;0)*--(('Client DB &amp; Bed Mgmt'!$N$5:$N$428="")+NOT(ISNUMBER('Client DB &amp; Bed Mgmt'!$N$5:$N$428))+IFERROR('Client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</f>
        <v/>
      </c>
      <c r="X37" s="130">
        <f>IFERROR(S37/W37,0)</f>
        <v/>
      </c>
    </row>
    <row r="38" ht="14.25" customHeight="1" s="83">
      <c r="A38" s="103" t="inlineStr">
        <is>
          <t>Dorm 1</t>
        </is>
      </c>
      <c r="B38" s="125">
        <f>INDEX(MonthList,INT((ROW()-6)/6)+1)</f>
        <v/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>
        <f>SUMPRODUCT(('Client DB &amp; Bed Mgmt'!$A$5:$A$428=A38)*('Client DB &amp; Bed Mgmt'!$B$5:$B$428=C38)*('Client DB &amp; Bed Mgmt'!$D$5:$D$428&lt;&gt;"")*--(('Client DB &amp; Bed Mgmt'!$M$5:$M$428="")+NOT(ISNUMBER('Client DB &amp; Bed Mgmt'!$M$5:$M$428))+IFERROR('Client DB &amp; Bed Mgmt'!$M$5:$M$428&lt;=EOMONTH(B38,0),FALSE)&gt;0)*--(('Client DB &amp; Bed Mgmt'!$N$5:$N$428="")+NOT(ISNUMBER('Client DB &amp; Bed Mgmt'!$N$5:$N$428))+IFERROR('Client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</f>
        <v/>
      </c>
      <c r="V38" s="129">
        <f>IFERROR(I38/U38,0)</f>
        <v/>
      </c>
      <c r="W38" s="127">
        <f>SUMPRODUCT(('Client DB &amp; Bed Mgmt'!$A$5:$A$428=K38)*('Client DB &amp; Bed Mgmt'!$B$5:$B$428=L38)*('Client DB &amp; Bed Mgmt'!$D$5:$D$428&lt;&gt;"")*--(('Client DB &amp; Bed Mgmt'!$M$5:$M$428="")+NOT(ISNUMBER('Client DB &amp; Bed Mgmt'!$M$5:$M$428))+IFERROR('Client DB &amp; Bed Mgmt'!$M$5:$M$428&lt;=EOMONTH(B38,0),FALSE)&gt;0)*--(('Client DB &amp; Bed Mgmt'!$N$5:$N$428="")+NOT(ISNUMBER('Client DB &amp; Bed Mgmt'!$N$5:$N$428))+IFERROR('Client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</f>
        <v/>
      </c>
      <c r="X38" s="130">
        <f>IFERROR(S38/W38,0)</f>
        <v/>
      </c>
    </row>
    <row r="39" ht="14.25" customHeight="1" s="83">
      <c r="A39" s="103" t="inlineStr">
        <is>
          <t>Dorm 1</t>
        </is>
      </c>
      <c r="B39" s="125">
        <f>INDEX(MonthList,INT((ROW()-6)/6)+1)</f>
        <v/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>
        <f>SUMPRODUCT(('Client DB &amp; Bed Mgmt'!$A$5:$A$428=A39)*('Client DB &amp; Bed Mgmt'!$B$5:$B$428=C39)*('Client DB &amp; Bed Mgmt'!$D$5:$D$428&lt;&gt;"")*--(('Client DB &amp; Bed Mgmt'!$M$5:$M$428="")+NOT(ISNUMBER('Client DB &amp; Bed Mgmt'!$M$5:$M$428))+IFERROR('Client DB &amp; Bed Mgmt'!$M$5:$M$428&lt;=EOMONTH(B39,0),FALSE)&gt;0)*--(('Client DB &amp; Bed Mgmt'!$N$5:$N$428="")+NOT(ISNUMBER('Client DB &amp; Bed Mgmt'!$N$5:$N$428))+IFERROR('Client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</f>
        <v/>
      </c>
      <c r="V39" s="129">
        <f>IFERROR(I39/U39,0)</f>
        <v/>
      </c>
      <c r="W39" s="127">
        <f>SUMPRODUCT(('Client DB &amp; Bed Mgmt'!$A$5:$A$428=K39)*('Client DB &amp; Bed Mgmt'!$B$5:$B$428=L39)*('Client DB &amp; Bed Mgmt'!$D$5:$D$428&lt;&gt;"")*--(('Client DB &amp; Bed Mgmt'!$M$5:$M$428="")+NOT(ISNUMBER('Client DB &amp; Bed Mgmt'!$M$5:$M$428))+IFERROR('Client DB &amp; Bed Mgmt'!$M$5:$M$428&lt;=EOMONTH(B39,0),FALSE)&gt;0)*--(('Client DB &amp; Bed Mgmt'!$N$5:$N$428="")+NOT(ISNUMBER('Client DB &amp; Bed Mgmt'!$N$5:$N$428))+IFERROR('Client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</f>
        <v/>
      </c>
      <c r="X39" s="130">
        <f>IFERROR(S39/W39,0)</f>
        <v/>
      </c>
    </row>
    <row r="40" ht="14.25" customHeight="1" s="83">
      <c r="A40" s="103" t="inlineStr">
        <is>
          <t>Dorm 1</t>
        </is>
      </c>
      <c r="B40" s="125">
        <f>INDEX(MonthList,INT((ROW()-6)/6)+1)</f>
        <v/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>
        <f>SUMPRODUCT(('Client DB &amp; Bed Mgmt'!$A$5:$A$428=A40)*('Client DB &amp; Bed Mgmt'!$B$5:$B$428=C40)*('Client DB &amp; Bed Mgmt'!$D$5:$D$428&lt;&gt;"")*--(('Client DB &amp; Bed Mgmt'!$M$5:$M$428="")+NOT(ISNUMBER('Client DB &amp; Bed Mgmt'!$M$5:$M$428))+IFERROR('Client DB &amp; Bed Mgmt'!$M$5:$M$428&lt;=EOMONTH(B40,0),FALSE)&gt;0)*--(('Client DB &amp; Bed Mgmt'!$N$5:$N$428="")+NOT(ISNUMBER('Client DB &amp; Bed Mgmt'!$N$5:$N$428))+IFERROR('Client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</f>
        <v/>
      </c>
      <c r="V40" s="129">
        <f>IFERROR(I40/U40,0)</f>
        <v/>
      </c>
      <c r="W40" s="127">
        <f>SUMPRODUCT(('Client DB &amp; Bed Mgmt'!$A$5:$A$428=K40)*('Client DB &amp; Bed Mgmt'!$B$5:$B$428=L40)*('Client DB &amp; Bed Mgmt'!$D$5:$D$428&lt;&gt;"")*--(('Client DB &amp; Bed Mgmt'!$M$5:$M$428="")+NOT(ISNUMBER('Client DB &amp; Bed Mgmt'!$M$5:$M$428))+IFERROR('Client DB &amp; Bed Mgmt'!$M$5:$M$428&lt;=EOMONTH(B40,0),FALSE)&gt;0)*--(('Client DB &amp; Bed Mgmt'!$N$5:$N$428="")+NOT(ISNUMBER('Client DB &amp; Bed Mgmt'!$N$5:$N$428))+IFERROR('Client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</f>
        <v/>
      </c>
      <c r="X40" s="130">
        <f>IFERROR(S40/W40,0)</f>
        <v/>
      </c>
    </row>
    <row r="41" ht="14.25" customHeight="1" s="83">
      <c r="A41" s="103" t="inlineStr">
        <is>
          <t>Dorm 1</t>
        </is>
      </c>
      <c r="B41" s="125">
        <f>INDEX(MonthList,INT((ROW()-6)/6)+1)</f>
        <v/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>
        <f>SUMPRODUCT(('Client DB &amp; Bed Mgmt'!$A$5:$A$428=A41)*('Client DB &amp; Bed Mgmt'!$B$5:$B$428=C41)*('Client DB &amp; Bed Mgmt'!$D$5:$D$428&lt;&gt;"")*--(('Client DB &amp; Bed Mgmt'!$M$5:$M$428="")+NOT(ISNUMBER('Client DB &amp; Bed Mgmt'!$M$5:$M$428))+IFERROR('Client DB &amp; Bed Mgmt'!$M$5:$M$428&lt;=EOMONTH(B41,0),FALSE)&gt;0)*--(('Client DB &amp; Bed Mgmt'!$N$5:$N$428="")+NOT(ISNUMBER('Client DB &amp; Bed Mgmt'!$N$5:$N$428))+IFERROR('Client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</f>
        <v/>
      </c>
      <c r="V41" s="129">
        <f>IFERROR(I41/U41,0)</f>
        <v/>
      </c>
      <c r="W41" s="127">
        <f>SUMPRODUCT(('Client DB &amp; Bed Mgmt'!$A$5:$A$428=K41)*('Client DB &amp; Bed Mgmt'!$B$5:$B$428=L41)*('Client DB &amp; Bed Mgmt'!$D$5:$D$428&lt;&gt;"")*--(('Client DB &amp; Bed Mgmt'!$M$5:$M$428="")+NOT(ISNUMBER('Client DB &amp; Bed Mgmt'!$M$5:$M$428))+IFERROR('Client DB &amp; Bed Mgmt'!$M$5:$M$428&lt;=EOMONTH(B41,0),FALSE)&gt;0)*--(('Client DB &amp; Bed Mgmt'!$N$5:$N$428="")+NOT(ISNUMBER('Client DB &amp; Bed Mgmt'!$N$5:$N$428))+IFERROR('Client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</f>
        <v/>
      </c>
      <c r="X41" s="130">
        <f>IFERROR(S41/W41,0)</f>
        <v/>
      </c>
    </row>
    <row r="42" ht="14.25" customHeight="1" s="83">
      <c r="A42" s="103" t="inlineStr">
        <is>
          <t>Dorm 1</t>
        </is>
      </c>
      <c r="B42" s="125">
        <f>INDEX(MonthList,INT((ROW()-6)/6)+1)</f>
        <v/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>
        <f>SUMPRODUCT(('Client DB &amp; Bed Mgmt'!$A$5:$A$428=A42)*('Client DB &amp; Bed Mgmt'!$B$5:$B$428=C42)*('Client DB &amp; Bed Mgmt'!$D$5:$D$428&lt;&gt;"")*--(('Client DB &amp; Bed Mgmt'!$M$5:$M$428="")+NOT(ISNUMBER('Client DB &amp; Bed Mgmt'!$M$5:$M$428))+IFERROR('Client DB &amp; Bed Mgmt'!$M$5:$M$428&lt;=EOMONTH(B42,0),FALSE)&gt;0)*--(('Client DB &amp; Bed Mgmt'!$N$5:$N$428="")+NOT(ISNUMBER('Client DB &amp; Bed Mgmt'!$N$5:$N$428))+IFERROR('Client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</f>
        <v/>
      </c>
      <c r="V42" s="129">
        <f>IFERROR(I42/U42,0)</f>
        <v/>
      </c>
      <c r="W42" s="127">
        <f>SUMPRODUCT(('Client DB &amp; Bed Mgmt'!$A$5:$A$428=K42)*('Client DB &amp; Bed Mgmt'!$B$5:$B$428=L42)*('Client DB &amp; Bed Mgmt'!$D$5:$D$428&lt;&gt;"")*--(('Client DB &amp; Bed Mgmt'!$M$5:$M$428="")+NOT(ISNUMBER('Client DB &amp; Bed Mgmt'!$M$5:$M$428))+IFERROR('Client DB &amp; Bed Mgmt'!$M$5:$M$428&lt;=EOMONTH(B42,0),FALSE)&gt;0)*--(('Client DB &amp; Bed Mgmt'!$N$5:$N$428="")+NOT(ISNUMBER('Client DB &amp; Bed Mgmt'!$N$5:$N$428))+IFERROR('Client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</f>
        <v/>
      </c>
      <c r="X42" s="130">
        <f>IFERROR(S42/W42,0)</f>
        <v/>
      </c>
    </row>
    <row r="43" ht="14.25" customHeight="1" s="83">
      <c r="A43" s="103" t="inlineStr">
        <is>
          <t>Dorm 1</t>
        </is>
      </c>
      <c r="B43" s="125">
        <f>INDEX(MonthList,INT((ROW()-6)/6)+1)</f>
        <v/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>
        <f>SUMPRODUCT(('Client DB &amp; Bed Mgmt'!$A$5:$A$428=A43)*('Client DB &amp; Bed Mgmt'!$B$5:$B$428=C43)*('Client DB &amp; Bed Mgmt'!$D$5:$D$428&lt;&gt;"")*--(('Client DB &amp; Bed Mgmt'!$M$5:$M$428="")+NOT(ISNUMBER('Client DB &amp; Bed Mgmt'!$M$5:$M$428))+IFERROR('Client DB &amp; Bed Mgmt'!$M$5:$M$428&lt;=EOMONTH(B43,0),FALSE)&gt;0)*--(('Client DB &amp; Bed Mgmt'!$N$5:$N$428="")+NOT(ISNUMBER('Client DB &amp; Bed Mgmt'!$N$5:$N$428))+IFERROR('Client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</f>
        <v/>
      </c>
      <c r="V43" s="129">
        <f>IFERROR(I43/U43,0)</f>
        <v/>
      </c>
      <c r="W43" s="127">
        <f>SUMPRODUCT(('Client DB &amp; Bed Mgmt'!$A$5:$A$428=K43)*('Client DB &amp; Bed Mgmt'!$B$5:$B$428=L43)*('Client DB &amp; Bed Mgmt'!$D$5:$D$428&lt;&gt;"")*--(('Client DB &amp; Bed Mgmt'!$M$5:$M$428="")+NOT(ISNUMBER('Client DB &amp; Bed Mgmt'!$M$5:$M$428))+IFERROR('Client DB &amp; Bed Mgmt'!$M$5:$M$428&lt;=EOMONTH(B43,0),FALSE)&gt;0)*--(('Client DB &amp; Bed Mgmt'!$N$5:$N$428="")+NOT(ISNUMBER('Client DB &amp; Bed Mgmt'!$N$5:$N$428))+IFERROR('Client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</f>
        <v/>
      </c>
      <c r="X43" s="130">
        <f>IFERROR(S43/W43,0)</f>
        <v/>
      </c>
    </row>
    <row r="44" ht="14.25" customHeight="1" s="83">
      <c r="A44" s="103" t="inlineStr">
        <is>
          <t>Dorm 1</t>
        </is>
      </c>
      <c r="B44" s="125">
        <f>INDEX(MonthList,INT((ROW()-6)/6)+1)</f>
        <v/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>
        <f>SUMPRODUCT(('Client DB &amp; Bed Mgmt'!$A$5:$A$428=A44)*('Client DB &amp; Bed Mgmt'!$B$5:$B$428=C44)*('Client DB &amp; Bed Mgmt'!$D$5:$D$428&lt;&gt;"")*--(('Client DB &amp; Bed Mgmt'!$M$5:$M$428="")+NOT(ISNUMBER('Client DB &amp; Bed Mgmt'!$M$5:$M$428))+IFERROR('Client DB &amp; Bed Mgmt'!$M$5:$M$428&lt;=EOMONTH(B44,0),FALSE)&gt;0)*--(('Client DB &amp; Bed Mgmt'!$N$5:$N$428="")+NOT(ISNUMBER('Client DB &amp; Bed Mgmt'!$N$5:$N$428))+IFERROR('Client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</f>
        <v/>
      </c>
      <c r="V44" s="129">
        <f>IFERROR(I44/U44,0)</f>
        <v/>
      </c>
      <c r="W44" s="127">
        <f>SUMPRODUCT(('Client DB &amp; Bed Mgmt'!$A$5:$A$428=K44)*('Client DB &amp; Bed Mgmt'!$B$5:$B$428=L44)*('Client DB &amp; Bed Mgmt'!$D$5:$D$428&lt;&gt;"")*--(('Client DB &amp; Bed Mgmt'!$M$5:$M$428="")+NOT(ISNUMBER('Client DB &amp; Bed Mgmt'!$M$5:$M$428))+IFERROR('Client DB &amp; Bed Mgmt'!$M$5:$M$428&lt;=EOMONTH(B44,0),FALSE)&gt;0)*--(('Client DB &amp; Bed Mgmt'!$N$5:$N$428="")+NOT(ISNUMBER('Client DB &amp; Bed Mgmt'!$N$5:$N$428))+IFERROR('Client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</f>
        <v/>
      </c>
      <c r="X44" s="130">
        <f>IFERROR(S44/W44,0)</f>
        <v/>
      </c>
    </row>
    <row r="45" ht="14.25" customHeight="1" s="83">
      <c r="A45" s="103" t="inlineStr">
        <is>
          <t>Dorm 1</t>
        </is>
      </c>
      <c r="B45" s="125">
        <f>INDEX(MonthList,INT((ROW()-6)/6)+1)</f>
        <v/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>
        <f>SUMPRODUCT(('Client DB &amp; Bed Mgmt'!$A$5:$A$428=A45)*('Client DB &amp; Bed Mgmt'!$B$5:$B$428=C45)*('Client DB &amp; Bed Mgmt'!$D$5:$D$428&lt;&gt;"")*--(('Client DB &amp; Bed Mgmt'!$M$5:$M$428="")+NOT(ISNUMBER('Client DB &amp; Bed Mgmt'!$M$5:$M$428))+IFERROR('Client DB &amp; Bed Mgmt'!$M$5:$M$428&lt;=EOMONTH(B45,0),FALSE)&gt;0)*--(('Client DB &amp; Bed Mgmt'!$N$5:$N$428="")+NOT(ISNUMBER('Client DB &amp; Bed Mgmt'!$N$5:$N$428))+IFERROR('Client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</f>
        <v/>
      </c>
      <c r="V45" s="129">
        <f>IFERROR(I45/U45,0)</f>
        <v/>
      </c>
      <c r="W45" s="127">
        <f>SUMPRODUCT(('Client DB &amp; Bed Mgmt'!$A$5:$A$428=K45)*('Client DB &amp; Bed Mgmt'!$B$5:$B$428=L45)*('Client DB &amp; Bed Mgmt'!$D$5:$D$428&lt;&gt;"")*--(('Client DB &amp; Bed Mgmt'!$M$5:$M$428="")+NOT(ISNUMBER('Client DB &amp; Bed Mgmt'!$M$5:$M$428))+IFERROR('Client DB &amp; Bed Mgmt'!$M$5:$M$428&lt;=EOMONTH(B45,0),FALSE)&gt;0)*--(('Client DB &amp; Bed Mgmt'!$N$5:$N$428="")+NOT(ISNUMBER('Client DB &amp; Bed Mgmt'!$N$5:$N$428))+IFERROR('Client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</f>
        <v/>
      </c>
      <c r="X45" s="130">
        <f>IFERROR(S45/W45,0)</f>
        <v/>
      </c>
    </row>
    <row r="46" ht="14.25" customHeight="1" s="83">
      <c r="A46" s="103" t="inlineStr">
        <is>
          <t>Dorm 1</t>
        </is>
      </c>
      <c r="B46" s="125">
        <f>INDEX(MonthList,INT((ROW()-6)/6)+1)</f>
        <v/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>
        <f>SUMPRODUCT(('Client DB &amp; Bed Mgmt'!$A$5:$A$428=A46)*('Client DB &amp; Bed Mgmt'!$B$5:$B$428=C46)*('Client DB &amp; Bed Mgmt'!$D$5:$D$428&lt;&gt;"")*--(('Client DB &amp; Bed Mgmt'!$M$5:$M$428="")+NOT(ISNUMBER('Client DB &amp; Bed Mgmt'!$M$5:$M$428))+IFERROR('Client DB &amp; Bed Mgmt'!$M$5:$M$428&lt;=EOMONTH(B46,0),FALSE)&gt;0)*--(('Client DB &amp; Bed Mgmt'!$N$5:$N$428="")+NOT(ISNUMBER('Client DB &amp; Bed Mgmt'!$N$5:$N$428))+IFERROR('Client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</f>
        <v/>
      </c>
      <c r="V46" s="129">
        <f>IFERROR(I46/U46,0)</f>
        <v/>
      </c>
      <c r="W46" s="127">
        <f>SUMPRODUCT(('Client DB &amp; Bed Mgmt'!$A$5:$A$428=K46)*('Client DB &amp; Bed Mgmt'!$B$5:$B$428=L46)*('Client DB &amp; Bed Mgmt'!$D$5:$D$428&lt;&gt;"")*--(('Client DB &amp; Bed Mgmt'!$M$5:$M$428="")+NOT(ISNUMBER('Client DB &amp; Bed Mgmt'!$M$5:$M$428))+IFERROR('Client DB &amp; Bed Mgmt'!$M$5:$M$428&lt;=EOMONTH(B46,0),FALSE)&gt;0)*--(('Client DB &amp; Bed Mgmt'!$N$5:$N$428="")+NOT(ISNUMBER('Client DB &amp; Bed Mgmt'!$N$5:$N$428))+IFERROR('Client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</f>
        <v/>
      </c>
      <c r="X46" s="130">
        <f>IFERROR(S46/W46,0)</f>
        <v/>
      </c>
    </row>
    <row r="47" ht="14.25" customHeight="1" s="83">
      <c r="A47" s="103" t="inlineStr">
        <is>
          <t>Dorm 1</t>
        </is>
      </c>
      <c r="B47" s="125">
        <f>INDEX(MonthList,INT((ROW()-6)/6)+1)</f>
        <v/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>
        <f>SUMPRODUCT(('Client DB &amp; Bed Mgmt'!$A$5:$A$428=A47)*('Client DB &amp; Bed Mgmt'!$B$5:$B$428=C47)*('Client DB &amp; Bed Mgmt'!$D$5:$D$428&lt;&gt;"")*--(('Client DB &amp; Bed Mgmt'!$M$5:$M$428="")+NOT(ISNUMBER('Client DB &amp; Bed Mgmt'!$M$5:$M$428))+IFERROR('Client DB &amp; Bed Mgmt'!$M$5:$M$428&lt;=EOMONTH(B47,0),FALSE)&gt;0)*--(('Client DB &amp; Bed Mgmt'!$N$5:$N$428="")+NOT(ISNUMBER('Client DB &amp; Bed Mgmt'!$N$5:$N$428))+IFERROR('Client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</f>
        <v/>
      </c>
      <c r="V47" s="129">
        <f>IFERROR(I47/U47,0)</f>
        <v/>
      </c>
      <c r="W47" s="127">
        <f>SUMPRODUCT(('Client DB &amp; Bed Mgmt'!$A$5:$A$428=K47)*('Client DB &amp; Bed Mgmt'!$B$5:$B$428=L47)*('Client DB &amp; Bed Mgmt'!$D$5:$D$428&lt;&gt;"")*--(('Client DB &amp; Bed Mgmt'!$M$5:$M$428="")+NOT(ISNUMBER('Client DB &amp; Bed Mgmt'!$M$5:$M$428))+IFERROR('Client DB &amp; Bed Mgmt'!$M$5:$M$428&lt;=EOMONTH(B47,0),FALSE)&gt;0)*--(('Client DB &amp; Bed Mgmt'!$N$5:$N$428="")+NOT(ISNUMBER('Client DB &amp; Bed Mgmt'!$N$5:$N$428))+IFERROR('Client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</f>
        <v/>
      </c>
      <c r="X47" s="130">
        <f>IFERROR(S47/W47,0)</f>
        <v/>
      </c>
    </row>
    <row r="48" ht="14.25" customHeight="1" s="83">
      <c r="A48" s="103" t="inlineStr">
        <is>
          <t>Dorm 1</t>
        </is>
      </c>
      <c r="B48" s="125">
        <f>INDEX(MonthList,INT((ROW()-6)/6)+1)</f>
        <v/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>
        <f>SUMPRODUCT(('Client DB &amp; Bed Mgmt'!$A$5:$A$428=A48)*('Client DB &amp; Bed Mgmt'!$B$5:$B$428=C48)*('Client DB &amp; Bed Mgmt'!$D$5:$D$428&lt;&gt;"")*--(('Client DB &amp; Bed Mgmt'!$M$5:$M$428="")+NOT(ISNUMBER('Client DB &amp; Bed Mgmt'!$M$5:$M$428))+IFERROR('Client DB &amp; Bed Mgmt'!$M$5:$M$428&lt;=EOMONTH(B48,0),FALSE)&gt;0)*--(('Client DB &amp; Bed Mgmt'!$N$5:$N$428="")+NOT(ISNUMBER('Client DB &amp; Bed Mgmt'!$N$5:$N$428))+IFERROR('Client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</f>
        <v/>
      </c>
      <c r="V48" s="129">
        <f>IFERROR(I48/U48,0)</f>
        <v/>
      </c>
      <c r="W48" s="127">
        <f>SUMPRODUCT(('Client DB &amp; Bed Mgmt'!$A$5:$A$428=K48)*('Client DB &amp; Bed Mgmt'!$B$5:$B$428=L48)*('Client DB &amp; Bed Mgmt'!$D$5:$D$428&lt;&gt;"")*--(('Client DB &amp; Bed Mgmt'!$M$5:$M$428="")+NOT(ISNUMBER('Client DB &amp; Bed Mgmt'!$M$5:$M$428))+IFERROR('Client DB &amp; Bed Mgmt'!$M$5:$M$428&lt;=EOMONTH(B48,0),FALSE)&gt;0)*--(('Client DB &amp; Bed Mgmt'!$N$5:$N$428="")+NOT(ISNUMBER('Client DB &amp; Bed Mgmt'!$N$5:$N$428))+IFERROR('Client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</f>
        <v/>
      </c>
      <c r="X48" s="130">
        <f>IFERROR(S48/W48,0)</f>
        <v/>
      </c>
    </row>
    <row r="49" ht="14.25" customHeight="1" s="83">
      <c r="A49" s="103" t="inlineStr">
        <is>
          <t>Dorm 1</t>
        </is>
      </c>
      <c r="B49" s="125">
        <f>INDEX(MonthList,INT((ROW()-6)/6)+1)</f>
        <v/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>
        <f>SUMPRODUCT(('Client DB &amp; Bed Mgmt'!$A$5:$A$428=A49)*('Client DB &amp; Bed Mgmt'!$B$5:$B$428=C49)*('Client DB &amp; Bed Mgmt'!$D$5:$D$428&lt;&gt;"")*--(('Client DB &amp; Bed Mgmt'!$M$5:$M$428="")+NOT(ISNUMBER('Client DB &amp; Bed Mgmt'!$M$5:$M$428))+IFERROR('Client DB &amp; Bed Mgmt'!$M$5:$M$428&lt;=EOMONTH(B49,0),FALSE)&gt;0)*--(('Client DB &amp; Bed Mgmt'!$N$5:$N$428="")+NOT(ISNUMBER('Client DB &amp; Bed Mgmt'!$N$5:$N$428))+IFERROR('Client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</f>
        <v/>
      </c>
      <c r="V49" s="129">
        <f>IFERROR(I49/U49,0)</f>
        <v/>
      </c>
      <c r="W49" s="127">
        <f>SUMPRODUCT(('Client DB &amp; Bed Mgmt'!$A$5:$A$428=K49)*('Client DB &amp; Bed Mgmt'!$B$5:$B$428=L49)*('Client DB &amp; Bed Mgmt'!$D$5:$D$428&lt;&gt;"")*--(('Client DB &amp; Bed Mgmt'!$M$5:$M$428="")+NOT(ISNUMBER('Client DB &amp; Bed Mgmt'!$M$5:$M$428))+IFERROR('Client DB &amp; Bed Mgmt'!$M$5:$M$428&lt;=EOMONTH(B49,0),FALSE)&gt;0)*--(('Client DB &amp; Bed Mgmt'!$N$5:$N$428="")+NOT(ISNUMBER('Client DB &amp; Bed Mgmt'!$N$5:$N$428))+IFERROR('Client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</f>
        <v/>
      </c>
      <c r="X49" s="130">
        <f>IFERROR(S49/W49,0)</f>
        <v/>
      </c>
    </row>
    <row r="50" ht="14.25" customHeight="1" s="83">
      <c r="A50" s="103" t="inlineStr">
        <is>
          <t>Dorm 1</t>
        </is>
      </c>
      <c r="B50" s="125">
        <f>INDEX(MonthList,INT((ROW()-6)/6)+1)</f>
        <v/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>
        <f>SUMPRODUCT(('Client DB &amp; Bed Mgmt'!$A$5:$A$428=A50)*('Client DB &amp; Bed Mgmt'!$B$5:$B$428=C50)*('Client DB &amp; Bed Mgmt'!$D$5:$D$428&lt;&gt;"")*--(('Client DB &amp; Bed Mgmt'!$M$5:$M$428="")+NOT(ISNUMBER('Client DB &amp; Bed Mgmt'!$M$5:$M$428))+IFERROR('Client DB &amp; Bed Mgmt'!$M$5:$M$428&lt;=EOMONTH(B50,0),FALSE)&gt;0)*--(('Client DB &amp; Bed Mgmt'!$N$5:$N$428="")+NOT(ISNUMBER('Client DB &amp; Bed Mgmt'!$N$5:$N$428))+IFERROR('Client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</f>
        <v/>
      </c>
      <c r="V50" s="129">
        <f>IFERROR(I50/U50,0)</f>
        <v/>
      </c>
      <c r="W50" s="127">
        <f>SUMPRODUCT(('Client DB &amp; Bed Mgmt'!$A$5:$A$428=K50)*('Client DB &amp; Bed Mgmt'!$B$5:$B$428=L50)*('Client DB &amp; Bed Mgmt'!$D$5:$D$428&lt;&gt;"")*--(('Client DB &amp; Bed Mgmt'!$M$5:$M$428="")+NOT(ISNUMBER('Client DB &amp; Bed Mgmt'!$M$5:$M$428))+IFERROR('Client DB &amp; Bed Mgmt'!$M$5:$M$428&lt;=EOMONTH(B50,0),FALSE)&gt;0)*--(('Client DB &amp; Bed Mgmt'!$N$5:$N$428="")+NOT(ISNUMBER('Client DB &amp; Bed Mgmt'!$N$5:$N$428))+IFERROR('Client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</f>
        <v/>
      </c>
      <c r="X50" s="130">
        <f>IFERROR(S50/W50,0)</f>
        <v/>
      </c>
    </row>
    <row r="51" ht="14.25" customHeight="1" s="83">
      <c r="A51" s="103" t="inlineStr">
        <is>
          <t>Dorm 1</t>
        </is>
      </c>
      <c r="B51" s="125">
        <f>INDEX(MonthList,INT((ROW()-6)/6)+1)</f>
        <v/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>
        <f>SUMPRODUCT(('Client DB &amp; Bed Mgmt'!$A$5:$A$428=A51)*('Client DB &amp; Bed Mgmt'!$B$5:$B$428=C51)*('Client DB &amp; Bed Mgmt'!$D$5:$D$428&lt;&gt;"")*--(('Client DB &amp; Bed Mgmt'!$M$5:$M$428="")+NOT(ISNUMBER('Client DB &amp; Bed Mgmt'!$M$5:$M$428))+IFERROR('Client DB &amp; Bed Mgmt'!$M$5:$M$428&lt;=EOMONTH(B51,0),FALSE)&gt;0)*--(('Client DB &amp; Bed Mgmt'!$N$5:$N$428="")+NOT(ISNUMBER('Client DB &amp; Bed Mgmt'!$N$5:$N$428))+IFERROR('Client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</f>
        <v/>
      </c>
      <c r="V51" s="129">
        <f>IFERROR(I51/U51,0)</f>
        <v/>
      </c>
      <c r="W51" s="127">
        <f>SUMPRODUCT(('Client DB &amp; Bed Mgmt'!$A$5:$A$428=K51)*('Client DB &amp; Bed Mgmt'!$B$5:$B$428=L51)*('Client DB &amp; Bed Mgmt'!$D$5:$D$428&lt;&gt;"")*--(('Client DB &amp; Bed Mgmt'!$M$5:$M$428="")+NOT(ISNUMBER('Client DB &amp; Bed Mgmt'!$M$5:$M$428))+IFERROR('Client DB &amp; Bed Mgmt'!$M$5:$M$428&lt;=EOMONTH(B51,0),FALSE)&gt;0)*--(('Client DB &amp; Bed Mgmt'!$N$5:$N$428="")+NOT(ISNUMBER('Client DB &amp; Bed Mgmt'!$N$5:$N$428))+IFERROR('Client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</f>
        <v/>
      </c>
      <c r="X51" s="130">
        <f>IFERROR(S51/W51,0)</f>
        <v/>
      </c>
    </row>
    <row r="52" ht="14.25" customHeight="1" s="83">
      <c r="A52" s="103" t="inlineStr">
        <is>
          <t>Dorm 1</t>
        </is>
      </c>
      <c r="B52" s="125">
        <f>INDEX(MonthList,INT((ROW()-6)/6)+1)</f>
        <v/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>
        <f>SUMPRODUCT(('Client DB &amp; Bed Mgmt'!$A$5:$A$428=A52)*('Client DB &amp; Bed Mgmt'!$B$5:$B$428=C52)*('Client DB &amp; Bed Mgmt'!$D$5:$D$428&lt;&gt;"")*--(('Client DB &amp; Bed Mgmt'!$M$5:$M$428="")+NOT(ISNUMBER('Client DB &amp; Bed Mgmt'!$M$5:$M$428))+IFERROR('Client DB &amp; Bed Mgmt'!$M$5:$M$428&lt;=EOMONTH(B52,0),FALSE)&gt;0)*--(('Client DB &amp; Bed Mgmt'!$N$5:$N$428="")+NOT(ISNUMBER('Client DB &amp; Bed Mgmt'!$N$5:$N$428))+IFERROR('Client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</f>
        <v/>
      </c>
      <c r="V52" s="129">
        <f>IFERROR(I52/U52,0)</f>
        <v/>
      </c>
      <c r="W52" s="127">
        <f>SUMPRODUCT(('Client DB &amp; Bed Mgmt'!$A$5:$A$428=K52)*('Client DB &amp; Bed Mgmt'!$B$5:$B$428=L52)*('Client DB &amp; Bed Mgmt'!$D$5:$D$428&lt;&gt;"")*--(('Client DB &amp; Bed Mgmt'!$M$5:$M$428="")+NOT(ISNUMBER('Client DB &amp; Bed Mgmt'!$M$5:$M$428))+IFERROR('Client DB &amp; Bed Mgmt'!$M$5:$M$428&lt;=EOMONTH(B52,0),FALSE)&gt;0)*--(('Client DB &amp; Bed Mgmt'!$N$5:$N$428="")+NOT(ISNUMBER('Client DB &amp; Bed Mgmt'!$N$5:$N$428))+IFERROR('Client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</f>
        <v/>
      </c>
      <c r="X52" s="130">
        <f>IFERROR(S52/W52,0)</f>
        <v/>
      </c>
    </row>
    <row r="53" ht="14.25" customHeight="1" s="83">
      <c r="A53" s="103" t="inlineStr">
        <is>
          <t>Dorm 1</t>
        </is>
      </c>
      <c r="B53" s="125">
        <f>INDEX(MonthList,INT((ROW()-6)/6)+1)</f>
        <v/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>
        <f>SUMPRODUCT(('Client DB &amp; Bed Mgmt'!$A$5:$A$428=A53)*('Client DB &amp; Bed Mgmt'!$B$5:$B$428=C53)*('Client DB &amp; Bed Mgmt'!$D$5:$D$428&lt;&gt;"")*--(('Client DB &amp; Bed Mgmt'!$M$5:$M$428="")+NOT(ISNUMBER('Client DB &amp; Bed Mgmt'!$M$5:$M$428))+IFERROR('Client DB &amp; Bed Mgmt'!$M$5:$M$428&lt;=EOMONTH(B53,0),FALSE)&gt;0)*--(('Client DB &amp; Bed Mgmt'!$N$5:$N$428="")+NOT(ISNUMBER('Client DB &amp; Bed Mgmt'!$N$5:$N$428))+IFERROR('Client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</f>
        <v/>
      </c>
      <c r="V53" s="129">
        <f>IFERROR(I53/U53,0)</f>
        <v/>
      </c>
      <c r="W53" s="127">
        <f>SUMPRODUCT(('Client DB &amp; Bed Mgmt'!$A$5:$A$428=K53)*('Client DB &amp; Bed Mgmt'!$B$5:$B$428=L53)*('Client DB &amp; Bed Mgmt'!$D$5:$D$428&lt;&gt;"")*--(('Client DB &amp; Bed Mgmt'!$M$5:$M$428="")+NOT(ISNUMBER('Client DB &amp; Bed Mgmt'!$M$5:$M$428))+IFERROR('Client DB &amp; Bed Mgmt'!$M$5:$M$428&lt;=EOMONTH(B53,0),FALSE)&gt;0)*--(('Client DB &amp; Bed Mgmt'!$N$5:$N$428="")+NOT(ISNUMBER('Client DB &amp; Bed Mgmt'!$N$5:$N$428))+IFERROR('Client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</f>
        <v/>
      </c>
      <c r="X53" s="130">
        <f>IFERROR(S53/W53,0)</f>
        <v/>
      </c>
    </row>
    <row r="54" ht="14.25" customHeight="1" s="83">
      <c r="A54" s="103" t="inlineStr">
        <is>
          <t>Dorm 1</t>
        </is>
      </c>
      <c r="B54" s="125">
        <f>INDEX(MonthList,INT((ROW()-6)/6)+1)</f>
        <v/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>
        <f>SUMPRODUCT(('Client DB &amp; Bed Mgmt'!$A$5:$A$428=A54)*('Client DB &amp; Bed Mgmt'!$B$5:$B$428=C54)*('Client DB &amp; Bed Mgmt'!$D$5:$D$428&lt;&gt;"")*--(('Client DB &amp; Bed Mgmt'!$M$5:$M$428="")+NOT(ISNUMBER('Client DB &amp; Bed Mgmt'!$M$5:$M$428))+IFERROR('Client DB &amp; Bed Mgmt'!$M$5:$M$428&lt;=EOMONTH(B54,0),FALSE)&gt;0)*--(('Client DB &amp; Bed Mgmt'!$N$5:$N$428="")+NOT(ISNUMBER('Client DB &amp; Bed Mgmt'!$N$5:$N$428))+IFERROR('Client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</f>
        <v/>
      </c>
      <c r="V54" s="129">
        <f>IFERROR(I54/U54,0)</f>
        <v/>
      </c>
      <c r="W54" s="127">
        <f>SUMPRODUCT(('Client DB &amp; Bed Mgmt'!$A$5:$A$428=K54)*('Client DB &amp; Bed Mgmt'!$B$5:$B$428=L54)*('Client DB &amp; Bed Mgmt'!$D$5:$D$428&lt;&gt;"")*--(('Client DB &amp; Bed Mgmt'!$M$5:$M$428="")+NOT(ISNUMBER('Client DB &amp; Bed Mgmt'!$M$5:$M$428))+IFERROR('Client DB &amp; Bed Mgmt'!$M$5:$M$428&lt;=EOMONTH(B54,0),FALSE)&gt;0)*--(('Client DB &amp; Bed Mgmt'!$N$5:$N$428="")+NOT(ISNUMBER('Client DB &amp; Bed Mgmt'!$N$5:$N$428))+IFERROR('Client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</f>
        <v/>
      </c>
      <c r="X54" s="130">
        <f>IFERROR(S54/W54,0)</f>
        <v/>
      </c>
    </row>
    <row r="55" ht="14.25" customHeight="1" s="83">
      <c r="A55" s="103" t="inlineStr">
        <is>
          <t>Dorm 1</t>
        </is>
      </c>
      <c r="B55" s="125">
        <f>INDEX(MonthList,INT((ROW()-6)/6)+1)</f>
        <v/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>
        <f>SUMPRODUCT(('Client DB &amp; Bed Mgmt'!$A$5:$A$428=A55)*('Client DB &amp; Bed Mgmt'!$B$5:$B$428=C55)*('Client DB &amp; Bed Mgmt'!$D$5:$D$428&lt;&gt;"")*--(('Client DB &amp; Bed Mgmt'!$M$5:$M$428="")+NOT(ISNUMBER('Client DB &amp; Bed Mgmt'!$M$5:$M$428))+IFERROR('Client DB &amp; Bed Mgmt'!$M$5:$M$428&lt;=EOMONTH(B55,0),FALSE)&gt;0)*--(('Client DB &amp; Bed Mgmt'!$N$5:$N$428="")+NOT(ISNUMBER('Client DB &amp; Bed Mgmt'!$N$5:$N$428))+IFERROR('Client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</f>
        <v/>
      </c>
      <c r="V55" s="129">
        <f>IFERROR(I55/U55,0)</f>
        <v/>
      </c>
      <c r="W55" s="127">
        <f>SUMPRODUCT(('Client DB &amp; Bed Mgmt'!$A$5:$A$428=K55)*('Client DB &amp; Bed Mgmt'!$B$5:$B$428=L55)*('Client DB &amp; Bed Mgmt'!$D$5:$D$428&lt;&gt;"")*--(('Client DB &amp; Bed Mgmt'!$M$5:$M$428="")+NOT(ISNUMBER('Client DB &amp; Bed Mgmt'!$M$5:$M$428))+IFERROR('Client DB &amp; Bed Mgmt'!$M$5:$M$428&lt;=EOMONTH(B55,0),FALSE)&gt;0)*--(('Client DB &amp; Bed Mgmt'!$N$5:$N$428="")+NOT(ISNUMBER('Client DB &amp; Bed Mgmt'!$N$5:$N$428))+IFERROR('Client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</f>
        <v/>
      </c>
      <c r="X55" s="130">
        <f>IFERROR(S55/W55,0)</f>
        <v/>
      </c>
    </row>
    <row r="56" ht="14.25" customHeight="1" s="83">
      <c r="A56" s="103" t="inlineStr">
        <is>
          <t>Dorm 1</t>
        </is>
      </c>
      <c r="B56" s="125">
        <f>INDEX(MonthList,INT((ROW()-6)/6)+1)</f>
        <v/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>
        <f>SUMPRODUCT(('Client DB &amp; Bed Mgmt'!$A$5:$A$428=A56)*('Client DB &amp; Bed Mgmt'!$B$5:$B$428=C56)*('Client DB &amp; Bed Mgmt'!$D$5:$D$428&lt;&gt;"")*--(('Client DB &amp; Bed Mgmt'!$M$5:$M$428="")+NOT(ISNUMBER('Client DB &amp; Bed Mgmt'!$M$5:$M$428))+IFERROR('Client DB &amp; Bed Mgmt'!$M$5:$M$428&lt;=EOMONTH(B56,0),FALSE)&gt;0)*--(('Client DB &amp; Bed Mgmt'!$N$5:$N$428="")+NOT(ISNUMBER('Client DB &amp; Bed Mgmt'!$N$5:$N$428))+IFERROR('Client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</f>
        <v/>
      </c>
      <c r="V56" s="129">
        <f>IFERROR(I56/U56,0)</f>
        <v/>
      </c>
      <c r="W56" s="127">
        <f>SUMPRODUCT(('Client DB &amp; Bed Mgmt'!$A$5:$A$428=K56)*('Client DB &amp; Bed Mgmt'!$B$5:$B$428=L56)*('Client DB &amp; Bed Mgmt'!$D$5:$D$428&lt;&gt;"")*--(('Client DB &amp; Bed Mgmt'!$M$5:$M$428="")+NOT(ISNUMBER('Client DB &amp; Bed Mgmt'!$M$5:$M$428))+IFERROR('Client DB &amp; Bed Mgmt'!$M$5:$M$428&lt;=EOMONTH(B56,0),FALSE)&gt;0)*--(('Client DB &amp; Bed Mgmt'!$N$5:$N$428="")+NOT(ISNUMBER('Client DB &amp; Bed Mgmt'!$N$5:$N$428))+IFERROR('Client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</f>
        <v/>
      </c>
      <c r="X56" s="130">
        <f>IFERROR(S56/W56,0)</f>
        <v/>
      </c>
    </row>
    <row r="57" ht="14.25" customHeight="1" s="83">
      <c r="A57" s="103" t="inlineStr">
        <is>
          <t>Dorm 1</t>
        </is>
      </c>
      <c r="B57" s="125">
        <f>INDEX(MonthList,INT((ROW()-6)/6)+1)</f>
        <v/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>
        <f>SUMPRODUCT(('Client DB &amp; Bed Mgmt'!$A$5:$A$428=A57)*('Client DB &amp; Bed Mgmt'!$B$5:$B$428=C57)*('Client DB &amp; Bed Mgmt'!$D$5:$D$428&lt;&gt;"")*--(('Client DB &amp; Bed Mgmt'!$M$5:$M$428="")+NOT(ISNUMBER('Client DB &amp; Bed Mgmt'!$M$5:$M$428))+IFERROR('Client DB &amp; Bed Mgmt'!$M$5:$M$428&lt;=EOMONTH(B57,0),FALSE)&gt;0)*--(('Client DB &amp; Bed Mgmt'!$N$5:$N$428="")+NOT(ISNUMBER('Client DB &amp; Bed Mgmt'!$N$5:$N$428))+IFERROR('Client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</f>
        <v/>
      </c>
      <c r="V57" s="129">
        <f>IFERROR(I57/U57,0)</f>
        <v/>
      </c>
      <c r="W57" s="127">
        <f>SUMPRODUCT(('Client DB &amp; Bed Mgmt'!$A$5:$A$428=K57)*('Client DB &amp; Bed Mgmt'!$B$5:$B$428=L57)*('Client DB &amp; Bed Mgmt'!$D$5:$D$428&lt;&gt;"")*--(('Client DB &amp; Bed Mgmt'!$M$5:$M$428="")+NOT(ISNUMBER('Client DB &amp; Bed Mgmt'!$M$5:$M$428))+IFERROR('Client DB &amp; Bed Mgmt'!$M$5:$M$428&lt;=EOMONTH(B57,0),FALSE)&gt;0)*--(('Client DB &amp; Bed Mgmt'!$N$5:$N$428="")+NOT(ISNUMBER('Client DB &amp; Bed Mgmt'!$N$5:$N$428))+IFERROR('Client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</f>
        <v/>
      </c>
      <c r="X57" s="130">
        <f>IFERROR(S57/W57,0)</f>
        <v/>
      </c>
    </row>
    <row r="58" ht="14.25" customHeight="1" s="83">
      <c r="A58" s="103" t="inlineStr">
        <is>
          <t>Dorm 1</t>
        </is>
      </c>
      <c r="B58" s="125">
        <f>INDEX(MonthList,INT((ROW()-6)/6)+1)</f>
        <v/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>
        <f>SUMPRODUCT(('Client DB &amp; Bed Mgmt'!$A$5:$A$428=A58)*('Client DB &amp; Bed Mgmt'!$B$5:$B$428=C58)*('Client DB &amp; Bed Mgmt'!$D$5:$D$428&lt;&gt;"")*--(('Client DB &amp; Bed Mgmt'!$M$5:$M$428="")+NOT(ISNUMBER('Client DB &amp; Bed Mgmt'!$M$5:$M$428))+IFERROR('Client DB &amp; Bed Mgmt'!$M$5:$M$428&lt;=EOMONTH(B58,0),FALSE)&gt;0)*--(('Client DB &amp; Bed Mgmt'!$N$5:$N$428="")+NOT(ISNUMBER('Client DB &amp; Bed Mgmt'!$N$5:$N$428))+IFERROR('Client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</f>
        <v/>
      </c>
      <c r="V58" s="129">
        <f>IFERROR(I58/U58,0)</f>
        <v/>
      </c>
      <c r="W58" s="127">
        <f>SUMPRODUCT(('Client DB &amp; Bed Mgmt'!$A$5:$A$428=K58)*('Client DB &amp; Bed Mgmt'!$B$5:$B$428=L58)*('Client DB &amp; Bed Mgmt'!$D$5:$D$428&lt;&gt;"")*--(('Client DB &amp; Bed Mgmt'!$M$5:$M$428="")+NOT(ISNUMBER('Client DB &amp; Bed Mgmt'!$M$5:$M$428))+IFERROR('Client DB &amp; Bed Mgmt'!$M$5:$M$428&lt;=EOMONTH(B58,0),FALSE)&gt;0)*--(('Client DB &amp; Bed Mgmt'!$N$5:$N$428="")+NOT(ISNUMBER('Client DB &amp; Bed Mgmt'!$N$5:$N$428))+IFERROR('Client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</f>
        <v/>
      </c>
      <c r="X58" s="130">
        <f>IFERROR(S58/W58,0)</f>
        <v/>
      </c>
    </row>
    <row r="59" ht="14.25" customHeight="1" s="83">
      <c r="A59" s="103" t="inlineStr">
        <is>
          <t>Dorm 1</t>
        </is>
      </c>
      <c r="B59" s="125">
        <f>INDEX(MonthList,INT((ROW()-6)/6)+1)</f>
        <v/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>
        <f>SUMPRODUCT(('Client DB &amp; Bed Mgmt'!$A$5:$A$428=A59)*('Client DB &amp; Bed Mgmt'!$B$5:$B$428=C59)*('Client DB &amp; Bed Mgmt'!$D$5:$D$428&lt;&gt;"")*--(('Client DB &amp; Bed Mgmt'!$M$5:$M$428="")+NOT(ISNUMBER('Client DB &amp; Bed Mgmt'!$M$5:$M$428))+IFERROR('Client DB &amp; Bed Mgmt'!$M$5:$M$428&lt;=EOMONTH(B59,0),FALSE)&gt;0)*--(('Client DB &amp; Bed Mgmt'!$N$5:$N$428="")+NOT(ISNUMBER('Client DB &amp; Bed Mgmt'!$N$5:$N$428))+IFERROR('Client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</f>
        <v/>
      </c>
      <c r="V59" s="129">
        <f>IFERROR(I59/U59,0)</f>
        <v/>
      </c>
      <c r="W59" s="127">
        <f>SUMPRODUCT(('Client DB &amp; Bed Mgmt'!$A$5:$A$428=K59)*('Client DB &amp; Bed Mgmt'!$B$5:$B$428=L59)*('Client DB &amp; Bed Mgmt'!$D$5:$D$428&lt;&gt;"")*--(('Client DB &amp; Bed Mgmt'!$M$5:$M$428="")+NOT(ISNUMBER('Client DB &amp; Bed Mgmt'!$M$5:$M$428))+IFERROR('Client DB &amp; Bed Mgmt'!$M$5:$M$428&lt;=EOMONTH(B59,0),FALSE)&gt;0)*--(('Client DB &amp; Bed Mgmt'!$N$5:$N$428="")+NOT(ISNUMBER('Client DB &amp; Bed Mgmt'!$N$5:$N$428))+IFERROR('Client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</f>
        <v/>
      </c>
      <c r="X59" s="130">
        <f>IFERROR(S59/W59,0)</f>
        <v/>
      </c>
    </row>
    <row r="60" ht="14.25" customHeight="1" s="83">
      <c r="A60" s="103" t="inlineStr">
        <is>
          <t>Dorm 1</t>
        </is>
      </c>
      <c r="B60" s="125">
        <f>INDEX(MonthList,INT((ROW()-6)/6)+1)</f>
        <v/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>
        <f>SUMPRODUCT(('Client DB &amp; Bed Mgmt'!$A$5:$A$428=A60)*('Client DB &amp; Bed Mgmt'!$B$5:$B$428=C60)*('Client DB &amp; Bed Mgmt'!$D$5:$D$428&lt;&gt;"")*--(('Client DB &amp; Bed Mgmt'!$M$5:$M$428="")+NOT(ISNUMBER('Client DB &amp; Bed Mgmt'!$M$5:$M$428))+IFERROR('Client DB &amp; Bed Mgmt'!$M$5:$M$428&lt;=EOMONTH(B60,0),FALSE)&gt;0)*--(('Client DB &amp; Bed Mgmt'!$N$5:$N$428="")+NOT(ISNUMBER('Client DB &amp; Bed Mgmt'!$N$5:$N$428))+IFERROR('Client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</f>
        <v/>
      </c>
      <c r="V60" s="129">
        <f>IFERROR(I60/U60,0)</f>
        <v/>
      </c>
      <c r="W60" s="127">
        <f>SUMPRODUCT(('Client DB &amp; Bed Mgmt'!$A$5:$A$428=K60)*('Client DB &amp; Bed Mgmt'!$B$5:$B$428=L60)*('Client DB &amp; Bed Mgmt'!$D$5:$D$428&lt;&gt;"")*--(('Client DB &amp; Bed Mgmt'!$M$5:$M$428="")+NOT(ISNUMBER('Client DB &amp; Bed Mgmt'!$M$5:$M$428))+IFERROR('Client DB &amp; Bed Mgmt'!$M$5:$M$428&lt;=EOMONTH(B60,0),FALSE)&gt;0)*--(('Client DB &amp; Bed Mgmt'!$N$5:$N$428="")+NOT(ISNUMBER('Client DB &amp; Bed Mgmt'!$N$5:$N$428))+IFERROR('Client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</f>
        <v/>
      </c>
      <c r="X60" s="130">
        <f>IFERROR(S60/W60,0)</f>
        <v/>
      </c>
    </row>
    <row r="61" ht="14.25" customHeight="1" s="83">
      <c r="A61" s="103" t="inlineStr">
        <is>
          <t>Dorm 1</t>
        </is>
      </c>
      <c r="B61" s="125">
        <f>INDEX(MonthList,INT((ROW()-6)/6)+1)</f>
        <v/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>
        <f>SUMPRODUCT(('Client DB &amp; Bed Mgmt'!$A$5:$A$428=A61)*('Client DB &amp; Bed Mgmt'!$B$5:$B$428=C61)*('Client DB &amp; Bed Mgmt'!$D$5:$D$428&lt;&gt;"")*--(('Client DB &amp; Bed Mgmt'!$M$5:$M$428="")+NOT(ISNUMBER('Client DB &amp; Bed Mgmt'!$M$5:$M$428))+IFERROR('Client DB &amp; Bed Mgmt'!$M$5:$M$428&lt;=EOMONTH(B61,0),FALSE)&gt;0)*--(('Client DB &amp; Bed Mgmt'!$N$5:$N$428="")+NOT(ISNUMBER('Client DB &amp; Bed Mgmt'!$N$5:$N$428))+IFERROR('Client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</f>
        <v/>
      </c>
      <c r="V61" s="129">
        <f>IFERROR(I61/U61,0)</f>
        <v/>
      </c>
      <c r="W61" s="127">
        <f>SUMPRODUCT(('Client DB &amp; Bed Mgmt'!$A$5:$A$428=K61)*('Client DB &amp; Bed Mgmt'!$B$5:$B$428=L61)*('Client DB &amp; Bed Mgmt'!$D$5:$D$428&lt;&gt;"")*--(('Client DB &amp; Bed Mgmt'!$M$5:$M$428="")+NOT(ISNUMBER('Client DB &amp; Bed Mgmt'!$M$5:$M$428))+IFERROR('Client DB &amp; Bed Mgmt'!$M$5:$M$428&lt;=EOMONTH(B61,0),FALSE)&gt;0)*--(('Client DB &amp; Bed Mgmt'!$N$5:$N$428="")+NOT(ISNUMBER('Client DB &amp; Bed Mgmt'!$N$5:$N$428))+IFERROR('Client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</f>
        <v/>
      </c>
      <c r="X61" s="130">
        <f>IFERROR(S61/W61,0)</f>
        <v/>
      </c>
    </row>
    <row r="62" ht="14.25" customHeight="1" s="83">
      <c r="A62" s="103" t="inlineStr">
        <is>
          <t>Dorm 1</t>
        </is>
      </c>
      <c r="B62" s="125">
        <f>INDEX(MonthList,INT((ROW()-6)/6)+1)</f>
        <v/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>
        <f>SUMPRODUCT(('Client DB &amp; Bed Mgmt'!$A$5:$A$428=A62)*('Client DB &amp; Bed Mgmt'!$B$5:$B$428=C62)*('Client DB &amp; Bed Mgmt'!$D$5:$D$428&lt;&gt;"")*--(('Client DB &amp; Bed Mgmt'!$M$5:$M$428="")+NOT(ISNUMBER('Client DB &amp; Bed Mgmt'!$M$5:$M$428))+IFERROR('Client DB &amp; Bed Mgmt'!$M$5:$M$428&lt;=EOMONTH(B62,0),FALSE)&gt;0)*--(('Client DB &amp; Bed Mgmt'!$N$5:$N$428="")+NOT(ISNUMBER('Client DB &amp; Bed Mgmt'!$N$5:$N$428))+IFERROR('Client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</f>
        <v/>
      </c>
      <c r="V62" s="129">
        <f>IFERROR(I62/U62,0)</f>
        <v/>
      </c>
      <c r="W62" s="127">
        <f>SUMPRODUCT(('Client DB &amp; Bed Mgmt'!$A$5:$A$428=K62)*('Client DB &amp; Bed Mgmt'!$B$5:$B$428=L62)*('Client DB &amp; Bed Mgmt'!$D$5:$D$428&lt;&gt;"")*--(('Client DB &amp; Bed Mgmt'!$M$5:$M$428="")+NOT(ISNUMBER('Client DB &amp; Bed Mgmt'!$M$5:$M$428))+IFERROR('Client DB &amp; Bed Mgmt'!$M$5:$M$428&lt;=EOMONTH(B62,0),FALSE)&gt;0)*--(('Client DB &amp; Bed Mgmt'!$N$5:$N$428="")+NOT(ISNUMBER('Client DB &amp; Bed Mgmt'!$N$5:$N$428))+IFERROR('Client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</f>
        <v/>
      </c>
      <c r="X62" s="130">
        <f>IFERROR(S62/W62,0)</f>
        <v/>
      </c>
    </row>
    <row r="63" ht="14.25" customHeight="1" s="83">
      <c r="A63" s="103" t="inlineStr">
        <is>
          <t>Dorm 1</t>
        </is>
      </c>
      <c r="B63" s="125">
        <f>INDEX(MonthList,INT((ROW()-6)/6)+1)</f>
        <v/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>
        <f>SUMPRODUCT(('Client DB &amp; Bed Mgmt'!$A$5:$A$428=A63)*('Client DB &amp; Bed Mgmt'!$B$5:$B$428=C63)*('Client DB &amp; Bed Mgmt'!$D$5:$D$428&lt;&gt;"")*--(('Client DB &amp; Bed Mgmt'!$M$5:$M$428="")+NOT(ISNUMBER('Client DB &amp; Bed Mgmt'!$M$5:$M$428))+IFERROR('Client DB &amp; Bed Mgmt'!$M$5:$M$428&lt;=EOMONTH(B63,0),FALSE)&gt;0)*--(('Client DB &amp; Bed Mgmt'!$N$5:$N$428="")+NOT(ISNUMBER('Client DB &amp; Bed Mgmt'!$N$5:$N$428))+IFERROR('Client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</f>
        <v/>
      </c>
      <c r="V63" s="129">
        <f>IFERROR(I63/U63,0)</f>
        <v/>
      </c>
      <c r="W63" s="127">
        <f>SUMPRODUCT(('Client DB &amp; Bed Mgmt'!$A$5:$A$428=K63)*('Client DB &amp; Bed Mgmt'!$B$5:$B$428=L63)*('Client DB &amp; Bed Mgmt'!$D$5:$D$428&lt;&gt;"")*--(('Client DB &amp; Bed Mgmt'!$M$5:$M$428="")+NOT(ISNUMBER('Client DB &amp; Bed Mgmt'!$M$5:$M$428))+IFERROR('Client DB &amp; Bed Mgmt'!$M$5:$M$428&lt;=EOMONTH(B63,0),FALSE)&gt;0)*--(('Client DB &amp; Bed Mgmt'!$N$5:$N$428="")+NOT(ISNUMBER('Client DB &amp; Bed Mgmt'!$N$5:$N$428))+IFERROR('Client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</f>
        <v/>
      </c>
      <c r="X63" s="130">
        <f>IFERROR(S63/W63,0)</f>
        <v/>
      </c>
    </row>
    <row r="64" ht="14.25" customHeight="1" s="83">
      <c r="A64" s="103" t="inlineStr">
        <is>
          <t>Dorm 1</t>
        </is>
      </c>
      <c r="B64" s="125">
        <f>INDEX(MonthList,INT((ROW()-6)/6)+1)</f>
        <v/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>
        <f>SUMPRODUCT(('Client DB &amp; Bed Mgmt'!$A$5:$A$428=A64)*('Client DB &amp; Bed Mgmt'!$B$5:$B$428=C64)*('Client DB &amp; Bed Mgmt'!$D$5:$D$428&lt;&gt;"")*--(('Client DB &amp; Bed Mgmt'!$M$5:$M$428="")+NOT(ISNUMBER('Client DB &amp; Bed Mgmt'!$M$5:$M$428))+IFERROR('Client DB &amp; Bed Mgmt'!$M$5:$M$428&lt;=EOMONTH(B64,0),FALSE)&gt;0)*--(('Client DB &amp; Bed Mgmt'!$N$5:$N$428="")+NOT(ISNUMBER('Client DB &amp; Bed Mgmt'!$N$5:$N$428))+IFERROR('Client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</f>
        <v/>
      </c>
      <c r="V64" s="129">
        <f>IFERROR(I64/U64,0)</f>
        <v/>
      </c>
      <c r="W64" s="127">
        <f>SUMPRODUCT(('Client DB &amp; Bed Mgmt'!$A$5:$A$428=K64)*('Client DB &amp; Bed Mgmt'!$B$5:$B$428=L64)*('Client DB &amp; Bed Mgmt'!$D$5:$D$428&lt;&gt;"")*--(('Client DB &amp; Bed Mgmt'!$M$5:$M$428="")+NOT(ISNUMBER('Client DB &amp; Bed Mgmt'!$M$5:$M$428))+IFERROR('Client DB &amp; Bed Mgmt'!$M$5:$M$428&lt;=EOMONTH(B64,0),FALSE)&gt;0)*--(('Client DB &amp; Bed Mgmt'!$N$5:$N$428="")+NOT(ISNUMBER('Client DB &amp; Bed Mgmt'!$N$5:$N$428))+IFERROR('Client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</f>
        <v/>
      </c>
      <c r="X64" s="130">
        <f>IFERROR(S64/W64,0)</f>
        <v/>
      </c>
    </row>
    <row r="65" ht="14.25" customHeight="1" s="83">
      <c r="A65" s="103" t="inlineStr">
        <is>
          <t>Dorm 1</t>
        </is>
      </c>
      <c r="B65" s="125">
        <f>INDEX(MonthList,INT((ROW()-6)/6)+1)</f>
        <v/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>
        <f>SUMPRODUCT(('Client DB &amp; Bed Mgmt'!$A$5:$A$428=A65)*('Client DB &amp; Bed Mgmt'!$B$5:$B$428=C65)*('Client DB &amp; Bed Mgmt'!$D$5:$D$428&lt;&gt;"")*--(('Client DB &amp; Bed Mgmt'!$M$5:$M$428="")+NOT(ISNUMBER('Client DB &amp; Bed Mgmt'!$M$5:$M$428))+IFERROR('Client DB &amp; Bed Mgmt'!$M$5:$M$428&lt;=EOMONTH(B65,0),FALSE)&gt;0)*--(('Client DB &amp; Bed Mgmt'!$N$5:$N$428="")+NOT(ISNUMBER('Client DB &amp; Bed Mgmt'!$N$5:$N$428))+IFERROR('Client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</f>
        <v/>
      </c>
      <c r="V65" s="129">
        <f>IFERROR(I65/U65,0)</f>
        <v/>
      </c>
      <c r="W65" s="127">
        <f>SUMPRODUCT(('Client DB &amp; Bed Mgmt'!$A$5:$A$428=K65)*('Client DB &amp; Bed Mgmt'!$B$5:$B$428=L65)*('Client DB &amp; Bed Mgmt'!$D$5:$D$428&lt;&gt;"")*--(('Client DB &amp; Bed Mgmt'!$M$5:$M$428="")+NOT(ISNUMBER('Client DB &amp; Bed Mgmt'!$M$5:$M$428))+IFERROR('Client DB &amp; Bed Mgmt'!$M$5:$M$428&lt;=EOMONTH(B65,0),FALSE)&gt;0)*--(('Client DB &amp; Bed Mgmt'!$N$5:$N$428="")+NOT(ISNUMBER('Client DB &amp; Bed Mgmt'!$N$5:$N$428))+IFERROR('Client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</f>
        <v/>
      </c>
      <c r="X65" s="130">
        <f>IFERROR(S65/W65,0)</f>
        <v/>
      </c>
    </row>
    <row r="66" ht="14.25" customHeight="1" s="83">
      <c r="A66" s="103" t="inlineStr">
        <is>
          <t>Dorm 1</t>
        </is>
      </c>
      <c r="B66" s="125">
        <f>INDEX(MonthList,INT((ROW()-6)/6)+1)</f>
        <v/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>
        <f>SUMPRODUCT(('Client DB &amp; Bed Mgmt'!$A$5:$A$428=A66)*('Client DB &amp; Bed Mgmt'!$B$5:$B$428=C66)*('Client DB &amp; Bed Mgmt'!$D$5:$D$428&lt;&gt;"")*--(('Client DB &amp; Bed Mgmt'!$M$5:$M$428="")+NOT(ISNUMBER('Client DB &amp; Bed Mgmt'!$M$5:$M$428))+IFERROR('Client DB &amp; Bed Mgmt'!$M$5:$M$428&lt;=EOMONTH(B66,0),FALSE)&gt;0)*--(('Client DB &amp; Bed Mgmt'!$N$5:$N$428="")+NOT(ISNUMBER('Client DB &amp; Bed Mgmt'!$N$5:$N$428))+IFERROR('Client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</f>
        <v/>
      </c>
      <c r="V66" s="129">
        <f>IFERROR(I66/U66,0)</f>
        <v/>
      </c>
      <c r="W66" s="127">
        <f>SUMPRODUCT(('Client DB &amp; Bed Mgmt'!$A$5:$A$428=K66)*('Client DB &amp; Bed Mgmt'!$B$5:$B$428=L66)*('Client DB &amp; Bed Mgmt'!$D$5:$D$428&lt;&gt;"")*--(('Client DB &amp; Bed Mgmt'!$M$5:$M$428="")+NOT(ISNUMBER('Client DB &amp; Bed Mgmt'!$M$5:$M$428))+IFERROR('Client DB &amp; Bed Mgmt'!$M$5:$M$428&lt;=EOMONTH(B66,0),FALSE)&gt;0)*--(('Client DB &amp; Bed Mgmt'!$N$5:$N$428="")+NOT(ISNUMBER('Client DB &amp; Bed Mgmt'!$N$5:$N$428))+IFERROR('Client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</f>
        <v/>
      </c>
      <c r="X66" s="130">
        <f>IFERROR(S66/W66,0)</f>
        <v/>
      </c>
    </row>
    <row r="67" ht="14.25" customHeight="1" s="83">
      <c r="A67" s="103" t="inlineStr">
        <is>
          <t>Dorm 1</t>
        </is>
      </c>
      <c r="B67" s="125">
        <f>INDEX(MonthList,INT((ROW()-6)/6)+1)</f>
        <v/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>
        <f>SUMPRODUCT(('Client DB &amp; Bed Mgmt'!$A$5:$A$428=A67)*('Client DB &amp; Bed Mgmt'!$B$5:$B$428=C67)*('Client DB &amp; Bed Mgmt'!$D$5:$D$428&lt;&gt;"")*--(('Client DB &amp; Bed Mgmt'!$M$5:$M$428="")+NOT(ISNUMBER('Client DB &amp; Bed Mgmt'!$M$5:$M$428))+IFERROR('Client DB &amp; Bed Mgmt'!$M$5:$M$428&lt;=EOMONTH(B67,0),FALSE)&gt;0)*--(('Client DB &amp; Bed Mgmt'!$N$5:$N$428="")+NOT(ISNUMBER('Client DB &amp; Bed Mgmt'!$N$5:$N$428))+IFERROR('Client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</f>
        <v/>
      </c>
      <c r="V67" s="129">
        <f>IFERROR(I67/U67,0)</f>
        <v/>
      </c>
      <c r="W67" s="127">
        <f>SUMPRODUCT(('Client DB &amp; Bed Mgmt'!$A$5:$A$428=K67)*('Client DB &amp; Bed Mgmt'!$B$5:$B$428=L67)*('Client DB &amp; Bed Mgmt'!$D$5:$D$428&lt;&gt;"")*--(('Client DB &amp; Bed Mgmt'!$M$5:$M$428="")+NOT(ISNUMBER('Client DB &amp; Bed Mgmt'!$M$5:$M$428))+IFERROR('Client DB &amp; Bed Mgmt'!$M$5:$M$428&lt;=EOMONTH(B67,0),FALSE)&gt;0)*--(('Client DB &amp; Bed Mgmt'!$N$5:$N$428="")+NOT(ISNUMBER('Client DB &amp; Bed Mgmt'!$N$5:$N$428))+IFERROR('Client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</f>
        <v/>
      </c>
      <c r="X67" s="130">
        <f>IFERROR(S67/W67,0)</f>
        <v/>
      </c>
    </row>
    <row r="68" ht="14.25" customHeight="1" s="83">
      <c r="A68" s="103" t="inlineStr">
        <is>
          <t>Dorm 1</t>
        </is>
      </c>
      <c r="B68" s="125">
        <f>INDEX(MonthList,INT((ROW()-6)/6)+1)</f>
        <v/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>
        <f>SUMPRODUCT(('Client DB &amp; Bed Mgmt'!$A$5:$A$428=A68)*('Client DB &amp; Bed Mgmt'!$B$5:$B$428=C68)*('Client DB &amp; Bed Mgmt'!$D$5:$D$428&lt;&gt;"")*--(('Client DB &amp; Bed Mgmt'!$M$5:$M$428="")+NOT(ISNUMBER('Client DB &amp; Bed Mgmt'!$M$5:$M$428))+IFERROR('Client DB &amp; Bed Mgmt'!$M$5:$M$428&lt;=EOMONTH(B68,0),FALSE)&gt;0)*--(('Client DB &amp; Bed Mgmt'!$N$5:$N$428="")+NOT(ISNUMBER('Client DB &amp; Bed Mgmt'!$N$5:$N$428))+IFERROR('Client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</f>
        <v/>
      </c>
      <c r="V68" s="129">
        <f>IFERROR(I68/U68,0)</f>
        <v/>
      </c>
      <c r="W68" s="127">
        <f>SUMPRODUCT(('Client DB &amp; Bed Mgmt'!$A$5:$A$428=K68)*('Client DB &amp; Bed Mgmt'!$B$5:$B$428=L68)*('Client DB &amp; Bed Mgmt'!$D$5:$D$428&lt;&gt;"")*--(('Client DB &amp; Bed Mgmt'!$M$5:$M$428="")+NOT(ISNUMBER('Client DB &amp; Bed Mgmt'!$M$5:$M$428))+IFERROR('Client DB &amp; Bed Mgmt'!$M$5:$M$428&lt;=EOMONTH(B68,0),FALSE)&gt;0)*--(('Client DB &amp; Bed Mgmt'!$N$5:$N$428="")+NOT(ISNUMBER('Client DB &amp; Bed Mgmt'!$N$5:$N$428))+IFERROR('Client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</f>
        <v/>
      </c>
      <c r="X68" s="130">
        <f>IFERROR(S68/W68,0)</f>
        <v/>
      </c>
    </row>
    <row r="69" ht="14.25" customHeight="1" s="83">
      <c r="A69" s="103" t="inlineStr">
        <is>
          <t>Dorm 1</t>
        </is>
      </c>
      <c r="B69" s="125">
        <f>INDEX(MonthList,INT((ROW()-6)/6)+1)</f>
        <v/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>
        <f>SUMPRODUCT(('Client DB &amp; Bed Mgmt'!$A$5:$A$428=A69)*('Client DB &amp; Bed Mgmt'!$B$5:$B$428=C69)*('Client DB &amp; Bed Mgmt'!$D$5:$D$428&lt;&gt;"")*--(('Client DB &amp; Bed Mgmt'!$M$5:$M$428="")+NOT(ISNUMBER('Client DB &amp; Bed Mgmt'!$M$5:$M$428))+IFERROR('Client DB &amp; Bed Mgmt'!$M$5:$M$428&lt;=EOMONTH(B69,0),FALSE)&gt;0)*--(('Client DB &amp; Bed Mgmt'!$N$5:$N$428="")+NOT(ISNUMBER('Client DB &amp; Bed Mgmt'!$N$5:$N$428))+IFERROR('Client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</f>
        <v/>
      </c>
      <c r="V69" s="129">
        <f>IFERROR(I69/U69,0)</f>
        <v/>
      </c>
      <c r="W69" s="127">
        <f>SUMPRODUCT(('Client DB &amp; Bed Mgmt'!$A$5:$A$428=K69)*('Client DB &amp; Bed Mgmt'!$B$5:$B$428=L69)*('Client DB &amp; Bed Mgmt'!$D$5:$D$428&lt;&gt;"")*--(('Client DB &amp; Bed Mgmt'!$M$5:$M$428="")+NOT(ISNUMBER('Client DB &amp; Bed Mgmt'!$M$5:$M$428))+IFERROR('Client DB &amp; Bed Mgmt'!$M$5:$M$428&lt;=EOMONTH(B69,0),FALSE)&gt;0)*--(('Client DB &amp; Bed Mgmt'!$N$5:$N$428="")+NOT(ISNUMBER('Client DB &amp; Bed Mgmt'!$N$5:$N$428))+IFERROR('Client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</f>
        <v/>
      </c>
      <c r="X69" s="130">
        <f>IFERROR(S69/W69,0)</f>
        <v/>
      </c>
    </row>
    <row r="70" ht="14.25" customHeight="1" s="83">
      <c r="A70" s="103" t="inlineStr">
        <is>
          <t>Dorm 1</t>
        </is>
      </c>
      <c r="B70" s="125">
        <f>INDEX(MonthList,INT((ROW()-6)/6)+1)</f>
        <v/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>
        <f>SUMPRODUCT(('Client DB &amp; Bed Mgmt'!$A$5:$A$428=A70)*('Client DB &amp; Bed Mgmt'!$B$5:$B$428=C70)*('Client DB &amp; Bed Mgmt'!$D$5:$D$428&lt;&gt;"")*--(('Client DB &amp; Bed Mgmt'!$M$5:$M$428="")+NOT(ISNUMBER('Client DB &amp; Bed Mgmt'!$M$5:$M$428))+IFERROR('Client DB &amp; Bed Mgmt'!$M$5:$M$428&lt;=EOMONTH(B70,0),FALSE)&gt;0)*--(('Client DB &amp; Bed Mgmt'!$N$5:$N$428="")+NOT(ISNUMBER('Client DB &amp; Bed Mgmt'!$N$5:$N$428))+IFERROR('Client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</f>
        <v/>
      </c>
      <c r="V70" s="129">
        <f>IFERROR(I70/U70,0)</f>
        <v/>
      </c>
      <c r="W70" s="127">
        <f>SUMPRODUCT(('Client DB &amp; Bed Mgmt'!$A$5:$A$428=K70)*('Client DB &amp; Bed Mgmt'!$B$5:$B$428=L70)*('Client DB &amp; Bed Mgmt'!$D$5:$D$428&lt;&gt;"")*--(('Client DB &amp; Bed Mgmt'!$M$5:$M$428="")+NOT(ISNUMBER('Client DB &amp; Bed Mgmt'!$M$5:$M$428))+IFERROR('Client DB &amp; Bed Mgmt'!$M$5:$M$428&lt;=EOMONTH(B70,0),FALSE)&gt;0)*--(('Client DB &amp; Bed Mgmt'!$N$5:$N$428="")+NOT(ISNUMBER('Client DB &amp; Bed Mgmt'!$N$5:$N$428))+IFERROR('Client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</f>
        <v/>
      </c>
      <c r="X70" s="130">
        <f>IFERROR(S70/W70,0)</f>
        <v/>
      </c>
    </row>
    <row r="71" ht="14.25" customHeight="1" s="83">
      <c r="A71" s="103" t="inlineStr">
        <is>
          <t>Dorm 1</t>
        </is>
      </c>
      <c r="B71" s="125">
        <f>INDEX(MonthList,INT((ROW()-6)/6)+1)</f>
        <v/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>
        <f>SUMPRODUCT(('Client DB &amp; Bed Mgmt'!$A$5:$A$428=A71)*('Client DB &amp; Bed Mgmt'!$B$5:$B$428=C71)*('Client DB &amp; Bed Mgmt'!$D$5:$D$428&lt;&gt;"")*--(('Client DB &amp; Bed Mgmt'!$M$5:$M$428="")+NOT(ISNUMBER('Client DB &amp; Bed Mgmt'!$M$5:$M$428))+IFERROR('Client DB &amp; Bed Mgmt'!$M$5:$M$428&lt;=EOMONTH(B71,0),FALSE)&gt;0)*--(('Client DB &amp; Bed Mgmt'!$N$5:$N$428="")+NOT(ISNUMBER('Client DB &amp; Bed Mgmt'!$N$5:$N$428))+IFERROR('Client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</f>
        <v/>
      </c>
      <c r="V71" s="129">
        <f>IFERROR(I71/U71,0)</f>
        <v/>
      </c>
      <c r="W71" s="127">
        <f>SUMPRODUCT(('Client DB &amp; Bed Mgmt'!$A$5:$A$428=K71)*('Client DB &amp; Bed Mgmt'!$B$5:$B$428=L71)*('Client DB &amp; Bed Mgmt'!$D$5:$D$428&lt;&gt;"")*--(('Client DB &amp; Bed Mgmt'!$M$5:$M$428="")+NOT(ISNUMBER('Client DB &amp; Bed Mgmt'!$M$5:$M$428))+IFERROR('Client DB &amp; Bed Mgmt'!$M$5:$M$428&lt;=EOMONTH(B71,0),FALSE)&gt;0)*--(('Client DB &amp; Bed Mgmt'!$N$5:$N$428="")+NOT(ISNUMBER('Client DB &amp; Bed Mgmt'!$N$5:$N$428))+IFERROR('Client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</f>
        <v/>
      </c>
      <c r="X71" s="130">
        <f>IFERROR(S71/W71,0)</f>
        <v/>
      </c>
    </row>
    <row r="72" ht="14.25" customHeight="1" s="83">
      <c r="A72" s="103" t="inlineStr">
        <is>
          <t>Dorm 1</t>
        </is>
      </c>
      <c r="B72" s="125">
        <f>INDEX(MonthList,INT((ROW()-6)/6)+1)</f>
        <v/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>
        <f>SUMPRODUCT(('Client DB &amp; Bed Mgmt'!$A$5:$A$428=A72)*('Client DB &amp; Bed Mgmt'!$B$5:$B$428=C72)*('Client DB &amp; Bed Mgmt'!$D$5:$D$428&lt;&gt;"")*--(('Client DB &amp; Bed Mgmt'!$M$5:$M$428="")+NOT(ISNUMBER('Client DB &amp; Bed Mgmt'!$M$5:$M$428))+IFERROR('Client DB &amp; Bed Mgmt'!$M$5:$M$428&lt;=EOMONTH(B72,0),FALSE)&gt;0)*--(('Client DB &amp; Bed Mgmt'!$N$5:$N$428="")+NOT(ISNUMBER('Client DB &amp; Bed Mgmt'!$N$5:$N$428))+IFERROR('Client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</f>
        <v/>
      </c>
      <c r="V72" s="129">
        <f>IFERROR(I72/U72,0)</f>
        <v/>
      </c>
      <c r="W72" s="127">
        <f>SUMPRODUCT(('Client DB &amp; Bed Mgmt'!$A$5:$A$428=K72)*('Client DB &amp; Bed Mgmt'!$B$5:$B$428=L72)*('Client DB &amp; Bed Mgmt'!$D$5:$D$428&lt;&gt;"")*--(('Client DB &amp; Bed Mgmt'!$M$5:$M$428="")+NOT(ISNUMBER('Client DB &amp; Bed Mgmt'!$M$5:$M$428))+IFERROR('Client DB &amp; Bed Mgmt'!$M$5:$M$428&lt;=EOMONTH(B72,0),FALSE)&gt;0)*--(('Client DB &amp; Bed Mgmt'!$N$5:$N$428="")+NOT(ISNUMBER('Client DB &amp; Bed Mgmt'!$N$5:$N$428))+IFERROR('Client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</f>
        <v/>
      </c>
      <c r="X72" s="130">
        <f>IFERROR(S72/W72,0)</f>
        <v/>
      </c>
    </row>
    <row r="73" ht="14.25" customHeight="1" s="83">
      <c r="A73" s="103" t="inlineStr">
        <is>
          <t>Dorm 1</t>
        </is>
      </c>
      <c r="B73" s="125">
        <f>INDEX(MonthList,INT((ROW()-6)/6)+1)</f>
        <v/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>
        <f>SUMPRODUCT(('Client DB &amp; Bed Mgmt'!$A$5:$A$428=A73)*('Client DB &amp; Bed Mgmt'!$B$5:$B$428=C73)*('Client DB &amp; Bed Mgmt'!$D$5:$D$428&lt;&gt;"")*--(('Client DB &amp; Bed Mgmt'!$M$5:$M$428="")+NOT(ISNUMBER('Client DB &amp; Bed Mgmt'!$M$5:$M$428))+IFERROR('Client DB &amp; Bed Mgmt'!$M$5:$M$428&lt;=EOMONTH(B73,0),FALSE)&gt;0)*--(('Client DB &amp; Bed Mgmt'!$N$5:$N$428="")+NOT(ISNUMBER('Client DB &amp; Bed Mgmt'!$N$5:$N$428))+IFERROR('Client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</f>
        <v/>
      </c>
      <c r="V73" s="129">
        <f>IFERROR(I73/U73,0)</f>
        <v/>
      </c>
      <c r="W73" s="127">
        <f>SUMPRODUCT(('Client DB &amp; Bed Mgmt'!$A$5:$A$428=K73)*('Client DB &amp; Bed Mgmt'!$B$5:$B$428=L73)*('Client DB &amp; Bed Mgmt'!$D$5:$D$428&lt;&gt;"")*--(('Client DB &amp; Bed Mgmt'!$M$5:$M$428="")+NOT(ISNUMBER('Client DB &amp; Bed Mgmt'!$M$5:$M$428))+IFERROR('Client DB &amp; Bed Mgmt'!$M$5:$M$428&lt;=EOMONTH(B73,0),FALSE)&gt;0)*--(('Client DB &amp; Bed Mgmt'!$N$5:$N$428="")+NOT(ISNUMBER('Client DB &amp; Bed Mgmt'!$N$5:$N$428))+IFERROR('Client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</f>
        <v/>
      </c>
      <c r="X73" s="130">
        <f>IFERROR(S73/W73,0)</f>
        <v/>
      </c>
    </row>
    <row r="74" ht="14.25" customHeight="1" s="83">
      <c r="A74" s="103" t="inlineStr">
        <is>
          <t>Dorm 1</t>
        </is>
      </c>
      <c r="B74" s="125">
        <f>INDEX(MonthList,INT((ROW()-6)/6)+1)</f>
        <v/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>
        <f>SUMPRODUCT(('Client DB &amp; Bed Mgmt'!$A$5:$A$428=A74)*('Client DB &amp; Bed Mgmt'!$B$5:$B$428=C74)*('Client DB &amp; Bed Mgmt'!$D$5:$D$428&lt;&gt;"")*--(('Client DB &amp; Bed Mgmt'!$M$5:$M$428="")+NOT(ISNUMBER('Client DB &amp; Bed Mgmt'!$M$5:$M$428))+IFERROR('Client DB &amp; Bed Mgmt'!$M$5:$M$428&lt;=EOMONTH(B74,0),FALSE)&gt;0)*--(('Client DB &amp; Bed Mgmt'!$N$5:$N$428="")+NOT(ISNUMBER('Client DB &amp; Bed Mgmt'!$N$5:$N$428))+IFERROR('Client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</f>
        <v/>
      </c>
      <c r="V74" s="129">
        <f>IFERROR(I74/U74,0)</f>
        <v/>
      </c>
      <c r="W74" s="127">
        <f>SUMPRODUCT(('Client DB &amp; Bed Mgmt'!$A$5:$A$428=K74)*('Client DB &amp; Bed Mgmt'!$B$5:$B$428=L74)*('Client DB &amp; Bed Mgmt'!$D$5:$D$428&lt;&gt;"")*--(('Client DB &amp; Bed Mgmt'!$M$5:$M$428="")+NOT(ISNUMBER('Client DB &amp; Bed Mgmt'!$M$5:$M$428))+IFERROR('Client DB &amp; Bed Mgmt'!$M$5:$M$428&lt;=EOMONTH(B74,0),FALSE)&gt;0)*--(('Client DB &amp; Bed Mgmt'!$N$5:$N$428="")+NOT(ISNUMBER('Client DB &amp; Bed Mgmt'!$N$5:$N$428))+IFERROR('Client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</f>
        <v/>
      </c>
      <c r="X74" s="130">
        <f>IFERROR(S74/W74,0)</f>
        <v/>
      </c>
    </row>
    <row r="75" ht="14.25" customHeight="1" s="83">
      <c r="A75" s="103" t="inlineStr">
        <is>
          <t>Dorm 1</t>
        </is>
      </c>
      <c r="B75" s="125">
        <f>INDEX(MonthList,INT((ROW()-6)/6)+1)</f>
        <v/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>
        <f>SUMPRODUCT(('Client DB &amp; Bed Mgmt'!$A$5:$A$428=A75)*('Client DB &amp; Bed Mgmt'!$B$5:$B$428=C75)*('Client DB &amp; Bed Mgmt'!$D$5:$D$428&lt;&gt;"")*--(('Client DB &amp; Bed Mgmt'!$M$5:$M$428="")+NOT(ISNUMBER('Client DB &amp; Bed Mgmt'!$M$5:$M$428))+IFERROR('Client DB &amp; Bed Mgmt'!$M$5:$M$428&lt;=EOMONTH(B75,0),FALSE)&gt;0)*--(('Client DB &amp; Bed Mgmt'!$N$5:$N$428="")+NOT(ISNUMBER('Client DB &amp; Bed Mgmt'!$N$5:$N$428))+IFERROR('Client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</f>
        <v/>
      </c>
      <c r="V75" s="129">
        <f>IFERROR(I75/U75,0)</f>
        <v/>
      </c>
      <c r="W75" s="127">
        <f>SUMPRODUCT(('Client DB &amp; Bed Mgmt'!$A$5:$A$428=K75)*('Client DB &amp; Bed Mgmt'!$B$5:$B$428=L75)*('Client DB &amp; Bed Mgmt'!$D$5:$D$428&lt;&gt;"")*--(('Client DB &amp; Bed Mgmt'!$M$5:$M$428="")+NOT(ISNUMBER('Client DB &amp; Bed Mgmt'!$M$5:$M$428))+IFERROR('Client DB &amp; Bed Mgmt'!$M$5:$M$428&lt;=EOMONTH(B75,0),FALSE)&gt;0)*--(('Client DB &amp; Bed Mgmt'!$N$5:$N$428="")+NOT(ISNUMBER('Client DB &amp; Bed Mgmt'!$N$5:$N$428))+IFERROR('Client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</f>
        <v/>
      </c>
      <c r="X75" s="130">
        <f>IFERROR(S75/W75,0)</f>
        <v/>
      </c>
    </row>
    <row r="76" ht="14.25" customHeight="1" s="83">
      <c r="A76" s="103" t="inlineStr">
        <is>
          <t>Dorm 1</t>
        </is>
      </c>
      <c r="B76" s="125">
        <f>INDEX(MonthList,INT((ROW()-6)/6)+1)</f>
        <v/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>
        <f>SUMPRODUCT(('Client DB &amp; Bed Mgmt'!$A$5:$A$428=A76)*('Client DB &amp; Bed Mgmt'!$B$5:$B$428=C76)*('Client DB &amp; Bed Mgmt'!$D$5:$D$428&lt;&gt;"")*--(('Client DB &amp; Bed Mgmt'!$M$5:$M$428="")+NOT(ISNUMBER('Client DB &amp; Bed Mgmt'!$M$5:$M$428))+IFERROR('Client DB &amp; Bed Mgmt'!$M$5:$M$428&lt;=EOMONTH(B76,0),FALSE)&gt;0)*--(('Client DB &amp; Bed Mgmt'!$N$5:$N$428="")+NOT(ISNUMBER('Client DB &amp; Bed Mgmt'!$N$5:$N$428))+IFERROR('Client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</f>
        <v/>
      </c>
      <c r="V76" s="129">
        <f>IFERROR(I76/U76,0)</f>
        <v/>
      </c>
      <c r="W76" s="127">
        <f>SUMPRODUCT(('Client DB &amp; Bed Mgmt'!$A$5:$A$428=K76)*('Client DB &amp; Bed Mgmt'!$B$5:$B$428=L76)*('Client DB &amp; Bed Mgmt'!$D$5:$D$428&lt;&gt;"")*--(('Client DB &amp; Bed Mgmt'!$M$5:$M$428="")+NOT(ISNUMBER('Client DB &amp; Bed Mgmt'!$M$5:$M$428))+IFERROR('Client DB &amp; Bed Mgmt'!$M$5:$M$428&lt;=EOMONTH(B76,0),FALSE)&gt;0)*--(('Client DB &amp; Bed Mgmt'!$N$5:$N$428="")+NOT(ISNUMBER('Client DB &amp; Bed Mgmt'!$N$5:$N$428))+IFERROR('Client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</f>
        <v/>
      </c>
      <c r="X76" s="130">
        <f>IFERROR(S76/W76,0)</f>
        <v/>
      </c>
    </row>
    <row r="77" ht="14.25" customHeight="1" s="83">
      <c r="A77" s="103" t="inlineStr">
        <is>
          <t>Dorm 1</t>
        </is>
      </c>
      <c r="B77" s="125">
        <f>INDEX(MonthList,INT((ROW()-6)/6)+1)</f>
        <v/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>
        <f>SUMPRODUCT(('Client DB &amp; Bed Mgmt'!$A$5:$A$428=A77)*('Client DB &amp; Bed Mgmt'!$B$5:$B$428=C77)*('Client DB &amp; Bed Mgmt'!$D$5:$D$428&lt;&gt;"")*--(('Client DB &amp; Bed Mgmt'!$M$5:$M$428="")+NOT(ISNUMBER('Client DB &amp; Bed Mgmt'!$M$5:$M$428))+IFERROR('Client DB &amp; Bed Mgmt'!$M$5:$M$428&lt;=EOMONTH(B77,0),FALSE)&gt;0)*--(('Client DB &amp; Bed Mgmt'!$N$5:$N$428="")+NOT(ISNUMBER('Client DB &amp; Bed Mgmt'!$N$5:$N$428))+IFERROR('Client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</f>
        <v/>
      </c>
      <c r="V77" s="129">
        <f>IFERROR(I77/U77,0)</f>
        <v/>
      </c>
      <c r="W77" s="127">
        <f>SUMPRODUCT(('Client DB &amp; Bed Mgmt'!$A$5:$A$428=K77)*('Client DB &amp; Bed Mgmt'!$B$5:$B$428=L77)*('Client DB &amp; Bed Mgmt'!$D$5:$D$428&lt;&gt;"")*--(('Client DB &amp; Bed Mgmt'!$M$5:$M$428="")+NOT(ISNUMBER('Client DB &amp; Bed Mgmt'!$M$5:$M$428))+IFERROR('Client DB &amp; Bed Mgmt'!$M$5:$M$428&lt;=EOMONTH(B77,0),FALSE)&gt;0)*--(('Client DB &amp; Bed Mgmt'!$N$5:$N$428="")+NOT(ISNUMBER('Client DB &amp; Bed Mgmt'!$N$5:$N$428))+IFERROR('Client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</f>
        <v/>
      </c>
      <c r="X77" s="130">
        <f>IFERROR(S77/W77,0)</f>
        <v/>
      </c>
    </row>
    <row r="78" hidden="1" ht="14.25" customHeight="1" s="83">
      <c r="A78" s="103" t="inlineStr">
        <is>
          <t>Dorm 2</t>
        </is>
      </c>
      <c r="B78" s="125">
        <f>INDEX(MonthList,INT((ROW()-78)/6)+1)</f>
        <v/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>
        <f>SUMPRODUCT(('Client DB &amp; Bed Mgmt'!$A$5:$A$428=A78)*('Client DB &amp; Bed Mgmt'!$B$5:$B$428=C78)*('Client DB &amp; Bed Mgmt'!$D$5:$D$428&lt;&gt;"")*--(('Client DB &amp; Bed Mgmt'!$M$5:$M$428="")+NOT(ISNUMBER('Client DB &amp; Bed Mgmt'!$M$5:$M$428))+IFERROR('Client DB &amp; Bed Mgmt'!$M$5:$M$428&lt;=EOMONTH(B78,0),FALSE)&gt;0)*--(('Client DB &amp; Bed Mgmt'!$N$5:$N$428="")+NOT(ISNUMBER('Client DB &amp; Bed Mgmt'!$N$5:$N$428))+IFERROR('Client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</f>
        <v/>
      </c>
      <c r="V78" s="129">
        <f>IFERROR(I78/U78,0)</f>
        <v/>
      </c>
      <c r="W78" s="127">
        <f>SUMPRODUCT(('Client DB &amp; Bed Mgmt'!$A$5:$A$428=K78)*('Client DB &amp; Bed Mgmt'!$B$5:$B$428=L78)*('Client DB &amp; Bed Mgmt'!$D$5:$D$428&lt;&gt;"")*--(('Client DB &amp; Bed Mgmt'!$M$5:$M$428="")+NOT(ISNUMBER('Client DB &amp; Bed Mgmt'!$M$5:$M$428))+IFERROR('Client DB &amp; Bed Mgmt'!$M$5:$M$428&lt;=EOMONTH(B78,0),FALSE)&gt;0)*--(('Client DB &amp; Bed Mgmt'!$N$5:$N$428="")+NOT(ISNUMBER('Client DB &amp; Bed Mgmt'!$N$5:$N$428))+IFERROR('Client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</f>
        <v/>
      </c>
      <c r="X78" s="130">
        <f>IFERROR(S78/W78,0)</f>
        <v/>
      </c>
    </row>
    <row r="79" hidden="1" ht="14.25" customHeight="1" s="83">
      <c r="A79" s="103" t="inlineStr">
        <is>
          <t>Dorm 2</t>
        </is>
      </c>
      <c r="B79" s="125">
        <f>INDEX(MonthList,INT((ROW()-78)/6)+1)</f>
        <v/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>
        <f>SUMPRODUCT(('Client DB &amp; Bed Mgmt'!$A$5:$A$428=A79)*('Client DB &amp; Bed Mgmt'!$B$5:$B$428=C79)*('Client DB &amp; Bed Mgmt'!$D$5:$D$428&lt;&gt;"")*--(('Client DB &amp; Bed Mgmt'!$M$5:$M$428="")+NOT(ISNUMBER('Client DB &amp; Bed Mgmt'!$M$5:$M$428))+IFERROR('Client DB &amp; Bed Mgmt'!$M$5:$M$428&lt;=EOMONTH(B79,0),FALSE)&gt;0)*--(('Client DB &amp; Bed Mgmt'!$N$5:$N$428="")+NOT(ISNUMBER('Client DB &amp; Bed Mgmt'!$N$5:$N$428))+IFERROR('Client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</f>
        <v/>
      </c>
      <c r="V79" s="129">
        <f>IFERROR(I79/U79,0)</f>
        <v/>
      </c>
      <c r="W79" s="127">
        <f>SUMPRODUCT(('Client DB &amp; Bed Mgmt'!$A$5:$A$428=K79)*('Client DB &amp; Bed Mgmt'!$B$5:$B$428=L79)*('Client DB &amp; Bed Mgmt'!$D$5:$D$428&lt;&gt;"")*--(('Client DB &amp; Bed Mgmt'!$M$5:$M$428="")+NOT(ISNUMBER('Client DB &amp; Bed Mgmt'!$M$5:$M$428))+IFERROR('Client DB &amp; Bed Mgmt'!$M$5:$M$428&lt;=EOMONTH(B79,0),FALSE)&gt;0)*--(('Client DB &amp; Bed Mgmt'!$N$5:$N$428="")+NOT(ISNUMBER('Client DB &amp; Bed Mgmt'!$N$5:$N$428))+IFERROR('Client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</f>
        <v/>
      </c>
      <c r="X79" s="130">
        <f>IFERROR(S79/W79,0)</f>
        <v/>
      </c>
    </row>
    <row r="80" hidden="1" ht="14.25" customHeight="1" s="83">
      <c r="A80" s="103" t="inlineStr">
        <is>
          <t>Dorm 2</t>
        </is>
      </c>
      <c r="B80" s="125">
        <f>INDEX(MonthList,INT((ROW()-78)/6)+1)</f>
        <v/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>
        <f>SUMPRODUCT(('Client DB &amp; Bed Mgmt'!$A$5:$A$428=A80)*('Client DB &amp; Bed Mgmt'!$B$5:$B$428=C80)*('Client DB &amp; Bed Mgmt'!$D$5:$D$428&lt;&gt;"")*--(('Client DB &amp; Bed Mgmt'!$M$5:$M$428="")+NOT(ISNUMBER('Client DB &amp; Bed Mgmt'!$M$5:$M$428))+IFERROR('Client DB &amp; Bed Mgmt'!$M$5:$M$428&lt;=EOMONTH(B80,0),FALSE)&gt;0)*--(('Client DB &amp; Bed Mgmt'!$N$5:$N$428="")+NOT(ISNUMBER('Client DB &amp; Bed Mgmt'!$N$5:$N$428))+IFERROR('Client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</f>
        <v/>
      </c>
      <c r="V80" s="129">
        <f>IFERROR(I80/U80,0)</f>
        <v/>
      </c>
      <c r="W80" s="127">
        <f>SUMPRODUCT(('Client DB &amp; Bed Mgmt'!$A$5:$A$428=K80)*('Client DB &amp; Bed Mgmt'!$B$5:$B$428=L80)*('Client DB &amp; Bed Mgmt'!$D$5:$D$428&lt;&gt;"")*--(('Client DB &amp; Bed Mgmt'!$M$5:$M$428="")+NOT(ISNUMBER('Client DB &amp; Bed Mgmt'!$M$5:$M$428))+IFERROR('Client DB &amp; Bed Mgmt'!$M$5:$M$428&lt;=EOMONTH(B80,0),FALSE)&gt;0)*--(('Client DB &amp; Bed Mgmt'!$N$5:$N$428="")+NOT(ISNUMBER('Client DB &amp; Bed Mgmt'!$N$5:$N$428))+IFERROR('Client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</f>
        <v/>
      </c>
      <c r="X80" s="130">
        <f>IFERROR(S80/W80,0)</f>
        <v/>
      </c>
    </row>
    <row r="81" hidden="1" ht="14.25" customHeight="1" s="83">
      <c r="A81" s="103" t="inlineStr">
        <is>
          <t>Dorm 2</t>
        </is>
      </c>
      <c r="B81" s="125">
        <f>INDEX(MonthList,INT((ROW()-78)/6)+1)</f>
        <v/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>
        <f>SUMPRODUCT(('Client DB &amp; Bed Mgmt'!$A$5:$A$428=A81)*('Client DB &amp; Bed Mgmt'!$B$5:$B$428=C81)*('Client DB &amp; Bed Mgmt'!$D$5:$D$428&lt;&gt;"")*--(('Client DB &amp; Bed Mgmt'!$M$5:$M$428="")+NOT(ISNUMBER('Client DB &amp; Bed Mgmt'!$M$5:$M$428))+IFERROR('Client DB &amp; Bed Mgmt'!$M$5:$M$428&lt;=EOMONTH(B81,0),FALSE)&gt;0)*--(('Client DB &amp; Bed Mgmt'!$N$5:$N$428="")+NOT(ISNUMBER('Client DB &amp; Bed Mgmt'!$N$5:$N$428))+IFERROR('Client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</f>
        <v/>
      </c>
      <c r="V81" s="129">
        <f>IFERROR(I81/U81,0)</f>
        <v/>
      </c>
      <c r="W81" s="127">
        <f>SUMPRODUCT(('Client DB &amp; Bed Mgmt'!$A$5:$A$428=K81)*('Client DB &amp; Bed Mgmt'!$B$5:$B$428=L81)*('Client DB &amp; Bed Mgmt'!$D$5:$D$428&lt;&gt;"")*--(('Client DB &amp; Bed Mgmt'!$M$5:$M$428="")+NOT(ISNUMBER('Client DB &amp; Bed Mgmt'!$M$5:$M$428))+IFERROR('Client DB &amp; Bed Mgmt'!$M$5:$M$428&lt;=EOMONTH(B81,0),FALSE)&gt;0)*--(('Client DB &amp; Bed Mgmt'!$N$5:$N$428="")+NOT(ISNUMBER('Client DB &amp; Bed Mgmt'!$N$5:$N$428))+IFERROR('Client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</f>
        <v/>
      </c>
      <c r="X81" s="130">
        <f>IFERROR(S81/W81,0)</f>
        <v/>
      </c>
    </row>
    <row r="82" hidden="1" ht="14.25" customHeight="1" s="83">
      <c r="A82" s="103" t="inlineStr">
        <is>
          <t>Dorm 2</t>
        </is>
      </c>
      <c r="B82" s="125">
        <f>INDEX(MonthList,INT((ROW()-78)/6)+1)</f>
        <v/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>
        <f>SUMPRODUCT(('Client DB &amp; Bed Mgmt'!$A$5:$A$428=A82)*('Client DB &amp; Bed Mgmt'!$B$5:$B$428=C82)*('Client DB &amp; Bed Mgmt'!$D$5:$D$428&lt;&gt;"")*--(('Client DB &amp; Bed Mgmt'!$M$5:$M$428="")+NOT(ISNUMBER('Client DB &amp; Bed Mgmt'!$M$5:$M$428))+IFERROR('Client DB &amp; Bed Mgmt'!$M$5:$M$428&lt;=EOMONTH(B82,0),FALSE)&gt;0)*--(('Client DB &amp; Bed Mgmt'!$N$5:$N$428="")+NOT(ISNUMBER('Client DB &amp; Bed Mgmt'!$N$5:$N$428))+IFERROR('Client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</f>
        <v/>
      </c>
      <c r="V82" s="129">
        <f>IFERROR(I82/U82,0)</f>
        <v/>
      </c>
      <c r="W82" s="127">
        <f>SUMPRODUCT(('Client DB &amp; Bed Mgmt'!$A$5:$A$428=K82)*('Client DB &amp; Bed Mgmt'!$B$5:$B$428=L82)*('Client DB &amp; Bed Mgmt'!$D$5:$D$428&lt;&gt;"")*--(('Client DB &amp; Bed Mgmt'!$M$5:$M$428="")+NOT(ISNUMBER('Client DB &amp; Bed Mgmt'!$M$5:$M$428))+IFERROR('Client DB &amp; Bed Mgmt'!$M$5:$M$428&lt;=EOMONTH(B82,0),FALSE)&gt;0)*--(('Client DB &amp; Bed Mgmt'!$N$5:$N$428="")+NOT(ISNUMBER('Client DB &amp; Bed Mgmt'!$N$5:$N$428))+IFERROR('Client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</f>
        <v/>
      </c>
      <c r="X82" s="130">
        <f>IFERROR(S82/W82,0)</f>
        <v/>
      </c>
    </row>
    <row r="83" hidden="1" ht="14.25" customHeight="1" s="83">
      <c r="A83" s="103" t="inlineStr">
        <is>
          <t>Dorm 2</t>
        </is>
      </c>
      <c r="B83" s="125">
        <f>INDEX(MonthList,INT((ROW()-78)/6)+1)</f>
        <v/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>
        <f>SUMPRODUCT(('Client DB &amp; Bed Mgmt'!$A$5:$A$428=A83)*('Client DB &amp; Bed Mgmt'!$B$5:$B$428=C83)*('Client DB &amp; Bed Mgmt'!$D$5:$D$428&lt;&gt;"")*--(('Client DB &amp; Bed Mgmt'!$M$5:$M$428="")+NOT(ISNUMBER('Client DB &amp; Bed Mgmt'!$M$5:$M$428))+IFERROR('Client DB &amp; Bed Mgmt'!$M$5:$M$428&lt;=EOMONTH(B83,0),FALSE)&gt;0)*--(('Client DB &amp; Bed Mgmt'!$N$5:$N$428="")+NOT(ISNUMBER('Client DB &amp; Bed Mgmt'!$N$5:$N$428))+IFERROR('Client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</f>
        <v/>
      </c>
      <c r="V83" s="129">
        <f>IFERROR(I83/U83,0)</f>
        <v/>
      </c>
      <c r="W83" s="127">
        <f>SUMPRODUCT(('Client DB &amp; Bed Mgmt'!$A$5:$A$428=K83)*('Client DB &amp; Bed Mgmt'!$B$5:$B$428=L83)*('Client DB &amp; Bed Mgmt'!$D$5:$D$428&lt;&gt;"")*--(('Client DB &amp; Bed Mgmt'!$M$5:$M$428="")+NOT(ISNUMBER('Client DB &amp; Bed Mgmt'!$M$5:$M$428))+IFERROR('Client DB &amp; Bed Mgmt'!$M$5:$M$428&lt;=EOMONTH(B83,0),FALSE)&gt;0)*--(('Client DB &amp; Bed Mgmt'!$N$5:$N$428="")+NOT(ISNUMBER('Client DB &amp; Bed Mgmt'!$N$5:$N$428))+IFERROR('Client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</f>
        <v/>
      </c>
      <c r="X83" s="130">
        <f>IFERROR(S83/W83,0)</f>
        <v/>
      </c>
    </row>
    <row r="84" hidden="1" ht="14.25" customHeight="1" s="83">
      <c r="A84" s="103" t="inlineStr">
        <is>
          <t>Dorm 2</t>
        </is>
      </c>
      <c r="B84" s="125">
        <f>INDEX(MonthList,INT((ROW()-78)/6)+1)</f>
        <v/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>
        <f>SUMPRODUCT(('Client DB &amp; Bed Mgmt'!$A$5:$A$428=A84)*('Client DB &amp; Bed Mgmt'!$B$5:$B$428=C84)*('Client DB &amp; Bed Mgmt'!$D$5:$D$428&lt;&gt;"")*--(('Client DB &amp; Bed Mgmt'!$M$5:$M$428="")+NOT(ISNUMBER('Client DB &amp; Bed Mgmt'!$M$5:$M$428))+IFERROR('Client DB &amp; Bed Mgmt'!$M$5:$M$428&lt;=EOMONTH(B84,0),FALSE)&gt;0)*--(('Client DB &amp; Bed Mgmt'!$N$5:$N$428="")+NOT(ISNUMBER('Client DB &amp; Bed Mgmt'!$N$5:$N$428))+IFERROR('Client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</f>
        <v/>
      </c>
      <c r="V84" s="129">
        <f>IFERROR(I84/U84,0)</f>
        <v/>
      </c>
      <c r="W84" s="127">
        <f>SUMPRODUCT(('Client DB &amp; Bed Mgmt'!$A$5:$A$428=K84)*('Client DB &amp; Bed Mgmt'!$B$5:$B$428=L84)*('Client DB &amp; Bed Mgmt'!$D$5:$D$428&lt;&gt;"")*--(('Client DB &amp; Bed Mgmt'!$M$5:$M$428="")+NOT(ISNUMBER('Client DB &amp; Bed Mgmt'!$M$5:$M$428))+IFERROR('Client DB &amp; Bed Mgmt'!$M$5:$M$428&lt;=EOMONTH(B84,0),FALSE)&gt;0)*--(('Client DB &amp; Bed Mgmt'!$N$5:$N$428="")+NOT(ISNUMBER('Client DB &amp; Bed Mgmt'!$N$5:$N$428))+IFERROR('Client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</f>
        <v/>
      </c>
      <c r="X84" s="130">
        <f>IFERROR(S84/W84,0)</f>
        <v/>
      </c>
    </row>
    <row r="85" hidden="1" ht="14.25" customHeight="1" s="83">
      <c r="A85" s="103" t="inlineStr">
        <is>
          <t>Dorm 2</t>
        </is>
      </c>
      <c r="B85" s="125">
        <f>INDEX(MonthList,INT((ROW()-78)/6)+1)</f>
        <v/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>
        <f>SUMPRODUCT(('Client DB &amp; Bed Mgmt'!$A$5:$A$428=A85)*('Client DB &amp; Bed Mgmt'!$B$5:$B$428=C85)*('Client DB &amp; Bed Mgmt'!$D$5:$D$428&lt;&gt;"")*--(('Client DB &amp; Bed Mgmt'!$M$5:$M$428="")+NOT(ISNUMBER('Client DB &amp; Bed Mgmt'!$M$5:$M$428))+IFERROR('Client DB &amp; Bed Mgmt'!$M$5:$M$428&lt;=EOMONTH(B85,0),FALSE)&gt;0)*--(('Client DB &amp; Bed Mgmt'!$N$5:$N$428="")+NOT(ISNUMBER('Client DB &amp; Bed Mgmt'!$N$5:$N$428))+IFERROR('Client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</f>
        <v/>
      </c>
      <c r="V85" s="129">
        <f>IFERROR(I85/U85,0)</f>
        <v/>
      </c>
      <c r="W85" s="127">
        <f>SUMPRODUCT(('Client DB &amp; Bed Mgmt'!$A$5:$A$428=K85)*('Client DB &amp; Bed Mgmt'!$B$5:$B$428=L85)*('Client DB &amp; Bed Mgmt'!$D$5:$D$428&lt;&gt;"")*--(('Client DB &amp; Bed Mgmt'!$M$5:$M$428="")+NOT(ISNUMBER('Client DB &amp; Bed Mgmt'!$M$5:$M$428))+IFERROR('Client DB &amp; Bed Mgmt'!$M$5:$M$428&lt;=EOMONTH(B85,0),FALSE)&gt;0)*--(('Client DB &amp; Bed Mgmt'!$N$5:$N$428="")+NOT(ISNUMBER('Client DB &amp; Bed Mgmt'!$N$5:$N$428))+IFERROR('Client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</f>
        <v/>
      </c>
      <c r="X85" s="130">
        <f>IFERROR(S85/W85,0)</f>
        <v/>
      </c>
    </row>
    <row r="86" hidden="1" ht="14.25" customHeight="1" s="83">
      <c r="A86" s="103" t="inlineStr">
        <is>
          <t>Dorm 2</t>
        </is>
      </c>
      <c r="B86" s="125">
        <f>INDEX(MonthList,INT((ROW()-78)/6)+1)</f>
        <v/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>
        <f>SUMPRODUCT(('Client DB &amp; Bed Mgmt'!$A$5:$A$428=A86)*('Client DB &amp; Bed Mgmt'!$B$5:$B$428=C86)*('Client DB &amp; Bed Mgmt'!$D$5:$D$428&lt;&gt;"")*--(('Client DB &amp; Bed Mgmt'!$M$5:$M$428="")+NOT(ISNUMBER('Client DB &amp; Bed Mgmt'!$M$5:$M$428))+IFERROR('Client DB &amp; Bed Mgmt'!$M$5:$M$428&lt;=EOMONTH(B86,0),FALSE)&gt;0)*--(('Client DB &amp; Bed Mgmt'!$N$5:$N$428="")+NOT(ISNUMBER('Client DB &amp; Bed Mgmt'!$N$5:$N$428))+IFERROR('Client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</f>
        <v/>
      </c>
      <c r="V86" s="129">
        <f>IFERROR(I86/U86,0)</f>
        <v/>
      </c>
      <c r="W86" s="127">
        <f>SUMPRODUCT(('Client DB &amp; Bed Mgmt'!$A$5:$A$428=K86)*('Client DB &amp; Bed Mgmt'!$B$5:$B$428=L86)*('Client DB &amp; Bed Mgmt'!$D$5:$D$428&lt;&gt;"")*--(('Client DB &amp; Bed Mgmt'!$M$5:$M$428="")+NOT(ISNUMBER('Client DB &amp; Bed Mgmt'!$M$5:$M$428))+IFERROR('Client DB &amp; Bed Mgmt'!$M$5:$M$428&lt;=EOMONTH(B86,0),FALSE)&gt;0)*--(('Client DB &amp; Bed Mgmt'!$N$5:$N$428="")+NOT(ISNUMBER('Client DB &amp; Bed Mgmt'!$N$5:$N$428))+IFERROR('Client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</f>
        <v/>
      </c>
      <c r="X86" s="130">
        <f>IFERROR(S86/W86,0)</f>
        <v/>
      </c>
    </row>
    <row r="87" hidden="1" ht="14.25" customHeight="1" s="83">
      <c r="A87" s="103" t="inlineStr">
        <is>
          <t>Dorm 2</t>
        </is>
      </c>
      <c r="B87" s="125">
        <f>INDEX(MonthList,INT((ROW()-78)/6)+1)</f>
        <v/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>
        <f>SUMPRODUCT(('Client DB &amp; Bed Mgmt'!$A$5:$A$428=A87)*('Client DB &amp; Bed Mgmt'!$B$5:$B$428=C87)*('Client DB &amp; Bed Mgmt'!$D$5:$D$428&lt;&gt;"")*--(('Client DB &amp; Bed Mgmt'!$M$5:$M$428="")+NOT(ISNUMBER('Client DB &amp; Bed Mgmt'!$M$5:$M$428))+IFERROR('Client DB &amp; Bed Mgmt'!$M$5:$M$428&lt;=EOMONTH(B87,0),FALSE)&gt;0)*--(('Client DB &amp; Bed Mgmt'!$N$5:$N$428="")+NOT(ISNUMBER('Client DB &amp; Bed Mgmt'!$N$5:$N$428))+IFERROR('Client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</f>
        <v/>
      </c>
      <c r="V87" s="129">
        <f>IFERROR(I87/U87,0)</f>
        <v/>
      </c>
      <c r="W87" s="127">
        <f>SUMPRODUCT(('Client DB &amp; Bed Mgmt'!$A$5:$A$428=K87)*('Client DB &amp; Bed Mgmt'!$B$5:$B$428=L87)*('Client DB &amp; Bed Mgmt'!$D$5:$D$428&lt;&gt;"")*--(('Client DB &amp; Bed Mgmt'!$M$5:$M$428="")+NOT(ISNUMBER('Client DB &amp; Bed Mgmt'!$M$5:$M$428))+IFERROR('Client DB &amp; Bed Mgmt'!$M$5:$M$428&lt;=EOMONTH(B87,0),FALSE)&gt;0)*--(('Client DB &amp; Bed Mgmt'!$N$5:$N$428="")+NOT(ISNUMBER('Client DB &amp; Bed Mgmt'!$N$5:$N$428))+IFERROR('Client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</f>
        <v/>
      </c>
      <c r="X87" s="130">
        <f>IFERROR(S87/W87,0)</f>
        <v/>
      </c>
    </row>
    <row r="88" hidden="1" ht="14.25" customHeight="1" s="83">
      <c r="A88" s="103" t="inlineStr">
        <is>
          <t>Dorm 2</t>
        </is>
      </c>
      <c r="B88" s="125">
        <f>INDEX(MonthList,INT((ROW()-78)/6)+1)</f>
        <v/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>
        <f>SUMPRODUCT(('Client DB &amp; Bed Mgmt'!$A$5:$A$428=A88)*('Client DB &amp; Bed Mgmt'!$B$5:$B$428=C88)*('Client DB &amp; Bed Mgmt'!$D$5:$D$428&lt;&gt;"")*--(('Client DB &amp; Bed Mgmt'!$M$5:$M$428="")+NOT(ISNUMBER('Client DB &amp; Bed Mgmt'!$M$5:$M$428))+IFERROR('Client DB &amp; Bed Mgmt'!$M$5:$M$428&lt;=EOMONTH(B88,0),FALSE)&gt;0)*--(('Client DB &amp; Bed Mgmt'!$N$5:$N$428="")+NOT(ISNUMBER('Client DB &amp; Bed Mgmt'!$N$5:$N$428))+IFERROR('Client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</f>
        <v/>
      </c>
      <c r="V88" s="129">
        <f>IFERROR(I88/U88,0)</f>
        <v/>
      </c>
      <c r="W88" s="127">
        <f>SUMPRODUCT(('Client DB &amp; Bed Mgmt'!$A$5:$A$428=K88)*('Client DB &amp; Bed Mgmt'!$B$5:$B$428=L88)*('Client DB &amp; Bed Mgmt'!$D$5:$D$428&lt;&gt;"")*--(('Client DB &amp; Bed Mgmt'!$M$5:$M$428="")+NOT(ISNUMBER('Client DB &amp; Bed Mgmt'!$M$5:$M$428))+IFERROR('Client DB &amp; Bed Mgmt'!$M$5:$M$428&lt;=EOMONTH(B88,0),FALSE)&gt;0)*--(('Client DB &amp; Bed Mgmt'!$N$5:$N$428="")+NOT(ISNUMBER('Client DB &amp; Bed Mgmt'!$N$5:$N$428))+IFERROR('Client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</f>
        <v/>
      </c>
      <c r="X88" s="130">
        <f>IFERROR(S88/W88,0)</f>
        <v/>
      </c>
    </row>
    <row r="89" hidden="1" ht="14.25" customHeight="1" s="83">
      <c r="A89" s="103" t="inlineStr">
        <is>
          <t>Dorm 2</t>
        </is>
      </c>
      <c r="B89" s="125">
        <f>INDEX(MonthList,INT((ROW()-78)/6)+1)</f>
        <v/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>
        <f>SUMPRODUCT(('Client DB &amp; Bed Mgmt'!$A$5:$A$428=A89)*('Client DB &amp; Bed Mgmt'!$B$5:$B$428=C89)*('Client DB &amp; Bed Mgmt'!$D$5:$D$428&lt;&gt;"")*--(('Client DB &amp; Bed Mgmt'!$M$5:$M$428="")+NOT(ISNUMBER('Client DB &amp; Bed Mgmt'!$M$5:$M$428))+IFERROR('Client DB &amp; Bed Mgmt'!$M$5:$M$428&lt;=EOMONTH(B89,0),FALSE)&gt;0)*--(('Client DB &amp; Bed Mgmt'!$N$5:$N$428="")+NOT(ISNUMBER('Client DB &amp; Bed Mgmt'!$N$5:$N$428))+IFERROR('Client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</f>
        <v/>
      </c>
      <c r="V89" s="129">
        <f>IFERROR(I89/U89,0)</f>
        <v/>
      </c>
      <c r="W89" s="127">
        <f>SUMPRODUCT(('Client DB &amp; Bed Mgmt'!$A$5:$A$428=K89)*('Client DB &amp; Bed Mgmt'!$B$5:$B$428=L89)*('Client DB &amp; Bed Mgmt'!$D$5:$D$428&lt;&gt;"")*--(('Client DB &amp; Bed Mgmt'!$M$5:$M$428="")+NOT(ISNUMBER('Client DB &amp; Bed Mgmt'!$M$5:$M$428))+IFERROR('Client DB &amp; Bed Mgmt'!$M$5:$M$428&lt;=EOMONTH(B89,0),FALSE)&gt;0)*--(('Client DB &amp; Bed Mgmt'!$N$5:$N$428="")+NOT(ISNUMBER('Client DB &amp; Bed Mgmt'!$N$5:$N$428))+IFERROR('Client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</f>
        <v/>
      </c>
      <c r="X89" s="130">
        <f>IFERROR(S89/W89,0)</f>
        <v/>
      </c>
    </row>
    <row r="90" hidden="1" ht="14.25" customHeight="1" s="83">
      <c r="A90" s="103" t="inlineStr">
        <is>
          <t>Dorm 2</t>
        </is>
      </c>
      <c r="B90" s="125">
        <f>INDEX(MonthList,INT((ROW()-78)/6)+1)</f>
        <v/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>
        <f>SUMPRODUCT(('Client DB &amp; Bed Mgmt'!$A$5:$A$428=A90)*('Client DB &amp; Bed Mgmt'!$B$5:$B$428=C90)*('Client DB &amp; Bed Mgmt'!$D$5:$D$428&lt;&gt;"")*--(('Client DB &amp; Bed Mgmt'!$M$5:$M$428="")+NOT(ISNUMBER('Client DB &amp; Bed Mgmt'!$M$5:$M$428))+IFERROR('Client DB &amp; Bed Mgmt'!$M$5:$M$428&lt;=EOMONTH(B90,0),FALSE)&gt;0)*--(('Client DB &amp; Bed Mgmt'!$N$5:$N$428="")+NOT(ISNUMBER('Client DB &amp; Bed Mgmt'!$N$5:$N$428))+IFERROR('Client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</f>
        <v/>
      </c>
      <c r="V90" s="129">
        <f>IFERROR(I90/U90,0)</f>
        <v/>
      </c>
      <c r="W90" s="127">
        <f>SUMPRODUCT(('Client DB &amp; Bed Mgmt'!$A$5:$A$428=K90)*('Client DB &amp; Bed Mgmt'!$B$5:$B$428=L90)*('Client DB &amp; Bed Mgmt'!$D$5:$D$428&lt;&gt;"")*--(('Client DB &amp; Bed Mgmt'!$M$5:$M$428="")+NOT(ISNUMBER('Client DB &amp; Bed Mgmt'!$M$5:$M$428))+IFERROR('Client DB &amp; Bed Mgmt'!$M$5:$M$428&lt;=EOMONTH(B90,0),FALSE)&gt;0)*--(('Client DB &amp; Bed Mgmt'!$N$5:$N$428="")+NOT(ISNUMBER('Client DB &amp; Bed Mgmt'!$N$5:$N$428))+IFERROR('Client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</f>
        <v/>
      </c>
      <c r="X90" s="130">
        <f>IFERROR(S90/W90,0)</f>
        <v/>
      </c>
    </row>
    <row r="91" hidden="1" ht="14.25" customHeight="1" s="83">
      <c r="A91" s="103" t="inlineStr">
        <is>
          <t>Dorm 2</t>
        </is>
      </c>
      <c r="B91" s="125">
        <f>INDEX(MonthList,INT((ROW()-78)/6)+1)</f>
        <v/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>
        <f>SUMPRODUCT(('Client DB &amp; Bed Mgmt'!$A$5:$A$428=A91)*('Client DB &amp; Bed Mgmt'!$B$5:$B$428=C91)*('Client DB &amp; Bed Mgmt'!$D$5:$D$428&lt;&gt;"")*--(('Client DB &amp; Bed Mgmt'!$M$5:$M$428="")+NOT(ISNUMBER('Client DB &amp; Bed Mgmt'!$M$5:$M$428))+IFERROR('Client DB &amp; Bed Mgmt'!$M$5:$M$428&lt;=EOMONTH(B91,0),FALSE)&gt;0)*--(('Client DB &amp; Bed Mgmt'!$N$5:$N$428="")+NOT(ISNUMBER('Client DB &amp; Bed Mgmt'!$N$5:$N$428))+IFERROR('Client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</f>
        <v/>
      </c>
      <c r="V91" s="129">
        <f>IFERROR(I91/U91,0)</f>
        <v/>
      </c>
      <c r="W91" s="127">
        <f>SUMPRODUCT(('Client DB &amp; Bed Mgmt'!$A$5:$A$428=K91)*('Client DB &amp; Bed Mgmt'!$B$5:$B$428=L91)*('Client DB &amp; Bed Mgmt'!$D$5:$D$428&lt;&gt;"")*--(('Client DB &amp; Bed Mgmt'!$M$5:$M$428="")+NOT(ISNUMBER('Client DB &amp; Bed Mgmt'!$M$5:$M$428))+IFERROR('Client DB &amp; Bed Mgmt'!$M$5:$M$428&lt;=EOMONTH(B91,0),FALSE)&gt;0)*--(('Client DB &amp; Bed Mgmt'!$N$5:$N$428="")+NOT(ISNUMBER('Client DB &amp; Bed Mgmt'!$N$5:$N$428))+IFERROR('Client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</f>
        <v/>
      </c>
      <c r="X91" s="130">
        <f>IFERROR(S91/W91,0)</f>
        <v/>
      </c>
    </row>
    <row r="92" hidden="1" ht="14.25" customHeight="1" s="83">
      <c r="A92" s="103" t="inlineStr">
        <is>
          <t>Dorm 2</t>
        </is>
      </c>
      <c r="B92" s="125">
        <f>INDEX(MonthList,INT((ROW()-78)/6)+1)</f>
        <v/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>
        <f>SUMPRODUCT(('Client DB &amp; Bed Mgmt'!$A$5:$A$428=A92)*('Client DB &amp; Bed Mgmt'!$B$5:$B$428=C92)*('Client DB &amp; Bed Mgmt'!$D$5:$D$428&lt;&gt;"")*--(('Client DB &amp; Bed Mgmt'!$M$5:$M$428="")+NOT(ISNUMBER('Client DB &amp; Bed Mgmt'!$M$5:$M$428))+IFERROR('Client DB &amp; Bed Mgmt'!$M$5:$M$428&lt;=EOMONTH(B92,0),FALSE)&gt;0)*--(('Client DB &amp; Bed Mgmt'!$N$5:$N$428="")+NOT(ISNUMBER('Client DB &amp; Bed Mgmt'!$N$5:$N$428))+IFERROR('Client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</f>
        <v/>
      </c>
      <c r="V92" s="129">
        <f>IFERROR(I92/U92,0)</f>
        <v/>
      </c>
      <c r="W92" s="127">
        <f>SUMPRODUCT(('Client DB &amp; Bed Mgmt'!$A$5:$A$428=K92)*('Client DB &amp; Bed Mgmt'!$B$5:$B$428=L92)*('Client DB &amp; Bed Mgmt'!$D$5:$D$428&lt;&gt;"")*--(('Client DB &amp; Bed Mgmt'!$M$5:$M$428="")+NOT(ISNUMBER('Client DB &amp; Bed Mgmt'!$M$5:$M$428))+IFERROR('Client DB &amp; Bed Mgmt'!$M$5:$M$428&lt;=EOMONTH(B92,0),FALSE)&gt;0)*--(('Client DB &amp; Bed Mgmt'!$N$5:$N$428="")+NOT(ISNUMBER('Client DB &amp; Bed Mgmt'!$N$5:$N$428))+IFERROR('Client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</f>
        <v/>
      </c>
      <c r="X92" s="130">
        <f>IFERROR(S92/W92,0)</f>
        <v/>
      </c>
    </row>
    <row r="93" hidden="1" ht="14.25" customHeight="1" s="83">
      <c r="A93" s="103" t="inlineStr">
        <is>
          <t>Dorm 2</t>
        </is>
      </c>
      <c r="B93" s="125">
        <f>INDEX(MonthList,INT((ROW()-78)/6)+1)</f>
        <v/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>
        <f>SUMPRODUCT(('Client DB &amp; Bed Mgmt'!$A$5:$A$428=A93)*('Client DB &amp; Bed Mgmt'!$B$5:$B$428=C93)*('Client DB &amp; Bed Mgmt'!$D$5:$D$428&lt;&gt;"")*--(('Client DB &amp; Bed Mgmt'!$M$5:$M$428="")+NOT(ISNUMBER('Client DB &amp; Bed Mgmt'!$M$5:$M$428))+IFERROR('Client DB &amp; Bed Mgmt'!$M$5:$M$428&lt;=EOMONTH(B93,0),FALSE)&gt;0)*--(('Client DB &amp; Bed Mgmt'!$N$5:$N$428="")+NOT(ISNUMBER('Client DB &amp; Bed Mgmt'!$N$5:$N$428))+IFERROR('Client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</f>
        <v/>
      </c>
      <c r="V93" s="129">
        <f>IFERROR(I93/U93,0)</f>
        <v/>
      </c>
      <c r="W93" s="127">
        <f>SUMPRODUCT(('Client DB &amp; Bed Mgmt'!$A$5:$A$428=K93)*('Client DB &amp; Bed Mgmt'!$B$5:$B$428=L93)*('Client DB &amp; Bed Mgmt'!$D$5:$D$428&lt;&gt;"")*--(('Client DB &amp; Bed Mgmt'!$M$5:$M$428="")+NOT(ISNUMBER('Client DB &amp; Bed Mgmt'!$M$5:$M$428))+IFERROR('Client DB &amp; Bed Mgmt'!$M$5:$M$428&lt;=EOMONTH(B93,0),FALSE)&gt;0)*--(('Client DB &amp; Bed Mgmt'!$N$5:$N$428="")+NOT(ISNUMBER('Client DB &amp; Bed Mgmt'!$N$5:$N$428))+IFERROR('Client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</f>
        <v/>
      </c>
      <c r="X93" s="130">
        <f>IFERROR(S93/W93,0)</f>
        <v/>
      </c>
    </row>
    <row r="94" hidden="1" ht="14.25" customHeight="1" s="83">
      <c r="A94" s="103" t="inlineStr">
        <is>
          <t>Dorm 2</t>
        </is>
      </c>
      <c r="B94" s="125">
        <f>INDEX(MonthList,INT((ROW()-78)/6)+1)</f>
        <v/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>
        <f>SUMPRODUCT(('Client DB &amp; Bed Mgmt'!$A$5:$A$428=A94)*('Client DB &amp; Bed Mgmt'!$B$5:$B$428=C94)*('Client DB &amp; Bed Mgmt'!$D$5:$D$428&lt;&gt;"")*--(('Client DB &amp; Bed Mgmt'!$M$5:$M$428="")+NOT(ISNUMBER('Client DB &amp; Bed Mgmt'!$M$5:$M$428))+IFERROR('Client DB &amp; Bed Mgmt'!$M$5:$M$428&lt;=EOMONTH(B94,0),FALSE)&gt;0)*--(('Client DB &amp; Bed Mgmt'!$N$5:$N$428="")+NOT(ISNUMBER('Client DB &amp; Bed Mgmt'!$N$5:$N$428))+IFERROR('Client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</f>
        <v/>
      </c>
      <c r="V94" s="129">
        <f>IFERROR(I94/U94,0)</f>
        <v/>
      </c>
      <c r="W94" s="127">
        <f>SUMPRODUCT(('Client DB &amp; Bed Mgmt'!$A$5:$A$428=K94)*('Client DB &amp; Bed Mgmt'!$B$5:$B$428=L94)*('Client DB &amp; Bed Mgmt'!$D$5:$D$428&lt;&gt;"")*--(('Client DB &amp; Bed Mgmt'!$M$5:$M$428="")+NOT(ISNUMBER('Client DB &amp; Bed Mgmt'!$M$5:$M$428))+IFERROR('Client DB &amp; Bed Mgmt'!$M$5:$M$428&lt;=EOMONTH(B94,0),FALSE)&gt;0)*--(('Client DB &amp; Bed Mgmt'!$N$5:$N$428="")+NOT(ISNUMBER('Client DB &amp; Bed Mgmt'!$N$5:$N$428))+IFERROR('Client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</f>
        <v/>
      </c>
      <c r="X94" s="130">
        <f>IFERROR(S94/W94,0)</f>
        <v/>
      </c>
    </row>
    <row r="95" hidden="1" ht="14.25" customHeight="1" s="83">
      <c r="A95" s="103" t="inlineStr">
        <is>
          <t>Dorm 2</t>
        </is>
      </c>
      <c r="B95" s="125">
        <f>INDEX(MonthList,INT((ROW()-78)/6)+1)</f>
        <v/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>
        <f>SUMPRODUCT(('Client DB &amp; Bed Mgmt'!$A$5:$A$428=A95)*('Client DB &amp; Bed Mgmt'!$B$5:$B$428=C95)*('Client DB &amp; Bed Mgmt'!$D$5:$D$428&lt;&gt;"")*--(('Client DB &amp; Bed Mgmt'!$M$5:$M$428="")+NOT(ISNUMBER('Client DB &amp; Bed Mgmt'!$M$5:$M$428))+IFERROR('Client DB &amp; Bed Mgmt'!$M$5:$M$428&lt;=EOMONTH(B95,0),FALSE)&gt;0)*--(('Client DB &amp; Bed Mgmt'!$N$5:$N$428="")+NOT(ISNUMBER('Client DB &amp; Bed Mgmt'!$N$5:$N$428))+IFERROR('Client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</f>
        <v/>
      </c>
      <c r="V95" s="129">
        <f>IFERROR(I95/U95,0)</f>
        <v/>
      </c>
      <c r="W95" s="127">
        <f>SUMPRODUCT(('Client DB &amp; Bed Mgmt'!$A$5:$A$428=K95)*('Client DB &amp; Bed Mgmt'!$B$5:$B$428=L95)*('Client DB &amp; Bed Mgmt'!$D$5:$D$428&lt;&gt;"")*--(('Client DB &amp; Bed Mgmt'!$M$5:$M$428="")+NOT(ISNUMBER('Client DB &amp; Bed Mgmt'!$M$5:$M$428))+IFERROR('Client DB &amp; Bed Mgmt'!$M$5:$M$428&lt;=EOMONTH(B95,0),FALSE)&gt;0)*--(('Client DB &amp; Bed Mgmt'!$N$5:$N$428="")+NOT(ISNUMBER('Client DB &amp; Bed Mgmt'!$N$5:$N$428))+IFERROR('Client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</f>
        <v/>
      </c>
      <c r="X95" s="130">
        <f>IFERROR(S95/W95,0)</f>
        <v/>
      </c>
    </row>
    <row r="96" hidden="1" ht="14.25" customHeight="1" s="83">
      <c r="A96" s="103" t="inlineStr">
        <is>
          <t>Dorm 2</t>
        </is>
      </c>
      <c r="B96" s="125">
        <f>INDEX(MonthList,INT((ROW()-78)/6)+1)</f>
        <v/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>
        <f>SUMPRODUCT(('Client DB &amp; Bed Mgmt'!$A$5:$A$428=A96)*('Client DB &amp; Bed Mgmt'!$B$5:$B$428=C96)*('Client DB &amp; Bed Mgmt'!$D$5:$D$428&lt;&gt;"")*--(('Client DB &amp; Bed Mgmt'!$M$5:$M$428="")+NOT(ISNUMBER('Client DB &amp; Bed Mgmt'!$M$5:$M$428))+IFERROR('Client DB &amp; Bed Mgmt'!$M$5:$M$428&lt;=EOMONTH(B96,0),FALSE)&gt;0)*--(('Client DB &amp; Bed Mgmt'!$N$5:$N$428="")+NOT(ISNUMBER('Client DB &amp; Bed Mgmt'!$N$5:$N$428))+IFERROR('Client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</f>
        <v/>
      </c>
      <c r="V96" s="129">
        <f>IFERROR(I96/U96,0)</f>
        <v/>
      </c>
      <c r="W96" s="127">
        <f>SUMPRODUCT(('Client DB &amp; Bed Mgmt'!$A$5:$A$428=K96)*('Client DB &amp; Bed Mgmt'!$B$5:$B$428=L96)*('Client DB &amp; Bed Mgmt'!$D$5:$D$428&lt;&gt;"")*--(('Client DB &amp; Bed Mgmt'!$M$5:$M$428="")+NOT(ISNUMBER('Client DB &amp; Bed Mgmt'!$M$5:$M$428))+IFERROR('Client DB &amp; Bed Mgmt'!$M$5:$M$428&lt;=EOMONTH(B96,0),FALSE)&gt;0)*--(('Client DB &amp; Bed Mgmt'!$N$5:$N$428="")+NOT(ISNUMBER('Client DB &amp; Bed Mgmt'!$N$5:$N$428))+IFERROR('Client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</f>
        <v/>
      </c>
      <c r="X96" s="130">
        <f>IFERROR(S96/W96,0)</f>
        <v/>
      </c>
    </row>
    <row r="97" hidden="1" ht="14.25" customHeight="1" s="83">
      <c r="A97" s="103" t="inlineStr">
        <is>
          <t>Dorm 2</t>
        </is>
      </c>
      <c r="B97" s="125">
        <f>INDEX(MonthList,INT((ROW()-78)/6)+1)</f>
        <v/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>
        <f>SUMPRODUCT(('Client DB &amp; Bed Mgmt'!$A$5:$A$428=A97)*('Client DB &amp; Bed Mgmt'!$B$5:$B$428=C97)*('Client DB &amp; Bed Mgmt'!$D$5:$D$428&lt;&gt;"")*--(('Client DB &amp; Bed Mgmt'!$M$5:$M$428="")+NOT(ISNUMBER('Client DB &amp; Bed Mgmt'!$M$5:$M$428))+IFERROR('Client DB &amp; Bed Mgmt'!$M$5:$M$428&lt;=EOMONTH(B97,0),FALSE)&gt;0)*--(('Client DB &amp; Bed Mgmt'!$N$5:$N$428="")+NOT(ISNUMBER('Client DB &amp; Bed Mgmt'!$N$5:$N$428))+IFERROR('Client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</f>
        <v/>
      </c>
      <c r="V97" s="129">
        <f>IFERROR(I97/U97,0)</f>
        <v/>
      </c>
      <c r="W97" s="127">
        <f>SUMPRODUCT(('Client DB &amp; Bed Mgmt'!$A$5:$A$428=K97)*('Client DB &amp; Bed Mgmt'!$B$5:$B$428=L97)*('Client DB &amp; Bed Mgmt'!$D$5:$D$428&lt;&gt;"")*--(('Client DB &amp; Bed Mgmt'!$M$5:$M$428="")+NOT(ISNUMBER('Client DB &amp; Bed Mgmt'!$M$5:$M$428))+IFERROR('Client DB &amp; Bed Mgmt'!$M$5:$M$428&lt;=EOMONTH(B97,0),FALSE)&gt;0)*--(('Client DB &amp; Bed Mgmt'!$N$5:$N$428="")+NOT(ISNUMBER('Client DB &amp; Bed Mgmt'!$N$5:$N$428))+IFERROR('Client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</f>
        <v/>
      </c>
      <c r="X97" s="130">
        <f>IFERROR(S97/W97,0)</f>
        <v/>
      </c>
    </row>
    <row r="98" hidden="1" ht="14.25" customHeight="1" s="83">
      <c r="A98" s="103" t="inlineStr">
        <is>
          <t>Dorm 2</t>
        </is>
      </c>
      <c r="B98" s="125">
        <f>INDEX(MonthList,INT((ROW()-78)/6)+1)</f>
        <v/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>
        <f>SUMPRODUCT(('Client DB &amp; Bed Mgmt'!$A$5:$A$428=A98)*('Client DB &amp; Bed Mgmt'!$B$5:$B$428=C98)*('Client DB &amp; Bed Mgmt'!$D$5:$D$428&lt;&gt;"")*--(('Client DB &amp; Bed Mgmt'!$M$5:$M$428="")+NOT(ISNUMBER('Client DB &amp; Bed Mgmt'!$M$5:$M$428))+IFERROR('Client DB &amp; Bed Mgmt'!$M$5:$M$428&lt;=EOMONTH(B98,0),FALSE)&gt;0)*--(('Client DB &amp; Bed Mgmt'!$N$5:$N$428="")+NOT(ISNUMBER('Client DB &amp; Bed Mgmt'!$N$5:$N$428))+IFERROR('Client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</f>
        <v/>
      </c>
      <c r="V98" s="129">
        <f>IFERROR(I98/U98,0)</f>
        <v/>
      </c>
      <c r="W98" s="127">
        <f>SUMPRODUCT(('Client DB &amp; Bed Mgmt'!$A$5:$A$428=K98)*('Client DB &amp; Bed Mgmt'!$B$5:$B$428=L98)*('Client DB &amp; Bed Mgmt'!$D$5:$D$428&lt;&gt;"")*--(('Client DB &amp; Bed Mgmt'!$M$5:$M$428="")+NOT(ISNUMBER('Client DB &amp; Bed Mgmt'!$M$5:$M$428))+IFERROR('Client DB &amp; Bed Mgmt'!$M$5:$M$428&lt;=EOMONTH(B98,0),FALSE)&gt;0)*--(('Client DB &amp; Bed Mgmt'!$N$5:$N$428="")+NOT(ISNUMBER('Client DB &amp; Bed Mgmt'!$N$5:$N$428))+IFERROR('Client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</f>
        <v/>
      </c>
      <c r="X98" s="130">
        <f>IFERROR(S98/W98,0)</f>
        <v/>
      </c>
    </row>
    <row r="99" hidden="1" ht="14.25" customHeight="1" s="83">
      <c r="A99" s="103" t="inlineStr">
        <is>
          <t>Dorm 2</t>
        </is>
      </c>
      <c r="B99" s="125">
        <f>INDEX(MonthList,INT((ROW()-78)/6)+1)</f>
        <v/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>
        <f>SUMPRODUCT(('Client DB &amp; Bed Mgmt'!$A$5:$A$428=A99)*('Client DB &amp; Bed Mgmt'!$B$5:$B$428=C99)*('Client DB &amp; Bed Mgmt'!$D$5:$D$428&lt;&gt;"")*--(('Client DB &amp; Bed Mgmt'!$M$5:$M$428="")+NOT(ISNUMBER('Client DB &amp; Bed Mgmt'!$M$5:$M$428))+IFERROR('Client DB &amp; Bed Mgmt'!$M$5:$M$428&lt;=EOMONTH(B99,0),FALSE)&gt;0)*--(('Client DB &amp; Bed Mgmt'!$N$5:$N$428="")+NOT(ISNUMBER('Client DB &amp; Bed Mgmt'!$N$5:$N$428))+IFERROR('Client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</f>
        <v/>
      </c>
      <c r="V99" s="129">
        <f>IFERROR(I99/U99,0)</f>
        <v/>
      </c>
      <c r="W99" s="127">
        <f>SUMPRODUCT(('Client DB &amp; Bed Mgmt'!$A$5:$A$428=K99)*('Client DB &amp; Bed Mgmt'!$B$5:$B$428=L99)*('Client DB &amp; Bed Mgmt'!$D$5:$D$428&lt;&gt;"")*--(('Client DB &amp; Bed Mgmt'!$M$5:$M$428="")+NOT(ISNUMBER('Client DB &amp; Bed Mgmt'!$M$5:$M$428))+IFERROR('Client DB &amp; Bed Mgmt'!$M$5:$M$428&lt;=EOMONTH(B99,0),FALSE)&gt;0)*--(('Client DB &amp; Bed Mgmt'!$N$5:$N$428="")+NOT(ISNUMBER('Client DB &amp; Bed Mgmt'!$N$5:$N$428))+IFERROR('Client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</f>
        <v/>
      </c>
      <c r="X99" s="130">
        <f>IFERROR(S99/W99,0)</f>
        <v/>
      </c>
    </row>
    <row r="100" hidden="1" ht="14.25" customHeight="1" s="83">
      <c r="A100" s="103" t="inlineStr">
        <is>
          <t>Dorm 2</t>
        </is>
      </c>
      <c r="B100" s="125">
        <f>INDEX(MonthList,INT((ROW()-78)/6)+1)</f>
        <v/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>
        <f>SUMPRODUCT(('Client DB &amp; Bed Mgmt'!$A$5:$A$428=A100)*('Client DB &amp; Bed Mgmt'!$B$5:$B$428=C100)*('Client DB &amp; Bed Mgmt'!$D$5:$D$428&lt;&gt;"")*--(('Client DB &amp; Bed Mgmt'!$M$5:$M$428="")+NOT(ISNUMBER('Client DB &amp; Bed Mgmt'!$M$5:$M$428))+IFERROR('Client DB &amp; Bed Mgmt'!$M$5:$M$428&lt;=EOMONTH(B100,0),FALSE)&gt;0)*--(('Client DB &amp; Bed Mgmt'!$N$5:$N$428="")+NOT(ISNUMBER('Client DB &amp; Bed Mgmt'!$N$5:$N$428))+IFERROR('Client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</f>
        <v/>
      </c>
      <c r="V100" s="129">
        <f>IFERROR(I100/U100,0)</f>
        <v/>
      </c>
      <c r="W100" s="127">
        <f>SUMPRODUCT(('Client DB &amp; Bed Mgmt'!$A$5:$A$428=K100)*('Client DB &amp; Bed Mgmt'!$B$5:$B$428=L100)*('Client DB &amp; Bed Mgmt'!$D$5:$D$428&lt;&gt;"")*--(('Client DB &amp; Bed Mgmt'!$M$5:$M$428="")+NOT(ISNUMBER('Client DB &amp; Bed Mgmt'!$M$5:$M$428))+IFERROR('Client DB &amp; Bed Mgmt'!$M$5:$M$428&lt;=EOMONTH(B100,0),FALSE)&gt;0)*--(('Client DB &amp; Bed Mgmt'!$N$5:$N$428="")+NOT(ISNUMBER('Client DB &amp; Bed Mgmt'!$N$5:$N$428))+IFERROR('Client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</f>
        <v/>
      </c>
      <c r="X100" s="130">
        <f>IFERROR(S100/W100,0)</f>
        <v/>
      </c>
    </row>
    <row r="101" hidden="1" ht="14.25" customHeight="1" s="83">
      <c r="A101" s="103" t="inlineStr">
        <is>
          <t>Dorm 2</t>
        </is>
      </c>
      <c r="B101" s="125">
        <f>INDEX(MonthList,INT((ROW()-78)/6)+1)</f>
        <v/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>
        <f>SUMPRODUCT(('Client DB &amp; Bed Mgmt'!$A$5:$A$428=A101)*('Client DB &amp; Bed Mgmt'!$B$5:$B$428=C101)*('Client DB &amp; Bed Mgmt'!$D$5:$D$428&lt;&gt;"")*--(('Client DB &amp; Bed Mgmt'!$M$5:$M$428="")+NOT(ISNUMBER('Client DB &amp; Bed Mgmt'!$M$5:$M$428))+IFERROR('Client DB &amp; Bed Mgmt'!$M$5:$M$428&lt;=EOMONTH(B101,0),FALSE)&gt;0)*--(('Client DB &amp; Bed Mgmt'!$N$5:$N$428="")+NOT(ISNUMBER('Client DB &amp; Bed Mgmt'!$N$5:$N$428))+IFERROR('Client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</f>
        <v/>
      </c>
      <c r="V101" s="129">
        <f>IFERROR(I101/U101,0)</f>
        <v/>
      </c>
      <c r="W101" s="127">
        <f>SUMPRODUCT(('Client DB &amp; Bed Mgmt'!$A$5:$A$428=K101)*('Client DB &amp; Bed Mgmt'!$B$5:$B$428=L101)*('Client DB &amp; Bed Mgmt'!$D$5:$D$428&lt;&gt;"")*--(('Client DB &amp; Bed Mgmt'!$M$5:$M$428="")+NOT(ISNUMBER('Client DB &amp; Bed Mgmt'!$M$5:$M$428))+IFERROR('Client DB &amp; Bed Mgmt'!$M$5:$M$428&lt;=EOMONTH(B101,0),FALSE)&gt;0)*--(('Client DB &amp; Bed Mgmt'!$N$5:$N$428="")+NOT(ISNUMBER('Client DB &amp; Bed Mgmt'!$N$5:$N$428))+IFERROR('Client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</f>
        <v/>
      </c>
      <c r="X101" s="130">
        <f>IFERROR(S101/W101,0)</f>
        <v/>
      </c>
    </row>
    <row r="102" hidden="1" ht="14.25" customHeight="1" s="83">
      <c r="A102" s="103" t="inlineStr">
        <is>
          <t>Dorm 2</t>
        </is>
      </c>
      <c r="B102" s="125">
        <f>INDEX(MonthList,INT((ROW()-78)/6)+1)</f>
        <v/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>
        <f>SUMPRODUCT(('Client DB &amp; Bed Mgmt'!$A$5:$A$428=A102)*('Client DB &amp; Bed Mgmt'!$B$5:$B$428=C102)*('Client DB &amp; Bed Mgmt'!$D$5:$D$428&lt;&gt;"")*--(('Client DB &amp; Bed Mgmt'!$M$5:$M$428="")+NOT(ISNUMBER('Client DB &amp; Bed Mgmt'!$M$5:$M$428))+IFERROR('Client DB &amp; Bed Mgmt'!$M$5:$M$428&lt;=EOMONTH(B102,0),FALSE)&gt;0)*--(('Client DB &amp; Bed Mgmt'!$N$5:$N$428="")+NOT(ISNUMBER('Client DB &amp; Bed Mgmt'!$N$5:$N$428))+IFERROR('Client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</f>
        <v/>
      </c>
      <c r="V102" s="129">
        <f>IFERROR(I102/U102,0)</f>
        <v/>
      </c>
      <c r="W102" s="127">
        <f>SUMPRODUCT(('Client DB &amp; Bed Mgmt'!$A$5:$A$428=K102)*('Client DB &amp; Bed Mgmt'!$B$5:$B$428=L102)*('Client DB &amp; Bed Mgmt'!$D$5:$D$428&lt;&gt;"")*--(('Client DB &amp; Bed Mgmt'!$M$5:$M$428="")+NOT(ISNUMBER('Client DB &amp; Bed Mgmt'!$M$5:$M$428))+IFERROR('Client DB &amp; Bed Mgmt'!$M$5:$M$428&lt;=EOMONTH(B102,0),FALSE)&gt;0)*--(('Client DB &amp; Bed Mgmt'!$N$5:$N$428="")+NOT(ISNUMBER('Client DB &amp; Bed Mgmt'!$N$5:$N$428))+IFERROR('Client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</f>
        <v/>
      </c>
      <c r="X102" s="130">
        <f>IFERROR(S102/W102,0)</f>
        <v/>
      </c>
    </row>
    <row r="103" hidden="1" ht="14.25" customHeight="1" s="83">
      <c r="A103" s="103" t="inlineStr">
        <is>
          <t>Dorm 2</t>
        </is>
      </c>
      <c r="B103" s="125">
        <f>INDEX(MonthList,INT((ROW()-78)/6)+1)</f>
        <v/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>
        <f>SUMPRODUCT(('Client DB &amp; Bed Mgmt'!$A$5:$A$428=A103)*('Client DB &amp; Bed Mgmt'!$B$5:$B$428=C103)*('Client DB &amp; Bed Mgmt'!$D$5:$D$428&lt;&gt;"")*--(('Client DB &amp; Bed Mgmt'!$M$5:$M$428="")+NOT(ISNUMBER('Client DB &amp; Bed Mgmt'!$M$5:$M$428))+IFERROR('Client DB &amp; Bed Mgmt'!$M$5:$M$428&lt;=EOMONTH(B103,0),FALSE)&gt;0)*--(('Client DB &amp; Bed Mgmt'!$N$5:$N$428="")+NOT(ISNUMBER('Client DB &amp; Bed Mgmt'!$N$5:$N$428))+IFERROR('Client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</f>
        <v/>
      </c>
      <c r="V103" s="129">
        <f>IFERROR(I103/U103,0)</f>
        <v/>
      </c>
      <c r="W103" s="127">
        <f>SUMPRODUCT(('Client DB &amp; Bed Mgmt'!$A$5:$A$428=K103)*('Client DB &amp; Bed Mgmt'!$B$5:$B$428=L103)*('Client DB &amp; Bed Mgmt'!$D$5:$D$428&lt;&gt;"")*--(('Client DB &amp; Bed Mgmt'!$M$5:$M$428="")+NOT(ISNUMBER('Client DB &amp; Bed Mgmt'!$M$5:$M$428))+IFERROR('Client DB &amp; Bed Mgmt'!$M$5:$M$428&lt;=EOMONTH(B103,0),FALSE)&gt;0)*--(('Client DB &amp; Bed Mgmt'!$N$5:$N$428="")+NOT(ISNUMBER('Client DB &amp; Bed Mgmt'!$N$5:$N$428))+IFERROR('Client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</f>
        <v/>
      </c>
      <c r="X103" s="130">
        <f>IFERROR(S103/W103,0)</f>
        <v/>
      </c>
    </row>
    <row r="104" hidden="1" ht="14.25" customHeight="1" s="83">
      <c r="A104" s="103" t="inlineStr">
        <is>
          <t>Dorm 2</t>
        </is>
      </c>
      <c r="B104" s="125">
        <f>INDEX(MonthList,INT((ROW()-78)/6)+1)</f>
        <v/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>
        <f>SUMPRODUCT(('Client DB &amp; Bed Mgmt'!$A$5:$A$428=A104)*('Client DB &amp; Bed Mgmt'!$B$5:$B$428=C104)*('Client DB &amp; Bed Mgmt'!$D$5:$D$428&lt;&gt;"")*--(('Client DB &amp; Bed Mgmt'!$M$5:$M$428="")+NOT(ISNUMBER('Client DB &amp; Bed Mgmt'!$M$5:$M$428))+IFERROR('Client DB &amp; Bed Mgmt'!$M$5:$M$428&lt;=EOMONTH(B104,0),FALSE)&gt;0)*--(('Client DB &amp; Bed Mgmt'!$N$5:$N$428="")+NOT(ISNUMBER('Client DB &amp; Bed Mgmt'!$N$5:$N$428))+IFERROR('Client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</f>
        <v/>
      </c>
      <c r="V104" s="129">
        <f>IFERROR(I104/U104,0)</f>
        <v/>
      </c>
      <c r="W104" s="127">
        <f>SUMPRODUCT(('Client DB &amp; Bed Mgmt'!$A$5:$A$428=K104)*('Client DB &amp; Bed Mgmt'!$B$5:$B$428=L104)*('Client DB &amp; Bed Mgmt'!$D$5:$D$428&lt;&gt;"")*--(('Client DB &amp; Bed Mgmt'!$M$5:$M$428="")+NOT(ISNUMBER('Client DB &amp; Bed Mgmt'!$M$5:$M$428))+IFERROR('Client DB &amp; Bed Mgmt'!$M$5:$M$428&lt;=EOMONTH(B104,0),FALSE)&gt;0)*--(('Client DB &amp; Bed Mgmt'!$N$5:$N$428="")+NOT(ISNUMBER('Client DB &amp; Bed Mgmt'!$N$5:$N$428))+IFERROR('Client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</f>
        <v/>
      </c>
      <c r="X104" s="130">
        <f>IFERROR(S104/W104,0)</f>
        <v/>
      </c>
    </row>
    <row r="105" hidden="1" ht="14.25" customHeight="1" s="83">
      <c r="A105" s="103" t="inlineStr">
        <is>
          <t>Dorm 2</t>
        </is>
      </c>
      <c r="B105" s="125">
        <f>INDEX(MonthList,INT((ROW()-78)/6)+1)</f>
        <v/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>
        <f>SUMPRODUCT(('Client DB &amp; Bed Mgmt'!$A$5:$A$428=A105)*('Client DB &amp; Bed Mgmt'!$B$5:$B$428=C105)*('Client DB &amp; Bed Mgmt'!$D$5:$D$428&lt;&gt;"")*--(('Client DB &amp; Bed Mgmt'!$M$5:$M$428="")+NOT(ISNUMBER('Client DB &amp; Bed Mgmt'!$M$5:$M$428))+IFERROR('Client DB &amp; Bed Mgmt'!$M$5:$M$428&lt;=EOMONTH(B105,0),FALSE)&gt;0)*--(('Client DB &amp; Bed Mgmt'!$N$5:$N$428="")+NOT(ISNUMBER('Client DB &amp; Bed Mgmt'!$N$5:$N$428))+IFERROR('Client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</f>
        <v/>
      </c>
      <c r="V105" s="129">
        <f>IFERROR(I105/U105,0)</f>
        <v/>
      </c>
      <c r="W105" s="127">
        <f>SUMPRODUCT(('Client DB &amp; Bed Mgmt'!$A$5:$A$428=K105)*('Client DB &amp; Bed Mgmt'!$B$5:$B$428=L105)*('Client DB &amp; Bed Mgmt'!$D$5:$D$428&lt;&gt;"")*--(('Client DB &amp; Bed Mgmt'!$M$5:$M$428="")+NOT(ISNUMBER('Client DB &amp; Bed Mgmt'!$M$5:$M$428))+IFERROR('Client DB &amp; Bed Mgmt'!$M$5:$M$428&lt;=EOMONTH(B105,0),FALSE)&gt;0)*--(('Client DB &amp; Bed Mgmt'!$N$5:$N$428="")+NOT(ISNUMBER('Client DB &amp; Bed Mgmt'!$N$5:$N$428))+IFERROR('Client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</f>
        <v/>
      </c>
      <c r="X105" s="130">
        <f>IFERROR(S105/W105,0)</f>
        <v/>
      </c>
    </row>
    <row r="106" hidden="1" ht="14.25" customHeight="1" s="83">
      <c r="A106" s="103" t="inlineStr">
        <is>
          <t>Dorm 2</t>
        </is>
      </c>
      <c r="B106" s="125">
        <f>INDEX(MonthList,INT((ROW()-78)/6)+1)</f>
        <v/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>
        <f>SUMPRODUCT(('Client DB &amp; Bed Mgmt'!$A$5:$A$428=A106)*('Client DB &amp; Bed Mgmt'!$B$5:$B$428=C106)*('Client DB &amp; Bed Mgmt'!$D$5:$D$428&lt;&gt;"")*--(('Client DB &amp; Bed Mgmt'!$M$5:$M$428="")+NOT(ISNUMBER('Client DB &amp; Bed Mgmt'!$M$5:$M$428))+IFERROR('Client DB &amp; Bed Mgmt'!$M$5:$M$428&lt;=EOMONTH(B106,0),FALSE)&gt;0)*--(('Client DB &amp; Bed Mgmt'!$N$5:$N$428="")+NOT(ISNUMBER('Client DB &amp; Bed Mgmt'!$N$5:$N$428))+IFERROR('Client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</f>
        <v/>
      </c>
      <c r="V106" s="129">
        <f>IFERROR(I106/U106,0)</f>
        <v/>
      </c>
      <c r="W106" s="127">
        <f>SUMPRODUCT(('Client DB &amp; Bed Mgmt'!$A$5:$A$428=K106)*('Client DB &amp; Bed Mgmt'!$B$5:$B$428=L106)*('Client DB &amp; Bed Mgmt'!$D$5:$D$428&lt;&gt;"")*--(('Client DB &amp; Bed Mgmt'!$M$5:$M$428="")+NOT(ISNUMBER('Client DB &amp; Bed Mgmt'!$M$5:$M$428))+IFERROR('Client DB &amp; Bed Mgmt'!$M$5:$M$428&lt;=EOMONTH(B106,0),FALSE)&gt;0)*--(('Client DB &amp; Bed Mgmt'!$N$5:$N$428="")+NOT(ISNUMBER('Client DB &amp; Bed Mgmt'!$N$5:$N$428))+IFERROR('Client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</f>
        <v/>
      </c>
      <c r="X106" s="130">
        <f>IFERROR(S106/W106,0)</f>
        <v/>
      </c>
    </row>
    <row r="107" hidden="1" ht="14.25" customHeight="1" s="83">
      <c r="A107" s="103" t="inlineStr">
        <is>
          <t>Dorm 2</t>
        </is>
      </c>
      <c r="B107" s="125">
        <f>INDEX(MonthList,INT((ROW()-78)/6)+1)</f>
        <v/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>
        <f>SUMPRODUCT(('Client DB &amp; Bed Mgmt'!$A$5:$A$428=A107)*('Client DB &amp; Bed Mgmt'!$B$5:$B$428=C107)*('Client DB &amp; Bed Mgmt'!$D$5:$D$428&lt;&gt;"")*--(('Client DB &amp; Bed Mgmt'!$M$5:$M$428="")+NOT(ISNUMBER('Client DB &amp; Bed Mgmt'!$M$5:$M$428))+IFERROR('Client DB &amp; Bed Mgmt'!$M$5:$M$428&lt;=EOMONTH(B107,0),FALSE)&gt;0)*--(('Client DB &amp; Bed Mgmt'!$N$5:$N$428="")+NOT(ISNUMBER('Client DB &amp; Bed Mgmt'!$N$5:$N$428))+IFERROR('Client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</f>
        <v/>
      </c>
      <c r="V107" s="129">
        <f>IFERROR(I107/U107,0)</f>
        <v/>
      </c>
      <c r="W107" s="127">
        <f>SUMPRODUCT(('Client DB &amp; Bed Mgmt'!$A$5:$A$428=K107)*('Client DB &amp; Bed Mgmt'!$B$5:$B$428=L107)*('Client DB &amp; Bed Mgmt'!$D$5:$D$428&lt;&gt;"")*--(('Client DB &amp; Bed Mgmt'!$M$5:$M$428="")+NOT(ISNUMBER('Client DB &amp; Bed Mgmt'!$M$5:$M$428))+IFERROR('Client DB &amp; Bed Mgmt'!$M$5:$M$428&lt;=EOMONTH(B107,0),FALSE)&gt;0)*--(('Client DB &amp; Bed Mgmt'!$N$5:$N$428="")+NOT(ISNUMBER('Client DB &amp; Bed Mgmt'!$N$5:$N$428))+IFERROR('Client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</f>
        <v/>
      </c>
      <c r="X107" s="130">
        <f>IFERROR(S107/W107,0)</f>
        <v/>
      </c>
    </row>
    <row r="108" hidden="1" ht="14.25" customHeight="1" s="83">
      <c r="A108" s="103" t="inlineStr">
        <is>
          <t>Dorm 2</t>
        </is>
      </c>
      <c r="B108" s="125">
        <f>INDEX(MonthList,INT((ROW()-78)/6)+1)</f>
        <v/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>
        <f>SUMPRODUCT(('Client DB &amp; Bed Mgmt'!$A$5:$A$428=A108)*('Client DB &amp; Bed Mgmt'!$B$5:$B$428=C108)*('Client DB &amp; Bed Mgmt'!$D$5:$D$428&lt;&gt;"")*--(('Client DB &amp; Bed Mgmt'!$M$5:$M$428="")+NOT(ISNUMBER('Client DB &amp; Bed Mgmt'!$M$5:$M$428))+IFERROR('Client DB &amp; Bed Mgmt'!$M$5:$M$428&lt;=EOMONTH(B108,0),FALSE)&gt;0)*--(('Client DB &amp; Bed Mgmt'!$N$5:$N$428="")+NOT(ISNUMBER('Client DB &amp; Bed Mgmt'!$N$5:$N$428))+IFERROR('Client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</f>
        <v/>
      </c>
      <c r="V108" s="129">
        <f>IFERROR(I108/U108,0)</f>
        <v/>
      </c>
      <c r="W108" s="127">
        <f>SUMPRODUCT(('Client DB &amp; Bed Mgmt'!$A$5:$A$428=K108)*('Client DB &amp; Bed Mgmt'!$B$5:$B$428=L108)*('Client DB &amp; Bed Mgmt'!$D$5:$D$428&lt;&gt;"")*--(('Client DB &amp; Bed Mgmt'!$M$5:$M$428="")+NOT(ISNUMBER('Client DB &amp; Bed Mgmt'!$M$5:$M$428))+IFERROR('Client DB &amp; Bed Mgmt'!$M$5:$M$428&lt;=EOMONTH(B108,0),FALSE)&gt;0)*--(('Client DB &amp; Bed Mgmt'!$N$5:$N$428="")+NOT(ISNUMBER('Client DB &amp; Bed Mgmt'!$N$5:$N$428))+IFERROR('Client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</f>
        <v/>
      </c>
      <c r="X108" s="130">
        <f>IFERROR(S108/W108,0)</f>
        <v/>
      </c>
    </row>
    <row r="109" hidden="1" ht="14.25" customHeight="1" s="83">
      <c r="A109" s="103" t="inlineStr">
        <is>
          <t>Dorm 2</t>
        </is>
      </c>
      <c r="B109" s="125">
        <f>INDEX(MonthList,INT((ROW()-78)/6)+1)</f>
        <v/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>
        <f>SUMPRODUCT(('Client DB &amp; Bed Mgmt'!$A$5:$A$428=A109)*('Client DB &amp; Bed Mgmt'!$B$5:$B$428=C109)*('Client DB &amp; Bed Mgmt'!$D$5:$D$428&lt;&gt;"")*--(('Client DB &amp; Bed Mgmt'!$M$5:$M$428="")+NOT(ISNUMBER('Client DB &amp; Bed Mgmt'!$M$5:$M$428))+IFERROR('Client DB &amp; Bed Mgmt'!$M$5:$M$428&lt;=EOMONTH(B109,0),FALSE)&gt;0)*--(('Client DB &amp; Bed Mgmt'!$N$5:$N$428="")+NOT(ISNUMBER('Client DB &amp; Bed Mgmt'!$N$5:$N$428))+IFERROR('Client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</f>
        <v/>
      </c>
      <c r="V109" s="129">
        <f>IFERROR(I109/U109,0)</f>
        <v/>
      </c>
      <c r="W109" s="127">
        <f>SUMPRODUCT(('Client DB &amp; Bed Mgmt'!$A$5:$A$428=K109)*('Client DB &amp; Bed Mgmt'!$B$5:$B$428=L109)*('Client DB &amp; Bed Mgmt'!$D$5:$D$428&lt;&gt;"")*--(('Client DB &amp; Bed Mgmt'!$M$5:$M$428="")+NOT(ISNUMBER('Client DB &amp; Bed Mgmt'!$M$5:$M$428))+IFERROR('Client DB &amp; Bed Mgmt'!$M$5:$M$428&lt;=EOMONTH(B109,0),FALSE)&gt;0)*--(('Client DB &amp; Bed Mgmt'!$N$5:$N$428="")+NOT(ISNUMBER('Client DB &amp; Bed Mgmt'!$N$5:$N$428))+IFERROR('Client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</f>
        <v/>
      </c>
      <c r="X109" s="130">
        <f>IFERROR(S109/W109,0)</f>
        <v/>
      </c>
    </row>
    <row r="110" hidden="1" ht="14.25" customHeight="1" s="83">
      <c r="A110" s="103" t="inlineStr">
        <is>
          <t>Dorm 2</t>
        </is>
      </c>
      <c r="B110" s="125">
        <f>INDEX(MonthList,INT((ROW()-78)/6)+1)</f>
        <v/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>
        <f>SUMPRODUCT(('Client DB &amp; Bed Mgmt'!$A$5:$A$428=A110)*('Client DB &amp; Bed Mgmt'!$B$5:$B$428=C110)*('Client DB &amp; Bed Mgmt'!$D$5:$D$428&lt;&gt;"")*--(('Client DB &amp; Bed Mgmt'!$M$5:$M$428="")+NOT(ISNUMBER('Client DB &amp; Bed Mgmt'!$M$5:$M$428))+IFERROR('Client DB &amp; Bed Mgmt'!$M$5:$M$428&lt;=EOMONTH(B110,0),FALSE)&gt;0)*--(('Client DB &amp; Bed Mgmt'!$N$5:$N$428="")+NOT(ISNUMBER('Client DB &amp; Bed Mgmt'!$N$5:$N$428))+IFERROR('Client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</f>
        <v/>
      </c>
      <c r="V110" s="129">
        <f>IFERROR(I110/U110,0)</f>
        <v/>
      </c>
      <c r="W110" s="127">
        <f>SUMPRODUCT(('Client DB &amp; Bed Mgmt'!$A$5:$A$428=K110)*('Client DB &amp; Bed Mgmt'!$B$5:$B$428=L110)*('Client DB &amp; Bed Mgmt'!$D$5:$D$428&lt;&gt;"")*--(('Client DB &amp; Bed Mgmt'!$M$5:$M$428="")+NOT(ISNUMBER('Client DB &amp; Bed Mgmt'!$M$5:$M$428))+IFERROR('Client DB &amp; Bed Mgmt'!$M$5:$M$428&lt;=EOMONTH(B110,0),FALSE)&gt;0)*--(('Client DB &amp; Bed Mgmt'!$N$5:$N$428="")+NOT(ISNUMBER('Client DB &amp; Bed Mgmt'!$N$5:$N$428))+IFERROR('Client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</f>
        <v/>
      </c>
      <c r="X110" s="130">
        <f>IFERROR(S110/W110,0)</f>
        <v/>
      </c>
    </row>
    <row r="111" hidden="1" ht="14.25" customHeight="1" s="83">
      <c r="A111" s="103" t="inlineStr">
        <is>
          <t>Dorm 2</t>
        </is>
      </c>
      <c r="B111" s="125">
        <f>INDEX(MonthList,INT((ROW()-78)/6)+1)</f>
        <v/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>
        <f>SUMPRODUCT(('Client DB &amp; Bed Mgmt'!$A$5:$A$428=A111)*('Client DB &amp; Bed Mgmt'!$B$5:$B$428=C111)*('Client DB &amp; Bed Mgmt'!$D$5:$D$428&lt;&gt;"")*--(('Client DB &amp; Bed Mgmt'!$M$5:$M$428="")+NOT(ISNUMBER('Client DB &amp; Bed Mgmt'!$M$5:$M$428))+IFERROR('Client DB &amp; Bed Mgmt'!$M$5:$M$428&lt;=EOMONTH(B111,0),FALSE)&gt;0)*--(('Client DB &amp; Bed Mgmt'!$N$5:$N$428="")+NOT(ISNUMBER('Client DB &amp; Bed Mgmt'!$N$5:$N$428))+IFERROR('Client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</f>
        <v/>
      </c>
      <c r="V111" s="129">
        <f>IFERROR(I111/U111,0)</f>
        <v/>
      </c>
      <c r="W111" s="127">
        <f>SUMPRODUCT(('Client DB &amp; Bed Mgmt'!$A$5:$A$428=K111)*('Client DB &amp; Bed Mgmt'!$B$5:$B$428=L111)*('Client DB &amp; Bed Mgmt'!$D$5:$D$428&lt;&gt;"")*--(('Client DB &amp; Bed Mgmt'!$M$5:$M$428="")+NOT(ISNUMBER('Client DB &amp; Bed Mgmt'!$M$5:$M$428))+IFERROR('Client DB &amp; Bed Mgmt'!$M$5:$M$428&lt;=EOMONTH(B111,0),FALSE)&gt;0)*--(('Client DB &amp; Bed Mgmt'!$N$5:$N$428="")+NOT(ISNUMBER('Client DB &amp; Bed Mgmt'!$N$5:$N$428))+IFERROR('Client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</f>
        <v/>
      </c>
      <c r="X111" s="130">
        <f>IFERROR(S111/W111,0)</f>
        <v/>
      </c>
    </row>
    <row r="112" hidden="1" ht="14.25" customHeight="1" s="83">
      <c r="A112" s="103" t="inlineStr">
        <is>
          <t>Dorm 2</t>
        </is>
      </c>
      <c r="B112" s="125">
        <f>INDEX(MonthList,INT((ROW()-78)/6)+1)</f>
        <v/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>
        <f>SUMPRODUCT(('Client DB &amp; Bed Mgmt'!$A$5:$A$428=A112)*('Client DB &amp; Bed Mgmt'!$B$5:$B$428=C112)*('Client DB &amp; Bed Mgmt'!$D$5:$D$428&lt;&gt;"")*--(('Client DB &amp; Bed Mgmt'!$M$5:$M$428="")+NOT(ISNUMBER('Client DB &amp; Bed Mgmt'!$M$5:$M$428))+IFERROR('Client DB &amp; Bed Mgmt'!$M$5:$M$428&lt;=EOMONTH(B112,0),FALSE)&gt;0)*--(('Client DB &amp; Bed Mgmt'!$N$5:$N$428="")+NOT(ISNUMBER('Client DB &amp; Bed Mgmt'!$N$5:$N$428))+IFERROR('Client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</f>
        <v/>
      </c>
      <c r="V112" s="129">
        <f>IFERROR(I112/U112,0)</f>
        <v/>
      </c>
      <c r="W112" s="127">
        <f>SUMPRODUCT(('Client DB &amp; Bed Mgmt'!$A$5:$A$428=K112)*('Client DB &amp; Bed Mgmt'!$B$5:$B$428=L112)*('Client DB &amp; Bed Mgmt'!$D$5:$D$428&lt;&gt;"")*--(('Client DB &amp; Bed Mgmt'!$M$5:$M$428="")+NOT(ISNUMBER('Client DB &amp; Bed Mgmt'!$M$5:$M$428))+IFERROR('Client DB &amp; Bed Mgmt'!$M$5:$M$428&lt;=EOMONTH(B112,0),FALSE)&gt;0)*--(('Client DB &amp; Bed Mgmt'!$N$5:$N$428="")+NOT(ISNUMBER('Client DB &amp; Bed Mgmt'!$N$5:$N$428))+IFERROR('Client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</f>
        <v/>
      </c>
      <c r="X112" s="130">
        <f>IFERROR(S112/W112,0)</f>
        <v/>
      </c>
    </row>
    <row r="113" hidden="1" ht="14.25" customHeight="1" s="83">
      <c r="A113" s="103" t="inlineStr">
        <is>
          <t>Dorm 2</t>
        </is>
      </c>
      <c r="B113" s="125">
        <f>INDEX(MonthList,INT((ROW()-78)/6)+1)</f>
        <v/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>
        <f>SUMPRODUCT(('Client DB &amp; Bed Mgmt'!$A$5:$A$428=A113)*('Client DB &amp; Bed Mgmt'!$B$5:$B$428=C113)*('Client DB &amp; Bed Mgmt'!$D$5:$D$428&lt;&gt;"")*--(('Client DB &amp; Bed Mgmt'!$M$5:$M$428="")+NOT(ISNUMBER('Client DB &amp; Bed Mgmt'!$M$5:$M$428))+IFERROR('Client DB &amp; Bed Mgmt'!$M$5:$M$428&lt;=EOMONTH(B113,0),FALSE)&gt;0)*--(('Client DB &amp; Bed Mgmt'!$N$5:$N$428="")+NOT(ISNUMBER('Client DB &amp; Bed Mgmt'!$N$5:$N$428))+IFERROR('Client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</f>
        <v/>
      </c>
      <c r="V113" s="129">
        <f>IFERROR(I113/U113,0)</f>
        <v/>
      </c>
      <c r="W113" s="127">
        <f>SUMPRODUCT(('Client DB &amp; Bed Mgmt'!$A$5:$A$428=K113)*('Client DB &amp; Bed Mgmt'!$B$5:$B$428=L113)*('Client DB &amp; Bed Mgmt'!$D$5:$D$428&lt;&gt;"")*--(('Client DB &amp; Bed Mgmt'!$M$5:$M$428="")+NOT(ISNUMBER('Client DB &amp; Bed Mgmt'!$M$5:$M$428))+IFERROR('Client DB &amp; Bed Mgmt'!$M$5:$M$428&lt;=EOMONTH(B113,0),FALSE)&gt;0)*--(('Client DB &amp; Bed Mgmt'!$N$5:$N$428="")+NOT(ISNUMBER('Client DB &amp; Bed Mgmt'!$N$5:$N$428))+IFERROR('Client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</f>
        <v/>
      </c>
      <c r="X113" s="130">
        <f>IFERROR(S113/W113,0)</f>
        <v/>
      </c>
    </row>
    <row r="114" hidden="1" ht="14.25" customHeight="1" s="83">
      <c r="A114" s="103" t="inlineStr">
        <is>
          <t>Dorm 2</t>
        </is>
      </c>
      <c r="B114" s="125">
        <f>INDEX(MonthList,INT((ROW()-78)/6)+1)</f>
        <v/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>
        <f>SUMPRODUCT(('Client DB &amp; Bed Mgmt'!$A$5:$A$428=A114)*('Client DB &amp; Bed Mgmt'!$B$5:$B$428=C114)*('Client DB &amp; Bed Mgmt'!$D$5:$D$428&lt;&gt;"")*--(('Client DB &amp; Bed Mgmt'!$M$5:$M$428="")+NOT(ISNUMBER('Client DB &amp; Bed Mgmt'!$M$5:$M$428))+IFERROR('Client DB &amp; Bed Mgmt'!$M$5:$M$428&lt;=EOMONTH(B114,0),FALSE)&gt;0)*--(('Client DB &amp; Bed Mgmt'!$N$5:$N$428="")+NOT(ISNUMBER('Client DB &amp; Bed Mgmt'!$N$5:$N$428))+IFERROR('Client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</f>
        <v/>
      </c>
      <c r="V114" s="129">
        <f>IFERROR(I114/U114,0)</f>
        <v/>
      </c>
      <c r="W114" s="127">
        <f>SUMPRODUCT(('Client DB &amp; Bed Mgmt'!$A$5:$A$428=K114)*('Client DB &amp; Bed Mgmt'!$B$5:$B$428=L114)*('Client DB &amp; Bed Mgmt'!$D$5:$D$428&lt;&gt;"")*--(('Client DB &amp; Bed Mgmt'!$M$5:$M$428="")+NOT(ISNUMBER('Client DB &amp; Bed Mgmt'!$M$5:$M$428))+IFERROR('Client DB &amp; Bed Mgmt'!$M$5:$M$428&lt;=EOMONTH(B114,0),FALSE)&gt;0)*--(('Client DB &amp; Bed Mgmt'!$N$5:$N$428="")+NOT(ISNUMBER('Client DB &amp; Bed Mgmt'!$N$5:$N$428))+IFERROR('Client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</f>
        <v/>
      </c>
      <c r="X114" s="130">
        <f>IFERROR(S114/W114,0)</f>
        <v/>
      </c>
    </row>
    <row r="115" hidden="1" ht="14.25" customHeight="1" s="83">
      <c r="A115" s="103" t="inlineStr">
        <is>
          <t>Dorm 2</t>
        </is>
      </c>
      <c r="B115" s="125">
        <f>INDEX(MonthList,INT((ROW()-78)/6)+1)</f>
        <v/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>
        <f>SUMPRODUCT(('Client DB &amp; Bed Mgmt'!$A$5:$A$428=A115)*('Client DB &amp; Bed Mgmt'!$B$5:$B$428=C115)*('Client DB &amp; Bed Mgmt'!$D$5:$D$428&lt;&gt;"")*--(('Client DB &amp; Bed Mgmt'!$M$5:$M$428="")+NOT(ISNUMBER('Client DB &amp; Bed Mgmt'!$M$5:$M$428))+IFERROR('Client DB &amp; Bed Mgmt'!$M$5:$M$428&lt;=EOMONTH(B115,0),FALSE)&gt;0)*--(('Client DB &amp; Bed Mgmt'!$N$5:$N$428="")+NOT(ISNUMBER('Client DB &amp; Bed Mgmt'!$N$5:$N$428))+IFERROR('Client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</f>
        <v/>
      </c>
      <c r="V115" s="129">
        <f>IFERROR(I115/U115,0)</f>
        <v/>
      </c>
      <c r="W115" s="127">
        <f>SUMPRODUCT(('Client DB &amp; Bed Mgmt'!$A$5:$A$428=K115)*('Client DB &amp; Bed Mgmt'!$B$5:$B$428=L115)*('Client DB &amp; Bed Mgmt'!$D$5:$D$428&lt;&gt;"")*--(('Client DB &amp; Bed Mgmt'!$M$5:$M$428="")+NOT(ISNUMBER('Client DB &amp; Bed Mgmt'!$M$5:$M$428))+IFERROR('Client DB &amp; Bed Mgmt'!$M$5:$M$428&lt;=EOMONTH(B115,0),FALSE)&gt;0)*--(('Client DB &amp; Bed Mgmt'!$N$5:$N$428="")+NOT(ISNUMBER('Client DB &amp; Bed Mgmt'!$N$5:$N$428))+IFERROR('Client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</f>
        <v/>
      </c>
      <c r="X115" s="130">
        <f>IFERROR(S115/W115,0)</f>
        <v/>
      </c>
    </row>
    <row r="116" hidden="1" ht="14.25" customHeight="1" s="83">
      <c r="A116" s="103" t="inlineStr">
        <is>
          <t>Dorm 2</t>
        </is>
      </c>
      <c r="B116" s="125">
        <f>INDEX(MonthList,INT((ROW()-78)/6)+1)</f>
        <v/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>
        <f>SUMPRODUCT(('Client DB &amp; Bed Mgmt'!$A$5:$A$428=A116)*('Client DB &amp; Bed Mgmt'!$B$5:$B$428=C116)*('Client DB &amp; Bed Mgmt'!$D$5:$D$428&lt;&gt;"")*--(('Client DB &amp; Bed Mgmt'!$M$5:$M$428="")+NOT(ISNUMBER('Client DB &amp; Bed Mgmt'!$M$5:$M$428))+IFERROR('Client DB &amp; Bed Mgmt'!$M$5:$M$428&lt;=EOMONTH(B116,0),FALSE)&gt;0)*--(('Client DB &amp; Bed Mgmt'!$N$5:$N$428="")+NOT(ISNUMBER('Client DB &amp; Bed Mgmt'!$N$5:$N$428))+IFERROR('Client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</f>
        <v/>
      </c>
      <c r="V116" s="129">
        <f>IFERROR(I116/U116,0)</f>
        <v/>
      </c>
      <c r="W116" s="127">
        <f>SUMPRODUCT(('Client DB &amp; Bed Mgmt'!$A$5:$A$428=K116)*('Client DB &amp; Bed Mgmt'!$B$5:$B$428=L116)*('Client DB &amp; Bed Mgmt'!$D$5:$D$428&lt;&gt;"")*--(('Client DB &amp; Bed Mgmt'!$M$5:$M$428="")+NOT(ISNUMBER('Client DB &amp; Bed Mgmt'!$M$5:$M$428))+IFERROR('Client DB &amp; Bed Mgmt'!$M$5:$M$428&lt;=EOMONTH(B116,0),FALSE)&gt;0)*--(('Client DB &amp; Bed Mgmt'!$N$5:$N$428="")+NOT(ISNUMBER('Client DB &amp; Bed Mgmt'!$N$5:$N$428))+IFERROR('Client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</f>
        <v/>
      </c>
      <c r="X116" s="130">
        <f>IFERROR(S116/W116,0)</f>
        <v/>
      </c>
    </row>
    <row r="117" hidden="1" ht="14.25" customHeight="1" s="83">
      <c r="A117" s="103" t="inlineStr">
        <is>
          <t>Dorm 2</t>
        </is>
      </c>
      <c r="B117" s="125">
        <f>INDEX(MonthList,INT((ROW()-78)/6)+1)</f>
        <v/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>
        <f>SUMPRODUCT(('Client DB &amp; Bed Mgmt'!$A$5:$A$428=A117)*('Client DB &amp; Bed Mgmt'!$B$5:$B$428=C117)*('Client DB &amp; Bed Mgmt'!$D$5:$D$428&lt;&gt;"")*--(('Client DB &amp; Bed Mgmt'!$M$5:$M$428="")+NOT(ISNUMBER('Client DB &amp; Bed Mgmt'!$M$5:$M$428))+IFERROR('Client DB &amp; Bed Mgmt'!$M$5:$M$428&lt;=EOMONTH(B117,0),FALSE)&gt;0)*--(('Client DB &amp; Bed Mgmt'!$N$5:$N$428="")+NOT(ISNUMBER('Client DB &amp; Bed Mgmt'!$N$5:$N$428))+IFERROR('Client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</f>
        <v/>
      </c>
      <c r="V117" s="129">
        <f>IFERROR(I117/U117,0)</f>
        <v/>
      </c>
      <c r="W117" s="127">
        <f>SUMPRODUCT(('Client DB &amp; Bed Mgmt'!$A$5:$A$428=K117)*('Client DB &amp; Bed Mgmt'!$B$5:$B$428=L117)*('Client DB &amp; Bed Mgmt'!$D$5:$D$428&lt;&gt;"")*--(('Client DB &amp; Bed Mgmt'!$M$5:$M$428="")+NOT(ISNUMBER('Client DB &amp; Bed Mgmt'!$M$5:$M$428))+IFERROR('Client DB &amp; Bed Mgmt'!$M$5:$M$428&lt;=EOMONTH(B117,0),FALSE)&gt;0)*--(('Client DB &amp; Bed Mgmt'!$N$5:$N$428="")+NOT(ISNUMBER('Client DB &amp; Bed Mgmt'!$N$5:$N$428))+IFERROR('Client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</f>
        <v/>
      </c>
      <c r="X117" s="130">
        <f>IFERROR(S117/W117,0)</f>
        <v/>
      </c>
    </row>
    <row r="118" hidden="1" ht="14.25" customHeight="1" s="83">
      <c r="A118" s="103" t="inlineStr">
        <is>
          <t>Dorm 2</t>
        </is>
      </c>
      <c r="B118" s="125">
        <f>INDEX(MonthList,INT((ROW()-78)/6)+1)</f>
        <v/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>
        <f>SUMPRODUCT(('Client DB &amp; Bed Mgmt'!$A$5:$A$428=A118)*('Client DB &amp; Bed Mgmt'!$B$5:$B$428=C118)*('Client DB &amp; Bed Mgmt'!$D$5:$D$428&lt;&gt;"")*--(('Client DB &amp; Bed Mgmt'!$M$5:$M$428="")+NOT(ISNUMBER('Client DB &amp; Bed Mgmt'!$M$5:$M$428))+IFERROR('Client DB &amp; Bed Mgmt'!$M$5:$M$428&lt;=EOMONTH(B118,0),FALSE)&gt;0)*--(('Client DB &amp; Bed Mgmt'!$N$5:$N$428="")+NOT(ISNUMBER('Client DB &amp; Bed Mgmt'!$N$5:$N$428))+IFERROR('Client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</f>
        <v/>
      </c>
      <c r="V118" s="129">
        <f>IFERROR(I118/U118,0)</f>
        <v/>
      </c>
      <c r="W118" s="127">
        <f>SUMPRODUCT(('Client DB &amp; Bed Mgmt'!$A$5:$A$428=K118)*('Client DB &amp; Bed Mgmt'!$B$5:$B$428=L118)*('Client DB &amp; Bed Mgmt'!$D$5:$D$428&lt;&gt;"")*--(('Client DB &amp; Bed Mgmt'!$M$5:$M$428="")+NOT(ISNUMBER('Client DB &amp; Bed Mgmt'!$M$5:$M$428))+IFERROR('Client DB &amp; Bed Mgmt'!$M$5:$M$428&lt;=EOMONTH(B118,0),FALSE)&gt;0)*--(('Client DB &amp; Bed Mgmt'!$N$5:$N$428="")+NOT(ISNUMBER('Client DB &amp; Bed Mgmt'!$N$5:$N$428))+IFERROR('Client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</f>
        <v/>
      </c>
      <c r="X118" s="130">
        <f>IFERROR(S118/W118,0)</f>
        <v/>
      </c>
    </row>
    <row r="119" hidden="1" ht="14.25" customHeight="1" s="83">
      <c r="A119" s="103" t="inlineStr">
        <is>
          <t>Dorm 2</t>
        </is>
      </c>
      <c r="B119" s="125">
        <f>INDEX(MonthList,INT((ROW()-78)/6)+1)</f>
        <v/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>
        <f>SUMPRODUCT(('Client DB &amp; Bed Mgmt'!$A$5:$A$428=A119)*('Client DB &amp; Bed Mgmt'!$B$5:$B$428=C119)*('Client DB &amp; Bed Mgmt'!$D$5:$D$428&lt;&gt;"")*--(('Client DB &amp; Bed Mgmt'!$M$5:$M$428="")+NOT(ISNUMBER('Client DB &amp; Bed Mgmt'!$M$5:$M$428))+IFERROR('Client DB &amp; Bed Mgmt'!$M$5:$M$428&lt;=EOMONTH(B119,0),FALSE)&gt;0)*--(('Client DB &amp; Bed Mgmt'!$N$5:$N$428="")+NOT(ISNUMBER('Client DB &amp; Bed Mgmt'!$N$5:$N$428))+IFERROR('Client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</f>
        <v/>
      </c>
      <c r="V119" s="129">
        <f>IFERROR(I119/U119,0)</f>
        <v/>
      </c>
      <c r="W119" s="127">
        <f>SUMPRODUCT(('Client DB &amp; Bed Mgmt'!$A$5:$A$428=K119)*('Client DB &amp; Bed Mgmt'!$B$5:$B$428=L119)*('Client DB &amp; Bed Mgmt'!$D$5:$D$428&lt;&gt;"")*--(('Client DB &amp; Bed Mgmt'!$M$5:$M$428="")+NOT(ISNUMBER('Client DB &amp; Bed Mgmt'!$M$5:$M$428))+IFERROR('Client DB &amp; Bed Mgmt'!$M$5:$M$428&lt;=EOMONTH(B119,0),FALSE)&gt;0)*--(('Client DB &amp; Bed Mgmt'!$N$5:$N$428="")+NOT(ISNUMBER('Client DB &amp; Bed Mgmt'!$N$5:$N$428))+IFERROR('Client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</f>
        <v/>
      </c>
      <c r="X119" s="130">
        <f>IFERROR(S119/W119,0)</f>
        <v/>
      </c>
    </row>
    <row r="120" hidden="1" ht="14.25" customHeight="1" s="83">
      <c r="A120" s="103" t="inlineStr">
        <is>
          <t>Dorm 2</t>
        </is>
      </c>
      <c r="B120" s="125">
        <f>INDEX(MonthList,INT((ROW()-78)/6)+1)</f>
        <v/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>
        <f>SUMPRODUCT(('Client DB &amp; Bed Mgmt'!$A$5:$A$428=A120)*('Client DB &amp; Bed Mgmt'!$B$5:$B$428=C120)*('Client DB &amp; Bed Mgmt'!$D$5:$D$428&lt;&gt;"")*--(('Client DB &amp; Bed Mgmt'!$M$5:$M$428="")+NOT(ISNUMBER('Client DB &amp; Bed Mgmt'!$M$5:$M$428))+IFERROR('Client DB &amp; Bed Mgmt'!$M$5:$M$428&lt;=EOMONTH(B120,0),FALSE)&gt;0)*--(('Client DB &amp; Bed Mgmt'!$N$5:$N$428="")+NOT(ISNUMBER('Client DB &amp; Bed Mgmt'!$N$5:$N$428))+IFERROR('Client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</f>
        <v/>
      </c>
      <c r="V120" s="129">
        <f>IFERROR(I120/U120,0)</f>
        <v/>
      </c>
      <c r="W120" s="127">
        <f>SUMPRODUCT(('Client DB &amp; Bed Mgmt'!$A$5:$A$428=K120)*('Client DB &amp; Bed Mgmt'!$B$5:$B$428=L120)*('Client DB &amp; Bed Mgmt'!$D$5:$D$428&lt;&gt;"")*--(('Client DB &amp; Bed Mgmt'!$M$5:$M$428="")+NOT(ISNUMBER('Client DB &amp; Bed Mgmt'!$M$5:$M$428))+IFERROR('Client DB &amp; Bed Mgmt'!$M$5:$M$428&lt;=EOMONTH(B120,0),FALSE)&gt;0)*--(('Client DB &amp; Bed Mgmt'!$N$5:$N$428="")+NOT(ISNUMBER('Client DB &amp; Bed Mgmt'!$N$5:$N$428))+IFERROR('Client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</f>
        <v/>
      </c>
      <c r="X120" s="130">
        <f>IFERROR(S120/W120,0)</f>
        <v/>
      </c>
    </row>
    <row r="121" hidden="1" ht="14.25" customHeight="1" s="83">
      <c r="A121" s="103" t="inlineStr">
        <is>
          <t>Dorm 2</t>
        </is>
      </c>
      <c r="B121" s="125">
        <f>INDEX(MonthList,INT((ROW()-78)/6)+1)</f>
        <v/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>
        <f>SUMPRODUCT(('Client DB &amp; Bed Mgmt'!$A$5:$A$428=A121)*('Client DB &amp; Bed Mgmt'!$B$5:$B$428=C121)*('Client DB &amp; Bed Mgmt'!$D$5:$D$428&lt;&gt;"")*--(('Client DB &amp; Bed Mgmt'!$M$5:$M$428="")+NOT(ISNUMBER('Client DB &amp; Bed Mgmt'!$M$5:$M$428))+IFERROR('Client DB &amp; Bed Mgmt'!$M$5:$M$428&lt;=EOMONTH(B121,0),FALSE)&gt;0)*--(('Client DB &amp; Bed Mgmt'!$N$5:$N$428="")+NOT(ISNUMBER('Client DB &amp; Bed Mgmt'!$N$5:$N$428))+IFERROR('Client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</f>
        <v/>
      </c>
      <c r="V121" s="129">
        <f>IFERROR(I121/U121,0)</f>
        <v/>
      </c>
      <c r="W121" s="127">
        <f>SUMPRODUCT(('Client DB &amp; Bed Mgmt'!$A$5:$A$428=K121)*('Client DB &amp; Bed Mgmt'!$B$5:$B$428=L121)*('Client DB &amp; Bed Mgmt'!$D$5:$D$428&lt;&gt;"")*--(('Client DB &amp; Bed Mgmt'!$M$5:$M$428="")+NOT(ISNUMBER('Client DB &amp; Bed Mgmt'!$M$5:$M$428))+IFERROR('Client DB &amp; Bed Mgmt'!$M$5:$M$428&lt;=EOMONTH(B121,0),FALSE)&gt;0)*--(('Client DB &amp; Bed Mgmt'!$N$5:$N$428="")+NOT(ISNUMBER('Client DB &amp; Bed Mgmt'!$N$5:$N$428))+IFERROR('Client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</f>
        <v/>
      </c>
      <c r="X121" s="130">
        <f>IFERROR(S121/W121,0)</f>
        <v/>
      </c>
    </row>
    <row r="122" hidden="1" ht="14.25" customHeight="1" s="83">
      <c r="A122" s="103" t="inlineStr">
        <is>
          <t>Dorm 2</t>
        </is>
      </c>
      <c r="B122" s="125">
        <f>INDEX(MonthList,INT((ROW()-78)/6)+1)</f>
        <v/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>
        <f>SUMPRODUCT(('Client DB &amp; Bed Mgmt'!$A$5:$A$428=A122)*('Client DB &amp; Bed Mgmt'!$B$5:$B$428=C122)*('Client DB &amp; Bed Mgmt'!$D$5:$D$428&lt;&gt;"")*--(('Client DB &amp; Bed Mgmt'!$M$5:$M$428="")+NOT(ISNUMBER('Client DB &amp; Bed Mgmt'!$M$5:$M$428))+IFERROR('Client DB &amp; Bed Mgmt'!$M$5:$M$428&lt;=EOMONTH(B122,0),FALSE)&gt;0)*--(('Client DB &amp; Bed Mgmt'!$N$5:$N$428="")+NOT(ISNUMBER('Client DB &amp; Bed Mgmt'!$N$5:$N$428))+IFERROR('Client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</f>
        <v/>
      </c>
      <c r="V122" s="129">
        <f>IFERROR(I122/U122,0)</f>
        <v/>
      </c>
      <c r="W122" s="127">
        <f>SUMPRODUCT(('Client DB &amp; Bed Mgmt'!$A$5:$A$428=K122)*('Client DB &amp; Bed Mgmt'!$B$5:$B$428=L122)*('Client DB &amp; Bed Mgmt'!$D$5:$D$428&lt;&gt;"")*--(('Client DB &amp; Bed Mgmt'!$M$5:$M$428="")+NOT(ISNUMBER('Client DB &amp; Bed Mgmt'!$M$5:$M$428))+IFERROR('Client DB &amp; Bed Mgmt'!$M$5:$M$428&lt;=EOMONTH(B122,0),FALSE)&gt;0)*--(('Client DB &amp; Bed Mgmt'!$N$5:$N$428="")+NOT(ISNUMBER('Client DB &amp; Bed Mgmt'!$N$5:$N$428))+IFERROR('Client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</f>
        <v/>
      </c>
      <c r="X122" s="130">
        <f>IFERROR(S122/W122,0)</f>
        <v/>
      </c>
    </row>
    <row r="123" hidden="1" ht="14.25" customHeight="1" s="83">
      <c r="A123" s="103" t="inlineStr">
        <is>
          <t>Dorm 2</t>
        </is>
      </c>
      <c r="B123" s="125">
        <f>INDEX(MonthList,INT((ROW()-78)/6)+1)</f>
        <v/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>
        <f>SUMPRODUCT(('Client DB &amp; Bed Mgmt'!$A$5:$A$428=A123)*('Client DB &amp; Bed Mgmt'!$B$5:$B$428=C123)*('Client DB &amp; Bed Mgmt'!$D$5:$D$428&lt;&gt;"")*--(('Client DB &amp; Bed Mgmt'!$M$5:$M$428="")+NOT(ISNUMBER('Client DB &amp; Bed Mgmt'!$M$5:$M$428))+IFERROR('Client DB &amp; Bed Mgmt'!$M$5:$M$428&lt;=EOMONTH(B123,0),FALSE)&gt;0)*--(('Client DB &amp; Bed Mgmt'!$N$5:$N$428="")+NOT(ISNUMBER('Client DB &amp; Bed Mgmt'!$N$5:$N$428))+IFERROR('Client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</f>
        <v/>
      </c>
      <c r="V123" s="129">
        <f>IFERROR(I123/U123,0)</f>
        <v/>
      </c>
      <c r="W123" s="127">
        <f>SUMPRODUCT(('Client DB &amp; Bed Mgmt'!$A$5:$A$428=K123)*('Client DB &amp; Bed Mgmt'!$B$5:$B$428=L123)*('Client DB &amp; Bed Mgmt'!$D$5:$D$428&lt;&gt;"")*--(('Client DB &amp; Bed Mgmt'!$M$5:$M$428="")+NOT(ISNUMBER('Client DB &amp; Bed Mgmt'!$M$5:$M$428))+IFERROR('Client DB &amp; Bed Mgmt'!$M$5:$M$428&lt;=EOMONTH(B123,0),FALSE)&gt;0)*--(('Client DB &amp; Bed Mgmt'!$N$5:$N$428="")+NOT(ISNUMBER('Client DB &amp; Bed Mgmt'!$N$5:$N$428))+IFERROR('Client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</f>
        <v/>
      </c>
      <c r="X123" s="130">
        <f>IFERROR(S123/W123,0)</f>
        <v/>
      </c>
    </row>
    <row r="124" hidden="1" ht="14.25" customHeight="1" s="83">
      <c r="A124" s="103" t="inlineStr">
        <is>
          <t>Dorm 2</t>
        </is>
      </c>
      <c r="B124" s="125">
        <f>INDEX(MonthList,INT((ROW()-78)/6)+1)</f>
        <v/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>
        <f>SUMPRODUCT(('Client DB &amp; Bed Mgmt'!$A$5:$A$428=A124)*('Client DB &amp; Bed Mgmt'!$B$5:$B$428=C124)*('Client DB &amp; Bed Mgmt'!$D$5:$D$428&lt;&gt;"")*--(('Client DB &amp; Bed Mgmt'!$M$5:$M$428="")+NOT(ISNUMBER('Client DB &amp; Bed Mgmt'!$M$5:$M$428))+IFERROR('Client DB &amp; Bed Mgmt'!$M$5:$M$428&lt;=EOMONTH(B124,0),FALSE)&gt;0)*--(('Client DB &amp; Bed Mgmt'!$N$5:$N$428="")+NOT(ISNUMBER('Client DB &amp; Bed Mgmt'!$N$5:$N$428))+IFERROR('Client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</f>
        <v/>
      </c>
      <c r="V124" s="129">
        <f>IFERROR(I124/U124,0)</f>
        <v/>
      </c>
      <c r="W124" s="127">
        <f>SUMPRODUCT(('Client DB &amp; Bed Mgmt'!$A$5:$A$428=K124)*('Client DB &amp; Bed Mgmt'!$B$5:$B$428=L124)*('Client DB &amp; Bed Mgmt'!$D$5:$D$428&lt;&gt;"")*--(('Client DB &amp; Bed Mgmt'!$M$5:$M$428="")+NOT(ISNUMBER('Client DB &amp; Bed Mgmt'!$M$5:$M$428))+IFERROR('Client DB &amp; Bed Mgmt'!$M$5:$M$428&lt;=EOMONTH(B124,0),FALSE)&gt;0)*--(('Client DB &amp; Bed Mgmt'!$N$5:$N$428="")+NOT(ISNUMBER('Client DB &amp; Bed Mgmt'!$N$5:$N$428))+IFERROR('Client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</f>
        <v/>
      </c>
      <c r="X124" s="130">
        <f>IFERROR(S124/W124,0)</f>
        <v/>
      </c>
    </row>
    <row r="125" hidden="1" ht="14.25" customHeight="1" s="83">
      <c r="A125" s="103" t="inlineStr">
        <is>
          <t>Dorm 2</t>
        </is>
      </c>
      <c r="B125" s="125">
        <f>INDEX(MonthList,INT((ROW()-78)/6)+1)</f>
        <v/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>
        <f>SUMPRODUCT(('Client DB &amp; Bed Mgmt'!$A$5:$A$428=A125)*('Client DB &amp; Bed Mgmt'!$B$5:$B$428=C125)*('Client DB &amp; Bed Mgmt'!$D$5:$D$428&lt;&gt;"")*--(('Client DB &amp; Bed Mgmt'!$M$5:$M$428="")+NOT(ISNUMBER('Client DB &amp; Bed Mgmt'!$M$5:$M$428))+IFERROR('Client DB &amp; Bed Mgmt'!$M$5:$M$428&lt;=EOMONTH(B125,0),FALSE)&gt;0)*--(('Client DB &amp; Bed Mgmt'!$N$5:$N$428="")+NOT(ISNUMBER('Client DB &amp; Bed Mgmt'!$N$5:$N$428))+IFERROR('Client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</f>
        <v/>
      </c>
      <c r="V125" s="129">
        <f>IFERROR(I125/U125,0)</f>
        <v/>
      </c>
      <c r="W125" s="127">
        <f>SUMPRODUCT(('Client DB &amp; Bed Mgmt'!$A$5:$A$428=K125)*('Client DB &amp; Bed Mgmt'!$B$5:$B$428=L125)*('Client DB &amp; Bed Mgmt'!$D$5:$D$428&lt;&gt;"")*--(('Client DB &amp; Bed Mgmt'!$M$5:$M$428="")+NOT(ISNUMBER('Client DB &amp; Bed Mgmt'!$M$5:$M$428))+IFERROR('Client DB &amp; Bed Mgmt'!$M$5:$M$428&lt;=EOMONTH(B125,0),FALSE)&gt;0)*--(('Client DB &amp; Bed Mgmt'!$N$5:$N$428="")+NOT(ISNUMBER('Client DB &amp; Bed Mgmt'!$N$5:$N$428))+IFERROR('Client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</f>
        <v/>
      </c>
      <c r="X125" s="130">
        <f>IFERROR(S125/W125,0)</f>
        <v/>
      </c>
    </row>
    <row r="126" hidden="1" ht="14.25" customHeight="1" s="83">
      <c r="A126" s="103" t="inlineStr">
        <is>
          <t>Dorm 2</t>
        </is>
      </c>
      <c r="B126" s="125">
        <f>INDEX(MonthList,INT((ROW()-78)/6)+1)</f>
        <v/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>
        <f>SUMPRODUCT(('Client DB &amp; Bed Mgmt'!$A$5:$A$428=A126)*('Client DB &amp; Bed Mgmt'!$B$5:$B$428=C126)*('Client DB &amp; Bed Mgmt'!$D$5:$D$428&lt;&gt;"")*--(('Client DB &amp; Bed Mgmt'!$M$5:$M$428="")+NOT(ISNUMBER('Client DB &amp; Bed Mgmt'!$M$5:$M$428))+IFERROR('Client DB &amp; Bed Mgmt'!$M$5:$M$428&lt;=EOMONTH(B126,0),FALSE)&gt;0)*--(('Client DB &amp; Bed Mgmt'!$N$5:$N$428="")+NOT(ISNUMBER('Client DB &amp; Bed Mgmt'!$N$5:$N$428))+IFERROR('Client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</f>
        <v/>
      </c>
      <c r="V126" s="129">
        <f>IFERROR(I126/U126,0)</f>
        <v/>
      </c>
      <c r="W126" s="127">
        <f>SUMPRODUCT(('Client DB &amp; Bed Mgmt'!$A$5:$A$428=K126)*('Client DB &amp; Bed Mgmt'!$B$5:$B$428=L126)*('Client DB &amp; Bed Mgmt'!$D$5:$D$428&lt;&gt;"")*--(('Client DB &amp; Bed Mgmt'!$M$5:$M$428="")+NOT(ISNUMBER('Client DB &amp; Bed Mgmt'!$M$5:$M$428))+IFERROR('Client DB &amp; Bed Mgmt'!$M$5:$M$428&lt;=EOMONTH(B126,0),FALSE)&gt;0)*--(('Client DB &amp; Bed Mgmt'!$N$5:$N$428="")+NOT(ISNUMBER('Client DB &amp; Bed Mgmt'!$N$5:$N$428))+IFERROR('Client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</f>
        <v/>
      </c>
      <c r="X126" s="130">
        <f>IFERROR(S126/W126,0)</f>
        <v/>
      </c>
    </row>
    <row r="127" hidden="1" ht="14.25" customHeight="1" s="83">
      <c r="A127" s="103" t="inlineStr">
        <is>
          <t>Dorm 2</t>
        </is>
      </c>
      <c r="B127" s="125">
        <f>INDEX(MonthList,INT((ROW()-78)/6)+1)</f>
        <v/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>
        <f>SUMPRODUCT(('Client DB &amp; Bed Mgmt'!$A$5:$A$428=A127)*('Client DB &amp; Bed Mgmt'!$B$5:$B$428=C127)*('Client DB &amp; Bed Mgmt'!$D$5:$D$428&lt;&gt;"")*--(('Client DB &amp; Bed Mgmt'!$M$5:$M$428="")+NOT(ISNUMBER('Client DB &amp; Bed Mgmt'!$M$5:$M$428))+IFERROR('Client DB &amp; Bed Mgmt'!$M$5:$M$428&lt;=EOMONTH(B127,0),FALSE)&gt;0)*--(('Client DB &amp; Bed Mgmt'!$N$5:$N$428="")+NOT(ISNUMBER('Client DB &amp; Bed Mgmt'!$N$5:$N$428))+IFERROR('Client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</f>
        <v/>
      </c>
      <c r="V127" s="129">
        <f>IFERROR(I127/U127,0)</f>
        <v/>
      </c>
      <c r="W127" s="127">
        <f>SUMPRODUCT(('Client DB &amp; Bed Mgmt'!$A$5:$A$428=K127)*('Client DB &amp; Bed Mgmt'!$B$5:$B$428=L127)*('Client DB &amp; Bed Mgmt'!$D$5:$D$428&lt;&gt;"")*--(('Client DB &amp; Bed Mgmt'!$M$5:$M$428="")+NOT(ISNUMBER('Client DB &amp; Bed Mgmt'!$M$5:$M$428))+IFERROR('Client DB &amp; Bed Mgmt'!$M$5:$M$428&lt;=EOMONTH(B127,0),FALSE)&gt;0)*--(('Client DB &amp; Bed Mgmt'!$N$5:$N$428="")+NOT(ISNUMBER('Client DB &amp; Bed Mgmt'!$N$5:$N$428))+IFERROR('Client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</f>
        <v/>
      </c>
      <c r="X127" s="130">
        <f>IFERROR(S127/W127,0)</f>
        <v/>
      </c>
    </row>
    <row r="128" hidden="1" ht="14.25" customHeight="1" s="83">
      <c r="A128" s="103" t="inlineStr">
        <is>
          <t>Dorm 2</t>
        </is>
      </c>
      <c r="B128" s="125">
        <f>INDEX(MonthList,INT((ROW()-78)/6)+1)</f>
        <v/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>
        <f>SUMPRODUCT(('Client DB &amp; Bed Mgmt'!$A$5:$A$428=A128)*('Client DB &amp; Bed Mgmt'!$B$5:$B$428=C128)*('Client DB &amp; Bed Mgmt'!$D$5:$D$428&lt;&gt;"")*--(('Client DB &amp; Bed Mgmt'!$M$5:$M$428="")+NOT(ISNUMBER('Client DB &amp; Bed Mgmt'!$M$5:$M$428))+IFERROR('Client DB &amp; Bed Mgmt'!$M$5:$M$428&lt;=EOMONTH(B128,0),FALSE)&gt;0)*--(('Client DB &amp; Bed Mgmt'!$N$5:$N$428="")+NOT(ISNUMBER('Client DB &amp; Bed Mgmt'!$N$5:$N$428))+IFERROR('Client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</f>
        <v/>
      </c>
      <c r="V128" s="129">
        <f>IFERROR(I128/U128,0)</f>
        <v/>
      </c>
      <c r="W128" s="127">
        <f>SUMPRODUCT(('Client DB &amp; Bed Mgmt'!$A$5:$A$428=K128)*('Client DB &amp; Bed Mgmt'!$B$5:$B$428=L128)*('Client DB &amp; Bed Mgmt'!$D$5:$D$428&lt;&gt;"")*--(('Client DB &amp; Bed Mgmt'!$M$5:$M$428="")+NOT(ISNUMBER('Client DB &amp; Bed Mgmt'!$M$5:$M$428))+IFERROR('Client DB &amp; Bed Mgmt'!$M$5:$M$428&lt;=EOMONTH(B128,0),FALSE)&gt;0)*--(('Client DB &amp; Bed Mgmt'!$N$5:$N$428="")+NOT(ISNUMBER('Client DB &amp; Bed Mgmt'!$N$5:$N$428))+IFERROR('Client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</f>
        <v/>
      </c>
      <c r="X128" s="130">
        <f>IFERROR(S128/W128,0)</f>
        <v/>
      </c>
    </row>
    <row r="129" hidden="1" ht="14.25" customHeight="1" s="83">
      <c r="A129" s="103" t="inlineStr">
        <is>
          <t>Dorm 2</t>
        </is>
      </c>
      <c r="B129" s="125">
        <f>INDEX(MonthList,INT((ROW()-78)/6)+1)</f>
        <v/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>
        <f>SUMPRODUCT(('Client DB &amp; Bed Mgmt'!$A$5:$A$428=A129)*('Client DB &amp; Bed Mgmt'!$B$5:$B$428=C129)*('Client DB &amp; Bed Mgmt'!$D$5:$D$428&lt;&gt;"")*--(('Client DB &amp; Bed Mgmt'!$M$5:$M$428="")+NOT(ISNUMBER('Client DB &amp; Bed Mgmt'!$M$5:$M$428))+IFERROR('Client DB &amp; Bed Mgmt'!$M$5:$M$428&lt;=EOMONTH(B129,0),FALSE)&gt;0)*--(('Client DB &amp; Bed Mgmt'!$N$5:$N$428="")+NOT(ISNUMBER('Client DB &amp; Bed Mgmt'!$N$5:$N$428))+IFERROR('Client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</f>
        <v/>
      </c>
      <c r="V129" s="129">
        <f>IFERROR(I129/U129,0)</f>
        <v/>
      </c>
      <c r="W129" s="127">
        <f>SUMPRODUCT(('Client DB &amp; Bed Mgmt'!$A$5:$A$428=K129)*('Client DB &amp; Bed Mgmt'!$B$5:$B$428=L129)*('Client DB &amp; Bed Mgmt'!$D$5:$D$428&lt;&gt;"")*--(('Client DB &amp; Bed Mgmt'!$M$5:$M$428="")+NOT(ISNUMBER('Client DB &amp; Bed Mgmt'!$M$5:$M$428))+IFERROR('Client DB &amp; Bed Mgmt'!$M$5:$M$428&lt;=EOMONTH(B129,0),FALSE)&gt;0)*--(('Client DB &amp; Bed Mgmt'!$N$5:$N$428="")+NOT(ISNUMBER('Client DB &amp; Bed Mgmt'!$N$5:$N$428))+IFERROR('Client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</f>
        <v/>
      </c>
      <c r="X129" s="130">
        <f>IFERROR(S129/W129,0)</f>
        <v/>
      </c>
    </row>
    <row r="130" hidden="1" ht="14.25" customHeight="1" s="83">
      <c r="A130" s="103" t="inlineStr">
        <is>
          <t>Dorm 2</t>
        </is>
      </c>
      <c r="B130" s="125">
        <f>INDEX(MonthList,INT((ROW()-78)/6)+1)</f>
        <v/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>
        <f>SUMPRODUCT(('Client DB &amp; Bed Mgmt'!$A$5:$A$428=A130)*('Client DB &amp; Bed Mgmt'!$B$5:$B$428=C130)*('Client DB &amp; Bed Mgmt'!$D$5:$D$428&lt;&gt;"")*--(('Client DB &amp; Bed Mgmt'!$M$5:$M$428="")+NOT(ISNUMBER('Client DB &amp; Bed Mgmt'!$M$5:$M$428))+IFERROR('Client DB &amp; Bed Mgmt'!$M$5:$M$428&lt;=EOMONTH(B130,0),FALSE)&gt;0)*--(('Client DB &amp; Bed Mgmt'!$N$5:$N$428="")+NOT(ISNUMBER('Client DB &amp; Bed Mgmt'!$N$5:$N$428))+IFERROR('Client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</f>
        <v/>
      </c>
      <c r="V130" s="129">
        <f>IFERROR(I130/U130,0)</f>
        <v/>
      </c>
      <c r="W130" s="127">
        <f>SUMPRODUCT(('Client DB &amp; Bed Mgmt'!$A$5:$A$428=K130)*('Client DB &amp; Bed Mgmt'!$B$5:$B$428=L130)*('Client DB &amp; Bed Mgmt'!$D$5:$D$428&lt;&gt;"")*--(('Client DB &amp; Bed Mgmt'!$M$5:$M$428="")+NOT(ISNUMBER('Client DB &amp; Bed Mgmt'!$M$5:$M$428))+IFERROR('Client DB &amp; Bed Mgmt'!$M$5:$M$428&lt;=EOMONTH(B130,0),FALSE)&gt;0)*--(('Client DB &amp; Bed Mgmt'!$N$5:$N$428="")+NOT(ISNUMBER('Client DB &amp; Bed Mgmt'!$N$5:$N$428))+IFERROR('Client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</f>
        <v/>
      </c>
      <c r="X130" s="130">
        <f>IFERROR(S130/W130,0)</f>
        <v/>
      </c>
    </row>
    <row r="131" hidden="1" ht="14.25" customHeight="1" s="83">
      <c r="A131" s="103" t="inlineStr">
        <is>
          <t>Dorm 2</t>
        </is>
      </c>
      <c r="B131" s="125">
        <f>INDEX(MonthList,INT((ROW()-78)/6)+1)</f>
        <v/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>
        <f>SUMPRODUCT(('Client DB &amp; Bed Mgmt'!$A$5:$A$428=A131)*('Client DB &amp; Bed Mgmt'!$B$5:$B$428=C131)*('Client DB &amp; Bed Mgmt'!$D$5:$D$428&lt;&gt;"")*--(('Client DB &amp; Bed Mgmt'!$M$5:$M$428="")+NOT(ISNUMBER('Client DB &amp; Bed Mgmt'!$M$5:$M$428))+IFERROR('Client DB &amp; Bed Mgmt'!$M$5:$M$428&lt;=EOMONTH(B131,0),FALSE)&gt;0)*--(('Client DB &amp; Bed Mgmt'!$N$5:$N$428="")+NOT(ISNUMBER('Client DB &amp; Bed Mgmt'!$N$5:$N$428))+IFERROR('Client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</f>
        <v/>
      </c>
      <c r="V131" s="129">
        <f>IFERROR(I131/U131,0)</f>
        <v/>
      </c>
      <c r="W131" s="127">
        <f>SUMPRODUCT(('Client DB &amp; Bed Mgmt'!$A$5:$A$428=K131)*('Client DB &amp; Bed Mgmt'!$B$5:$B$428=L131)*('Client DB &amp; Bed Mgmt'!$D$5:$D$428&lt;&gt;"")*--(('Client DB &amp; Bed Mgmt'!$M$5:$M$428="")+NOT(ISNUMBER('Client DB &amp; Bed Mgmt'!$M$5:$M$428))+IFERROR('Client DB &amp; Bed Mgmt'!$M$5:$M$428&lt;=EOMONTH(B131,0),FALSE)&gt;0)*--(('Client DB &amp; Bed Mgmt'!$N$5:$N$428="")+NOT(ISNUMBER('Client DB &amp; Bed Mgmt'!$N$5:$N$428))+IFERROR('Client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</f>
        <v/>
      </c>
      <c r="X131" s="130">
        <f>IFERROR(S131/W131,0)</f>
        <v/>
      </c>
    </row>
    <row r="132" hidden="1" ht="14.25" customHeight="1" s="83">
      <c r="A132" s="103" t="inlineStr">
        <is>
          <t>Dorm 2</t>
        </is>
      </c>
      <c r="B132" s="125">
        <f>INDEX(MonthList,INT((ROW()-78)/6)+1)</f>
        <v/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>
        <f>SUMPRODUCT(('Client DB &amp; Bed Mgmt'!$A$5:$A$428=A132)*('Client DB &amp; Bed Mgmt'!$B$5:$B$428=C132)*('Client DB &amp; Bed Mgmt'!$D$5:$D$428&lt;&gt;"")*--(('Client DB &amp; Bed Mgmt'!$M$5:$M$428="")+NOT(ISNUMBER('Client DB &amp; Bed Mgmt'!$M$5:$M$428))+IFERROR('Client DB &amp; Bed Mgmt'!$M$5:$M$428&lt;=EOMONTH(B132,0),FALSE)&gt;0)*--(('Client DB &amp; Bed Mgmt'!$N$5:$N$428="")+NOT(ISNUMBER('Client DB &amp; Bed Mgmt'!$N$5:$N$428))+IFERROR('Client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</f>
        <v/>
      </c>
      <c r="V132" s="129">
        <f>IFERROR(I132/U132,0)</f>
        <v/>
      </c>
      <c r="W132" s="127">
        <f>SUMPRODUCT(('Client DB &amp; Bed Mgmt'!$A$5:$A$428=K132)*('Client DB &amp; Bed Mgmt'!$B$5:$B$428=L132)*('Client DB &amp; Bed Mgmt'!$D$5:$D$428&lt;&gt;"")*--(('Client DB &amp; Bed Mgmt'!$M$5:$M$428="")+NOT(ISNUMBER('Client DB &amp; Bed Mgmt'!$M$5:$M$428))+IFERROR('Client DB &amp; Bed Mgmt'!$M$5:$M$428&lt;=EOMONTH(B132,0),FALSE)&gt;0)*--(('Client DB &amp; Bed Mgmt'!$N$5:$N$428="")+NOT(ISNUMBER('Client DB &amp; Bed Mgmt'!$N$5:$N$428))+IFERROR('Client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</f>
        <v/>
      </c>
      <c r="X132" s="130">
        <f>IFERROR(S132/W132,0)</f>
        <v/>
      </c>
    </row>
    <row r="133" hidden="1" ht="14.25" customHeight="1" s="83">
      <c r="A133" s="103" t="inlineStr">
        <is>
          <t>Dorm 2</t>
        </is>
      </c>
      <c r="B133" s="125">
        <f>INDEX(MonthList,INT((ROW()-78)/6)+1)</f>
        <v/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>
        <f>SUMPRODUCT(('Client DB &amp; Bed Mgmt'!$A$5:$A$428=A133)*('Client DB &amp; Bed Mgmt'!$B$5:$B$428=C133)*('Client DB &amp; Bed Mgmt'!$D$5:$D$428&lt;&gt;"")*--(('Client DB &amp; Bed Mgmt'!$M$5:$M$428="")+NOT(ISNUMBER('Client DB &amp; Bed Mgmt'!$M$5:$M$428))+IFERROR('Client DB &amp; Bed Mgmt'!$M$5:$M$428&lt;=EOMONTH(B133,0),FALSE)&gt;0)*--(('Client DB &amp; Bed Mgmt'!$N$5:$N$428="")+NOT(ISNUMBER('Client DB &amp; Bed Mgmt'!$N$5:$N$428))+IFERROR('Client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</f>
        <v/>
      </c>
      <c r="V133" s="129">
        <f>IFERROR(I133/U133,0)</f>
        <v/>
      </c>
      <c r="W133" s="127">
        <f>SUMPRODUCT(('Client DB &amp; Bed Mgmt'!$A$5:$A$428=K133)*('Client DB &amp; Bed Mgmt'!$B$5:$B$428=L133)*('Client DB &amp; Bed Mgmt'!$D$5:$D$428&lt;&gt;"")*--(('Client DB &amp; Bed Mgmt'!$M$5:$M$428="")+NOT(ISNUMBER('Client DB &amp; Bed Mgmt'!$M$5:$M$428))+IFERROR('Client DB &amp; Bed Mgmt'!$M$5:$M$428&lt;=EOMONTH(B133,0),FALSE)&gt;0)*--(('Client DB &amp; Bed Mgmt'!$N$5:$N$428="")+NOT(ISNUMBER('Client DB &amp; Bed Mgmt'!$N$5:$N$428))+IFERROR('Client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</f>
        <v/>
      </c>
      <c r="X133" s="130">
        <f>IFERROR(S133/W133,0)</f>
        <v/>
      </c>
    </row>
    <row r="134" hidden="1" ht="14.25" customHeight="1" s="83">
      <c r="A134" s="103" t="inlineStr">
        <is>
          <t>Dorm 2</t>
        </is>
      </c>
      <c r="B134" s="125">
        <f>INDEX(MonthList,INT((ROW()-78)/6)+1)</f>
        <v/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>
        <f>SUMPRODUCT(('Client DB &amp; Bed Mgmt'!$A$5:$A$428=A134)*('Client DB &amp; Bed Mgmt'!$B$5:$B$428=C134)*('Client DB &amp; Bed Mgmt'!$D$5:$D$428&lt;&gt;"")*--(('Client DB &amp; Bed Mgmt'!$M$5:$M$428="")+NOT(ISNUMBER('Client DB &amp; Bed Mgmt'!$M$5:$M$428))+IFERROR('Client DB &amp; Bed Mgmt'!$M$5:$M$428&lt;=EOMONTH(B134,0),FALSE)&gt;0)*--(('Client DB &amp; Bed Mgmt'!$N$5:$N$428="")+NOT(ISNUMBER('Client DB &amp; Bed Mgmt'!$N$5:$N$428))+IFERROR('Client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</f>
        <v/>
      </c>
      <c r="V134" s="129">
        <f>IFERROR(I134/U134,0)</f>
        <v/>
      </c>
      <c r="W134" s="127">
        <f>SUMPRODUCT(('Client DB &amp; Bed Mgmt'!$A$5:$A$428=K134)*('Client DB &amp; Bed Mgmt'!$B$5:$B$428=L134)*('Client DB &amp; Bed Mgmt'!$D$5:$D$428&lt;&gt;"")*--(('Client DB &amp; Bed Mgmt'!$M$5:$M$428="")+NOT(ISNUMBER('Client DB &amp; Bed Mgmt'!$M$5:$M$428))+IFERROR('Client DB &amp; Bed Mgmt'!$M$5:$M$428&lt;=EOMONTH(B134,0),FALSE)&gt;0)*--(('Client DB &amp; Bed Mgmt'!$N$5:$N$428="")+NOT(ISNUMBER('Client DB &amp; Bed Mgmt'!$N$5:$N$428))+IFERROR('Client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</f>
        <v/>
      </c>
      <c r="X134" s="130">
        <f>IFERROR(S134/W134,0)</f>
        <v/>
      </c>
    </row>
    <row r="135" hidden="1" ht="14.25" customHeight="1" s="83">
      <c r="A135" s="103" t="inlineStr">
        <is>
          <t>Dorm 2</t>
        </is>
      </c>
      <c r="B135" s="125">
        <f>INDEX(MonthList,INT((ROW()-78)/6)+1)</f>
        <v/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>
        <f>SUMPRODUCT(('Client DB &amp; Bed Mgmt'!$A$5:$A$428=A135)*('Client DB &amp; Bed Mgmt'!$B$5:$B$428=C135)*('Client DB &amp; Bed Mgmt'!$D$5:$D$428&lt;&gt;"")*--(('Client DB &amp; Bed Mgmt'!$M$5:$M$428="")+NOT(ISNUMBER('Client DB &amp; Bed Mgmt'!$M$5:$M$428))+IFERROR('Client DB &amp; Bed Mgmt'!$M$5:$M$428&lt;=EOMONTH(B135,0),FALSE)&gt;0)*--(('Client DB &amp; Bed Mgmt'!$N$5:$N$428="")+NOT(ISNUMBER('Client DB &amp; Bed Mgmt'!$N$5:$N$428))+IFERROR('Client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</f>
        <v/>
      </c>
      <c r="V135" s="129">
        <f>IFERROR(I135/U135,0)</f>
        <v/>
      </c>
      <c r="W135" s="127">
        <f>SUMPRODUCT(('Client DB &amp; Bed Mgmt'!$A$5:$A$428=K135)*('Client DB &amp; Bed Mgmt'!$B$5:$B$428=L135)*('Client DB &amp; Bed Mgmt'!$D$5:$D$428&lt;&gt;"")*--(('Client DB &amp; Bed Mgmt'!$M$5:$M$428="")+NOT(ISNUMBER('Client DB &amp; Bed Mgmt'!$M$5:$M$428))+IFERROR('Client DB &amp; Bed Mgmt'!$M$5:$M$428&lt;=EOMONTH(B135,0),FALSE)&gt;0)*--(('Client DB &amp; Bed Mgmt'!$N$5:$N$428="")+NOT(ISNUMBER('Client DB &amp; Bed Mgmt'!$N$5:$N$428))+IFERROR('Client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</f>
        <v/>
      </c>
      <c r="X135" s="130">
        <f>IFERROR(S135/W135,0)</f>
        <v/>
      </c>
    </row>
    <row r="136" hidden="1" ht="14.25" customHeight="1" s="83">
      <c r="A136" s="103" t="inlineStr">
        <is>
          <t>Dorm 2</t>
        </is>
      </c>
      <c r="B136" s="125">
        <f>INDEX(MonthList,INT((ROW()-78)/6)+1)</f>
        <v/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>
        <f>SUMPRODUCT(('Client DB &amp; Bed Mgmt'!$A$5:$A$428=A136)*('Client DB &amp; Bed Mgmt'!$B$5:$B$428=C136)*('Client DB &amp; Bed Mgmt'!$D$5:$D$428&lt;&gt;"")*--(('Client DB &amp; Bed Mgmt'!$M$5:$M$428="")+NOT(ISNUMBER('Client DB &amp; Bed Mgmt'!$M$5:$M$428))+IFERROR('Client DB &amp; Bed Mgmt'!$M$5:$M$428&lt;=EOMONTH(B136,0),FALSE)&gt;0)*--(('Client DB &amp; Bed Mgmt'!$N$5:$N$428="")+NOT(ISNUMBER('Client DB &amp; Bed Mgmt'!$N$5:$N$428))+IFERROR('Client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</f>
        <v/>
      </c>
      <c r="V136" s="129">
        <f>IFERROR(I136/U136,0)</f>
        <v/>
      </c>
      <c r="W136" s="127">
        <f>SUMPRODUCT(('Client DB &amp; Bed Mgmt'!$A$5:$A$428=K136)*('Client DB &amp; Bed Mgmt'!$B$5:$B$428=L136)*('Client DB &amp; Bed Mgmt'!$D$5:$D$428&lt;&gt;"")*--(('Client DB &amp; Bed Mgmt'!$M$5:$M$428="")+NOT(ISNUMBER('Client DB &amp; Bed Mgmt'!$M$5:$M$428))+IFERROR('Client DB &amp; Bed Mgmt'!$M$5:$M$428&lt;=EOMONTH(B136,0),FALSE)&gt;0)*--(('Client DB &amp; Bed Mgmt'!$N$5:$N$428="")+NOT(ISNUMBER('Client DB &amp; Bed Mgmt'!$N$5:$N$428))+IFERROR('Client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</f>
        <v/>
      </c>
      <c r="X136" s="130">
        <f>IFERROR(S136/W136,0)</f>
        <v/>
      </c>
    </row>
    <row r="137" hidden="1" ht="14.25" customHeight="1" s="83">
      <c r="A137" s="103" t="inlineStr">
        <is>
          <t>Dorm 2</t>
        </is>
      </c>
      <c r="B137" s="125">
        <f>INDEX(MonthList,INT((ROW()-78)/6)+1)</f>
        <v/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>
        <f>SUMPRODUCT(('Client DB &amp; Bed Mgmt'!$A$5:$A$428=A137)*('Client DB &amp; Bed Mgmt'!$B$5:$B$428=C137)*('Client DB &amp; Bed Mgmt'!$D$5:$D$428&lt;&gt;"")*--(('Client DB &amp; Bed Mgmt'!$M$5:$M$428="")+NOT(ISNUMBER('Client DB &amp; Bed Mgmt'!$M$5:$M$428))+IFERROR('Client DB &amp; Bed Mgmt'!$M$5:$M$428&lt;=EOMONTH(B137,0),FALSE)&gt;0)*--(('Client DB &amp; Bed Mgmt'!$N$5:$N$428="")+NOT(ISNUMBER('Client DB &amp; Bed Mgmt'!$N$5:$N$428))+IFERROR('Client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</f>
        <v/>
      </c>
      <c r="V137" s="129">
        <f>IFERROR(I137/U137,0)</f>
        <v/>
      </c>
      <c r="W137" s="127">
        <f>SUMPRODUCT(('Client DB &amp; Bed Mgmt'!$A$5:$A$428=K137)*('Client DB &amp; Bed Mgmt'!$B$5:$B$428=L137)*('Client DB &amp; Bed Mgmt'!$D$5:$D$428&lt;&gt;"")*--(('Client DB &amp; Bed Mgmt'!$M$5:$M$428="")+NOT(ISNUMBER('Client DB &amp; Bed Mgmt'!$M$5:$M$428))+IFERROR('Client DB &amp; Bed Mgmt'!$M$5:$M$428&lt;=EOMONTH(B137,0),FALSE)&gt;0)*--(('Client DB &amp; Bed Mgmt'!$N$5:$N$428="")+NOT(ISNUMBER('Client DB &amp; Bed Mgmt'!$N$5:$N$428))+IFERROR('Client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</f>
        <v/>
      </c>
      <c r="X137" s="130">
        <f>IFERROR(S137/W137,0)</f>
        <v/>
      </c>
    </row>
    <row r="138" hidden="1" ht="14.25" customHeight="1" s="83">
      <c r="A138" s="103" t="inlineStr">
        <is>
          <t>Dorm 2</t>
        </is>
      </c>
      <c r="B138" s="125">
        <f>INDEX(MonthList,INT((ROW()-78)/6)+1)</f>
        <v/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>
        <f>SUMPRODUCT(('Client DB &amp; Bed Mgmt'!$A$5:$A$428=A138)*('Client DB &amp; Bed Mgmt'!$B$5:$B$428=C138)*('Client DB &amp; Bed Mgmt'!$D$5:$D$428&lt;&gt;"")*--(('Client DB &amp; Bed Mgmt'!$M$5:$M$428="")+NOT(ISNUMBER('Client DB &amp; Bed Mgmt'!$M$5:$M$428))+IFERROR('Client DB &amp; Bed Mgmt'!$M$5:$M$428&lt;=EOMONTH(B138,0),FALSE)&gt;0)*--(('Client DB &amp; Bed Mgmt'!$N$5:$N$428="")+NOT(ISNUMBER('Client DB &amp; Bed Mgmt'!$N$5:$N$428))+IFERROR('Client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</f>
        <v/>
      </c>
      <c r="V138" s="129">
        <f>IFERROR(I138/U138,0)</f>
        <v/>
      </c>
      <c r="W138" s="127">
        <f>SUMPRODUCT(('Client DB &amp; Bed Mgmt'!$A$5:$A$428=K138)*('Client DB &amp; Bed Mgmt'!$B$5:$B$428=L138)*('Client DB &amp; Bed Mgmt'!$D$5:$D$428&lt;&gt;"")*--(('Client DB &amp; Bed Mgmt'!$M$5:$M$428="")+NOT(ISNUMBER('Client DB &amp; Bed Mgmt'!$M$5:$M$428))+IFERROR('Client DB &amp; Bed Mgmt'!$M$5:$M$428&lt;=EOMONTH(B138,0),FALSE)&gt;0)*--(('Client DB &amp; Bed Mgmt'!$N$5:$N$428="")+NOT(ISNUMBER('Client DB &amp; Bed Mgmt'!$N$5:$N$428))+IFERROR('Client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</f>
        <v/>
      </c>
      <c r="X138" s="130">
        <f>IFERROR(S138/W138,0)</f>
        <v/>
      </c>
    </row>
    <row r="139" hidden="1" ht="14.25" customHeight="1" s="83">
      <c r="A139" s="103" t="inlineStr">
        <is>
          <t>Dorm 2</t>
        </is>
      </c>
      <c r="B139" s="125">
        <f>INDEX(MonthList,INT((ROW()-78)/6)+1)</f>
        <v/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>
        <f>SUMPRODUCT(('Client DB &amp; Bed Mgmt'!$A$5:$A$428=A139)*('Client DB &amp; Bed Mgmt'!$B$5:$B$428=C139)*('Client DB &amp; Bed Mgmt'!$D$5:$D$428&lt;&gt;"")*--(('Client DB &amp; Bed Mgmt'!$M$5:$M$428="")+NOT(ISNUMBER('Client DB &amp; Bed Mgmt'!$M$5:$M$428))+IFERROR('Client DB &amp; Bed Mgmt'!$M$5:$M$428&lt;=EOMONTH(B139,0),FALSE)&gt;0)*--(('Client DB &amp; Bed Mgmt'!$N$5:$N$428="")+NOT(ISNUMBER('Client DB &amp; Bed Mgmt'!$N$5:$N$428))+IFERROR('Client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</f>
        <v/>
      </c>
      <c r="V139" s="129">
        <f>IFERROR(I139/U139,0)</f>
        <v/>
      </c>
      <c r="W139" s="127">
        <f>SUMPRODUCT(('Client DB &amp; Bed Mgmt'!$A$5:$A$428=K139)*('Client DB &amp; Bed Mgmt'!$B$5:$B$428=L139)*('Client DB &amp; Bed Mgmt'!$D$5:$D$428&lt;&gt;"")*--(('Client DB &amp; Bed Mgmt'!$M$5:$M$428="")+NOT(ISNUMBER('Client DB &amp; Bed Mgmt'!$M$5:$M$428))+IFERROR('Client DB &amp; Bed Mgmt'!$M$5:$M$428&lt;=EOMONTH(B139,0),FALSE)&gt;0)*--(('Client DB &amp; Bed Mgmt'!$N$5:$N$428="")+NOT(ISNUMBER('Client DB &amp; Bed Mgmt'!$N$5:$N$428))+IFERROR('Client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</f>
        <v/>
      </c>
      <c r="X139" s="130">
        <f>IFERROR(S139/W139,0)</f>
        <v/>
      </c>
    </row>
    <row r="140" hidden="1" ht="14.25" customHeight="1" s="83">
      <c r="A140" s="103" t="inlineStr">
        <is>
          <t>Dorm 2</t>
        </is>
      </c>
      <c r="B140" s="125">
        <f>INDEX(MonthList,INT((ROW()-78)/6)+1)</f>
        <v/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>
        <f>SUMPRODUCT(('Client DB &amp; Bed Mgmt'!$A$5:$A$428=A140)*('Client DB &amp; Bed Mgmt'!$B$5:$B$428=C140)*('Client DB &amp; Bed Mgmt'!$D$5:$D$428&lt;&gt;"")*--(('Client DB &amp; Bed Mgmt'!$M$5:$M$428="")+NOT(ISNUMBER('Client DB &amp; Bed Mgmt'!$M$5:$M$428))+IFERROR('Client DB &amp; Bed Mgmt'!$M$5:$M$428&lt;=EOMONTH(B140,0),FALSE)&gt;0)*--(('Client DB &amp; Bed Mgmt'!$N$5:$N$428="")+NOT(ISNUMBER('Client DB &amp; Bed Mgmt'!$N$5:$N$428))+IFERROR('Client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</f>
        <v/>
      </c>
      <c r="V140" s="129">
        <f>IFERROR(I140/U140,0)</f>
        <v/>
      </c>
      <c r="W140" s="127">
        <f>SUMPRODUCT(('Client DB &amp; Bed Mgmt'!$A$5:$A$428=K140)*('Client DB &amp; Bed Mgmt'!$B$5:$B$428=L140)*('Client DB &amp; Bed Mgmt'!$D$5:$D$428&lt;&gt;"")*--(('Client DB &amp; Bed Mgmt'!$M$5:$M$428="")+NOT(ISNUMBER('Client DB &amp; Bed Mgmt'!$M$5:$M$428))+IFERROR('Client DB &amp; Bed Mgmt'!$M$5:$M$428&lt;=EOMONTH(B140,0),FALSE)&gt;0)*--(('Client DB &amp; Bed Mgmt'!$N$5:$N$428="")+NOT(ISNUMBER('Client DB &amp; Bed Mgmt'!$N$5:$N$428))+IFERROR('Client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</f>
        <v/>
      </c>
      <c r="X140" s="130">
        <f>IFERROR(S140/W140,0)</f>
        <v/>
      </c>
    </row>
    <row r="141" hidden="1" ht="14.25" customHeight="1" s="83">
      <c r="A141" s="103" t="inlineStr">
        <is>
          <t>Dorm 2</t>
        </is>
      </c>
      <c r="B141" s="125">
        <f>INDEX(MonthList,INT((ROW()-78)/6)+1)</f>
        <v/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>
        <f>SUMPRODUCT(('Client DB &amp; Bed Mgmt'!$A$5:$A$428=A141)*('Client DB &amp; Bed Mgmt'!$B$5:$B$428=C141)*('Client DB &amp; Bed Mgmt'!$D$5:$D$428&lt;&gt;"")*--(('Client DB &amp; Bed Mgmt'!$M$5:$M$428="")+NOT(ISNUMBER('Client DB &amp; Bed Mgmt'!$M$5:$M$428))+IFERROR('Client DB &amp; Bed Mgmt'!$M$5:$M$428&lt;=EOMONTH(B141,0),FALSE)&gt;0)*--(('Client DB &amp; Bed Mgmt'!$N$5:$N$428="")+NOT(ISNUMBER('Client DB &amp; Bed Mgmt'!$N$5:$N$428))+IFERROR('Client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</f>
        <v/>
      </c>
      <c r="V141" s="129">
        <f>IFERROR(I141/U141,0)</f>
        <v/>
      </c>
      <c r="W141" s="127">
        <f>SUMPRODUCT(('Client DB &amp; Bed Mgmt'!$A$5:$A$428=K141)*('Client DB &amp; Bed Mgmt'!$B$5:$B$428=L141)*('Client DB &amp; Bed Mgmt'!$D$5:$D$428&lt;&gt;"")*--(('Client DB &amp; Bed Mgmt'!$M$5:$M$428="")+NOT(ISNUMBER('Client DB &amp; Bed Mgmt'!$M$5:$M$428))+IFERROR('Client DB &amp; Bed Mgmt'!$M$5:$M$428&lt;=EOMONTH(B141,0),FALSE)&gt;0)*--(('Client DB &amp; Bed Mgmt'!$N$5:$N$428="")+NOT(ISNUMBER('Client DB &amp; Bed Mgmt'!$N$5:$N$428))+IFERROR('Client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</f>
        <v/>
      </c>
      <c r="X141" s="130">
        <f>IFERROR(S141/W141,0)</f>
        <v/>
      </c>
    </row>
    <row r="142" hidden="1" ht="14.25" customHeight="1" s="83">
      <c r="A142" s="103" t="inlineStr">
        <is>
          <t>Dorm 2</t>
        </is>
      </c>
      <c r="B142" s="125">
        <f>INDEX(MonthList,INT((ROW()-78)/6)+1)</f>
        <v/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>
        <f>SUMPRODUCT(('Client DB &amp; Bed Mgmt'!$A$5:$A$428=A142)*('Client DB &amp; Bed Mgmt'!$B$5:$B$428=C142)*('Client DB &amp; Bed Mgmt'!$D$5:$D$428&lt;&gt;"")*--(('Client DB &amp; Bed Mgmt'!$M$5:$M$428="")+NOT(ISNUMBER('Client DB &amp; Bed Mgmt'!$M$5:$M$428))+IFERROR('Client DB &amp; Bed Mgmt'!$M$5:$M$428&lt;=EOMONTH(B142,0),FALSE)&gt;0)*--(('Client DB &amp; Bed Mgmt'!$N$5:$N$428="")+NOT(ISNUMBER('Client DB &amp; Bed Mgmt'!$N$5:$N$428))+IFERROR('Client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</f>
        <v/>
      </c>
      <c r="V142" s="129">
        <f>IFERROR(I142/U142,0)</f>
        <v/>
      </c>
      <c r="W142" s="127">
        <f>SUMPRODUCT(('Client DB &amp; Bed Mgmt'!$A$5:$A$428=K142)*('Client DB &amp; Bed Mgmt'!$B$5:$B$428=L142)*('Client DB &amp; Bed Mgmt'!$D$5:$D$428&lt;&gt;"")*--(('Client DB &amp; Bed Mgmt'!$M$5:$M$428="")+NOT(ISNUMBER('Client DB &amp; Bed Mgmt'!$M$5:$M$428))+IFERROR('Client DB &amp; Bed Mgmt'!$M$5:$M$428&lt;=EOMONTH(B142,0),FALSE)&gt;0)*--(('Client DB &amp; Bed Mgmt'!$N$5:$N$428="")+NOT(ISNUMBER('Client DB &amp; Bed Mgmt'!$N$5:$N$428))+IFERROR('Client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</f>
        <v/>
      </c>
      <c r="X142" s="130">
        <f>IFERROR(S142/W142,0)</f>
        <v/>
      </c>
    </row>
    <row r="143" hidden="1" ht="14.25" customHeight="1" s="83">
      <c r="A143" s="103" t="inlineStr">
        <is>
          <t>Dorm 2</t>
        </is>
      </c>
      <c r="B143" s="125">
        <f>INDEX(MonthList,INT((ROW()-78)/6)+1)</f>
        <v/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>
        <f>SUMPRODUCT(('Client DB &amp; Bed Mgmt'!$A$5:$A$428=A143)*('Client DB &amp; Bed Mgmt'!$B$5:$B$428=C143)*('Client DB &amp; Bed Mgmt'!$D$5:$D$428&lt;&gt;"")*--(('Client DB &amp; Bed Mgmt'!$M$5:$M$428="")+NOT(ISNUMBER('Client DB &amp; Bed Mgmt'!$M$5:$M$428))+IFERROR('Client DB &amp; Bed Mgmt'!$M$5:$M$428&lt;=EOMONTH(B143,0),FALSE)&gt;0)*--(('Client DB &amp; Bed Mgmt'!$N$5:$N$428="")+NOT(ISNUMBER('Client DB &amp; Bed Mgmt'!$N$5:$N$428))+IFERROR('Client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</f>
        <v/>
      </c>
      <c r="V143" s="129">
        <f>IFERROR(I143/U143,0)</f>
        <v/>
      </c>
      <c r="W143" s="127">
        <f>SUMPRODUCT(('Client DB &amp; Bed Mgmt'!$A$5:$A$428=K143)*('Client DB &amp; Bed Mgmt'!$B$5:$B$428=L143)*('Client DB &amp; Bed Mgmt'!$D$5:$D$428&lt;&gt;"")*--(('Client DB &amp; Bed Mgmt'!$M$5:$M$428="")+NOT(ISNUMBER('Client DB &amp; Bed Mgmt'!$M$5:$M$428))+IFERROR('Client DB &amp; Bed Mgmt'!$M$5:$M$428&lt;=EOMONTH(B143,0),FALSE)&gt;0)*--(('Client DB &amp; Bed Mgmt'!$N$5:$N$428="")+NOT(ISNUMBER('Client DB &amp; Bed Mgmt'!$N$5:$N$428))+IFERROR('Client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</f>
        <v/>
      </c>
      <c r="X143" s="130">
        <f>IFERROR(S143/W143,0)</f>
        <v/>
      </c>
    </row>
    <row r="144" hidden="1" ht="14.25" customHeight="1" s="83">
      <c r="A144" s="103" t="inlineStr">
        <is>
          <t>Dorm 2</t>
        </is>
      </c>
      <c r="B144" s="125">
        <f>INDEX(MonthList,INT((ROW()-78)/6)+1)</f>
        <v/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>
        <f>SUMPRODUCT(('Client DB &amp; Bed Mgmt'!$A$5:$A$428=A144)*('Client DB &amp; Bed Mgmt'!$B$5:$B$428=C144)*('Client DB &amp; Bed Mgmt'!$D$5:$D$428&lt;&gt;"")*--(('Client DB &amp; Bed Mgmt'!$M$5:$M$428="")+NOT(ISNUMBER('Client DB &amp; Bed Mgmt'!$M$5:$M$428))+IFERROR('Client DB &amp; Bed Mgmt'!$M$5:$M$428&lt;=EOMONTH(B144,0),FALSE)&gt;0)*--(('Client DB &amp; Bed Mgmt'!$N$5:$N$428="")+NOT(ISNUMBER('Client DB &amp; Bed Mgmt'!$N$5:$N$428))+IFERROR('Client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</f>
        <v/>
      </c>
      <c r="V144" s="129">
        <f>IFERROR(I144/U144,0)</f>
        <v/>
      </c>
      <c r="W144" s="127">
        <f>SUMPRODUCT(('Client DB &amp; Bed Mgmt'!$A$5:$A$428=K144)*('Client DB &amp; Bed Mgmt'!$B$5:$B$428=L144)*('Client DB &amp; Bed Mgmt'!$D$5:$D$428&lt;&gt;"")*--(('Client DB &amp; Bed Mgmt'!$M$5:$M$428="")+NOT(ISNUMBER('Client DB &amp; Bed Mgmt'!$M$5:$M$428))+IFERROR('Client DB &amp; Bed Mgmt'!$M$5:$M$428&lt;=EOMONTH(B144,0),FALSE)&gt;0)*--(('Client DB &amp; Bed Mgmt'!$N$5:$N$428="")+NOT(ISNUMBER('Client DB &amp; Bed Mgmt'!$N$5:$N$428))+IFERROR('Client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</f>
        <v/>
      </c>
      <c r="X144" s="130">
        <f>IFERROR(S144/W144,0)</f>
        <v/>
      </c>
    </row>
    <row r="145" hidden="1" ht="14.25" customHeight="1" s="83">
      <c r="A145" s="103" t="inlineStr">
        <is>
          <t>Dorm 2</t>
        </is>
      </c>
      <c r="B145" s="125">
        <f>INDEX(MonthList,INT((ROW()-78)/6)+1)</f>
        <v/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>
        <f>SUMPRODUCT(('Client DB &amp; Bed Mgmt'!$A$5:$A$428=A145)*('Client DB &amp; Bed Mgmt'!$B$5:$B$428=C145)*('Client DB &amp; Bed Mgmt'!$D$5:$D$428&lt;&gt;"")*--(('Client DB &amp; Bed Mgmt'!$M$5:$M$428="")+NOT(ISNUMBER('Client DB &amp; Bed Mgmt'!$M$5:$M$428))+IFERROR('Client DB &amp; Bed Mgmt'!$M$5:$M$428&lt;=EOMONTH(B145,0),FALSE)&gt;0)*--(('Client DB &amp; Bed Mgmt'!$N$5:$N$428="")+NOT(ISNUMBER('Client DB &amp; Bed Mgmt'!$N$5:$N$428))+IFERROR('Client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</f>
        <v/>
      </c>
      <c r="V145" s="129">
        <f>IFERROR(I145/U145,0)</f>
        <v/>
      </c>
      <c r="W145" s="127">
        <f>SUMPRODUCT(('Client DB &amp; Bed Mgmt'!$A$5:$A$428=K145)*('Client DB &amp; Bed Mgmt'!$B$5:$B$428=L145)*('Client DB &amp; Bed Mgmt'!$D$5:$D$428&lt;&gt;"")*--(('Client DB &amp; Bed Mgmt'!$M$5:$M$428="")+NOT(ISNUMBER('Client DB &amp; Bed Mgmt'!$M$5:$M$428))+IFERROR('Client DB &amp; Bed Mgmt'!$M$5:$M$428&lt;=EOMONTH(B145,0),FALSE)&gt;0)*--(('Client DB &amp; Bed Mgmt'!$N$5:$N$428="")+NOT(ISNUMBER('Client DB &amp; Bed Mgmt'!$N$5:$N$428))+IFERROR('Client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</f>
        <v/>
      </c>
      <c r="X145" s="130">
        <f>IFERROR(S145/W145,0)</f>
        <v/>
      </c>
    </row>
    <row r="146" hidden="1" ht="14.25" customHeight="1" s="83">
      <c r="A146" s="103" t="inlineStr">
        <is>
          <t>Dorm 2</t>
        </is>
      </c>
      <c r="B146" s="125">
        <f>INDEX(MonthList,INT((ROW()-78)/6)+1)</f>
        <v/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>
        <f>SUMPRODUCT(('Client DB &amp; Bed Mgmt'!$A$5:$A$428=A146)*('Client DB &amp; Bed Mgmt'!$B$5:$B$428=C146)*('Client DB &amp; Bed Mgmt'!$D$5:$D$428&lt;&gt;"")*--(('Client DB &amp; Bed Mgmt'!$M$5:$M$428="")+NOT(ISNUMBER('Client DB &amp; Bed Mgmt'!$M$5:$M$428))+IFERROR('Client DB &amp; Bed Mgmt'!$M$5:$M$428&lt;=EOMONTH(B146,0),FALSE)&gt;0)*--(('Client DB &amp; Bed Mgmt'!$N$5:$N$428="")+NOT(ISNUMBER('Client DB &amp; Bed Mgmt'!$N$5:$N$428))+IFERROR('Client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</f>
        <v/>
      </c>
      <c r="V146" s="129">
        <f>IFERROR(I146/U146,0)</f>
        <v/>
      </c>
      <c r="W146" s="127">
        <f>SUMPRODUCT(('Client DB &amp; Bed Mgmt'!$A$5:$A$428=K146)*('Client DB &amp; Bed Mgmt'!$B$5:$B$428=L146)*('Client DB &amp; Bed Mgmt'!$D$5:$D$428&lt;&gt;"")*--(('Client DB &amp; Bed Mgmt'!$M$5:$M$428="")+NOT(ISNUMBER('Client DB &amp; Bed Mgmt'!$M$5:$M$428))+IFERROR('Client DB &amp; Bed Mgmt'!$M$5:$M$428&lt;=EOMONTH(B146,0),FALSE)&gt;0)*--(('Client DB &amp; Bed Mgmt'!$N$5:$N$428="")+NOT(ISNUMBER('Client DB &amp; Bed Mgmt'!$N$5:$N$428))+IFERROR('Client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</f>
        <v/>
      </c>
      <c r="X146" s="130">
        <f>IFERROR(S146/W146,0)</f>
        <v/>
      </c>
    </row>
    <row r="147" hidden="1" ht="14.25" customHeight="1" s="83">
      <c r="A147" s="103" t="inlineStr">
        <is>
          <t>Dorm 2</t>
        </is>
      </c>
      <c r="B147" s="125">
        <f>INDEX(MonthList,INT((ROW()-78)/6)+1)</f>
        <v/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>
        <f>SUMPRODUCT(('Client DB &amp; Bed Mgmt'!$A$5:$A$428=A147)*('Client DB &amp; Bed Mgmt'!$B$5:$B$428=C147)*('Client DB &amp; Bed Mgmt'!$D$5:$D$428&lt;&gt;"")*--(('Client DB &amp; Bed Mgmt'!$M$5:$M$428="")+NOT(ISNUMBER('Client DB &amp; Bed Mgmt'!$M$5:$M$428))+IFERROR('Client DB &amp; Bed Mgmt'!$M$5:$M$428&lt;=EOMONTH(B147,0),FALSE)&gt;0)*--(('Client DB &amp; Bed Mgmt'!$N$5:$N$428="")+NOT(ISNUMBER('Client DB &amp; Bed Mgmt'!$N$5:$N$428))+IFERROR('Client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</f>
        <v/>
      </c>
      <c r="V147" s="129">
        <f>IFERROR(I147/U147,0)</f>
        <v/>
      </c>
      <c r="W147" s="127">
        <f>SUMPRODUCT(('Client DB &amp; Bed Mgmt'!$A$5:$A$428=K147)*('Client DB &amp; Bed Mgmt'!$B$5:$B$428=L147)*('Client DB &amp; Bed Mgmt'!$D$5:$D$428&lt;&gt;"")*--(('Client DB &amp; Bed Mgmt'!$M$5:$M$428="")+NOT(ISNUMBER('Client DB &amp; Bed Mgmt'!$M$5:$M$428))+IFERROR('Client DB &amp; Bed Mgmt'!$M$5:$M$428&lt;=EOMONTH(B147,0),FALSE)&gt;0)*--(('Client DB &amp; Bed Mgmt'!$N$5:$N$428="")+NOT(ISNUMBER('Client DB &amp; Bed Mgmt'!$N$5:$N$428))+IFERROR('Client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</f>
        <v/>
      </c>
      <c r="X147" s="130">
        <f>IFERROR(S147/W147,0)</f>
        <v/>
      </c>
    </row>
    <row r="148" hidden="1" ht="14.25" customHeight="1" s="83">
      <c r="A148" s="103" t="inlineStr">
        <is>
          <t>Dorm 2</t>
        </is>
      </c>
      <c r="B148" s="125">
        <f>INDEX(MonthList,INT((ROW()-78)/6)+1)</f>
        <v/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>
        <f>SUMPRODUCT(('Client DB &amp; Bed Mgmt'!$A$5:$A$428=A148)*('Client DB &amp; Bed Mgmt'!$B$5:$B$428=C148)*('Client DB &amp; Bed Mgmt'!$D$5:$D$428&lt;&gt;"")*--(('Client DB &amp; Bed Mgmt'!$M$5:$M$428="")+NOT(ISNUMBER('Client DB &amp; Bed Mgmt'!$M$5:$M$428))+IFERROR('Client DB &amp; Bed Mgmt'!$M$5:$M$428&lt;=EOMONTH(B148,0),FALSE)&gt;0)*--(('Client DB &amp; Bed Mgmt'!$N$5:$N$428="")+NOT(ISNUMBER('Client DB &amp; Bed Mgmt'!$N$5:$N$428))+IFERROR('Client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</f>
        <v/>
      </c>
      <c r="V148" s="129">
        <f>IFERROR(I148/U148,0)</f>
        <v/>
      </c>
      <c r="W148" s="127">
        <f>SUMPRODUCT(('Client DB &amp; Bed Mgmt'!$A$5:$A$428=K148)*('Client DB &amp; Bed Mgmt'!$B$5:$B$428=L148)*('Client DB &amp; Bed Mgmt'!$D$5:$D$428&lt;&gt;"")*--(('Client DB &amp; Bed Mgmt'!$M$5:$M$428="")+NOT(ISNUMBER('Client DB &amp; Bed Mgmt'!$M$5:$M$428))+IFERROR('Client DB &amp; Bed Mgmt'!$M$5:$M$428&lt;=EOMONTH(B148,0),FALSE)&gt;0)*--(('Client DB &amp; Bed Mgmt'!$N$5:$N$428="")+NOT(ISNUMBER('Client DB &amp; Bed Mgmt'!$N$5:$N$428))+IFERROR('Client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</f>
        <v/>
      </c>
      <c r="X148" s="130">
        <f>IFERROR(S148/W148,0)</f>
        <v/>
      </c>
    </row>
    <row r="149" hidden="1" ht="14.25" customHeight="1" s="83">
      <c r="A149" s="103" t="inlineStr">
        <is>
          <t>Dorm 2</t>
        </is>
      </c>
      <c r="B149" s="125">
        <f>INDEX(MonthList,INT((ROW()-78)/6)+1)</f>
        <v/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>
        <f>SUMPRODUCT(('Client DB &amp; Bed Mgmt'!$A$5:$A$428=A149)*('Client DB &amp; Bed Mgmt'!$B$5:$B$428=C149)*('Client DB &amp; Bed Mgmt'!$D$5:$D$428&lt;&gt;"")*--(('Client DB &amp; Bed Mgmt'!$M$5:$M$428="")+NOT(ISNUMBER('Client DB &amp; Bed Mgmt'!$M$5:$M$428))+IFERROR('Client DB &amp; Bed Mgmt'!$M$5:$M$428&lt;=EOMONTH(B149,0),FALSE)&gt;0)*--(('Client DB &amp; Bed Mgmt'!$N$5:$N$428="")+NOT(ISNUMBER('Client DB &amp; Bed Mgmt'!$N$5:$N$428))+IFERROR('Client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</f>
        <v/>
      </c>
      <c r="V149" s="129">
        <f>IFERROR(I149/U149,0)</f>
        <v/>
      </c>
      <c r="W149" s="127">
        <f>SUMPRODUCT(('Client DB &amp; Bed Mgmt'!$A$5:$A$428=K149)*('Client DB &amp; Bed Mgmt'!$B$5:$B$428=L149)*('Client DB &amp; Bed Mgmt'!$D$5:$D$428&lt;&gt;"")*--(('Client DB &amp; Bed Mgmt'!$M$5:$M$428="")+NOT(ISNUMBER('Client DB &amp; Bed Mgmt'!$M$5:$M$428))+IFERROR('Client DB &amp; Bed Mgmt'!$M$5:$M$428&lt;=EOMONTH(B149,0),FALSE)&gt;0)*--(('Client DB &amp; Bed Mgmt'!$N$5:$N$428="")+NOT(ISNUMBER('Client DB &amp; Bed Mgmt'!$N$5:$N$428))+IFERROR('Client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</f>
        <v/>
      </c>
      <c r="X149" s="130">
        <f>IFERROR(S149/W149,0)</f>
        <v/>
      </c>
    </row>
    <row r="150" hidden="1" ht="14.25" customHeight="1" s="83">
      <c r="A150" s="103" t="inlineStr">
        <is>
          <t>Dorm 3</t>
        </is>
      </c>
      <c r="B150" s="125">
        <f>INDEX(MonthList,INT((ROW()-150)/6)+1)</f>
        <v/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>
        <f>SUMPRODUCT(('Client DB &amp; Bed Mgmt'!$A$5:$A$428=A150)*('Client DB &amp; Bed Mgmt'!$B$5:$B$428=C150)*('Client DB &amp; Bed Mgmt'!$D$5:$D$428&lt;&gt;"")*--(('Client DB &amp; Bed Mgmt'!$M$5:$M$428="")+NOT(ISNUMBER('Client DB &amp; Bed Mgmt'!$M$5:$M$428))+IFERROR('Client DB &amp; Bed Mgmt'!$M$5:$M$428&lt;=EOMONTH(B150,0),FALSE)&gt;0)*--(('Client DB &amp; Bed Mgmt'!$N$5:$N$428="")+NOT(ISNUMBER('Client DB &amp; Bed Mgmt'!$N$5:$N$428))+IFERROR('Client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</f>
        <v/>
      </c>
      <c r="V150" s="129">
        <f>IFERROR(I150/U150,0)</f>
        <v/>
      </c>
      <c r="W150" s="127">
        <f>SUMPRODUCT(('Client DB &amp; Bed Mgmt'!$A$5:$A$428=K150)*('Client DB &amp; Bed Mgmt'!$B$5:$B$428=L150)*('Client DB &amp; Bed Mgmt'!$D$5:$D$428&lt;&gt;"")*--(('Client DB &amp; Bed Mgmt'!$M$5:$M$428="")+NOT(ISNUMBER('Client DB &amp; Bed Mgmt'!$M$5:$M$428))+IFERROR('Client DB &amp; Bed Mgmt'!$M$5:$M$428&lt;=EOMONTH(B150,0),FALSE)&gt;0)*--(('Client DB &amp; Bed Mgmt'!$N$5:$N$428="")+NOT(ISNUMBER('Client DB &amp; Bed Mgmt'!$N$5:$N$428))+IFERROR('Client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</f>
        <v/>
      </c>
      <c r="X150" s="130">
        <f>IFERROR(S150/W150,0)</f>
        <v/>
      </c>
    </row>
    <row r="151" hidden="1" ht="14.25" customHeight="1" s="83">
      <c r="A151" s="103" t="inlineStr">
        <is>
          <t>Dorm 3</t>
        </is>
      </c>
      <c r="B151" s="125">
        <f>INDEX(MonthList,INT((ROW()-150)/6)+1)</f>
        <v/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>
        <f>SUMPRODUCT(('Client DB &amp; Bed Mgmt'!$A$5:$A$428=A151)*('Client DB &amp; Bed Mgmt'!$B$5:$B$428=C151)*('Client DB &amp; Bed Mgmt'!$D$5:$D$428&lt;&gt;"")*--(('Client DB &amp; Bed Mgmt'!$M$5:$M$428="")+NOT(ISNUMBER('Client DB &amp; Bed Mgmt'!$M$5:$M$428))+IFERROR('Client DB &amp; Bed Mgmt'!$M$5:$M$428&lt;=EOMONTH(B151,0),FALSE)&gt;0)*--(('Client DB &amp; Bed Mgmt'!$N$5:$N$428="")+NOT(ISNUMBER('Client DB &amp; Bed Mgmt'!$N$5:$N$428))+IFERROR('Client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</f>
        <v/>
      </c>
      <c r="V151" s="129">
        <f>IFERROR(I151/U151,0)</f>
        <v/>
      </c>
      <c r="W151" s="127">
        <f>SUMPRODUCT(('Client DB &amp; Bed Mgmt'!$A$5:$A$428=K151)*('Client DB &amp; Bed Mgmt'!$B$5:$B$428=L151)*('Client DB &amp; Bed Mgmt'!$D$5:$D$428&lt;&gt;"")*--(('Client DB &amp; Bed Mgmt'!$M$5:$M$428="")+NOT(ISNUMBER('Client DB &amp; Bed Mgmt'!$M$5:$M$428))+IFERROR('Client DB &amp; Bed Mgmt'!$M$5:$M$428&lt;=EOMONTH(B151,0),FALSE)&gt;0)*--(('Client DB &amp; Bed Mgmt'!$N$5:$N$428="")+NOT(ISNUMBER('Client DB &amp; Bed Mgmt'!$N$5:$N$428))+IFERROR('Client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</f>
        <v/>
      </c>
      <c r="X151" s="130">
        <f>IFERROR(S151/W151,0)</f>
        <v/>
      </c>
    </row>
    <row r="152" hidden="1" ht="14.25" customHeight="1" s="83">
      <c r="A152" s="103" t="inlineStr">
        <is>
          <t>Dorm 3</t>
        </is>
      </c>
      <c r="B152" s="125">
        <f>INDEX(MonthList,INT((ROW()-150)/6)+1)</f>
        <v/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>
        <f>SUMPRODUCT(('Client DB &amp; Bed Mgmt'!$A$5:$A$428=A152)*('Client DB &amp; Bed Mgmt'!$B$5:$B$428=C152)*('Client DB &amp; Bed Mgmt'!$D$5:$D$428&lt;&gt;"")*--(('Client DB &amp; Bed Mgmt'!$M$5:$M$428="")+NOT(ISNUMBER('Client DB &amp; Bed Mgmt'!$M$5:$M$428))+IFERROR('Client DB &amp; Bed Mgmt'!$M$5:$M$428&lt;=EOMONTH(B152,0),FALSE)&gt;0)*--(('Client DB &amp; Bed Mgmt'!$N$5:$N$428="")+NOT(ISNUMBER('Client DB &amp; Bed Mgmt'!$N$5:$N$428))+IFERROR('Client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</f>
        <v/>
      </c>
      <c r="V152" s="129">
        <f>IFERROR(I152/U152,0)</f>
        <v/>
      </c>
      <c r="W152" s="127">
        <f>SUMPRODUCT(('Client DB &amp; Bed Mgmt'!$A$5:$A$428=K152)*('Client DB &amp; Bed Mgmt'!$B$5:$B$428=L152)*('Client DB &amp; Bed Mgmt'!$D$5:$D$428&lt;&gt;"")*--(('Client DB &amp; Bed Mgmt'!$M$5:$M$428="")+NOT(ISNUMBER('Client DB &amp; Bed Mgmt'!$M$5:$M$428))+IFERROR('Client DB &amp; Bed Mgmt'!$M$5:$M$428&lt;=EOMONTH(B152,0),FALSE)&gt;0)*--(('Client DB &amp; Bed Mgmt'!$N$5:$N$428="")+NOT(ISNUMBER('Client DB &amp; Bed Mgmt'!$N$5:$N$428))+IFERROR('Client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</f>
        <v/>
      </c>
      <c r="X152" s="130">
        <f>IFERROR(S152/W152,0)</f>
        <v/>
      </c>
    </row>
    <row r="153" hidden="1" ht="14.25" customHeight="1" s="83">
      <c r="A153" s="103" t="inlineStr">
        <is>
          <t>Dorm 3</t>
        </is>
      </c>
      <c r="B153" s="125">
        <f>INDEX(MonthList,INT((ROW()-150)/6)+1)</f>
        <v/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>
        <f>SUMPRODUCT(('Client DB &amp; Bed Mgmt'!$A$5:$A$428=A153)*('Client DB &amp; Bed Mgmt'!$B$5:$B$428=C153)*('Client DB &amp; Bed Mgmt'!$D$5:$D$428&lt;&gt;"")*--(('Client DB &amp; Bed Mgmt'!$M$5:$M$428="")+NOT(ISNUMBER('Client DB &amp; Bed Mgmt'!$M$5:$M$428))+IFERROR('Client DB &amp; Bed Mgmt'!$M$5:$M$428&lt;=EOMONTH(B153,0),FALSE)&gt;0)*--(('Client DB &amp; Bed Mgmt'!$N$5:$N$428="")+NOT(ISNUMBER('Client DB &amp; Bed Mgmt'!$N$5:$N$428))+IFERROR('Client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</f>
        <v/>
      </c>
      <c r="V153" s="129">
        <f>IFERROR(I153/U153,0)</f>
        <v/>
      </c>
      <c r="W153" s="127">
        <f>SUMPRODUCT(('Client DB &amp; Bed Mgmt'!$A$5:$A$428=K153)*('Client DB &amp; Bed Mgmt'!$B$5:$B$428=L153)*('Client DB &amp; Bed Mgmt'!$D$5:$D$428&lt;&gt;"")*--(('Client DB &amp; Bed Mgmt'!$M$5:$M$428="")+NOT(ISNUMBER('Client DB &amp; Bed Mgmt'!$M$5:$M$428))+IFERROR('Client DB &amp; Bed Mgmt'!$M$5:$M$428&lt;=EOMONTH(B153,0),FALSE)&gt;0)*--(('Client DB &amp; Bed Mgmt'!$N$5:$N$428="")+NOT(ISNUMBER('Client DB &amp; Bed Mgmt'!$N$5:$N$428))+IFERROR('Client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</f>
        <v/>
      </c>
      <c r="X153" s="130">
        <f>IFERROR(S153/W153,0)</f>
        <v/>
      </c>
    </row>
    <row r="154" hidden="1" ht="14.25" customHeight="1" s="83">
      <c r="A154" s="103" t="inlineStr">
        <is>
          <t>Dorm 3</t>
        </is>
      </c>
      <c r="B154" s="125">
        <f>INDEX(MonthList,INT((ROW()-150)/6)+1)</f>
        <v/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>
        <f>SUMPRODUCT(('Client DB &amp; Bed Mgmt'!$A$5:$A$428=A154)*('Client DB &amp; Bed Mgmt'!$B$5:$B$428=C154)*('Client DB &amp; Bed Mgmt'!$D$5:$D$428&lt;&gt;"")*--(('Client DB &amp; Bed Mgmt'!$M$5:$M$428="")+NOT(ISNUMBER('Client DB &amp; Bed Mgmt'!$M$5:$M$428))+IFERROR('Client DB &amp; Bed Mgmt'!$M$5:$M$428&lt;=EOMONTH(B154,0),FALSE)&gt;0)*--(('Client DB &amp; Bed Mgmt'!$N$5:$N$428="")+NOT(ISNUMBER('Client DB &amp; Bed Mgmt'!$N$5:$N$428))+IFERROR('Client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</f>
        <v/>
      </c>
      <c r="V154" s="129">
        <f>IFERROR(I154/U154,0)</f>
        <v/>
      </c>
      <c r="W154" s="127">
        <f>SUMPRODUCT(('Client DB &amp; Bed Mgmt'!$A$5:$A$428=K154)*('Client DB &amp; Bed Mgmt'!$B$5:$B$428=L154)*('Client DB &amp; Bed Mgmt'!$D$5:$D$428&lt;&gt;"")*--(('Client DB &amp; Bed Mgmt'!$M$5:$M$428="")+NOT(ISNUMBER('Client DB &amp; Bed Mgmt'!$M$5:$M$428))+IFERROR('Client DB &amp; Bed Mgmt'!$M$5:$M$428&lt;=EOMONTH(B154,0),FALSE)&gt;0)*--(('Client DB &amp; Bed Mgmt'!$N$5:$N$428="")+NOT(ISNUMBER('Client DB &amp; Bed Mgmt'!$N$5:$N$428))+IFERROR('Client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</f>
        <v/>
      </c>
      <c r="X154" s="130">
        <f>IFERROR(S154/W154,0)</f>
        <v/>
      </c>
    </row>
    <row r="155" hidden="1" ht="14.25" customHeight="1" s="83">
      <c r="A155" s="103" t="inlineStr">
        <is>
          <t>Dorm 3</t>
        </is>
      </c>
      <c r="B155" s="125">
        <f>INDEX(MonthList,INT((ROW()-150)/6)+1)</f>
        <v/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>
        <f>SUMPRODUCT(('Client DB &amp; Bed Mgmt'!$A$5:$A$428=A155)*('Client DB &amp; Bed Mgmt'!$B$5:$B$428=C155)*('Client DB &amp; Bed Mgmt'!$D$5:$D$428&lt;&gt;"")*--(('Client DB &amp; Bed Mgmt'!$M$5:$M$428="")+NOT(ISNUMBER('Client DB &amp; Bed Mgmt'!$M$5:$M$428))+IFERROR('Client DB &amp; Bed Mgmt'!$M$5:$M$428&lt;=EOMONTH(B155,0),FALSE)&gt;0)*--(('Client DB &amp; Bed Mgmt'!$N$5:$N$428="")+NOT(ISNUMBER('Client DB &amp; Bed Mgmt'!$N$5:$N$428))+IFERROR('Client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</f>
        <v/>
      </c>
      <c r="V155" s="129">
        <f>IFERROR(I155/U155,0)</f>
        <v/>
      </c>
      <c r="W155" s="127">
        <f>SUMPRODUCT(('Client DB &amp; Bed Mgmt'!$A$5:$A$428=K155)*('Client DB &amp; Bed Mgmt'!$B$5:$B$428=L155)*('Client DB &amp; Bed Mgmt'!$D$5:$D$428&lt;&gt;"")*--(('Client DB &amp; Bed Mgmt'!$M$5:$M$428="")+NOT(ISNUMBER('Client DB &amp; Bed Mgmt'!$M$5:$M$428))+IFERROR('Client DB &amp; Bed Mgmt'!$M$5:$M$428&lt;=EOMONTH(B155,0),FALSE)&gt;0)*--(('Client DB &amp; Bed Mgmt'!$N$5:$N$428="")+NOT(ISNUMBER('Client DB &amp; Bed Mgmt'!$N$5:$N$428))+IFERROR('Client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</f>
        <v/>
      </c>
      <c r="X155" s="130">
        <f>IFERROR(S155/W155,0)</f>
        <v/>
      </c>
    </row>
    <row r="156" hidden="1" ht="14.25" customHeight="1" s="83">
      <c r="A156" s="103" t="inlineStr">
        <is>
          <t>Dorm 3</t>
        </is>
      </c>
      <c r="B156" s="125">
        <f>INDEX(MonthList,INT((ROW()-150)/6)+1)</f>
        <v/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>
        <f>SUMPRODUCT(('Client DB &amp; Bed Mgmt'!$A$5:$A$428=A156)*('Client DB &amp; Bed Mgmt'!$B$5:$B$428=C156)*('Client DB &amp; Bed Mgmt'!$D$5:$D$428&lt;&gt;"")*--(('Client DB &amp; Bed Mgmt'!$M$5:$M$428="")+NOT(ISNUMBER('Client DB &amp; Bed Mgmt'!$M$5:$M$428))+IFERROR('Client DB &amp; Bed Mgmt'!$M$5:$M$428&lt;=EOMONTH(B156,0),FALSE)&gt;0)*--(('Client DB &amp; Bed Mgmt'!$N$5:$N$428="")+NOT(ISNUMBER('Client DB &amp; Bed Mgmt'!$N$5:$N$428))+IFERROR('Client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</f>
        <v/>
      </c>
      <c r="V156" s="129">
        <f>IFERROR(I156/U156,0)</f>
        <v/>
      </c>
      <c r="W156" s="127">
        <f>SUMPRODUCT(('Client DB &amp; Bed Mgmt'!$A$5:$A$428=K156)*('Client DB &amp; Bed Mgmt'!$B$5:$B$428=L156)*('Client DB &amp; Bed Mgmt'!$D$5:$D$428&lt;&gt;"")*--(('Client DB &amp; Bed Mgmt'!$M$5:$M$428="")+NOT(ISNUMBER('Client DB &amp; Bed Mgmt'!$M$5:$M$428))+IFERROR('Client DB &amp; Bed Mgmt'!$M$5:$M$428&lt;=EOMONTH(B156,0),FALSE)&gt;0)*--(('Client DB &amp; Bed Mgmt'!$N$5:$N$428="")+NOT(ISNUMBER('Client DB &amp; Bed Mgmt'!$N$5:$N$428))+IFERROR('Client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</f>
        <v/>
      </c>
      <c r="X156" s="130">
        <f>IFERROR(S156/W156,0)</f>
        <v/>
      </c>
    </row>
    <row r="157" hidden="1" ht="14.25" customHeight="1" s="83">
      <c r="A157" s="103" t="inlineStr">
        <is>
          <t>Dorm 3</t>
        </is>
      </c>
      <c r="B157" s="125">
        <f>INDEX(MonthList,INT((ROW()-150)/6)+1)</f>
        <v/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>
        <f>SUMPRODUCT(('Client DB &amp; Bed Mgmt'!$A$5:$A$428=A157)*('Client DB &amp; Bed Mgmt'!$B$5:$B$428=C157)*('Client DB &amp; Bed Mgmt'!$D$5:$D$428&lt;&gt;"")*--(('Client DB &amp; Bed Mgmt'!$M$5:$M$428="")+NOT(ISNUMBER('Client DB &amp; Bed Mgmt'!$M$5:$M$428))+IFERROR('Client DB &amp; Bed Mgmt'!$M$5:$M$428&lt;=EOMONTH(B157,0),FALSE)&gt;0)*--(('Client DB &amp; Bed Mgmt'!$N$5:$N$428="")+NOT(ISNUMBER('Client DB &amp; Bed Mgmt'!$N$5:$N$428))+IFERROR('Client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</f>
        <v/>
      </c>
      <c r="V157" s="129">
        <f>IFERROR(I157/U157,0)</f>
        <v/>
      </c>
      <c r="W157" s="127">
        <f>SUMPRODUCT(('Client DB &amp; Bed Mgmt'!$A$5:$A$428=K157)*('Client DB &amp; Bed Mgmt'!$B$5:$B$428=L157)*('Client DB &amp; Bed Mgmt'!$D$5:$D$428&lt;&gt;"")*--(('Client DB &amp; Bed Mgmt'!$M$5:$M$428="")+NOT(ISNUMBER('Client DB &amp; Bed Mgmt'!$M$5:$M$428))+IFERROR('Client DB &amp; Bed Mgmt'!$M$5:$M$428&lt;=EOMONTH(B157,0),FALSE)&gt;0)*--(('Client DB &amp; Bed Mgmt'!$N$5:$N$428="")+NOT(ISNUMBER('Client DB &amp; Bed Mgmt'!$N$5:$N$428))+IFERROR('Client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</f>
        <v/>
      </c>
      <c r="X157" s="130">
        <f>IFERROR(S157/W157,0)</f>
        <v/>
      </c>
    </row>
    <row r="158" hidden="1" ht="14.25" customHeight="1" s="83">
      <c r="A158" s="103" t="inlineStr">
        <is>
          <t>Dorm 3</t>
        </is>
      </c>
      <c r="B158" s="125">
        <f>INDEX(MonthList,INT((ROW()-150)/6)+1)</f>
        <v/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>
        <f>SUMPRODUCT(('Client DB &amp; Bed Mgmt'!$A$5:$A$428=A158)*('Client DB &amp; Bed Mgmt'!$B$5:$B$428=C158)*('Client DB &amp; Bed Mgmt'!$D$5:$D$428&lt;&gt;"")*--(('Client DB &amp; Bed Mgmt'!$M$5:$M$428="")+NOT(ISNUMBER('Client DB &amp; Bed Mgmt'!$M$5:$M$428))+IFERROR('Client DB &amp; Bed Mgmt'!$M$5:$M$428&lt;=EOMONTH(B158,0),FALSE)&gt;0)*--(('Client DB &amp; Bed Mgmt'!$N$5:$N$428="")+NOT(ISNUMBER('Client DB &amp; Bed Mgmt'!$N$5:$N$428))+IFERROR('Client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</f>
        <v/>
      </c>
      <c r="V158" s="129">
        <f>IFERROR(I158/U158,0)</f>
        <v/>
      </c>
      <c r="W158" s="127">
        <f>SUMPRODUCT(('Client DB &amp; Bed Mgmt'!$A$5:$A$428=K158)*('Client DB &amp; Bed Mgmt'!$B$5:$B$428=L158)*('Client DB &amp; Bed Mgmt'!$D$5:$D$428&lt;&gt;"")*--(('Client DB &amp; Bed Mgmt'!$M$5:$M$428="")+NOT(ISNUMBER('Client DB &amp; Bed Mgmt'!$M$5:$M$428))+IFERROR('Client DB &amp; Bed Mgmt'!$M$5:$M$428&lt;=EOMONTH(B158,0),FALSE)&gt;0)*--(('Client DB &amp; Bed Mgmt'!$N$5:$N$428="")+NOT(ISNUMBER('Client DB &amp; Bed Mgmt'!$N$5:$N$428))+IFERROR('Client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</f>
        <v/>
      </c>
      <c r="X158" s="130">
        <f>IFERROR(S158/W158,0)</f>
        <v/>
      </c>
    </row>
    <row r="159" hidden="1" ht="14.25" customHeight="1" s="83">
      <c r="A159" s="103" t="inlineStr">
        <is>
          <t>Dorm 3</t>
        </is>
      </c>
      <c r="B159" s="125">
        <f>INDEX(MonthList,INT((ROW()-150)/6)+1)</f>
        <v/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>
        <f>SUMPRODUCT(('Client DB &amp; Bed Mgmt'!$A$5:$A$428=A159)*('Client DB &amp; Bed Mgmt'!$B$5:$B$428=C159)*('Client DB &amp; Bed Mgmt'!$D$5:$D$428&lt;&gt;"")*--(('Client DB &amp; Bed Mgmt'!$M$5:$M$428="")+NOT(ISNUMBER('Client DB &amp; Bed Mgmt'!$M$5:$M$428))+IFERROR('Client DB &amp; Bed Mgmt'!$M$5:$M$428&lt;=EOMONTH(B159,0),FALSE)&gt;0)*--(('Client DB &amp; Bed Mgmt'!$N$5:$N$428="")+NOT(ISNUMBER('Client DB &amp; Bed Mgmt'!$N$5:$N$428))+IFERROR('Client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</f>
        <v/>
      </c>
      <c r="V159" s="129">
        <f>IFERROR(I159/U159,0)</f>
        <v/>
      </c>
      <c r="W159" s="127">
        <f>SUMPRODUCT(('Client DB &amp; Bed Mgmt'!$A$5:$A$428=K159)*('Client DB &amp; Bed Mgmt'!$B$5:$B$428=L159)*('Client DB &amp; Bed Mgmt'!$D$5:$D$428&lt;&gt;"")*--(('Client DB &amp; Bed Mgmt'!$M$5:$M$428="")+NOT(ISNUMBER('Client DB &amp; Bed Mgmt'!$M$5:$M$428))+IFERROR('Client DB &amp; Bed Mgmt'!$M$5:$M$428&lt;=EOMONTH(B159,0),FALSE)&gt;0)*--(('Client DB &amp; Bed Mgmt'!$N$5:$N$428="")+NOT(ISNUMBER('Client DB &amp; Bed Mgmt'!$N$5:$N$428))+IFERROR('Client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</f>
        <v/>
      </c>
      <c r="X159" s="130">
        <f>IFERROR(S159/W159,0)</f>
        <v/>
      </c>
    </row>
    <row r="160" hidden="1" ht="14.25" customHeight="1" s="83">
      <c r="A160" s="103" t="inlineStr">
        <is>
          <t>Dorm 3</t>
        </is>
      </c>
      <c r="B160" s="125">
        <f>INDEX(MonthList,INT((ROW()-150)/6)+1)</f>
        <v/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>
        <f>SUMPRODUCT(('Client DB &amp; Bed Mgmt'!$A$5:$A$428=A160)*('Client DB &amp; Bed Mgmt'!$B$5:$B$428=C160)*('Client DB &amp; Bed Mgmt'!$D$5:$D$428&lt;&gt;"")*--(('Client DB &amp; Bed Mgmt'!$M$5:$M$428="")+NOT(ISNUMBER('Client DB &amp; Bed Mgmt'!$M$5:$M$428))+IFERROR('Client DB &amp; Bed Mgmt'!$M$5:$M$428&lt;=EOMONTH(B160,0),FALSE)&gt;0)*--(('Client DB &amp; Bed Mgmt'!$N$5:$N$428="")+NOT(ISNUMBER('Client DB &amp; Bed Mgmt'!$N$5:$N$428))+IFERROR('Client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</f>
        <v/>
      </c>
      <c r="V160" s="129">
        <f>IFERROR(I160/U160,0)</f>
        <v/>
      </c>
      <c r="W160" s="127">
        <f>SUMPRODUCT(('Client DB &amp; Bed Mgmt'!$A$5:$A$428=K160)*('Client DB &amp; Bed Mgmt'!$B$5:$B$428=L160)*('Client DB &amp; Bed Mgmt'!$D$5:$D$428&lt;&gt;"")*--(('Client DB &amp; Bed Mgmt'!$M$5:$M$428="")+NOT(ISNUMBER('Client DB &amp; Bed Mgmt'!$M$5:$M$428))+IFERROR('Client DB &amp; Bed Mgmt'!$M$5:$M$428&lt;=EOMONTH(B160,0),FALSE)&gt;0)*--(('Client DB &amp; Bed Mgmt'!$N$5:$N$428="")+NOT(ISNUMBER('Client DB &amp; Bed Mgmt'!$N$5:$N$428))+IFERROR('Client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</f>
        <v/>
      </c>
      <c r="X160" s="130">
        <f>IFERROR(S160/W160,0)</f>
        <v/>
      </c>
    </row>
    <row r="161" hidden="1" ht="14.25" customHeight="1" s="83">
      <c r="A161" s="103" t="inlineStr">
        <is>
          <t>Dorm 3</t>
        </is>
      </c>
      <c r="B161" s="125">
        <f>INDEX(MonthList,INT((ROW()-150)/6)+1)</f>
        <v/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>
        <f>SUMPRODUCT(('Client DB &amp; Bed Mgmt'!$A$5:$A$428=A161)*('Client DB &amp; Bed Mgmt'!$B$5:$B$428=C161)*('Client DB &amp; Bed Mgmt'!$D$5:$D$428&lt;&gt;"")*--(('Client DB &amp; Bed Mgmt'!$M$5:$M$428="")+NOT(ISNUMBER('Client DB &amp; Bed Mgmt'!$M$5:$M$428))+IFERROR('Client DB &amp; Bed Mgmt'!$M$5:$M$428&lt;=EOMONTH(B161,0),FALSE)&gt;0)*--(('Client DB &amp; Bed Mgmt'!$N$5:$N$428="")+NOT(ISNUMBER('Client DB &amp; Bed Mgmt'!$N$5:$N$428))+IFERROR('Client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</f>
        <v/>
      </c>
      <c r="V161" s="129">
        <f>IFERROR(I161/U161,0)</f>
        <v/>
      </c>
      <c r="W161" s="127">
        <f>SUMPRODUCT(('Client DB &amp; Bed Mgmt'!$A$5:$A$428=K161)*('Client DB &amp; Bed Mgmt'!$B$5:$B$428=L161)*('Client DB &amp; Bed Mgmt'!$D$5:$D$428&lt;&gt;"")*--(('Client DB &amp; Bed Mgmt'!$M$5:$M$428="")+NOT(ISNUMBER('Client DB &amp; Bed Mgmt'!$M$5:$M$428))+IFERROR('Client DB &amp; Bed Mgmt'!$M$5:$M$428&lt;=EOMONTH(B161,0),FALSE)&gt;0)*--(('Client DB &amp; Bed Mgmt'!$N$5:$N$428="")+NOT(ISNUMBER('Client DB &amp; Bed Mgmt'!$N$5:$N$428))+IFERROR('Client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</f>
        <v/>
      </c>
      <c r="X161" s="130">
        <f>IFERROR(S161/W161,0)</f>
        <v/>
      </c>
    </row>
    <row r="162" hidden="1" ht="14.25" customHeight="1" s="83">
      <c r="A162" s="103" t="inlineStr">
        <is>
          <t>Dorm 3</t>
        </is>
      </c>
      <c r="B162" s="125">
        <f>INDEX(MonthList,INT((ROW()-150)/6)+1)</f>
        <v/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>
        <f>SUMPRODUCT(('Client DB &amp; Bed Mgmt'!$A$5:$A$428=A162)*('Client DB &amp; Bed Mgmt'!$B$5:$B$428=C162)*('Client DB &amp; Bed Mgmt'!$D$5:$D$428&lt;&gt;"")*--(('Client DB &amp; Bed Mgmt'!$M$5:$M$428="")+NOT(ISNUMBER('Client DB &amp; Bed Mgmt'!$M$5:$M$428))+IFERROR('Client DB &amp; Bed Mgmt'!$M$5:$M$428&lt;=EOMONTH(B162,0),FALSE)&gt;0)*--(('Client DB &amp; Bed Mgmt'!$N$5:$N$428="")+NOT(ISNUMBER('Client DB &amp; Bed Mgmt'!$N$5:$N$428))+IFERROR('Client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</f>
        <v/>
      </c>
      <c r="V162" s="129">
        <f>IFERROR(I162/U162,0)</f>
        <v/>
      </c>
      <c r="W162" s="127">
        <f>SUMPRODUCT(('Client DB &amp; Bed Mgmt'!$A$5:$A$428=K162)*('Client DB &amp; Bed Mgmt'!$B$5:$B$428=L162)*('Client DB &amp; Bed Mgmt'!$D$5:$D$428&lt;&gt;"")*--(('Client DB &amp; Bed Mgmt'!$M$5:$M$428="")+NOT(ISNUMBER('Client DB &amp; Bed Mgmt'!$M$5:$M$428))+IFERROR('Client DB &amp; Bed Mgmt'!$M$5:$M$428&lt;=EOMONTH(B162,0),FALSE)&gt;0)*--(('Client DB &amp; Bed Mgmt'!$N$5:$N$428="")+NOT(ISNUMBER('Client DB &amp; Bed Mgmt'!$N$5:$N$428))+IFERROR('Client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</f>
        <v/>
      </c>
      <c r="X162" s="130">
        <f>IFERROR(S162/W162,0)</f>
        <v/>
      </c>
    </row>
    <row r="163" hidden="1" ht="14.25" customHeight="1" s="83">
      <c r="A163" s="103" t="inlineStr">
        <is>
          <t>Dorm 3</t>
        </is>
      </c>
      <c r="B163" s="125">
        <f>INDEX(MonthList,INT((ROW()-150)/6)+1)</f>
        <v/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>
        <f>SUMPRODUCT(('Client DB &amp; Bed Mgmt'!$A$5:$A$428=A163)*('Client DB &amp; Bed Mgmt'!$B$5:$B$428=C163)*('Client DB &amp; Bed Mgmt'!$D$5:$D$428&lt;&gt;"")*--(('Client DB &amp; Bed Mgmt'!$M$5:$M$428="")+NOT(ISNUMBER('Client DB &amp; Bed Mgmt'!$M$5:$M$428))+IFERROR('Client DB &amp; Bed Mgmt'!$M$5:$M$428&lt;=EOMONTH(B163,0),FALSE)&gt;0)*--(('Client DB &amp; Bed Mgmt'!$N$5:$N$428="")+NOT(ISNUMBER('Client DB &amp; Bed Mgmt'!$N$5:$N$428))+IFERROR('Client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</f>
        <v/>
      </c>
      <c r="V163" s="129">
        <f>IFERROR(I163/U163,0)</f>
        <v/>
      </c>
      <c r="W163" s="127">
        <f>SUMPRODUCT(('Client DB &amp; Bed Mgmt'!$A$5:$A$428=K163)*('Client DB &amp; Bed Mgmt'!$B$5:$B$428=L163)*('Client DB &amp; Bed Mgmt'!$D$5:$D$428&lt;&gt;"")*--(('Client DB &amp; Bed Mgmt'!$M$5:$M$428="")+NOT(ISNUMBER('Client DB &amp; Bed Mgmt'!$M$5:$M$428))+IFERROR('Client DB &amp; Bed Mgmt'!$M$5:$M$428&lt;=EOMONTH(B163,0),FALSE)&gt;0)*--(('Client DB &amp; Bed Mgmt'!$N$5:$N$428="")+NOT(ISNUMBER('Client DB &amp; Bed Mgmt'!$N$5:$N$428))+IFERROR('Client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</f>
        <v/>
      </c>
      <c r="X163" s="130">
        <f>IFERROR(S163/W163,0)</f>
        <v/>
      </c>
    </row>
    <row r="164" hidden="1" ht="14.25" customHeight="1" s="83">
      <c r="A164" s="103" t="inlineStr">
        <is>
          <t>Dorm 3</t>
        </is>
      </c>
      <c r="B164" s="125">
        <f>INDEX(MonthList,INT((ROW()-150)/6)+1)</f>
        <v/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>
        <f>SUMPRODUCT(('Client DB &amp; Bed Mgmt'!$A$5:$A$428=A164)*('Client DB &amp; Bed Mgmt'!$B$5:$B$428=C164)*('Client DB &amp; Bed Mgmt'!$D$5:$D$428&lt;&gt;"")*--(('Client DB &amp; Bed Mgmt'!$M$5:$M$428="")+NOT(ISNUMBER('Client DB &amp; Bed Mgmt'!$M$5:$M$428))+IFERROR('Client DB &amp; Bed Mgmt'!$M$5:$M$428&lt;=EOMONTH(B164,0),FALSE)&gt;0)*--(('Client DB &amp; Bed Mgmt'!$N$5:$N$428="")+NOT(ISNUMBER('Client DB &amp; Bed Mgmt'!$N$5:$N$428))+IFERROR('Client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</f>
        <v/>
      </c>
      <c r="V164" s="129">
        <f>IFERROR(I164/U164,0)</f>
        <v/>
      </c>
      <c r="W164" s="127">
        <f>SUMPRODUCT(('Client DB &amp; Bed Mgmt'!$A$5:$A$428=K164)*('Client DB &amp; Bed Mgmt'!$B$5:$B$428=L164)*('Client DB &amp; Bed Mgmt'!$D$5:$D$428&lt;&gt;"")*--(('Client DB &amp; Bed Mgmt'!$M$5:$M$428="")+NOT(ISNUMBER('Client DB &amp; Bed Mgmt'!$M$5:$M$428))+IFERROR('Client DB &amp; Bed Mgmt'!$M$5:$M$428&lt;=EOMONTH(B164,0),FALSE)&gt;0)*--(('Client DB &amp; Bed Mgmt'!$N$5:$N$428="")+NOT(ISNUMBER('Client DB &amp; Bed Mgmt'!$N$5:$N$428))+IFERROR('Client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</f>
        <v/>
      </c>
      <c r="X164" s="130">
        <f>IFERROR(S164/W164,0)</f>
        <v/>
      </c>
    </row>
    <row r="165" hidden="1" ht="14.25" customHeight="1" s="83">
      <c r="A165" s="103" t="inlineStr">
        <is>
          <t>Dorm 3</t>
        </is>
      </c>
      <c r="B165" s="125">
        <f>INDEX(MonthList,INT((ROW()-150)/6)+1)</f>
        <v/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>
        <f>SUMPRODUCT(('Client DB &amp; Bed Mgmt'!$A$5:$A$428=A165)*('Client DB &amp; Bed Mgmt'!$B$5:$B$428=C165)*('Client DB &amp; Bed Mgmt'!$D$5:$D$428&lt;&gt;"")*--(('Client DB &amp; Bed Mgmt'!$M$5:$M$428="")+NOT(ISNUMBER('Client DB &amp; Bed Mgmt'!$M$5:$M$428))+IFERROR('Client DB &amp; Bed Mgmt'!$M$5:$M$428&lt;=EOMONTH(B165,0),FALSE)&gt;0)*--(('Client DB &amp; Bed Mgmt'!$N$5:$N$428="")+NOT(ISNUMBER('Client DB &amp; Bed Mgmt'!$N$5:$N$428))+IFERROR('Client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</f>
        <v/>
      </c>
      <c r="V165" s="129">
        <f>IFERROR(I165/U165,0)</f>
        <v/>
      </c>
      <c r="W165" s="127">
        <f>SUMPRODUCT(('Client DB &amp; Bed Mgmt'!$A$5:$A$428=K165)*('Client DB &amp; Bed Mgmt'!$B$5:$B$428=L165)*('Client DB &amp; Bed Mgmt'!$D$5:$D$428&lt;&gt;"")*--(('Client DB &amp; Bed Mgmt'!$M$5:$M$428="")+NOT(ISNUMBER('Client DB &amp; Bed Mgmt'!$M$5:$M$428))+IFERROR('Client DB &amp; Bed Mgmt'!$M$5:$M$428&lt;=EOMONTH(B165,0),FALSE)&gt;0)*--(('Client DB &amp; Bed Mgmt'!$N$5:$N$428="")+NOT(ISNUMBER('Client DB &amp; Bed Mgmt'!$N$5:$N$428))+IFERROR('Client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</f>
        <v/>
      </c>
      <c r="X165" s="130">
        <f>IFERROR(S165/W165,0)</f>
        <v/>
      </c>
    </row>
    <row r="166" hidden="1" ht="14.25" customHeight="1" s="83">
      <c r="A166" s="103" t="inlineStr">
        <is>
          <t>Dorm 3</t>
        </is>
      </c>
      <c r="B166" s="125">
        <f>INDEX(MonthList,INT((ROW()-150)/6)+1)</f>
        <v/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>
        <f>SUMPRODUCT(('Client DB &amp; Bed Mgmt'!$A$5:$A$428=A166)*('Client DB &amp; Bed Mgmt'!$B$5:$B$428=C166)*('Client DB &amp; Bed Mgmt'!$D$5:$D$428&lt;&gt;"")*--(('Client DB &amp; Bed Mgmt'!$M$5:$M$428="")+NOT(ISNUMBER('Client DB &amp; Bed Mgmt'!$M$5:$M$428))+IFERROR('Client DB &amp; Bed Mgmt'!$M$5:$M$428&lt;=EOMONTH(B166,0),FALSE)&gt;0)*--(('Client DB &amp; Bed Mgmt'!$N$5:$N$428="")+NOT(ISNUMBER('Client DB &amp; Bed Mgmt'!$N$5:$N$428))+IFERROR('Client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</f>
        <v/>
      </c>
      <c r="V166" s="129">
        <f>IFERROR(I166/U166,0)</f>
        <v/>
      </c>
      <c r="W166" s="127">
        <f>SUMPRODUCT(('Client DB &amp; Bed Mgmt'!$A$5:$A$428=K166)*('Client DB &amp; Bed Mgmt'!$B$5:$B$428=L166)*('Client DB &amp; Bed Mgmt'!$D$5:$D$428&lt;&gt;"")*--(('Client DB &amp; Bed Mgmt'!$M$5:$M$428="")+NOT(ISNUMBER('Client DB &amp; Bed Mgmt'!$M$5:$M$428))+IFERROR('Client DB &amp; Bed Mgmt'!$M$5:$M$428&lt;=EOMONTH(B166,0),FALSE)&gt;0)*--(('Client DB &amp; Bed Mgmt'!$N$5:$N$428="")+NOT(ISNUMBER('Client DB &amp; Bed Mgmt'!$N$5:$N$428))+IFERROR('Client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</f>
        <v/>
      </c>
      <c r="X166" s="130">
        <f>IFERROR(S166/W166,0)</f>
        <v/>
      </c>
    </row>
    <row r="167" hidden="1" ht="14.25" customHeight="1" s="83">
      <c r="A167" s="103" t="inlineStr">
        <is>
          <t>Dorm 3</t>
        </is>
      </c>
      <c r="B167" s="125">
        <f>INDEX(MonthList,INT((ROW()-150)/6)+1)</f>
        <v/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>
        <f>SUMPRODUCT(('Client DB &amp; Bed Mgmt'!$A$5:$A$428=A167)*('Client DB &amp; Bed Mgmt'!$B$5:$B$428=C167)*('Client DB &amp; Bed Mgmt'!$D$5:$D$428&lt;&gt;"")*--(('Client DB &amp; Bed Mgmt'!$M$5:$M$428="")+NOT(ISNUMBER('Client DB &amp; Bed Mgmt'!$M$5:$M$428))+IFERROR('Client DB &amp; Bed Mgmt'!$M$5:$M$428&lt;=EOMONTH(B167,0),FALSE)&gt;0)*--(('Client DB &amp; Bed Mgmt'!$N$5:$N$428="")+NOT(ISNUMBER('Client DB &amp; Bed Mgmt'!$N$5:$N$428))+IFERROR('Client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</f>
        <v/>
      </c>
      <c r="V167" s="129">
        <f>IFERROR(I167/U167,0)</f>
        <v/>
      </c>
      <c r="W167" s="127">
        <f>SUMPRODUCT(('Client DB &amp; Bed Mgmt'!$A$5:$A$428=K167)*('Client DB &amp; Bed Mgmt'!$B$5:$B$428=L167)*('Client DB &amp; Bed Mgmt'!$D$5:$D$428&lt;&gt;"")*--(('Client DB &amp; Bed Mgmt'!$M$5:$M$428="")+NOT(ISNUMBER('Client DB &amp; Bed Mgmt'!$M$5:$M$428))+IFERROR('Client DB &amp; Bed Mgmt'!$M$5:$M$428&lt;=EOMONTH(B167,0),FALSE)&gt;0)*--(('Client DB &amp; Bed Mgmt'!$N$5:$N$428="")+NOT(ISNUMBER('Client DB &amp; Bed Mgmt'!$N$5:$N$428))+IFERROR('Client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</f>
        <v/>
      </c>
      <c r="X167" s="130">
        <f>IFERROR(S167/W167,0)</f>
        <v/>
      </c>
    </row>
    <row r="168" hidden="1" ht="14.25" customHeight="1" s="83">
      <c r="A168" s="103" t="inlineStr">
        <is>
          <t>Dorm 3</t>
        </is>
      </c>
      <c r="B168" s="125">
        <f>INDEX(MonthList,INT((ROW()-150)/6)+1)</f>
        <v/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>
        <f>SUMPRODUCT(('Client DB &amp; Bed Mgmt'!$A$5:$A$428=A168)*('Client DB &amp; Bed Mgmt'!$B$5:$B$428=C168)*('Client DB &amp; Bed Mgmt'!$D$5:$D$428&lt;&gt;"")*--(('Client DB &amp; Bed Mgmt'!$M$5:$M$428="")+NOT(ISNUMBER('Client DB &amp; Bed Mgmt'!$M$5:$M$428))+IFERROR('Client DB &amp; Bed Mgmt'!$M$5:$M$428&lt;=EOMONTH(B168,0),FALSE)&gt;0)*--(('Client DB &amp; Bed Mgmt'!$N$5:$N$428="")+NOT(ISNUMBER('Client DB &amp; Bed Mgmt'!$N$5:$N$428))+IFERROR('Client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</f>
        <v/>
      </c>
      <c r="V168" s="129">
        <f>IFERROR(I168/U168,0)</f>
        <v/>
      </c>
      <c r="W168" s="127">
        <f>SUMPRODUCT(('Client DB &amp; Bed Mgmt'!$A$5:$A$428=K168)*('Client DB &amp; Bed Mgmt'!$B$5:$B$428=L168)*('Client DB &amp; Bed Mgmt'!$D$5:$D$428&lt;&gt;"")*--(('Client DB &amp; Bed Mgmt'!$M$5:$M$428="")+NOT(ISNUMBER('Client DB &amp; Bed Mgmt'!$M$5:$M$428))+IFERROR('Client DB &amp; Bed Mgmt'!$M$5:$M$428&lt;=EOMONTH(B168,0),FALSE)&gt;0)*--(('Client DB &amp; Bed Mgmt'!$N$5:$N$428="")+NOT(ISNUMBER('Client DB &amp; Bed Mgmt'!$N$5:$N$428))+IFERROR('Client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</f>
        <v/>
      </c>
      <c r="X168" s="130">
        <f>IFERROR(S168/W168,0)</f>
        <v/>
      </c>
    </row>
    <row r="169" hidden="1" ht="14.25" customHeight="1" s="83">
      <c r="A169" s="103" t="inlineStr">
        <is>
          <t>Dorm 3</t>
        </is>
      </c>
      <c r="B169" s="125">
        <f>INDEX(MonthList,INT((ROW()-150)/6)+1)</f>
        <v/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>
        <f>SUMPRODUCT(('Client DB &amp; Bed Mgmt'!$A$5:$A$428=A169)*('Client DB &amp; Bed Mgmt'!$B$5:$B$428=C169)*('Client DB &amp; Bed Mgmt'!$D$5:$D$428&lt;&gt;"")*--(('Client DB &amp; Bed Mgmt'!$M$5:$M$428="")+NOT(ISNUMBER('Client DB &amp; Bed Mgmt'!$M$5:$M$428))+IFERROR('Client DB &amp; Bed Mgmt'!$M$5:$M$428&lt;=EOMONTH(B169,0),FALSE)&gt;0)*--(('Client DB &amp; Bed Mgmt'!$N$5:$N$428="")+NOT(ISNUMBER('Client DB &amp; Bed Mgmt'!$N$5:$N$428))+IFERROR('Client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</f>
        <v/>
      </c>
      <c r="V169" s="129">
        <f>IFERROR(I169/U169,0)</f>
        <v/>
      </c>
      <c r="W169" s="127">
        <f>SUMPRODUCT(('Client DB &amp; Bed Mgmt'!$A$5:$A$428=K169)*('Client DB &amp; Bed Mgmt'!$B$5:$B$428=L169)*('Client DB &amp; Bed Mgmt'!$D$5:$D$428&lt;&gt;"")*--(('Client DB &amp; Bed Mgmt'!$M$5:$M$428="")+NOT(ISNUMBER('Client DB &amp; Bed Mgmt'!$M$5:$M$428))+IFERROR('Client DB &amp; Bed Mgmt'!$M$5:$M$428&lt;=EOMONTH(B169,0),FALSE)&gt;0)*--(('Client DB &amp; Bed Mgmt'!$N$5:$N$428="")+NOT(ISNUMBER('Client DB &amp; Bed Mgmt'!$N$5:$N$428))+IFERROR('Client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</f>
        <v/>
      </c>
      <c r="X169" s="130">
        <f>IFERROR(S169/W169,0)</f>
        <v/>
      </c>
    </row>
    <row r="170" hidden="1" ht="14.25" customHeight="1" s="83">
      <c r="A170" s="103" t="inlineStr">
        <is>
          <t>Dorm 3</t>
        </is>
      </c>
      <c r="B170" s="125">
        <f>INDEX(MonthList,INT((ROW()-150)/6)+1)</f>
        <v/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>
        <f>SUMPRODUCT(('Client DB &amp; Bed Mgmt'!$A$5:$A$428=A170)*('Client DB &amp; Bed Mgmt'!$B$5:$B$428=C170)*('Client DB &amp; Bed Mgmt'!$D$5:$D$428&lt;&gt;"")*--(('Client DB &amp; Bed Mgmt'!$M$5:$M$428="")+NOT(ISNUMBER('Client DB &amp; Bed Mgmt'!$M$5:$M$428))+IFERROR('Client DB &amp; Bed Mgmt'!$M$5:$M$428&lt;=EOMONTH(B170,0),FALSE)&gt;0)*--(('Client DB &amp; Bed Mgmt'!$N$5:$N$428="")+NOT(ISNUMBER('Client DB &amp; Bed Mgmt'!$N$5:$N$428))+IFERROR('Client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</f>
        <v/>
      </c>
      <c r="V170" s="129">
        <f>IFERROR(I170/U170,0)</f>
        <v/>
      </c>
      <c r="W170" s="127">
        <f>SUMPRODUCT(('Client DB &amp; Bed Mgmt'!$A$5:$A$428=K170)*('Client DB &amp; Bed Mgmt'!$B$5:$B$428=L170)*('Client DB &amp; Bed Mgmt'!$D$5:$D$428&lt;&gt;"")*--(('Client DB &amp; Bed Mgmt'!$M$5:$M$428="")+NOT(ISNUMBER('Client DB &amp; Bed Mgmt'!$M$5:$M$428))+IFERROR('Client DB &amp; Bed Mgmt'!$M$5:$M$428&lt;=EOMONTH(B170,0),FALSE)&gt;0)*--(('Client DB &amp; Bed Mgmt'!$N$5:$N$428="")+NOT(ISNUMBER('Client DB &amp; Bed Mgmt'!$N$5:$N$428))+IFERROR('Client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</f>
        <v/>
      </c>
      <c r="X170" s="130">
        <f>IFERROR(S170/W170,0)</f>
        <v/>
      </c>
    </row>
    <row r="171" hidden="1" ht="14.25" customHeight="1" s="83">
      <c r="A171" s="103" t="inlineStr">
        <is>
          <t>Dorm 3</t>
        </is>
      </c>
      <c r="B171" s="125">
        <f>INDEX(MonthList,INT((ROW()-150)/6)+1)</f>
        <v/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>
        <f>SUMPRODUCT(('Client DB &amp; Bed Mgmt'!$A$5:$A$428=A171)*('Client DB &amp; Bed Mgmt'!$B$5:$B$428=C171)*('Client DB &amp; Bed Mgmt'!$D$5:$D$428&lt;&gt;"")*--(('Client DB &amp; Bed Mgmt'!$M$5:$M$428="")+NOT(ISNUMBER('Client DB &amp; Bed Mgmt'!$M$5:$M$428))+IFERROR('Client DB &amp; Bed Mgmt'!$M$5:$M$428&lt;=EOMONTH(B171,0),FALSE)&gt;0)*--(('Client DB &amp; Bed Mgmt'!$N$5:$N$428="")+NOT(ISNUMBER('Client DB &amp; Bed Mgmt'!$N$5:$N$428))+IFERROR('Client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</f>
        <v/>
      </c>
      <c r="V171" s="129">
        <f>IFERROR(I171/U171,0)</f>
        <v/>
      </c>
      <c r="W171" s="127">
        <f>SUMPRODUCT(('Client DB &amp; Bed Mgmt'!$A$5:$A$428=K171)*('Client DB &amp; Bed Mgmt'!$B$5:$B$428=L171)*('Client DB &amp; Bed Mgmt'!$D$5:$D$428&lt;&gt;"")*--(('Client DB &amp; Bed Mgmt'!$M$5:$M$428="")+NOT(ISNUMBER('Client DB &amp; Bed Mgmt'!$M$5:$M$428))+IFERROR('Client DB &amp; Bed Mgmt'!$M$5:$M$428&lt;=EOMONTH(B171,0),FALSE)&gt;0)*--(('Client DB &amp; Bed Mgmt'!$N$5:$N$428="")+NOT(ISNUMBER('Client DB &amp; Bed Mgmt'!$N$5:$N$428))+IFERROR('Client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</f>
        <v/>
      </c>
      <c r="X171" s="130">
        <f>IFERROR(S171/W171,0)</f>
        <v/>
      </c>
    </row>
    <row r="172" hidden="1" ht="14.25" customHeight="1" s="83">
      <c r="A172" s="103" t="inlineStr">
        <is>
          <t>Dorm 3</t>
        </is>
      </c>
      <c r="B172" s="125">
        <f>INDEX(MonthList,INT((ROW()-150)/6)+1)</f>
        <v/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>
        <f>SUMPRODUCT(('Client DB &amp; Bed Mgmt'!$A$5:$A$428=A172)*('Client DB &amp; Bed Mgmt'!$B$5:$B$428=C172)*('Client DB &amp; Bed Mgmt'!$D$5:$D$428&lt;&gt;"")*--(('Client DB &amp; Bed Mgmt'!$M$5:$M$428="")+NOT(ISNUMBER('Client DB &amp; Bed Mgmt'!$M$5:$M$428))+IFERROR('Client DB &amp; Bed Mgmt'!$M$5:$M$428&lt;=EOMONTH(B172,0),FALSE)&gt;0)*--(('Client DB &amp; Bed Mgmt'!$N$5:$N$428="")+NOT(ISNUMBER('Client DB &amp; Bed Mgmt'!$N$5:$N$428))+IFERROR('Client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</f>
        <v/>
      </c>
      <c r="V172" s="129">
        <f>IFERROR(I172/U172,0)</f>
        <v/>
      </c>
      <c r="W172" s="127">
        <f>SUMPRODUCT(('Client DB &amp; Bed Mgmt'!$A$5:$A$428=K172)*('Client DB &amp; Bed Mgmt'!$B$5:$B$428=L172)*('Client DB &amp; Bed Mgmt'!$D$5:$D$428&lt;&gt;"")*--(('Client DB &amp; Bed Mgmt'!$M$5:$M$428="")+NOT(ISNUMBER('Client DB &amp; Bed Mgmt'!$M$5:$M$428))+IFERROR('Client DB &amp; Bed Mgmt'!$M$5:$M$428&lt;=EOMONTH(B172,0),FALSE)&gt;0)*--(('Client DB &amp; Bed Mgmt'!$N$5:$N$428="")+NOT(ISNUMBER('Client DB &amp; Bed Mgmt'!$N$5:$N$428))+IFERROR('Client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</f>
        <v/>
      </c>
      <c r="X172" s="130">
        <f>IFERROR(S172/W172,0)</f>
        <v/>
      </c>
    </row>
    <row r="173" hidden="1" ht="14.25" customHeight="1" s="83">
      <c r="A173" s="103" t="inlineStr">
        <is>
          <t>Dorm 3</t>
        </is>
      </c>
      <c r="B173" s="125">
        <f>INDEX(MonthList,INT((ROW()-150)/6)+1)</f>
        <v/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>
        <f>SUMPRODUCT(('Client DB &amp; Bed Mgmt'!$A$5:$A$428=A173)*('Client DB &amp; Bed Mgmt'!$B$5:$B$428=C173)*('Client DB &amp; Bed Mgmt'!$D$5:$D$428&lt;&gt;"")*--(('Client DB &amp; Bed Mgmt'!$M$5:$M$428="")+NOT(ISNUMBER('Client DB &amp; Bed Mgmt'!$M$5:$M$428))+IFERROR('Client DB &amp; Bed Mgmt'!$M$5:$M$428&lt;=EOMONTH(B173,0),FALSE)&gt;0)*--(('Client DB &amp; Bed Mgmt'!$N$5:$N$428="")+NOT(ISNUMBER('Client DB &amp; Bed Mgmt'!$N$5:$N$428))+IFERROR('Client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</f>
        <v/>
      </c>
      <c r="V173" s="129">
        <f>IFERROR(I173/U173,0)</f>
        <v/>
      </c>
      <c r="W173" s="127">
        <f>SUMPRODUCT(('Client DB &amp; Bed Mgmt'!$A$5:$A$428=K173)*('Client DB &amp; Bed Mgmt'!$B$5:$B$428=L173)*('Client DB &amp; Bed Mgmt'!$D$5:$D$428&lt;&gt;"")*--(('Client DB &amp; Bed Mgmt'!$M$5:$M$428="")+NOT(ISNUMBER('Client DB &amp; Bed Mgmt'!$M$5:$M$428))+IFERROR('Client DB &amp; Bed Mgmt'!$M$5:$M$428&lt;=EOMONTH(B173,0),FALSE)&gt;0)*--(('Client DB &amp; Bed Mgmt'!$N$5:$N$428="")+NOT(ISNUMBER('Client DB &amp; Bed Mgmt'!$N$5:$N$428))+IFERROR('Client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</f>
        <v/>
      </c>
      <c r="X173" s="130">
        <f>IFERROR(S173/W173,0)</f>
        <v/>
      </c>
    </row>
    <row r="174" hidden="1" ht="14.25" customHeight="1" s="83">
      <c r="A174" s="103" t="inlineStr">
        <is>
          <t>Dorm 3</t>
        </is>
      </c>
      <c r="B174" s="125">
        <f>INDEX(MonthList,INT((ROW()-150)/6)+1)</f>
        <v/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>
        <f>SUMPRODUCT(('Client DB &amp; Bed Mgmt'!$A$5:$A$428=A174)*('Client DB &amp; Bed Mgmt'!$B$5:$B$428=C174)*('Client DB &amp; Bed Mgmt'!$D$5:$D$428&lt;&gt;"")*--(('Client DB &amp; Bed Mgmt'!$M$5:$M$428="")+NOT(ISNUMBER('Client DB &amp; Bed Mgmt'!$M$5:$M$428))+IFERROR('Client DB &amp; Bed Mgmt'!$M$5:$M$428&lt;=EOMONTH(B174,0),FALSE)&gt;0)*--(('Client DB &amp; Bed Mgmt'!$N$5:$N$428="")+NOT(ISNUMBER('Client DB &amp; Bed Mgmt'!$N$5:$N$428))+IFERROR('Client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</f>
        <v/>
      </c>
      <c r="V174" s="129">
        <f>IFERROR(I174/U174,0)</f>
        <v/>
      </c>
      <c r="W174" s="127">
        <f>SUMPRODUCT(('Client DB &amp; Bed Mgmt'!$A$5:$A$428=K174)*('Client DB &amp; Bed Mgmt'!$B$5:$B$428=L174)*('Client DB &amp; Bed Mgmt'!$D$5:$D$428&lt;&gt;"")*--(('Client DB &amp; Bed Mgmt'!$M$5:$M$428="")+NOT(ISNUMBER('Client DB &amp; Bed Mgmt'!$M$5:$M$428))+IFERROR('Client DB &amp; Bed Mgmt'!$M$5:$M$428&lt;=EOMONTH(B174,0),FALSE)&gt;0)*--(('Client DB &amp; Bed Mgmt'!$N$5:$N$428="")+NOT(ISNUMBER('Client DB &amp; Bed Mgmt'!$N$5:$N$428))+IFERROR('Client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</f>
        <v/>
      </c>
      <c r="X174" s="130">
        <f>IFERROR(S174/W174,0)</f>
        <v/>
      </c>
    </row>
    <row r="175" hidden="1" ht="14.25" customHeight="1" s="83">
      <c r="A175" s="103" t="inlineStr">
        <is>
          <t>Dorm 3</t>
        </is>
      </c>
      <c r="B175" s="125">
        <f>INDEX(MonthList,INT((ROW()-150)/6)+1)</f>
        <v/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>
        <f>SUMPRODUCT(('Client DB &amp; Bed Mgmt'!$A$5:$A$428=A175)*('Client DB &amp; Bed Mgmt'!$B$5:$B$428=C175)*('Client DB &amp; Bed Mgmt'!$D$5:$D$428&lt;&gt;"")*--(('Client DB &amp; Bed Mgmt'!$M$5:$M$428="")+NOT(ISNUMBER('Client DB &amp; Bed Mgmt'!$M$5:$M$428))+IFERROR('Client DB &amp; Bed Mgmt'!$M$5:$M$428&lt;=EOMONTH(B175,0),FALSE)&gt;0)*--(('Client DB &amp; Bed Mgmt'!$N$5:$N$428="")+NOT(ISNUMBER('Client DB &amp; Bed Mgmt'!$N$5:$N$428))+IFERROR('Client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</f>
        <v/>
      </c>
      <c r="V175" s="129">
        <f>IFERROR(I175/U175,0)</f>
        <v/>
      </c>
      <c r="W175" s="127">
        <f>SUMPRODUCT(('Client DB &amp; Bed Mgmt'!$A$5:$A$428=K175)*('Client DB &amp; Bed Mgmt'!$B$5:$B$428=L175)*('Client DB &amp; Bed Mgmt'!$D$5:$D$428&lt;&gt;"")*--(('Client DB &amp; Bed Mgmt'!$M$5:$M$428="")+NOT(ISNUMBER('Client DB &amp; Bed Mgmt'!$M$5:$M$428))+IFERROR('Client DB &amp; Bed Mgmt'!$M$5:$M$428&lt;=EOMONTH(B175,0),FALSE)&gt;0)*--(('Client DB &amp; Bed Mgmt'!$N$5:$N$428="")+NOT(ISNUMBER('Client DB &amp; Bed Mgmt'!$N$5:$N$428))+IFERROR('Client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</f>
        <v/>
      </c>
      <c r="X175" s="130">
        <f>IFERROR(S175/W175,0)</f>
        <v/>
      </c>
    </row>
    <row r="176" hidden="1" ht="14.25" customHeight="1" s="83">
      <c r="A176" s="103" t="inlineStr">
        <is>
          <t>Dorm 3</t>
        </is>
      </c>
      <c r="B176" s="125">
        <f>INDEX(MonthList,INT((ROW()-150)/6)+1)</f>
        <v/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>
        <f>SUMPRODUCT(('Client DB &amp; Bed Mgmt'!$A$5:$A$428=A176)*('Client DB &amp; Bed Mgmt'!$B$5:$B$428=C176)*('Client DB &amp; Bed Mgmt'!$D$5:$D$428&lt;&gt;"")*--(('Client DB &amp; Bed Mgmt'!$M$5:$M$428="")+NOT(ISNUMBER('Client DB &amp; Bed Mgmt'!$M$5:$M$428))+IFERROR('Client DB &amp; Bed Mgmt'!$M$5:$M$428&lt;=EOMONTH(B176,0),FALSE)&gt;0)*--(('Client DB &amp; Bed Mgmt'!$N$5:$N$428="")+NOT(ISNUMBER('Client DB &amp; Bed Mgmt'!$N$5:$N$428))+IFERROR('Client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</f>
        <v/>
      </c>
      <c r="V176" s="129">
        <f>IFERROR(I176/U176,0)</f>
        <v/>
      </c>
      <c r="W176" s="127">
        <f>SUMPRODUCT(('Client DB &amp; Bed Mgmt'!$A$5:$A$428=K176)*('Client DB &amp; Bed Mgmt'!$B$5:$B$428=L176)*('Client DB &amp; Bed Mgmt'!$D$5:$D$428&lt;&gt;"")*--(('Client DB &amp; Bed Mgmt'!$M$5:$M$428="")+NOT(ISNUMBER('Client DB &amp; Bed Mgmt'!$M$5:$M$428))+IFERROR('Client DB &amp; Bed Mgmt'!$M$5:$M$428&lt;=EOMONTH(B176,0),FALSE)&gt;0)*--(('Client DB &amp; Bed Mgmt'!$N$5:$N$428="")+NOT(ISNUMBER('Client DB &amp; Bed Mgmt'!$N$5:$N$428))+IFERROR('Client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</f>
        <v/>
      </c>
      <c r="X176" s="130">
        <f>IFERROR(S176/W176,0)</f>
        <v/>
      </c>
    </row>
    <row r="177" hidden="1" ht="14.25" customHeight="1" s="83">
      <c r="A177" s="103" t="inlineStr">
        <is>
          <t>Dorm 3</t>
        </is>
      </c>
      <c r="B177" s="125">
        <f>INDEX(MonthList,INT((ROW()-150)/6)+1)</f>
        <v/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>
        <f>SUMPRODUCT(('Client DB &amp; Bed Mgmt'!$A$5:$A$428=A177)*('Client DB &amp; Bed Mgmt'!$B$5:$B$428=C177)*('Client DB &amp; Bed Mgmt'!$D$5:$D$428&lt;&gt;"")*--(('Client DB &amp; Bed Mgmt'!$M$5:$M$428="")+NOT(ISNUMBER('Client DB &amp; Bed Mgmt'!$M$5:$M$428))+IFERROR('Client DB &amp; Bed Mgmt'!$M$5:$M$428&lt;=EOMONTH(B177,0),FALSE)&gt;0)*--(('Client DB &amp; Bed Mgmt'!$N$5:$N$428="")+NOT(ISNUMBER('Client DB &amp; Bed Mgmt'!$N$5:$N$428))+IFERROR('Client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</f>
        <v/>
      </c>
      <c r="V177" s="129">
        <f>IFERROR(I177/U177,0)</f>
        <v/>
      </c>
      <c r="W177" s="127">
        <f>SUMPRODUCT(('Client DB &amp; Bed Mgmt'!$A$5:$A$428=K177)*('Client DB &amp; Bed Mgmt'!$B$5:$B$428=L177)*('Client DB &amp; Bed Mgmt'!$D$5:$D$428&lt;&gt;"")*--(('Client DB &amp; Bed Mgmt'!$M$5:$M$428="")+NOT(ISNUMBER('Client DB &amp; Bed Mgmt'!$M$5:$M$428))+IFERROR('Client DB &amp; Bed Mgmt'!$M$5:$M$428&lt;=EOMONTH(B177,0),FALSE)&gt;0)*--(('Client DB &amp; Bed Mgmt'!$N$5:$N$428="")+NOT(ISNUMBER('Client DB &amp; Bed Mgmt'!$N$5:$N$428))+IFERROR('Client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</f>
        <v/>
      </c>
      <c r="X177" s="130">
        <f>IFERROR(S177/W177,0)</f>
        <v/>
      </c>
    </row>
    <row r="178" hidden="1" ht="14.25" customHeight="1" s="83">
      <c r="A178" s="103" t="inlineStr">
        <is>
          <t>Dorm 3</t>
        </is>
      </c>
      <c r="B178" s="125">
        <f>INDEX(MonthList,INT((ROW()-150)/6)+1)</f>
        <v/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>
        <f>SUMPRODUCT(('Client DB &amp; Bed Mgmt'!$A$5:$A$428=A178)*('Client DB &amp; Bed Mgmt'!$B$5:$B$428=C178)*('Client DB &amp; Bed Mgmt'!$D$5:$D$428&lt;&gt;"")*--(('Client DB &amp; Bed Mgmt'!$M$5:$M$428="")+NOT(ISNUMBER('Client DB &amp; Bed Mgmt'!$M$5:$M$428))+IFERROR('Client DB &amp; Bed Mgmt'!$M$5:$M$428&lt;=EOMONTH(B178,0),FALSE)&gt;0)*--(('Client DB &amp; Bed Mgmt'!$N$5:$N$428="")+NOT(ISNUMBER('Client DB &amp; Bed Mgmt'!$N$5:$N$428))+IFERROR('Client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</f>
        <v/>
      </c>
      <c r="V178" s="129">
        <f>IFERROR(I178/U178,0)</f>
        <v/>
      </c>
      <c r="W178" s="127">
        <f>SUMPRODUCT(('Client DB &amp; Bed Mgmt'!$A$5:$A$428=K178)*('Client DB &amp; Bed Mgmt'!$B$5:$B$428=L178)*('Client DB &amp; Bed Mgmt'!$D$5:$D$428&lt;&gt;"")*--(('Client DB &amp; Bed Mgmt'!$M$5:$M$428="")+NOT(ISNUMBER('Client DB &amp; Bed Mgmt'!$M$5:$M$428))+IFERROR('Client DB &amp; Bed Mgmt'!$M$5:$M$428&lt;=EOMONTH(B178,0),FALSE)&gt;0)*--(('Client DB &amp; Bed Mgmt'!$N$5:$N$428="")+NOT(ISNUMBER('Client DB &amp; Bed Mgmt'!$N$5:$N$428))+IFERROR('Client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</f>
        <v/>
      </c>
      <c r="X178" s="130">
        <f>IFERROR(S178/W178,0)</f>
        <v/>
      </c>
    </row>
    <row r="179" hidden="1" ht="14.25" customHeight="1" s="83">
      <c r="A179" s="103" t="inlineStr">
        <is>
          <t>Dorm 3</t>
        </is>
      </c>
      <c r="B179" s="125">
        <f>INDEX(MonthList,INT((ROW()-150)/6)+1)</f>
        <v/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>
        <f>SUMPRODUCT(('Client DB &amp; Bed Mgmt'!$A$5:$A$428=A179)*('Client DB &amp; Bed Mgmt'!$B$5:$B$428=C179)*('Client DB &amp; Bed Mgmt'!$D$5:$D$428&lt;&gt;"")*--(('Client DB &amp; Bed Mgmt'!$M$5:$M$428="")+NOT(ISNUMBER('Client DB &amp; Bed Mgmt'!$M$5:$M$428))+IFERROR('Client DB &amp; Bed Mgmt'!$M$5:$M$428&lt;=EOMONTH(B179,0),FALSE)&gt;0)*--(('Client DB &amp; Bed Mgmt'!$N$5:$N$428="")+NOT(ISNUMBER('Client DB &amp; Bed Mgmt'!$N$5:$N$428))+IFERROR('Client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</f>
        <v/>
      </c>
      <c r="V179" s="129">
        <f>IFERROR(I179/U179,0)</f>
        <v/>
      </c>
      <c r="W179" s="127">
        <f>SUMPRODUCT(('Client DB &amp; Bed Mgmt'!$A$5:$A$428=K179)*('Client DB &amp; Bed Mgmt'!$B$5:$B$428=L179)*('Client DB &amp; Bed Mgmt'!$D$5:$D$428&lt;&gt;"")*--(('Client DB &amp; Bed Mgmt'!$M$5:$M$428="")+NOT(ISNUMBER('Client DB &amp; Bed Mgmt'!$M$5:$M$428))+IFERROR('Client DB &amp; Bed Mgmt'!$M$5:$M$428&lt;=EOMONTH(B179,0),FALSE)&gt;0)*--(('Client DB &amp; Bed Mgmt'!$N$5:$N$428="")+NOT(ISNUMBER('Client DB &amp; Bed Mgmt'!$N$5:$N$428))+IFERROR('Client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</f>
        <v/>
      </c>
      <c r="X179" s="130">
        <f>IFERROR(S179/W179,0)</f>
        <v/>
      </c>
    </row>
    <row r="180" hidden="1" ht="14.25" customHeight="1" s="83">
      <c r="A180" s="103" t="inlineStr">
        <is>
          <t>Dorm 3</t>
        </is>
      </c>
      <c r="B180" s="125">
        <f>INDEX(MonthList,INT((ROW()-150)/6)+1)</f>
        <v/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>
        <f>SUMPRODUCT(('Client DB &amp; Bed Mgmt'!$A$5:$A$428=A180)*('Client DB &amp; Bed Mgmt'!$B$5:$B$428=C180)*('Client DB &amp; Bed Mgmt'!$D$5:$D$428&lt;&gt;"")*--(('Client DB &amp; Bed Mgmt'!$M$5:$M$428="")+NOT(ISNUMBER('Client DB &amp; Bed Mgmt'!$M$5:$M$428))+IFERROR('Client DB &amp; Bed Mgmt'!$M$5:$M$428&lt;=EOMONTH(B180,0),FALSE)&gt;0)*--(('Client DB &amp; Bed Mgmt'!$N$5:$N$428="")+NOT(ISNUMBER('Client DB &amp; Bed Mgmt'!$N$5:$N$428))+IFERROR('Client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</f>
        <v/>
      </c>
      <c r="V180" s="129">
        <f>IFERROR(I180/U180,0)</f>
        <v/>
      </c>
      <c r="W180" s="127">
        <f>SUMPRODUCT(('Client DB &amp; Bed Mgmt'!$A$5:$A$428=K180)*('Client DB &amp; Bed Mgmt'!$B$5:$B$428=L180)*('Client DB &amp; Bed Mgmt'!$D$5:$D$428&lt;&gt;"")*--(('Client DB &amp; Bed Mgmt'!$M$5:$M$428="")+NOT(ISNUMBER('Client DB &amp; Bed Mgmt'!$M$5:$M$428))+IFERROR('Client DB &amp; Bed Mgmt'!$M$5:$M$428&lt;=EOMONTH(B180,0),FALSE)&gt;0)*--(('Client DB &amp; Bed Mgmt'!$N$5:$N$428="")+NOT(ISNUMBER('Client DB &amp; Bed Mgmt'!$N$5:$N$428))+IFERROR('Client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</f>
        <v/>
      </c>
      <c r="X180" s="130">
        <f>IFERROR(S180/W180,0)</f>
        <v/>
      </c>
    </row>
    <row r="181" hidden="1" ht="14.25" customHeight="1" s="83">
      <c r="A181" s="103" t="inlineStr">
        <is>
          <t>Dorm 3</t>
        </is>
      </c>
      <c r="B181" s="125">
        <f>INDEX(MonthList,INT((ROW()-150)/6)+1)</f>
        <v/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>
        <f>SUMPRODUCT(('Client DB &amp; Bed Mgmt'!$A$5:$A$428=A181)*('Client DB &amp; Bed Mgmt'!$B$5:$B$428=C181)*('Client DB &amp; Bed Mgmt'!$D$5:$D$428&lt;&gt;"")*--(('Client DB &amp; Bed Mgmt'!$M$5:$M$428="")+NOT(ISNUMBER('Client DB &amp; Bed Mgmt'!$M$5:$M$428))+IFERROR('Client DB &amp; Bed Mgmt'!$M$5:$M$428&lt;=EOMONTH(B181,0),FALSE)&gt;0)*--(('Client DB &amp; Bed Mgmt'!$N$5:$N$428="")+NOT(ISNUMBER('Client DB &amp; Bed Mgmt'!$N$5:$N$428))+IFERROR('Client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</f>
        <v/>
      </c>
      <c r="V181" s="129">
        <f>IFERROR(I181/U181,0)</f>
        <v/>
      </c>
      <c r="W181" s="127">
        <f>SUMPRODUCT(('Client DB &amp; Bed Mgmt'!$A$5:$A$428=K181)*('Client DB &amp; Bed Mgmt'!$B$5:$B$428=L181)*('Client DB &amp; Bed Mgmt'!$D$5:$D$428&lt;&gt;"")*--(('Client DB &amp; Bed Mgmt'!$M$5:$M$428="")+NOT(ISNUMBER('Client DB &amp; Bed Mgmt'!$M$5:$M$428))+IFERROR('Client DB &amp; Bed Mgmt'!$M$5:$M$428&lt;=EOMONTH(B181,0),FALSE)&gt;0)*--(('Client DB &amp; Bed Mgmt'!$N$5:$N$428="")+NOT(ISNUMBER('Client DB &amp; Bed Mgmt'!$N$5:$N$428))+IFERROR('Client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</f>
        <v/>
      </c>
      <c r="X181" s="130">
        <f>IFERROR(S181/W181,0)</f>
        <v/>
      </c>
    </row>
    <row r="182" hidden="1" ht="14.25" customHeight="1" s="83">
      <c r="A182" s="103" t="inlineStr">
        <is>
          <t>Dorm 3</t>
        </is>
      </c>
      <c r="B182" s="125">
        <f>INDEX(MonthList,INT((ROW()-150)/6)+1)</f>
        <v/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>
        <f>SUMPRODUCT(('Client DB &amp; Bed Mgmt'!$A$5:$A$428=A182)*('Client DB &amp; Bed Mgmt'!$B$5:$B$428=C182)*('Client DB &amp; Bed Mgmt'!$D$5:$D$428&lt;&gt;"")*--(('Client DB &amp; Bed Mgmt'!$M$5:$M$428="")+NOT(ISNUMBER('Client DB &amp; Bed Mgmt'!$M$5:$M$428))+IFERROR('Client DB &amp; Bed Mgmt'!$M$5:$M$428&lt;=EOMONTH(B182,0),FALSE)&gt;0)*--(('Client DB &amp; Bed Mgmt'!$N$5:$N$428="")+NOT(ISNUMBER('Client DB &amp; Bed Mgmt'!$N$5:$N$428))+IFERROR('Client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</f>
        <v/>
      </c>
      <c r="V182" s="129">
        <f>IFERROR(I182/U182,0)</f>
        <v/>
      </c>
      <c r="W182" s="127">
        <f>SUMPRODUCT(('Client DB &amp; Bed Mgmt'!$A$5:$A$428=K182)*('Client DB &amp; Bed Mgmt'!$B$5:$B$428=L182)*('Client DB &amp; Bed Mgmt'!$D$5:$D$428&lt;&gt;"")*--(('Client DB &amp; Bed Mgmt'!$M$5:$M$428="")+NOT(ISNUMBER('Client DB &amp; Bed Mgmt'!$M$5:$M$428))+IFERROR('Client DB &amp; Bed Mgmt'!$M$5:$M$428&lt;=EOMONTH(B182,0),FALSE)&gt;0)*--(('Client DB &amp; Bed Mgmt'!$N$5:$N$428="")+NOT(ISNUMBER('Client DB &amp; Bed Mgmt'!$N$5:$N$428))+IFERROR('Client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</f>
        <v/>
      </c>
      <c r="X182" s="130">
        <f>IFERROR(S182/W182,0)</f>
        <v/>
      </c>
    </row>
    <row r="183" hidden="1" ht="14.25" customHeight="1" s="83">
      <c r="A183" s="103" t="inlineStr">
        <is>
          <t>Dorm 3</t>
        </is>
      </c>
      <c r="B183" s="125">
        <f>INDEX(MonthList,INT((ROW()-150)/6)+1)</f>
        <v/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>
        <f>SUMPRODUCT(('Client DB &amp; Bed Mgmt'!$A$5:$A$428=A183)*('Client DB &amp; Bed Mgmt'!$B$5:$B$428=C183)*('Client DB &amp; Bed Mgmt'!$D$5:$D$428&lt;&gt;"")*--(('Client DB &amp; Bed Mgmt'!$M$5:$M$428="")+NOT(ISNUMBER('Client DB &amp; Bed Mgmt'!$M$5:$M$428))+IFERROR('Client DB &amp; Bed Mgmt'!$M$5:$M$428&lt;=EOMONTH(B183,0),FALSE)&gt;0)*--(('Client DB &amp; Bed Mgmt'!$N$5:$N$428="")+NOT(ISNUMBER('Client DB &amp; Bed Mgmt'!$N$5:$N$428))+IFERROR('Client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</f>
        <v/>
      </c>
      <c r="V183" s="129">
        <f>IFERROR(I183/U183,0)</f>
        <v/>
      </c>
      <c r="W183" s="127">
        <f>SUMPRODUCT(('Client DB &amp; Bed Mgmt'!$A$5:$A$428=K183)*('Client DB &amp; Bed Mgmt'!$B$5:$B$428=L183)*('Client DB &amp; Bed Mgmt'!$D$5:$D$428&lt;&gt;"")*--(('Client DB &amp; Bed Mgmt'!$M$5:$M$428="")+NOT(ISNUMBER('Client DB &amp; Bed Mgmt'!$M$5:$M$428))+IFERROR('Client DB &amp; Bed Mgmt'!$M$5:$M$428&lt;=EOMONTH(B183,0),FALSE)&gt;0)*--(('Client DB &amp; Bed Mgmt'!$N$5:$N$428="")+NOT(ISNUMBER('Client DB &amp; Bed Mgmt'!$N$5:$N$428))+IFERROR('Client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</f>
        <v/>
      </c>
      <c r="X183" s="130">
        <f>IFERROR(S183/W183,0)</f>
        <v/>
      </c>
    </row>
    <row r="184" hidden="1" ht="14.25" customHeight="1" s="83">
      <c r="A184" s="103" t="inlineStr">
        <is>
          <t>Dorm 3</t>
        </is>
      </c>
      <c r="B184" s="125">
        <f>INDEX(MonthList,INT((ROW()-150)/6)+1)</f>
        <v/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>
        <f>SUMPRODUCT(('Client DB &amp; Bed Mgmt'!$A$5:$A$428=A184)*('Client DB &amp; Bed Mgmt'!$B$5:$B$428=C184)*('Client DB &amp; Bed Mgmt'!$D$5:$D$428&lt;&gt;"")*--(('Client DB &amp; Bed Mgmt'!$M$5:$M$428="")+NOT(ISNUMBER('Client DB &amp; Bed Mgmt'!$M$5:$M$428))+IFERROR('Client DB &amp; Bed Mgmt'!$M$5:$M$428&lt;=EOMONTH(B184,0),FALSE)&gt;0)*--(('Client DB &amp; Bed Mgmt'!$N$5:$N$428="")+NOT(ISNUMBER('Client DB &amp; Bed Mgmt'!$N$5:$N$428))+IFERROR('Client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</f>
        <v/>
      </c>
      <c r="V184" s="129">
        <f>IFERROR(I184/U184,0)</f>
        <v/>
      </c>
      <c r="W184" s="127">
        <f>SUMPRODUCT(('Client DB &amp; Bed Mgmt'!$A$5:$A$428=K184)*('Client DB &amp; Bed Mgmt'!$B$5:$B$428=L184)*('Client DB &amp; Bed Mgmt'!$D$5:$D$428&lt;&gt;"")*--(('Client DB &amp; Bed Mgmt'!$M$5:$M$428="")+NOT(ISNUMBER('Client DB &amp; Bed Mgmt'!$M$5:$M$428))+IFERROR('Client DB &amp; Bed Mgmt'!$M$5:$M$428&lt;=EOMONTH(B184,0),FALSE)&gt;0)*--(('Client DB &amp; Bed Mgmt'!$N$5:$N$428="")+NOT(ISNUMBER('Client DB &amp; Bed Mgmt'!$N$5:$N$428))+IFERROR('Client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</f>
        <v/>
      </c>
      <c r="X184" s="130">
        <f>IFERROR(S184/W184,0)</f>
        <v/>
      </c>
    </row>
    <row r="185" hidden="1" ht="14.25" customHeight="1" s="83">
      <c r="A185" s="103" t="inlineStr">
        <is>
          <t>Dorm 3</t>
        </is>
      </c>
      <c r="B185" s="125">
        <f>INDEX(MonthList,INT((ROW()-150)/6)+1)</f>
        <v/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>
        <f>SUMPRODUCT(('Client DB &amp; Bed Mgmt'!$A$5:$A$428=A185)*('Client DB &amp; Bed Mgmt'!$B$5:$B$428=C185)*('Client DB &amp; Bed Mgmt'!$D$5:$D$428&lt;&gt;"")*--(('Client DB &amp; Bed Mgmt'!$M$5:$M$428="")+NOT(ISNUMBER('Client DB &amp; Bed Mgmt'!$M$5:$M$428))+IFERROR('Client DB &amp; Bed Mgmt'!$M$5:$M$428&lt;=EOMONTH(B185,0),FALSE)&gt;0)*--(('Client DB &amp; Bed Mgmt'!$N$5:$N$428="")+NOT(ISNUMBER('Client DB &amp; Bed Mgmt'!$N$5:$N$428))+IFERROR('Client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</f>
        <v/>
      </c>
      <c r="V185" s="129">
        <f>IFERROR(I185/U185,0)</f>
        <v/>
      </c>
      <c r="W185" s="127">
        <f>SUMPRODUCT(('Client DB &amp; Bed Mgmt'!$A$5:$A$428=K185)*('Client DB &amp; Bed Mgmt'!$B$5:$B$428=L185)*('Client DB &amp; Bed Mgmt'!$D$5:$D$428&lt;&gt;"")*--(('Client DB &amp; Bed Mgmt'!$M$5:$M$428="")+NOT(ISNUMBER('Client DB &amp; Bed Mgmt'!$M$5:$M$428))+IFERROR('Client DB &amp; Bed Mgmt'!$M$5:$M$428&lt;=EOMONTH(B185,0),FALSE)&gt;0)*--(('Client DB &amp; Bed Mgmt'!$N$5:$N$428="")+NOT(ISNUMBER('Client DB &amp; Bed Mgmt'!$N$5:$N$428))+IFERROR('Client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</f>
        <v/>
      </c>
      <c r="X185" s="130">
        <f>IFERROR(S185/W185,0)</f>
        <v/>
      </c>
    </row>
    <row r="186" hidden="1" ht="14.25" customHeight="1" s="83">
      <c r="A186" s="103" t="inlineStr">
        <is>
          <t>Dorm 3</t>
        </is>
      </c>
      <c r="B186" s="125">
        <f>INDEX(MonthList,INT((ROW()-150)/6)+1)</f>
        <v/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>
        <f>SUMPRODUCT(('Client DB &amp; Bed Mgmt'!$A$5:$A$428=A186)*('Client DB &amp; Bed Mgmt'!$B$5:$B$428=C186)*('Client DB &amp; Bed Mgmt'!$D$5:$D$428&lt;&gt;"")*--(('Client DB &amp; Bed Mgmt'!$M$5:$M$428="")+NOT(ISNUMBER('Client DB &amp; Bed Mgmt'!$M$5:$M$428))+IFERROR('Client DB &amp; Bed Mgmt'!$M$5:$M$428&lt;=EOMONTH(B186,0),FALSE)&gt;0)*--(('Client DB &amp; Bed Mgmt'!$N$5:$N$428="")+NOT(ISNUMBER('Client DB &amp; Bed Mgmt'!$N$5:$N$428))+IFERROR('Client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</f>
        <v/>
      </c>
      <c r="V186" s="129">
        <f>IFERROR(I186/U186,0)</f>
        <v/>
      </c>
      <c r="W186" s="127">
        <f>SUMPRODUCT(('Client DB &amp; Bed Mgmt'!$A$5:$A$428=K186)*('Client DB &amp; Bed Mgmt'!$B$5:$B$428=L186)*('Client DB &amp; Bed Mgmt'!$D$5:$D$428&lt;&gt;"")*--(('Client DB &amp; Bed Mgmt'!$M$5:$M$428="")+NOT(ISNUMBER('Client DB &amp; Bed Mgmt'!$M$5:$M$428))+IFERROR('Client DB &amp; Bed Mgmt'!$M$5:$M$428&lt;=EOMONTH(B186,0),FALSE)&gt;0)*--(('Client DB &amp; Bed Mgmt'!$N$5:$N$428="")+NOT(ISNUMBER('Client DB &amp; Bed Mgmt'!$N$5:$N$428))+IFERROR('Client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</f>
        <v/>
      </c>
      <c r="X186" s="130">
        <f>IFERROR(S186/W186,0)</f>
        <v/>
      </c>
    </row>
    <row r="187" hidden="1" ht="14.25" customHeight="1" s="83">
      <c r="A187" s="103" t="inlineStr">
        <is>
          <t>Dorm 3</t>
        </is>
      </c>
      <c r="B187" s="125">
        <f>INDEX(MonthList,INT((ROW()-150)/6)+1)</f>
        <v/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>
        <f>SUMPRODUCT(('Client DB &amp; Bed Mgmt'!$A$5:$A$428=A187)*('Client DB &amp; Bed Mgmt'!$B$5:$B$428=C187)*('Client DB &amp; Bed Mgmt'!$D$5:$D$428&lt;&gt;"")*--(('Client DB &amp; Bed Mgmt'!$M$5:$M$428="")+NOT(ISNUMBER('Client DB &amp; Bed Mgmt'!$M$5:$M$428))+IFERROR('Client DB &amp; Bed Mgmt'!$M$5:$M$428&lt;=EOMONTH(B187,0),FALSE)&gt;0)*--(('Client DB &amp; Bed Mgmt'!$N$5:$N$428="")+NOT(ISNUMBER('Client DB &amp; Bed Mgmt'!$N$5:$N$428))+IFERROR('Client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</f>
        <v/>
      </c>
      <c r="V187" s="129">
        <f>IFERROR(I187/U187,0)</f>
        <v/>
      </c>
      <c r="W187" s="127">
        <f>SUMPRODUCT(('Client DB &amp; Bed Mgmt'!$A$5:$A$428=K187)*('Client DB &amp; Bed Mgmt'!$B$5:$B$428=L187)*('Client DB &amp; Bed Mgmt'!$D$5:$D$428&lt;&gt;"")*--(('Client DB &amp; Bed Mgmt'!$M$5:$M$428="")+NOT(ISNUMBER('Client DB &amp; Bed Mgmt'!$M$5:$M$428))+IFERROR('Client DB &amp; Bed Mgmt'!$M$5:$M$428&lt;=EOMONTH(B187,0),FALSE)&gt;0)*--(('Client DB &amp; Bed Mgmt'!$N$5:$N$428="")+NOT(ISNUMBER('Client DB &amp; Bed Mgmt'!$N$5:$N$428))+IFERROR('Client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</f>
        <v/>
      </c>
      <c r="X187" s="130">
        <f>IFERROR(S187/W187,0)</f>
        <v/>
      </c>
    </row>
    <row r="188" hidden="1" ht="14.25" customHeight="1" s="83">
      <c r="A188" s="103" t="inlineStr">
        <is>
          <t>Dorm 3</t>
        </is>
      </c>
      <c r="B188" s="125">
        <f>INDEX(MonthList,INT((ROW()-150)/6)+1)</f>
        <v/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>
        <f>SUMPRODUCT(('Client DB &amp; Bed Mgmt'!$A$5:$A$428=A188)*('Client DB &amp; Bed Mgmt'!$B$5:$B$428=C188)*('Client DB &amp; Bed Mgmt'!$D$5:$D$428&lt;&gt;"")*--(('Client DB &amp; Bed Mgmt'!$M$5:$M$428="")+NOT(ISNUMBER('Client DB &amp; Bed Mgmt'!$M$5:$M$428))+IFERROR('Client DB &amp; Bed Mgmt'!$M$5:$M$428&lt;=EOMONTH(B188,0),FALSE)&gt;0)*--(('Client DB &amp; Bed Mgmt'!$N$5:$N$428="")+NOT(ISNUMBER('Client DB &amp; Bed Mgmt'!$N$5:$N$428))+IFERROR('Client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</f>
        <v/>
      </c>
      <c r="V188" s="129">
        <f>IFERROR(I188/U188,0)</f>
        <v/>
      </c>
      <c r="W188" s="127">
        <f>SUMPRODUCT(('Client DB &amp; Bed Mgmt'!$A$5:$A$428=K188)*('Client DB &amp; Bed Mgmt'!$B$5:$B$428=L188)*('Client DB &amp; Bed Mgmt'!$D$5:$D$428&lt;&gt;"")*--(('Client DB &amp; Bed Mgmt'!$M$5:$M$428="")+NOT(ISNUMBER('Client DB &amp; Bed Mgmt'!$M$5:$M$428))+IFERROR('Client DB &amp; Bed Mgmt'!$M$5:$M$428&lt;=EOMONTH(B188,0),FALSE)&gt;0)*--(('Client DB &amp; Bed Mgmt'!$N$5:$N$428="")+NOT(ISNUMBER('Client DB &amp; Bed Mgmt'!$N$5:$N$428))+IFERROR('Client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</f>
        <v/>
      </c>
      <c r="X188" s="130">
        <f>IFERROR(S188/W188,0)</f>
        <v/>
      </c>
    </row>
    <row r="189" hidden="1" ht="14.25" customHeight="1" s="83">
      <c r="A189" s="103" t="inlineStr">
        <is>
          <t>Dorm 3</t>
        </is>
      </c>
      <c r="B189" s="125">
        <f>INDEX(MonthList,INT((ROW()-150)/6)+1)</f>
        <v/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>
        <f>SUMPRODUCT(('Client DB &amp; Bed Mgmt'!$A$5:$A$428=A189)*('Client DB &amp; Bed Mgmt'!$B$5:$B$428=C189)*('Client DB &amp; Bed Mgmt'!$D$5:$D$428&lt;&gt;"")*--(('Client DB &amp; Bed Mgmt'!$M$5:$M$428="")+NOT(ISNUMBER('Client DB &amp; Bed Mgmt'!$M$5:$M$428))+IFERROR('Client DB &amp; Bed Mgmt'!$M$5:$M$428&lt;=EOMONTH(B189,0),FALSE)&gt;0)*--(('Client DB &amp; Bed Mgmt'!$N$5:$N$428="")+NOT(ISNUMBER('Client DB &amp; Bed Mgmt'!$N$5:$N$428))+IFERROR('Client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</f>
        <v/>
      </c>
      <c r="V189" s="129">
        <f>IFERROR(I189/U189,0)</f>
        <v/>
      </c>
      <c r="W189" s="127">
        <f>SUMPRODUCT(('Client DB &amp; Bed Mgmt'!$A$5:$A$428=K189)*('Client DB &amp; Bed Mgmt'!$B$5:$B$428=L189)*('Client DB &amp; Bed Mgmt'!$D$5:$D$428&lt;&gt;"")*--(('Client DB &amp; Bed Mgmt'!$M$5:$M$428="")+NOT(ISNUMBER('Client DB &amp; Bed Mgmt'!$M$5:$M$428))+IFERROR('Client DB &amp; Bed Mgmt'!$M$5:$M$428&lt;=EOMONTH(B189,0),FALSE)&gt;0)*--(('Client DB &amp; Bed Mgmt'!$N$5:$N$428="")+NOT(ISNUMBER('Client DB &amp; Bed Mgmt'!$N$5:$N$428))+IFERROR('Client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</f>
        <v/>
      </c>
      <c r="X189" s="130">
        <f>IFERROR(S189/W189,0)</f>
        <v/>
      </c>
    </row>
    <row r="190" hidden="1" ht="14.25" customHeight="1" s="83">
      <c r="A190" s="103" t="inlineStr">
        <is>
          <t>Dorm 3</t>
        </is>
      </c>
      <c r="B190" s="125">
        <f>INDEX(MonthList,INT((ROW()-150)/6)+1)</f>
        <v/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>
        <f>SUMPRODUCT(('Client DB &amp; Bed Mgmt'!$A$5:$A$428=A190)*('Client DB &amp; Bed Mgmt'!$B$5:$B$428=C190)*('Client DB &amp; Bed Mgmt'!$D$5:$D$428&lt;&gt;"")*--(('Client DB &amp; Bed Mgmt'!$M$5:$M$428="")+NOT(ISNUMBER('Client DB &amp; Bed Mgmt'!$M$5:$M$428))+IFERROR('Client DB &amp; Bed Mgmt'!$M$5:$M$428&lt;=EOMONTH(B190,0),FALSE)&gt;0)*--(('Client DB &amp; Bed Mgmt'!$N$5:$N$428="")+NOT(ISNUMBER('Client DB &amp; Bed Mgmt'!$N$5:$N$428))+IFERROR('Client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</f>
        <v/>
      </c>
      <c r="V190" s="129">
        <f>IFERROR(I190/U190,0)</f>
        <v/>
      </c>
      <c r="W190" s="127">
        <f>SUMPRODUCT(('Client DB &amp; Bed Mgmt'!$A$5:$A$428=K190)*('Client DB &amp; Bed Mgmt'!$B$5:$B$428=L190)*('Client DB &amp; Bed Mgmt'!$D$5:$D$428&lt;&gt;"")*--(('Client DB &amp; Bed Mgmt'!$M$5:$M$428="")+NOT(ISNUMBER('Client DB &amp; Bed Mgmt'!$M$5:$M$428))+IFERROR('Client DB &amp; Bed Mgmt'!$M$5:$M$428&lt;=EOMONTH(B190,0),FALSE)&gt;0)*--(('Client DB &amp; Bed Mgmt'!$N$5:$N$428="")+NOT(ISNUMBER('Client DB &amp; Bed Mgmt'!$N$5:$N$428))+IFERROR('Client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</f>
        <v/>
      </c>
      <c r="X190" s="130">
        <f>IFERROR(S190/W190,0)</f>
        <v/>
      </c>
    </row>
    <row r="191" hidden="1" ht="14.25" customHeight="1" s="83">
      <c r="A191" s="103" t="inlineStr">
        <is>
          <t>Dorm 3</t>
        </is>
      </c>
      <c r="B191" s="125">
        <f>INDEX(MonthList,INT((ROW()-150)/6)+1)</f>
        <v/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>
        <f>SUMPRODUCT(('Client DB &amp; Bed Mgmt'!$A$5:$A$428=A191)*('Client DB &amp; Bed Mgmt'!$B$5:$B$428=C191)*('Client DB &amp; Bed Mgmt'!$D$5:$D$428&lt;&gt;"")*--(('Client DB &amp; Bed Mgmt'!$M$5:$M$428="")+NOT(ISNUMBER('Client DB &amp; Bed Mgmt'!$M$5:$M$428))+IFERROR('Client DB &amp; Bed Mgmt'!$M$5:$M$428&lt;=EOMONTH(B191,0),FALSE)&gt;0)*--(('Client DB &amp; Bed Mgmt'!$N$5:$N$428="")+NOT(ISNUMBER('Client DB &amp; Bed Mgmt'!$N$5:$N$428))+IFERROR('Client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</f>
        <v/>
      </c>
      <c r="V191" s="129">
        <f>IFERROR(I191/U191,0)</f>
        <v/>
      </c>
      <c r="W191" s="127">
        <f>SUMPRODUCT(('Client DB &amp; Bed Mgmt'!$A$5:$A$428=K191)*('Client DB &amp; Bed Mgmt'!$B$5:$B$428=L191)*('Client DB &amp; Bed Mgmt'!$D$5:$D$428&lt;&gt;"")*--(('Client DB &amp; Bed Mgmt'!$M$5:$M$428="")+NOT(ISNUMBER('Client DB &amp; Bed Mgmt'!$M$5:$M$428))+IFERROR('Client DB &amp; Bed Mgmt'!$M$5:$M$428&lt;=EOMONTH(B191,0),FALSE)&gt;0)*--(('Client DB &amp; Bed Mgmt'!$N$5:$N$428="")+NOT(ISNUMBER('Client DB &amp; Bed Mgmt'!$N$5:$N$428))+IFERROR('Client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</f>
        <v/>
      </c>
      <c r="X191" s="130">
        <f>IFERROR(S191/W191,0)</f>
        <v/>
      </c>
    </row>
    <row r="192" hidden="1" ht="14.25" customHeight="1" s="83">
      <c r="A192" s="103" t="inlineStr">
        <is>
          <t>Dorm 3</t>
        </is>
      </c>
      <c r="B192" s="125">
        <f>INDEX(MonthList,INT((ROW()-150)/6)+1)</f>
        <v/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>
        <f>SUMPRODUCT(('Client DB &amp; Bed Mgmt'!$A$5:$A$428=A192)*('Client DB &amp; Bed Mgmt'!$B$5:$B$428=C192)*('Client DB &amp; Bed Mgmt'!$D$5:$D$428&lt;&gt;"")*--(('Client DB &amp; Bed Mgmt'!$M$5:$M$428="")+NOT(ISNUMBER('Client DB &amp; Bed Mgmt'!$M$5:$M$428))+IFERROR('Client DB &amp; Bed Mgmt'!$M$5:$M$428&lt;=EOMONTH(B192,0),FALSE)&gt;0)*--(('Client DB &amp; Bed Mgmt'!$N$5:$N$428="")+NOT(ISNUMBER('Client DB &amp; Bed Mgmt'!$N$5:$N$428))+IFERROR('Client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</f>
        <v/>
      </c>
      <c r="V192" s="129">
        <f>IFERROR(I192/U192,0)</f>
        <v/>
      </c>
      <c r="W192" s="127">
        <f>SUMPRODUCT(('Client DB &amp; Bed Mgmt'!$A$5:$A$428=K192)*('Client DB &amp; Bed Mgmt'!$B$5:$B$428=L192)*('Client DB &amp; Bed Mgmt'!$D$5:$D$428&lt;&gt;"")*--(('Client DB &amp; Bed Mgmt'!$M$5:$M$428="")+NOT(ISNUMBER('Client DB &amp; Bed Mgmt'!$M$5:$M$428))+IFERROR('Client DB &amp; Bed Mgmt'!$M$5:$M$428&lt;=EOMONTH(B192,0),FALSE)&gt;0)*--(('Client DB &amp; Bed Mgmt'!$N$5:$N$428="")+NOT(ISNUMBER('Client DB &amp; Bed Mgmt'!$N$5:$N$428))+IFERROR('Client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</f>
        <v/>
      </c>
      <c r="X192" s="130">
        <f>IFERROR(S192/W192,0)</f>
        <v/>
      </c>
    </row>
    <row r="193" hidden="1" ht="14.25" customHeight="1" s="83">
      <c r="A193" s="103" t="inlineStr">
        <is>
          <t>Dorm 3</t>
        </is>
      </c>
      <c r="B193" s="125">
        <f>INDEX(MonthList,INT((ROW()-150)/6)+1)</f>
        <v/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>
        <f>SUMPRODUCT(('Client DB &amp; Bed Mgmt'!$A$5:$A$428=A193)*('Client DB &amp; Bed Mgmt'!$B$5:$B$428=C193)*('Client DB &amp; Bed Mgmt'!$D$5:$D$428&lt;&gt;"")*--(('Client DB &amp; Bed Mgmt'!$M$5:$M$428="")+NOT(ISNUMBER('Client DB &amp; Bed Mgmt'!$M$5:$M$428))+IFERROR('Client DB &amp; Bed Mgmt'!$M$5:$M$428&lt;=EOMONTH(B193,0),FALSE)&gt;0)*--(('Client DB &amp; Bed Mgmt'!$N$5:$N$428="")+NOT(ISNUMBER('Client DB &amp; Bed Mgmt'!$N$5:$N$428))+IFERROR('Client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</f>
        <v/>
      </c>
      <c r="V193" s="129">
        <f>IFERROR(I193/U193,0)</f>
        <v/>
      </c>
      <c r="W193" s="127">
        <f>SUMPRODUCT(('Client DB &amp; Bed Mgmt'!$A$5:$A$428=K193)*('Client DB &amp; Bed Mgmt'!$B$5:$B$428=L193)*('Client DB &amp; Bed Mgmt'!$D$5:$D$428&lt;&gt;"")*--(('Client DB &amp; Bed Mgmt'!$M$5:$M$428="")+NOT(ISNUMBER('Client DB &amp; Bed Mgmt'!$M$5:$M$428))+IFERROR('Client DB &amp; Bed Mgmt'!$M$5:$M$428&lt;=EOMONTH(B193,0),FALSE)&gt;0)*--(('Client DB &amp; Bed Mgmt'!$N$5:$N$428="")+NOT(ISNUMBER('Client DB &amp; Bed Mgmt'!$N$5:$N$428))+IFERROR('Client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</f>
        <v/>
      </c>
      <c r="X193" s="130">
        <f>IFERROR(S193/W193,0)</f>
        <v/>
      </c>
    </row>
    <row r="194" hidden="1" ht="14.25" customHeight="1" s="83">
      <c r="A194" s="103" t="inlineStr">
        <is>
          <t>Dorm 3</t>
        </is>
      </c>
      <c r="B194" s="125">
        <f>INDEX(MonthList,INT((ROW()-150)/6)+1)</f>
        <v/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>
        <f>SUMPRODUCT(('Client DB &amp; Bed Mgmt'!$A$5:$A$428=A194)*('Client DB &amp; Bed Mgmt'!$B$5:$B$428=C194)*('Client DB &amp; Bed Mgmt'!$D$5:$D$428&lt;&gt;"")*--(('Client DB &amp; Bed Mgmt'!$M$5:$M$428="")+NOT(ISNUMBER('Client DB &amp; Bed Mgmt'!$M$5:$M$428))+IFERROR('Client DB &amp; Bed Mgmt'!$M$5:$M$428&lt;=EOMONTH(B194,0),FALSE)&gt;0)*--(('Client DB &amp; Bed Mgmt'!$N$5:$N$428="")+NOT(ISNUMBER('Client DB &amp; Bed Mgmt'!$N$5:$N$428))+IFERROR('Client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</f>
        <v/>
      </c>
      <c r="V194" s="129">
        <f>IFERROR(I194/U194,0)</f>
        <v/>
      </c>
      <c r="W194" s="127">
        <f>SUMPRODUCT(('Client DB &amp; Bed Mgmt'!$A$5:$A$428=K194)*('Client DB &amp; Bed Mgmt'!$B$5:$B$428=L194)*('Client DB &amp; Bed Mgmt'!$D$5:$D$428&lt;&gt;"")*--(('Client DB &amp; Bed Mgmt'!$M$5:$M$428="")+NOT(ISNUMBER('Client DB &amp; Bed Mgmt'!$M$5:$M$428))+IFERROR('Client DB &amp; Bed Mgmt'!$M$5:$M$428&lt;=EOMONTH(B194,0),FALSE)&gt;0)*--(('Client DB &amp; Bed Mgmt'!$N$5:$N$428="")+NOT(ISNUMBER('Client DB &amp; Bed Mgmt'!$N$5:$N$428))+IFERROR('Client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</f>
        <v/>
      </c>
      <c r="X194" s="130">
        <f>IFERROR(S194/W194,0)</f>
        <v/>
      </c>
    </row>
    <row r="195" hidden="1" ht="14.25" customHeight="1" s="83">
      <c r="A195" s="103" t="inlineStr">
        <is>
          <t>Dorm 3</t>
        </is>
      </c>
      <c r="B195" s="125">
        <f>INDEX(MonthList,INT((ROW()-150)/6)+1)</f>
        <v/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>
        <f>SUMPRODUCT(('Client DB &amp; Bed Mgmt'!$A$5:$A$428=A195)*('Client DB &amp; Bed Mgmt'!$B$5:$B$428=C195)*('Client DB &amp; Bed Mgmt'!$D$5:$D$428&lt;&gt;"")*--(('Client DB &amp; Bed Mgmt'!$M$5:$M$428="")+NOT(ISNUMBER('Client DB &amp; Bed Mgmt'!$M$5:$M$428))+IFERROR('Client DB &amp; Bed Mgmt'!$M$5:$M$428&lt;=EOMONTH(B195,0),FALSE)&gt;0)*--(('Client DB &amp; Bed Mgmt'!$N$5:$N$428="")+NOT(ISNUMBER('Client DB &amp; Bed Mgmt'!$N$5:$N$428))+IFERROR('Client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</f>
        <v/>
      </c>
      <c r="V195" s="129">
        <f>IFERROR(I195/U195,0)</f>
        <v/>
      </c>
      <c r="W195" s="127">
        <f>SUMPRODUCT(('Client DB &amp; Bed Mgmt'!$A$5:$A$428=K195)*('Client DB &amp; Bed Mgmt'!$B$5:$B$428=L195)*('Client DB &amp; Bed Mgmt'!$D$5:$D$428&lt;&gt;"")*--(('Client DB &amp; Bed Mgmt'!$M$5:$M$428="")+NOT(ISNUMBER('Client DB &amp; Bed Mgmt'!$M$5:$M$428))+IFERROR('Client DB &amp; Bed Mgmt'!$M$5:$M$428&lt;=EOMONTH(B195,0),FALSE)&gt;0)*--(('Client DB &amp; Bed Mgmt'!$N$5:$N$428="")+NOT(ISNUMBER('Client DB &amp; Bed Mgmt'!$N$5:$N$428))+IFERROR('Client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</f>
        <v/>
      </c>
      <c r="X195" s="130">
        <f>IFERROR(S195/W195,0)</f>
        <v/>
      </c>
    </row>
    <row r="196" hidden="1" ht="14.25" customHeight="1" s="83">
      <c r="A196" s="103" t="inlineStr">
        <is>
          <t>Dorm 3</t>
        </is>
      </c>
      <c r="B196" s="125">
        <f>INDEX(MonthList,INT((ROW()-150)/6)+1)</f>
        <v/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>
        <f>SUMPRODUCT(('Client DB &amp; Bed Mgmt'!$A$5:$A$428=A196)*('Client DB &amp; Bed Mgmt'!$B$5:$B$428=C196)*('Client DB &amp; Bed Mgmt'!$D$5:$D$428&lt;&gt;"")*--(('Client DB &amp; Bed Mgmt'!$M$5:$M$428="")+NOT(ISNUMBER('Client DB &amp; Bed Mgmt'!$M$5:$M$428))+IFERROR('Client DB &amp; Bed Mgmt'!$M$5:$M$428&lt;=EOMONTH(B196,0),FALSE)&gt;0)*--(('Client DB &amp; Bed Mgmt'!$N$5:$N$428="")+NOT(ISNUMBER('Client DB &amp; Bed Mgmt'!$N$5:$N$428))+IFERROR('Client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</f>
        <v/>
      </c>
      <c r="V196" s="129">
        <f>IFERROR(I196/U196,0)</f>
        <v/>
      </c>
      <c r="W196" s="127">
        <f>SUMPRODUCT(('Client DB &amp; Bed Mgmt'!$A$5:$A$428=K196)*('Client DB &amp; Bed Mgmt'!$B$5:$B$428=L196)*('Client DB &amp; Bed Mgmt'!$D$5:$D$428&lt;&gt;"")*--(('Client DB &amp; Bed Mgmt'!$M$5:$M$428="")+NOT(ISNUMBER('Client DB &amp; Bed Mgmt'!$M$5:$M$428))+IFERROR('Client DB &amp; Bed Mgmt'!$M$5:$M$428&lt;=EOMONTH(B196,0),FALSE)&gt;0)*--(('Client DB &amp; Bed Mgmt'!$N$5:$N$428="")+NOT(ISNUMBER('Client DB &amp; Bed Mgmt'!$N$5:$N$428))+IFERROR('Client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</f>
        <v/>
      </c>
      <c r="X196" s="130">
        <f>IFERROR(S196/W196,0)</f>
        <v/>
      </c>
    </row>
    <row r="197" hidden="1" ht="14.25" customHeight="1" s="83">
      <c r="A197" s="103" t="inlineStr">
        <is>
          <t>Dorm 3</t>
        </is>
      </c>
      <c r="B197" s="125">
        <f>INDEX(MonthList,INT((ROW()-150)/6)+1)</f>
        <v/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>
        <f>SUMPRODUCT(('Client DB &amp; Bed Mgmt'!$A$5:$A$428=A197)*('Client DB &amp; Bed Mgmt'!$B$5:$B$428=C197)*('Client DB &amp; Bed Mgmt'!$D$5:$D$428&lt;&gt;"")*--(('Client DB &amp; Bed Mgmt'!$M$5:$M$428="")+NOT(ISNUMBER('Client DB &amp; Bed Mgmt'!$M$5:$M$428))+IFERROR('Client DB &amp; Bed Mgmt'!$M$5:$M$428&lt;=EOMONTH(B197,0),FALSE)&gt;0)*--(('Client DB &amp; Bed Mgmt'!$N$5:$N$428="")+NOT(ISNUMBER('Client DB &amp; Bed Mgmt'!$N$5:$N$428))+IFERROR('Client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</f>
        <v/>
      </c>
      <c r="V197" s="129">
        <f>IFERROR(I197/U197,0)</f>
        <v/>
      </c>
      <c r="W197" s="127">
        <f>SUMPRODUCT(('Client DB &amp; Bed Mgmt'!$A$5:$A$428=K197)*('Client DB &amp; Bed Mgmt'!$B$5:$B$428=L197)*('Client DB &amp; Bed Mgmt'!$D$5:$D$428&lt;&gt;"")*--(('Client DB &amp; Bed Mgmt'!$M$5:$M$428="")+NOT(ISNUMBER('Client DB &amp; Bed Mgmt'!$M$5:$M$428))+IFERROR('Client DB &amp; Bed Mgmt'!$M$5:$M$428&lt;=EOMONTH(B197,0),FALSE)&gt;0)*--(('Client DB &amp; Bed Mgmt'!$N$5:$N$428="")+NOT(ISNUMBER('Client DB &amp; Bed Mgmt'!$N$5:$N$428))+IFERROR('Client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</f>
        <v/>
      </c>
      <c r="X197" s="130">
        <f>IFERROR(S197/W197,0)</f>
        <v/>
      </c>
    </row>
    <row r="198" hidden="1" ht="14.25" customHeight="1" s="83">
      <c r="A198" s="103" t="inlineStr">
        <is>
          <t>Dorm 3</t>
        </is>
      </c>
      <c r="B198" s="125">
        <f>INDEX(MonthList,INT((ROW()-150)/6)+1)</f>
        <v/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>
        <f>SUMPRODUCT(('Client DB &amp; Bed Mgmt'!$A$5:$A$428=A198)*('Client DB &amp; Bed Mgmt'!$B$5:$B$428=C198)*('Client DB &amp; Bed Mgmt'!$D$5:$D$428&lt;&gt;"")*--(('Client DB &amp; Bed Mgmt'!$M$5:$M$428="")+NOT(ISNUMBER('Client DB &amp; Bed Mgmt'!$M$5:$M$428))+IFERROR('Client DB &amp; Bed Mgmt'!$M$5:$M$428&lt;=EOMONTH(B198,0),FALSE)&gt;0)*--(('Client DB &amp; Bed Mgmt'!$N$5:$N$428="")+NOT(ISNUMBER('Client DB &amp; Bed Mgmt'!$N$5:$N$428))+IFERROR('Client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</f>
        <v/>
      </c>
      <c r="V198" s="129">
        <f>IFERROR(I198/U198,0)</f>
        <v/>
      </c>
      <c r="W198" s="127">
        <f>SUMPRODUCT(('Client DB &amp; Bed Mgmt'!$A$5:$A$428=K198)*('Client DB &amp; Bed Mgmt'!$B$5:$B$428=L198)*('Client DB &amp; Bed Mgmt'!$D$5:$D$428&lt;&gt;"")*--(('Client DB &amp; Bed Mgmt'!$M$5:$M$428="")+NOT(ISNUMBER('Client DB &amp; Bed Mgmt'!$M$5:$M$428))+IFERROR('Client DB &amp; Bed Mgmt'!$M$5:$M$428&lt;=EOMONTH(B198,0),FALSE)&gt;0)*--(('Client DB &amp; Bed Mgmt'!$N$5:$N$428="")+NOT(ISNUMBER('Client DB &amp; Bed Mgmt'!$N$5:$N$428))+IFERROR('Client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</f>
        <v/>
      </c>
      <c r="X198" s="130">
        <f>IFERROR(S198/W198,0)</f>
        <v/>
      </c>
    </row>
    <row r="199" hidden="1" ht="14.25" customHeight="1" s="83">
      <c r="A199" s="103" t="inlineStr">
        <is>
          <t>Dorm 3</t>
        </is>
      </c>
      <c r="B199" s="125">
        <f>INDEX(MonthList,INT((ROW()-150)/6)+1)</f>
        <v/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>
        <f>SUMPRODUCT(('Client DB &amp; Bed Mgmt'!$A$5:$A$428=A199)*('Client DB &amp; Bed Mgmt'!$B$5:$B$428=C199)*('Client DB &amp; Bed Mgmt'!$D$5:$D$428&lt;&gt;"")*--(('Client DB &amp; Bed Mgmt'!$M$5:$M$428="")+NOT(ISNUMBER('Client DB &amp; Bed Mgmt'!$M$5:$M$428))+IFERROR('Client DB &amp; Bed Mgmt'!$M$5:$M$428&lt;=EOMONTH(B199,0),FALSE)&gt;0)*--(('Client DB &amp; Bed Mgmt'!$N$5:$N$428="")+NOT(ISNUMBER('Client DB &amp; Bed Mgmt'!$N$5:$N$428))+IFERROR('Client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</f>
        <v/>
      </c>
      <c r="V199" s="129">
        <f>IFERROR(I199/U199,0)</f>
        <v/>
      </c>
      <c r="W199" s="127">
        <f>SUMPRODUCT(('Client DB &amp; Bed Mgmt'!$A$5:$A$428=K199)*('Client DB &amp; Bed Mgmt'!$B$5:$B$428=L199)*('Client DB &amp; Bed Mgmt'!$D$5:$D$428&lt;&gt;"")*--(('Client DB &amp; Bed Mgmt'!$M$5:$M$428="")+NOT(ISNUMBER('Client DB &amp; Bed Mgmt'!$M$5:$M$428))+IFERROR('Client DB &amp; Bed Mgmt'!$M$5:$M$428&lt;=EOMONTH(B199,0),FALSE)&gt;0)*--(('Client DB &amp; Bed Mgmt'!$N$5:$N$428="")+NOT(ISNUMBER('Client DB &amp; Bed Mgmt'!$N$5:$N$428))+IFERROR('Client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</f>
        <v/>
      </c>
      <c r="X199" s="130">
        <f>IFERROR(S199/W199,0)</f>
        <v/>
      </c>
    </row>
    <row r="200" hidden="1" ht="14.25" customHeight="1" s="83">
      <c r="A200" s="103" t="inlineStr">
        <is>
          <t>Dorm 3</t>
        </is>
      </c>
      <c r="B200" s="125">
        <f>INDEX(MonthList,INT((ROW()-150)/6)+1)</f>
        <v/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>
        <f>SUMPRODUCT(('Client DB &amp; Bed Mgmt'!$A$5:$A$428=A200)*('Client DB &amp; Bed Mgmt'!$B$5:$B$428=C200)*('Client DB &amp; Bed Mgmt'!$D$5:$D$428&lt;&gt;"")*--(('Client DB &amp; Bed Mgmt'!$M$5:$M$428="")+NOT(ISNUMBER('Client DB &amp; Bed Mgmt'!$M$5:$M$428))+IFERROR('Client DB &amp; Bed Mgmt'!$M$5:$M$428&lt;=EOMONTH(B200,0),FALSE)&gt;0)*--(('Client DB &amp; Bed Mgmt'!$N$5:$N$428="")+NOT(ISNUMBER('Client DB &amp; Bed Mgmt'!$N$5:$N$428))+IFERROR('Client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</f>
        <v/>
      </c>
      <c r="V200" s="129">
        <f>IFERROR(I200/U200,0)</f>
        <v/>
      </c>
      <c r="W200" s="127">
        <f>SUMPRODUCT(('Client DB &amp; Bed Mgmt'!$A$5:$A$428=K200)*('Client DB &amp; Bed Mgmt'!$B$5:$B$428=L200)*('Client DB &amp; Bed Mgmt'!$D$5:$D$428&lt;&gt;"")*--(('Client DB &amp; Bed Mgmt'!$M$5:$M$428="")+NOT(ISNUMBER('Client DB &amp; Bed Mgmt'!$M$5:$M$428))+IFERROR('Client DB &amp; Bed Mgmt'!$M$5:$M$428&lt;=EOMONTH(B200,0),FALSE)&gt;0)*--(('Client DB &amp; Bed Mgmt'!$N$5:$N$428="")+NOT(ISNUMBER('Client DB &amp; Bed Mgmt'!$N$5:$N$428))+IFERROR('Client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</f>
        <v/>
      </c>
      <c r="X200" s="130">
        <f>IFERROR(S200/W200,0)</f>
        <v/>
      </c>
    </row>
    <row r="201" hidden="1" ht="14.25" customHeight="1" s="83">
      <c r="A201" s="103" t="inlineStr">
        <is>
          <t>Dorm 3</t>
        </is>
      </c>
      <c r="B201" s="125">
        <f>INDEX(MonthList,INT((ROW()-150)/6)+1)</f>
        <v/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>
        <f>SUMPRODUCT(('Client DB &amp; Bed Mgmt'!$A$5:$A$428=A201)*('Client DB &amp; Bed Mgmt'!$B$5:$B$428=C201)*('Client DB &amp; Bed Mgmt'!$D$5:$D$428&lt;&gt;"")*--(('Client DB &amp; Bed Mgmt'!$M$5:$M$428="")+NOT(ISNUMBER('Client DB &amp; Bed Mgmt'!$M$5:$M$428))+IFERROR('Client DB &amp; Bed Mgmt'!$M$5:$M$428&lt;=EOMONTH(B201,0),FALSE)&gt;0)*--(('Client DB &amp; Bed Mgmt'!$N$5:$N$428="")+NOT(ISNUMBER('Client DB &amp; Bed Mgmt'!$N$5:$N$428))+IFERROR('Client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</f>
        <v/>
      </c>
      <c r="V201" s="129">
        <f>IFERROR(I201/U201,0)</f>
        <v/>
      </c>
      <c r="W201" s="127">
        <f>SUMPRODUCT(('Client DB &amp; Bed Mgmt'!$A$5:$A$428=K201)*('Client DB &amp; Bed Mgmt'!$B$5:$B$428=L201)*('Client DB &amp; Bed Mgmt'!$D$5:$D$428&lt;&gt;"")*--(('Client DB &amp; Bed Mgmt'!$M$5:$M$428="")+NOT(ISNUMBER('Client DB &amp; Bed Mgmt'!$M$5:$M$428))+IFERROR('Client DB &amp; Bed Mgmt'!$M$5:$M$428&lt;=EOMONTH(B201,0),FALSE)&gt;0)*--(('Client DB &amp; Bed Mgmt'!$N$5:$N$428="")+NOT(ISNUMBER('Client DB &amp; Bed Mgmt'!$N$5:$N$428))+IFERROR('Client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</f>
        <v/>
      </c>
      <c r="X201" s="130">
        <f>IFERROR(S201/W201,0)</f>
        <v/>
      </c>
    </row>
    <row r="202" hidden="1" ht="14.25" customHeight="1" s="83">
      <c r="A202" s="103" t="inlineStr">
        <is>
          <t>Dorm 3</t>
        </is>
      </c>
      <c r="B202" s="125">
        <f>INDEX(MonthList,INT((ROW()-150)/6)+1)</f>
        <v/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>
        <f>SUMPRODUCT(('Client DB &amp; Bed Mgmt'!$A$5:$A$428=A202)*('Client DB &amp; Bed Mgmt'!$B$5:$B$428=C202)*('Client DB &amp; Bed Mgmt'!$D$5:$D$428&lt;&gt;"")*--(('Client DB &amp; Bed Mgmt'!$M$5:$M$428="")+NOT(ISNUMBER('Client DB &amp; Bed Mgmt'!$M$5:$M$428))+IFERROR('Client DB &amp; Bed Mgmt'!$M$5:$M$428&lt;=EOMONTH(B202,0),FALSE)&gt;0)*--(('Client DB &amp; Bed Mgmt'!$N$5:$N$428="")+NOT(ISNUMBER('Client DB &amp; Bed Mgmt'!$N$5:$N$428))+IFERROR('Client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</f>
        <v/>
      </c>
      <c r="V202" s="129">
        <f>IFERROR(I202/U202,0)</f>
        <v/>
      </c>
      <c r="W202" s="127">
        <f>SUMPRODUCT(('Client DB &amp; Bed Mgmt'!$A$5:$A$428=K202)*('Client DB &amp; Bed Mgmt'!$B$5:$B$428=L202)*('Client DB &amp; Bed Mgmt'!$D$5:$D$428&lt;&gt;"")*--(('Client DB &amp; Bed Mgmt'!$M$5:$M$428="")+NOT(ISNUMBER('Client DB &amp; Bed Mgmt'!$M$5:$M$428))+IFERROR('Client DB &amp; Bed Mgmt'!$M$5:$M$428&lt;=EOMONTH(B202,0),FALSE)&gt;0)*--(('Client DB &amp; Bed Mgmt'!$N$5:$N$428="")+NOT(ISNUMBER('Client DB &amp; Bed Mgmt'!$N$5:$N$428))+IFERROR('Client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</f>
        <v/>
      </c>
      <c r="X202" s="130">
        <f>IFERROR(S202/W202,0)</f>
        <v/>
      </c>
    </row>
    <row r="203" hidden="1" ht="14.25" customHeight="1" s="83">
      <c r="A203" s="103" t="inlineStr">
        <is>
          <t>Dorm 3</t>
        </is>
      </c>
      <c r="B203" s="125">
        <f>INDEX(MonthList,INT((ROW()-150)/6)+1)</f>
        <v/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>
        <f>SUMPRODUCT(('Client DB &amp; Bed Mgmt'!$A$5:$A$428=A203)*('Client DB &amp; Bed Mgmt'!$B$5:$B$428=C203)*('Client DB &amp; Bed Mgmt'!$D$5:$D$428&lt;&gt;"")*--(('Client DB &amp; Bed Mgmt'!$M$5:$M$428="")+NOT(ISNUMBER('Client DB &amp; Bed Mgmt'!$M$5:$M$428))+IFERROR('Client DB &amp; Bed Mgmt'!$M$5:$M$428&lt;=EOMONTH(B203,0),FALSE)&gt;0)*--(('Client DB &amp; Bed Mgmt'!$N$5:$N$428="")+NOT(ISNUMBER('Client DB &amp; Bed Mgmt'!$N$5:$N$428))+IFERROR('Client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</f>
        <v/>
      </c>
      <c r="V203" s="129">
        <f>IFERROR(I203/U203,0)</f>
        <v/>
      </c>
      <c r="W203" s="127">
        <f>SUMPRODUCT(('Client DB &amp; Bed Mgmt'!$A$5:$A$428=K203)*('Client DB &amp; Bed Mgmt'!$B$5:$B$428=L203)*('Client DB &amp; Bed Mgmt'!$D$5:$D$428&lt;&gt;"")*--(('Client DB &amp; Bed Mgmt'!$M$5:$M$428="")+NOT(ISNUMBER('Client DB &amp; Bed Mgmt'!$M$5:$M$428))+IFERROR('Client DB &amp; Bed Mgmt'!$M$5:$M$428&lt;=EOMONTH(B203,0),FALSE)&gt;0)*--(('Client DB &amp; Bed Mgmt'!$N$5:$N$428="")+NOT(ISNUMBER('Client DB &amp; Bed Mgmt'!$N$5:$N$428))+IFERROR('Client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</f>
        <v/>
      </c>
      <c r="X203" s="130">
        <f>IFERROR(S203/W203,0)</f>
        <v/>
      </c>
    </row>
    <row r="204" hidden="1" ht="14.25" customHeight="1" s="83">
      <c r="A204" s="103" t="inlineStr">
        <is>
          <t>Dorm 3</t>
        </is>
      </c>
      <c r="B204" s="125">
        <f>INDEX(MonthList,INT((ROW()-150)/6)+1)</f>
        <v/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>
        <f>SUMPRODUCT(('Client DB &amp; Bed Mgmt'!$A$5:$A$428=A204)*('Client DB &amp; Bed Mgmt'!$B$5:$B$428=C204)*('Client DB &amp; Bed Mgmt'!$D$5:$D$428&lt;&gt;"")*--(('Client DB &amp; Bed Mgmt'!$M$5:$M$428="")+NOT(ISNUMBER('Client DB &amp; Bed Mgmt'!$M$5:$M$428))+IFERROR('Client DB &amp; Bed Mgmt'!$M$5:$M$428&lt;=EOMONTH(B204,0),FALSE)&gt;0)*--(('Client DB &amp; Bed Mgmt'!$N$5:$N$428="")+NOT(ISNUMBER('Client DB &amp; Bed Mgmt'!$N$5:$N$428))+IFERROR('Client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</f>
        <v/>
      </c>
      <c r="V204" s="129">
        <f>IFERROR(I204/U204,0)</f>
        <v/>
      </c>
      <c r="W204" s="127">
        <f>SUMPRODUCT(('Client DB &amp; Bed Mgmt'!$A$5:$A$428=K204)*('Client DB &amp; Bed Mgmt'!$B$5:$B$428=L204)*('Client DB &amp; Bed Mgmt'!$D$5:$D$428&lt;&gt;"")*--(('Client DB &amp; Bed Mgmt'!$M$5:$M$428="")+NOT(ISNUMBER('Client DB &amp; Bed Mgmt'!$M$5:$M$428))+IFERROR('Client DB &amp; Bed Mgmt'!$M$5:$M$428&lt;=EOMONTH(B204,0),FALSE)&gt;0)*--(('Client DB &amp; Bed Mgmt'!$N$5:$N$428="")+NOT(ISNUMBER('Client DB &amp; Bed Mgmt'!$N$5:$N$428))+IFERROR('Client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</f>
        <v/>
      </c>
      <c r="X204" s="130">
        <f>IFERROR(S204/W204,0)</f>
        <v/>
      </c>
    </row>
    <row r="205" hidden="1" ht="14.25" customHeight="1" s="83">
      <c r="A205" s="103" t="inlineStr">
        <is>
          <t>Dorm 3</t>
        </is>
      </c>
      <c r="B205" s="125">
        <f>INDEX(MonthList,INT((ROW()-150)/6)+1)</f>
        <v/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>
        <f>SUMPRODUCT(('Client DB &amp; Bed Mgmt'!$A$5:$A$428=A205)*('Client DB &amp; Bed Mgmt'!$B$5:$B$428=C205)*('Client DB &amp; Bed Mgmt'!$D$5:$D$428&lt;&gt;"")*--(('Client DB &amp; Bed Mgmt'!$M$5:$M$428="")+NOT(ISNUMBER('Client DB &amp; Bed Mgmt'!$M$5:$M$428))+IFERROR('Client DB &amp; Bed Mgmt'!$M$5:$M$428&lt;=EOMONTH(B205,0),FALSE)&gt;0)*--(('Client DB &amp; Bed Mgmt'!$N$5:$N$428="")+NOT(ISNUMBER('Client DB &amp; Bed Mgmt'!$N$5:$N$428))+IFERROR('Client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</f>
        <v/>
      </c>
      <c r="V205" s="129">
        <f>IFERROR(I205/U205,0)</f>
        <v/>
      </c>
      <c r="W205" s="127">
        <f>SUMPRODUCT(('Client DB &amp; Bed Mgmt'!$A$5:$A$428=K205)*('Client DB &amp; Bed Mgmt'!$B$5:$B$428=L205)*('Client DB &amp; Bed Mgmt'!$D$5:$D$428&lt;&gt;"")*--(('Client DB &amp; Bed Mgmt'!$M$5:$M$428="")+NOT(ISNUMBER('Client DB &amp; Bed Mgmt'!$M$5:$M$428))+IFERROR('Client DB &amp; Bed Mgmt'!$M$5:$M$428&lt;=EOMONTH(B205,0),FALSE)&gt;0)*--(('Client DB &amp; Bed Mgmt'!$N$5:$N$428="")+NOT(ISNUMBER('Client DB &amp; Bed Mgmt'!$N$5:$N$428))+IFERROR('Client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</f>
        <v/>
      </c>
      <c r="X205" s="130">
        <f>IFERROR(S205/W205,0)</f>
        <v/>
      </c>
    </row>
    <row r="206" hidden="1" ht="14.25" customHeight="1" s="83">
      <c r="A206" s="103" t="inlineStr">
        <is>
          <t>Dorm 3</t>
        </is>
      </c>
      <c r="B206" s="125">
        <f>INDEX(MonthList,INT((ROW()-150)/6)+1)</f>
        <v/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>
        <f>SUMPRODUCT(('Client DB &amp; Bed Mgmt'!$A$5:$A$428=A206)*('Client DB &amp; Bed Mgmt'!$B$5:$B$428=C206)*('Client DB &amp; Bed Mgmt'!$D$5:$D$428&lt;&gt;"")*--(('Client DB &amp; Bed Mgmt'!$M$5:$M$428="")+NOT(ISNUMBER('Client DB &amp; Bed Mgmt'!$M$5:$M$428))+IFERROR('Client DB &amp; Bed Mgmt'!$M$5:$M$428&lt;=EOMONTH(B206,0),FALSE)&gt;0)*--(('Client DB &amp; Bed Mgmt'!$N$5:$N$428="")+NOT(ISNUMBER('Client DB &amp; Bed Mgmt'!$N$5:$N$428))+IFERROR('Client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</f>
        <v/>
      </c>
      <c r="V206" s="129">
        <f>IFERROR(I206/U206,0)</f>
        <v/>
      </c>
      <c r="W206" s="127">
        <f>SUMPRODUCT(('Client DB &amp; Bed Mgmt'!$A$5:$A$428=K206)*('Client DB &amp; Bed Mgmt'!$B$5:$B$428=L206)*('Client DB &amp; Bed Mgmt'!$D$5:$D$428&lt;&gt;"")*--(('Client DB &amp; Bed Mgmt'!$M$5:$M$428="")+NOT(ISNUMBER('Client DB &amp; Bed Mgmt'!$M$5:$M$428))+IFERROR('Client DB &amp; Bed Mgmt'!$M$5:$M$428&lt;=EOMONTH(B206,0),FALSE)&gt;0)*--(('Client DB &amp; Bed Mgmt'!$N$5:$N$428="")+NOT(ISNUMBER('Client DB &amp; Bed Mgmt'!$N$5:$N$428))+IFERROR('Client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</f>
        <v/>
      </c>
      <c r="X206" s="130">
        <f>IFERROR(S206/W206,0)</f>
        <v/>
      </c>
    </row>
    <row r="207" hidden="1" ht="14.25" customHeight="1" s="83">
      <c r="A207" s="103" t="inlineStr">
        <is>
          <t>Dorm 3</t>
        </is>
      </c>
      <c r="B207" s="125">
        <f>INDEX(MonthList,INT((ROW()-150)/6)+1)</f>
        <v/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>
        <f>SUMPRODUCT(('Client DB &amp; Bed Mgmt'!$A$5:$A$428=A207)*('Client DB &amp; Bed Mgmt'!$B$5:$B$428=C207)*('Client DB &amp; Bed Mgmt'!$D$5:$D$428&lt;&gt;"")*--(('Client DB &amp; Bed Mgmt'!$M$5:$M$428="")+NOT(ISNUMBER('Client DB &amp; Bed Mgmt'!$M$5:$M$428))+IFERROR('Client DB &amp; Bed Mgmt'!$M$5:$M$428&lt;=EOMONTH(B207,0),FALSE)&gt;0)*--(('Client DB &amp; Bed Mgmt'!$N$5:$N$428="")+NOT(ISNUMBER('Client DB &amp; Bed Mgmt'!$N$5:$N$428))+IFERROR('Client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</f>
        <v/>
      </c>
      <c r="V207" s="129">
        <f>IFERROR(I207/U207,0)</f>
        <v/>
      </c>
      <c r="W207" s="127">
        <f>SUMPRODUCT(('Client DB &amp; Bed Mgmt'!$A$5:$A$428=K207)*('Client DB &amp; Bed Mgmt'!$B$5:$B$428=L207)*('Client DB &amp; Bed Mgmt'!$D$5:$D$428&lt;&gt;"")*--(('Client DB &amp; Bed Mgmt'!$M$5:$M$428="")+NOT(ISNUMBER('Client DB &amp; Bed Mgmt'!$M$5:$M$428))+IFERROR('Client DB &amp; Bed Mgmt'!$M$5:$M$428&lt;=EOMONTH(B207,0),FALSE)&gt;0)*--(('Client DB &amp; Bed Mgmt'!$N$5:$N$428="")+NOT(ISNUMBER('Client DB &amp; Bed Mgmt'!$N$5:$N$428))+IFERROR('Client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</f>
        <v/>
      </c>
      <c r="X207" s="130">
        <f>IFERROR(S207/W207,0)</f>
        <v/>
      </c>
    </row>
    <row r="208" hidden="1" ht="14.25" customHeight="1" s="83">
      <c r="A208" s="103" t="inlineStr">
        <is>
          <t>Dorm 3</t>
        </is>
      </c>
      <c r="B208" s="125">
        <f>INDEX(MonthList,INT((ROW()-150)/6)+1)</f>
        <v/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>
        <f>SUMPRODUCT(('Client DB &amp; Bed Mgmt'!$A$5:$A$428=A208)*('Client DB &amp; Bed Mgmt'!$B$5:$B$428=C208)*('Client DB &amp; Bed Mgmt'!$D$5:$D$428&lt;&gt;"")*--(('Client DB &amp; Bed Mgmt'!$M$5:$M$428="")+NOT(ISNUMBER('Client DB &amp; Bed Mgmt'!$M$5:$M$428))+IFERROR('Client DB &amp; Bed Mgmt'!$M$5:$M$428&lt;=EOMONTH(B208,0),FALSE)&gt;0)*--(('Client DB &amp; Bed Mgmt'!$N$5:$N$428="")+NOT(ISNUMBER('Client DB &amp; Bed Mgmt'!$N$5:$N$428))+IFERROR('Client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</f>
        <v/>
      </c>
      <c r="V208" s="129">
        <f>IFERROR(I208/U208,0)</f>
        <v/>
      </c>
      <c r="W208" s="127">
        <f>SUMPRODUCT(('Client DB &amp; Bed Mgmt'!$A$5:$A$428=K208)*('Client DB &amp; Bed Mgmt'!$B$5:$B$428=L208)*('Client DB &amp; Bed Mgmt'!$D$5:$D$428&lt;&gt;"")*--(('Client DB &amp; Bed Mgmt'!$M$5:$M$428="")+NOT(ISNUMBER('Client DB &amp; Bed Mgmt'!$M$5:$M$428))+IFERROR('Client DB &amp; Bed Mgmt'!$M$5:$M$428&lt;=EOMONTH(B208,0),FALSE)&gt;0)*--(('Client DB &amp; Bed Mgmt'!$N$5:$N$428="")+NOT(ISNUMBER('Client DB &amp; Bed Mgmt'!$N$5:$N$428))+IFERROR('Client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</f>
        <v/>
      </c>
      <c r="X208" s="130">
        <f>IFERROR(S208/W208,0)</f>
        <v/>
      </c>
    </row>
    <row r="209" hidden="1" ht="14.25" customHeight="1" s="83">
      <c r="A209" s="103" t="inlineStr">
        <is>
          <t>Dorm 3</t>
        </is>
      </c>
      <c r="B209" s="125">
        <f>INDEX(MonthList,INT((ROW()-150)/6)+1)</f>
        <v/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>
        <f>SUMPRODUCT(('Client DB &amp; Bed Mgmt'!$A$5:$A$428=A209)*('Client DB &amp; Bed Mgmt'!$B$5:$B$428=C209)*('Client DB &amp; Bed Mgmt'!$D$5:$D$428&lt;&gt;"")*--(('Client DB &amp; Bed Mgmt'!$M$5:$M$428="")+NOT(ISNUMBER('Client DB &amp; Bed Mgmt'!$M$5:$M$428))+IFERROR('Client DB &amp; Bed Mgmt'!$M$5:$M$428&lt;=EOMONTH(B209,0),FALSE)&gt;0)*--(('Client DB &amp; Bed Mgmt'!$N$5:$N$428="")+NOT(ISNUMBER('Client DB &amp; Bed Mgmt'!$N$5:$N$428))+IFERROR('Client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</f>
        <v/>
      </c>
      <c r="V209" s="129">
        <f>IFERROR(I209/U209,0)</f>
        <v/>
      </c>
      <c r="W209" s="127">
        <f>SUMPRODUCT(('Client DB &amp; Bed Mgmt'!$A$5:$A$428=K209)*('Client DB &amp; Bed Mgmt'!$B$5:$B$428=L209)*('Client DB &amp; Bed Mgmt'!$D$5:$D$428&lt;&gt;"")*--(('Client DB &amp; Bed Mgmt'!$M$5:$M$428="")+NOT(ISNUMBER('Client DB &amp; Bed Mgmt'!$M$5:$M$428))+IFERROR('Client DB &amp; Bed Mgmt'!$M$5:$M$428&lt;=EOMONTH(B209,0),FALSE)&gt;0)*--(('Client DB &amp; Bed Mgmt'!$N$5:$N$428="")+NOT(ISNUMBER('Client DB &amp; Bed Mgmt'!$N$5:$N$428))+IFERROR('Client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</f>
        <v/>
      </c>
      <c r="X209" s="130">
        <f>IFERROR(S209/W209,0)</f>
        <v/>
      </c>
    </row>
    <row r="210" hidden="1" ht="14.25" customHeight="1" s="83">
      <c r="A210" s="103" t="inlineStr">
        <is>
          <t>Dorm 3</t>
        </is>
      </c>
      <c r="B210" s="125">
        <f>INDEX(MonthList,INT((ROW()-150)/6)+1)</f>
        <v/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>
        <f>SUMPRODUCT(('Client DB &amp; Bed Mgmt'!$A$5:$A$428=A210)*('Client DB &amp; Bed Mgmt'!$B$5:$B$428=C210)*('Client DB &amp; Bed Mgmt'!$D$5:$D$428&lt;&gt;"")*--(('Client DB &amp; Bed Mgmt'!$M$5:$M$428="")+NOT(ISNUMBER('Client DB &amp; Bed Mgmt'!$M$5:$M$428))+IFERROR('Client DB &amp; Bed Mgmt'!$M$5:$M$428&lt;=EOMONTH(B210,0),FALSE)&gt;0)*--(('Client DB &amp; Bed Mgmt'!$N$5:$N$428="")+NOT(ISNUMBER('Client DB &amp; Bed Mgmt'!$N$5:$N$428))+IFERROR('Client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</f>
        <v/>
      </c>
      <c r="V210" s="129">
        <f>IFERROR(I210/U210,0)</f>
        <v/>
      </c>
      <c r="W210" s="127">
        <f>SUMPRODUCT(('Client DB &amp; Bed Mgmt'!$A$5:$A$428=K210)*('Client DB &amp; Bed Mgmt'!$B$5:$B$428=L210)*('Client DB &amp; Bed Mgmt'!$D$5:$D$428&lt;&gt;"")*--(('Client DB &amp; Bed Mgmt'!$M$5:$M$428="")+NOT(ISNUMBER('Client DB &amp; Bed Mgmt'!$M$5:$M$428))+IFERROR('Client DB &amp; Bed Mgmt'!$M$5:$M$428&lt;=EOMONTH(B210,0),FALSE)&gt;0)*--(('Client DB &amp; Bed Mgmt'!$N$5:$N$428="")+NOT(ISNUMBER('Client DB &amp; Bed Mgmt'!$N$5:$N$428))+IFERROR('Client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</f>
        <v/>
      </c>
      <c r="X210" s="130">
        <f>IFERROR(S210/W210,0)</f>
        <v/>
      </c>
    </row>
    <row r="211" hidden="1" ht="14.25" customHeight="1" s="83">
      <c r="A211" s="103" t="inlineStr">
        <is>
          <t>Dorm 3</t>
        </is>
      </c>
      <c r="B211" s="125">
        <f>INDEX(MonthList,INT((ROW()-150)/6)+1)</f>
        <v/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>
        <f>SUMPRODUCT(('Client DB &amp; Bed Mgmt'!$A$5:$A$428=A211)*('Client DB &amp; Bed Mgmt'!$B$5:$B$428=C211)*('Client DB &amp; Bed Mgmt'!$D$5:$D$428&lt;&gt;"")*--(('Client DB &amp; Bed Mgmt'!$M$5:$M$428="")+NOT(ISNUMBER('Client DB &amp; Bed Mgmt'!$M$5:$M$428))+IFERROR('Client DB &amp; Bed Mgmt'!$M$5:$M$428&lt;=EOMONTH(B211,0),FALSE)&gt;0)*--(('Client DB &amp; Bed Mgmt'!$N$5:$N$428="")+NOT(ISNUMBER('Client DB &amp; Bed Mgmt'!$N$5:$N$428))+IFERROR('Client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</f>
        <v/>
      </c>
      <c r="V211" s="129">
        <f>IFERROR(I211/U211,0)</f>
        <v/>
      </c>
      <c r="W211" s="127">
        <f>SUMPRODUCT(('Client DB &amp; Bed Mgmt'!$A$5:$A$428=K211)*('Client DB &amp; Bed Mgmt'!$B$5:$B$428=L211)*('Client DB &amp; Bed Mgmt'!$D$5:$D$428&lt;&gt;"")*--(('Client DB &amp; Bed Mgmt'!$M$5:$M$428="")+NOT(ISNUMBER('Client DB &amp; Bed Mgmt'!$M$5:$M$428))+IFERROR('Client DB &amp; Bed Mgmt'!$M$5:$M$428&lt;=EOMONTH(B211,0),FALSE)&gt;0)*--(('Client DB &amp; Bed Mgmt'!$N$5:$N$428="")+NOT(ISNUMBER('Client DB &amp; Bed Mgmt'!$N$5:$N$428))+IFERROR('Client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</f>
        <v/>
      </c>
      <c r="X211" s="130">
        <f>IFERROR(S211/W211,0)</f>
        <v/>
      </c>
    </row>
    <row r="212" hidden="1" ht="14.25" customHeight="1" s="83">
      <c r="A212" s="103" t="inlineStr">
        <is>
          <t>Dorm 3</t>
        </is>
      </c>
      <c r="B212" s="125">
        <f>INDEX(MonthList,INT((ROW()-150)/6)+1)</f>
        <v/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>
        <f>SUMPRODUCT(('Client DB &amp; Bed Mgmt'!$A$5:$A$428=A212)*('Client DB &amp; Bed Mgmt'!$B$5:$B$428=C212)*('Client DB &amp; Bed Mgmt'!$D$5:$D$428&lt;&gt;"")*--(('Client DB &amp; Bed Mgmt'!$M$5:$M$428="")+NOT(ISNUMBER('Client DB &amp; Bed Mgmt'!$M$5:$M$428))+IFERROR('Client DB &amp; Bed Mgmt'!$M$5:$M$428&lt;=EOMONTH(B212,0),FALSE)&gt;0)*--(('Client DB &amp; Bed Mgmt'!$N$5:$N$428="")+NOT(ISNUMBER('Client DB &amp; Bed Mgmt'!$N$5:$N$428))+IFERROR('Client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</f>
        <v/>
      </c>
      <c r="V212" s="129">
        <f>IFERROR(I212/U212,0)</f>
        <v/>
      </c>
      <c r="W212" s="127">
        <f>SUMPRODUCT(('Client DB &amp; Bed Mgmt'!$A$5:$A$428=K212)*('Client DB &amp; Bed Mgmt'!$B$5:$B$428=L212)*('Client DB &amp; Bed Mgmt'!$D$5:$D$428&lt;&gt;"")*--(('Client DB &amp; Bed Mgmt'!$M$5:$M$428="")+NOT(ISNUMBER('Client DB &amp; Bed Mgmt'!$M$5:$M$428))+IFERROR('Client DB &amp; Bed Mgmt'!$M$5:$M$428&lt;=EOMONTH(B212,0),FALSE)&gt;0)*--(('Client DB &amp; Bed Mgmt'!$N$5:$N$428="")+NOT(ISNUMBER('Client DB &amp; Bed Mgmt'!$N$5:$N$428))+IFERROR('Client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</f>
        <v/>
      </c>
      <c r="X212" s="130">
        <f>IFERROR(S212/W212,0)</f>
        <v/>
      </c>
    </row>
    <row r="213" hidden="1" ht="14.25" customHeight="1" s="83">
      <c r="A213" s="103" t="inlineStr">
        <is>
          <t>Dorm 3</t>
        </is>
      </c>
      <c r="B213" s="125">
        <f>INDEX(MonthList,INT((ROW()-150)/6)+1)</f>
        <v/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>
        <f>SUMPRODUCT(('Client DB &amp; Bed Mgmt'!$A$5:$A$428=A213)*('Client DB &amp; Bed Mgmt'!$B$5:$B$428=C213)*('Client DB &amp; Bed Mgmt'!$D$5:$D$428&lt;&gt;"")*--(('Client DB &amp; Bed Mgmt'!$M$5:$M$428="")+NOT(ISNUMBER('Client DB &amp; Bed Mgmt'!$M$5:$M$428))+IFERROR('Client DB &amp; Bed Mgmt'!$M$5:$M$428&lt;=EOMONTH(B213,0),FALSE)&gt;0)*--(('Client DB &amp; Bed Mgmt'!$N$5:$N$428="")+NOT(ISNUMBER('Client DB &amp; Bed Mgmt'!$N$5:$N$428))+IFERROR('Client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</f>
        <v/>
      </c>
      <c r="V213" s="129">
        <f>IFERROR(I213/U213,0)</f>
        <v/>
      </c>
      <c r="W213" s="127">
        <f>SUMPRODUCT(('Client DB &amp; Bed Mgmt'!$A$5:$A$428=K213)*('Client DB &amp; Bed Mgmt'!$B$5:$B$428=L213)*('Client DB &amp; Bed Mgmt'!$D$5:$D$428&lt;&gt;"")*--(('Client DB &amp; Bed Mgmt'!$M$5:$M$428="")+NOT(ISNUMBER('Client DB &amp; Bed Mgmt'!$M$5:$M$428))+IFERROR('Client DB &amp; Bed Mgmt'!$M$5:$M$428&lt;=EOMONTH(B213,0),FALSE)&gt;0)*--(('Client DB &amp; Bed Mgmt'!$N$5:$N$428="")+NOT(ISNUMBER('Client DB &amp; Bed Mgmt'!$N$5:$N$428))+IFERROR('Client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</f>
        <v/>
      </c>
      <c r="X213" s="130">
        <f>IFERROR(S213/W213,0)</f>
        <v/>
      </c>
    </row>
    <row r="214" hidden="1" ht="14.25" customHeight="1" s="83">
      <c r="A214" s="103" t="inlineStr">
        <is>
          <t>Dorm 3</t>
        </is>
      </c>
      <c r="B214" s="125">
        <f>INDEX(MonthList,INT((ROW()-150)/6)+1)</f>
        <v/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>
        <f>SUMPRODUCT(('Client DB &amp; Bed Mgmt'!$A$5:$A$428=A214)*('Client DB &amp; Bed Mgmt'!$B$5:$B$428=C214)*('Client DB &amp; Bed Mgmt'!$D$5:$D$428&lt;&gt;"")*--(('Client DB &amp; Bed Mgmt'!$M$5:$M$428="")+NOT(ISNUMBER('Client DB &amp; Bed Mgmt'!$M$5:$M$428))+IFERROR('Client DB &amp; Bed Mgmt'!$M$5:$M$428&lt;=EOMONTH(B214,0),FALSE)&gt;0)*--(('Client DB &amp; Bed Mgmt'!$N$5:$N$428="")+NOT(ISNUMBER('Client DB &amp; Bed Mgmt'!$N$5:$N$428))+IFERROR('Client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</f>
        <v/>
      </c>
      <c r="V214" s="129">
        <f>IFERROR(I214/U214,0)</f>
        <v/>
      </c>
      <c r="W214" s="127">
        <f>SUMPRODUCT(('Client DB &amp; Bed Mgmt'!$A$5:$A$428=K214)*('Client DB &amp; Bed Mgmt'!$B$5:$B$428=L214)*('Client DB &amp; Bed Mgmt'!$D$5:$D$428&lt;&gt;"")*--(('Client DB &amp; Bed Mgmt'!$M$5:$M$428="")+NOT(ISNUMBER('Client DB &amp; Bed Mgmt'!$M$5:$M$428))+IFERROR('Client DB &amp; Bed Mgmt'!$M$5:$M$428&lt;=EOMONTH(B214,0),FALSE)&gt;0)*--(('Client DB &amp; Bed Mgmt'!$N$5:$N$428="")+NOT(ISNUMBER('Client DB &amp; Bed Mgmt'!$N$5:$N$428))+IFERROR('Client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</f>
        <v/>
      </c>
      <c r="X214" s="130">
        <f>IFERROR(S214/W214,0)</f>
        <v/>
      </c>
    </row>
    <row r="215" hidden="1" ht="14.25" customHeight="1" s="83">
      <c r="A215" s="103" t="inlineStr">
        <is>
          <t>Dorm 3</t>
        </is>
      </c>
      <c r="B215" s="125">
        <f>INDEX(MonthList,INT((ROW()-150)/6)+1)</f>
        <v/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>
        <f>SUMPRODUCT(('Client DB &amp; Bed Mgmt'!$A$5:$A$428=A215)*('Client DB &amp; Bed Mgmt'!$B$5:$B$428=C215)*('Client DB &amp; Bed Mgmt'!$D$5:$D$428&lt;&gt;"")*--(('Client DB &amp; Bed Mgmt'!$M$5:$M$428="")+NOT(ISNUMBER('Client DB &amp; Bed Mgmt'!$M$5:$M$428))+IFERROR('Client DB &amp; Bed Mgmt'!$M$5:$M$428&lt;=EOMONTH(B215,0),FALSE)&gt;0)*--(('Client DB &amp; Bed Mgmt'!$N$5:$N$428="")+NOT(ISNUMBER('Client DB &amp; Bed Mgmt'!$N$5:$N$428))+IFERROR('Client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</f>
        <v/>
      </c>
      <c r="V215" s="129">
        <f>IFERROR(I215/U215,0)</f>
        <v/>
      </c>
      <c r="W215" s="127">
        <f>SUMPRODUCT(('Client DB &amp; Bed Mgmt'!$A$5:$A$428=K215)*('Client DB &amp; Bed Mgmt'!$B$5:$B$428=L215)*('Client DB &amp; Bed Mgmt'!$D$5:$D$428&lt;&gt;"")*--(('Client DB &amp; Bed Mgmt'!$M$5:$M$428="")+NOT(ISNUMBER('Client DB &amp; Bed Mgmt'!$M$5:$M$428))+IFERROR('Client DB &amp; Bed Mgmt'!$M$5:$M$428&lt;=EOMONTH(B215,0),FALSE)&gt;0)*--(('Client DB &amp; Bed Mgmt'!$N$5:$N$428="")+NOT(ISNUMBER('Client DB &amp; Bed Mgmt'!$N$5:$N$428))+IFERROR('Client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</f>
        <v/>
      </c>
      <c r="X215" s="130">
        <f>IFERROR(S215/W215,0)</f>
        <v/>
      </c>
    </row>
    <row r="216" hidden="1" ht="14.25" customHeight="1" s="83">
      <c r="A216" s="103" t="inlineStr">
        <is>
          <t>Dorm 3</t>
        </is>
      </c>
      <c r="B216" s="125">
        <f>INDEX(MonthList,INT((ROW()-150)/6)+1)</f>
        <v/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>
        <f>SUMPRODUCT(('Client DB &amp; Bed Mgmt'!$A$5:$A$428=A216)*('Client DB &amp; Bed Mgmt'!$B$5:$B$428=C216)*('Client DB &amp; Bed Mgmt'!$D$5:$D$428&lt;&gt;"")*--(('Client DB &amp; Bed Mgmt'!$M$5:$M$428="")+NOT(ISNUMBER('Client DB &amp; Bed Mgmt'!$M$5:$M$428))+IFERROR('Client DB &amp; Bed Mgmt'!$M$5:$M$428&lt;=EOMONTH(B216,0),FALSE)&gt;0)*--(('Client DB &amp; Bed Mgmt'!$N$5:$N$428="")+NOT(ISNUMBER('Client DB &amp; Bed Mgmt'!$N$5:$N$428))+IFERROR('Client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</f>
        <v/>
      </c>
      <c r="V216" s="129">
        <f>IFERROR(I216/U216,0)</f>
        <v/>
      </c>
      <c r="W216" s="127">
        <f>SUMPRODUCT(('Client DB &amp; Bed Mgmt'!$A$5:$A$428=K216)*('Client DB &amp; Bed Mgmt'!$B$5:$B$428=L216)*('Client DB &amp; Bed Mgmt'!$D$5:$D$428&lt;&gt;"")*--(('Client DB &amp; Bed Mgmt'!$M$5:$M$428="")+NOT(ISNUMBER('Client DB &amp; Bed Mgmt'!$M$5:$M$428))+IFERROR('Client DB &amp; Bed Mgmt'!$M$5:$M$428&lt;=EOMONTH(B216,0),FALSE)&gt;0)*--(('Client DB &amp; Bed Mgmt'!$N$5:$N$428="")+NOT(ISNUMBER('Client DB &amp; Bed Mgmt'!$N$5:$N$428))+IFERROR('Client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</f>
        <v/>
      </c>
      <c r="X216" s="130">
        <f>IFERROR(S216/W216,0)</f>
        <v/>
      </c>
    </row>
    <row r="217" hidden="1" ht="14.25" customHeight="1" s="83">
      <c r="A217" s="103" t="inlineStr">
        <is>
          <t>Dorm 3</t>
        </is>
      </c>
      <c r="B217" s="125">
        <f>INDEX(MonthList,INT((ROW()-150)/6)+1)</f>
        <v/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>
        <f>SUMPRODUCT(('Client DB &amp; Bed Mgmt'!$A$5:$A$428=A217)*('Client DB &amp; Bed Mgmt'!$B$5:$B$428=C217)*('Client DB &amp; Bed Mgmt'!$D$5:$D$428&lt;&gt;"")*--(('Client DB &amp; Bed Mgmt'!$M$5:$M$428="")+NOT(ISNUMBER('Client DB &amp; Bed Mgmt'!$M$5:$M$428))+IFERROR('Client DB &amp; Bed Mgmt'!$M$5:$M$428&lt;=EOMONTH(B217,0),FALSE)&gt;0)*--(('Client DB &amp; Bed Mgmt'!$N$5:$N$428="")+NOT(ISNUMBER('Client DB &amp; Bed Mgmt'!$N$5:$N$428))+IFERROR('Client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</f>
        <v/>
      </c>
      <c r="V217" s="129">
        <f>IFERROR(I217/U217,0)</f>
        <v/>
      </c>
      <c r="W217" s="127">
        <f>SUMPRODUCT(('Client DB &amp; Bed Mgmt'!$A$5:$A$428=K217)*('Client DB &amp; Bed Mgmt'!$B$5:$B$428=L217)*('Client DB &amp; Bed Mgmt'!$D$5:$D$428&lt;&gt;"")*--(('Client DB &amp; Bed Mgmt'!$M$5:$M$428="")+NOT(ISNUMBER('Client DB &amp; Bed Mgmt'!$M$5:$M$428))+IFERROR('Client DB &amp; Bed Mgmt'!$M$5:$M$428&lt;=EOMONTH(B217,0),FALSE)&gt;0)*--(('Client DB &amp; Bed Mgmt'!$N$5:$N$428="")+NOT(ISNUMBER('Client DB &amp; Bed Mgmt'!$N$5:$N$428))+IFERROR('Client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</f>
        <v/>
      </c>
      <c r="X217" s="130">
        <f>IFERROR(S217/W217,0)</f>
        <v/>
      </c>
    </row>
    <row r="218" hidden="1" ht="14.25" customHeight="1" s="83">
      <c r="A218" s="103" t="inlineStr">
        <is>
          <t>Dorm 3</t>
        </is>
      </c>
      <c r="B218" s="125">
        <f>INDEX(MonthList,INT((ROW()-150)/6)+1)</f>
        <v/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>
        <f>SUMPRODUCT(('Client DB &amp; Bed Mgmt'!$A$5:$A$428=A218)*('Client DB &amp; Bed Mgmt'!$B$5:$B$428=C218)*('Client DB &amp; Bed Mgmt'!$D$5:$D$428&lt;&gt;"")*--(('Client DB &amp; Bed Mgmt'!$M$5:$M$428="")+NOT(ISNUMBER('Client DB &amp; Bed Mgmt'!$M$5:$M$428))+IFERROR('Client DB &amp; Bed Mgmt'!$M$5:$M$428&lt;=EOMONTH(B218,0),FALSE)&gt;0)*--(('Client DB &amp; Bed Mgmt'!$N$5:$N$428="")+NOT(ISNUMBER('Client DB &amp; Bed Mgmt'!$N$5:$N$428))+IFERROR('Client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</f>
        <v/>
      </c>
      <c r="V218" s="129">
        <f>IFERROR(I218/U218,0)</f>
        <v/>
      </c>
      <c r="W218" s="127">
        <f>SUMPRODUCT(('Client DB &amp; Bed Mgmt'!$A$5:$A$428=K218)*('Client DB &amp; Bed Mgmt'!$B$5:$B$428=L218)*('Client DB &amp; Bed Mgmt'!$D$5:$D$428&lt;&gt;"")*--(('Client DB &amp; Bed Mgmt'!$M$5:$M$428="")+NOT(ISNUMBER('Client DB &amp; Bed Mgmt'!$M$5:$M$428))+IFERROR('Client DB &amp; Bed Mgmt'!$M$5:$M$428&lt;=EOMONTH(B218,0),FALSE)&gt;0)*--(('Client DB &amp; Bed Mgmt'!$N$5:$N$428="")+NOT(ISNUMBER('Client DB &amp; Bed Mgmt'!$N$5:$N$428))+IFERROR('Client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</f>
        <v/>
      </c>
      <c r="X218" s="130">
        <f>IFERROR(S218/W218,0)</f>
        <v/>
      </c>
    </row>
    <row r="219" hidden="1" ht="14.25" customHeight="1" s="83">
      <c r="A219" s="103" t="inlineStr">
        <is>
          <t>Dorm 3</t>
        </is>
      </c>
      <c r="B219" s="125">
        <f>INDEX(MonthList,INT((ROW()-150)/6)+1)</f>
        <v/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>
        <f>SUMPRODUCT(('Client DB &amp; Bed Mgmt'!$A$5:$A$428=A219)*('Client DB &amp; Bed Mgmt'!$B$5:$B$428=C219)*('Client DB &amp; Bed Mgmt'!$D$5:$D$428&lt;&gt;"")*--(('Client DB &amp; Bed Mgmt'!$M$5:$M$428="")+NOT(ISNUMBER('Client DB &amp; Bed Mgmt'!$M$5:$M$428))+IFERROR('Client DB &amp; Bed Mgmt'!$M$5:$M$428&lt;=EOMONTH(B219,0),FALSE)&gt;0)*--(('Client DB &amp; Bed Mgmt'!$N$5:$N$428="")+NOT(ISNUMBER('Client DB &amp; Bed Mgmt'!$N$5:$N$428))+IFERROR('Client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</f>
        <v/>
      </c>
      <c r="V219" s="129">
        <f>IFERROR(I219/U219,0)</f>
        <v/>
      </c>
      <c r="W219" s="127">
        <f>SUMPRODUCT(('Client DB &amp; Bed Mgmt'!$A$5:$A$428=K219)*('Client DB &amp; Bed Mgmt'!$B$5:$B$428=L219)*('Client DB &amp; Bed Mgmt'!$D$5:$D$428&lt;&gt;"")*--(('Client DB &amp; Bed Mgmt'!$M$5:$M$428="")+NOT(ISNUMBER('Client DB &amp; Bed Mgmt'!$M$5:$M$428))+IFERROR('Client DB &amp; Bed Mgmt'!$M$5:$M$428&lt;=EOMONTH(B219,0),FALSE)&gt;0)*--(('Client DB &amp; Bed Mgmt'!$N$5:$N$428="")+NOT(ISNUMBER('Client DB &amp; Bed Mgmt'!$N$5:$N$428))+IFERROR('Client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</f>
        <v/>
      </c>
      <c r="X219" s="130">
        <f>IFERROR(S219/W219,0)</f>
        <v/>
      </c>
    </row>
    <row r="220" hidden="1" ht="14.25" customHeight="1" s="83">
      <c r="A220" s="103" t="inlineStr">
        <is>
          <t>Dorm 3</t>
        </is>
      </c>
      <c r="B220" s="125">
        <f>INDEX(MonthList,INT((ROW()-150)/6)+1)</f>
        <v/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>
        <f>SUMPRODUCT(('Client DB &amp; Bed Mgmt'!$A$5:$A$428=A220)*('Client DB &amp; Bed Mgmt'!$B$5:$B$428=C220)*('Client DB &amp; Bed Mgmt'!$D$5:$D$428&lt;&gt;"")*--(('Client DB &amp; Bed Mgmt'!$M$5:$M$428="")+NOT(ISNUMBER('Client DB &amp; Bed Mgmt'!$M$5:$M$428))+IFERROR('Client DB &amp; Bed Mgmt'!$M$5:$M$428&lt;=EOMONTH(B220,0),FALSE)&gt;0)*--(('Client DB &amp; Bed Mgmt'!$N$5:$N$428="")+NOT(ISNUMBER('Client DB &amp; Bed Mgmt'!$N$5:$N$428))+IFERROR('Client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</f>
        <v/>
      </c>
      <c r="V220" s="129">
        <f>IFERROR(I220/U220,0)</f>
        <v/>
      </c>
      <c r="W220" s="127">
        <f>SUMPRODUCT(('Client DB &amp; Bed Mgmt'!$A$5:$A$428=K220)*('Client DB &amp; Bed Mgmt'!$B$5:$B$428=L220)*('Client DB &amp; Bed Mgmt'!$D$5:$D$428&lt;&gt;"")*--(('Client DB &amp; Bed Mgmt'!$M$5:$M$428="")+NOT(ISNUMBER('Client DB &amp; Bed Mgmt'!$M$5:$M$428))+IFERROR('Client DB &amp; Bed Mgmt'!$M$5:$M$428&lt;=EOMONTH(B220,0),FALSE)&gt;0)*--(('Client DB &amp; Bed Mgmt'!$N$5:$N$428="")+NOT(ISNUMBER('Client DB &amp; Bed Mgmt'!$N$5:$N$428))+IFERROR('Client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</f>
        <v/>
      </c>
      <c r="X220" s="130">
        <f>IFERROR(S220/W220,0)</f>
        <v/>
      </c>
    </row>
    <row r="221" hidden="1" ht="14.25" customHeight="1" s="83">
      <c r="A221" s="103" t="inlineStr">
        <is>
          <t>Dorm 3</t>
        </is>
      </c>
      <c r="B221" s="125">
        <f>INDEX(MonthList,INT((ROW()-150)/6)+1)</f>
        <v/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>
        <f>SUMPRODUCT(('Client DB &amp; Bed Mgmt'!$A$5:$A$428=A221)*('Client DB &amp; Bed Mgmt'!$B$5:$B$428=C221)*('Client DB &amp; Bed Mgmt'!$D$5:$D$428&lt;&gt;"")*--(('Client DB &amp; Bed Mgmt'!$M$5:$M$428="")+NOT(ISNUMBER('Client DB &amp; Bed Mgmt'!$M$5:$M$428))+IFERROR('Client DB &amp; Bed Mgmt'!$M$5:$M$428&lt;=EOMONTH(B221,0),FALSE)&gt;0)*--(('Client DB &amp; Bed Mgmt'!$N$5:$N$428="")+NOT(ISNUMBER('Client DB &amp; Bed Mgmt'!$N$5:$N$428))+IFERROR('Client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</f>
        <v/>
      </c>
      <c r="V221" s="129">
        <f>IFERROR(I221/U221,0)</f>
        <v/>
      </c>
      <c r="W221" s="127">
        <f>SUMPRODUCT(('Client DB &amp; Bed Mgmt'!$A$5:$A$428=K221)*('Client DB &amp; Bed Mgmt'!$B$5:$B$428=L221)*('Client DB &amp; Bed Mgmt'!$D$5:$D$428&lt;&gt;"")*--(('Client DB &amp; Bed Mgmt'!$M$5:$M$428="")+NOT(ISNUMBER('Client DB &amp; Bed Mgmt'!$M$5:$M$428))+IFERROR('Client DB &amp; Bed Mgmt'!$M$5:$M$428&lt;=EOMONTH(B221,0),FALSE)&gt;0)*--(('Client DB &amp; Bed Mgmt'!$N$5:$N$428="")+NOT(ISNUMBER('Client DB &amp; Bed Mgmt'!$N$5:$N$428))+IFERROR('Client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</f>
        <v/>
      </c>
      <c r="X221" s="130">
        <f>IFERROR(S221/W221,0)</f>
        <v/>
      </c>
    </row>
    <row r="222" hidden="1" ht="14.25" customHeight="1" s="83">
      <c r="A222" s="103" t="n"/>
      <c r="B222" s="125" t="inlineStr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inlineStr"/>
      <c r="V222" s="129" t="inlineStr"/>
      <c r="W222" s="130" t="inlineStr"/>
      <c r="X222" s="130" t="inlineStr"/>
    </row>
    <row r="223" hidden="1" ht="14.25" customHeight="1" s="83">
      <c r="A223" s="103" t="n"/>
      <c r="B223" s="125" t="inlineStr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inlineStr"/>
      <c r="V223" s="129" t="inlineStr"/>
      <c r="W223" s="130" t="inlineStr"/>
      <c r="X223" s="130" t="inlineStr"/>
    </row>
    <row r="224" hidden="1" ht="14.25" customHeight="1" s="83">
      <c r="A224" s="103" t="n"/>
      <c r="B224" s="125" t="inlineStr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inlineStr"/>
      <c r="V224" s="129" t="inlineStr"/>
      <c r="W224" s="130" t="inlineStr"/>
      <c r="X224" s="130" t="inlineStr"/>
    </row>
    <row r="225" hidden="1" ht="14.25" customHeight="1" s="83">
      <c r="A225" s="103" t="n"/>
      <c r="B225" s="125" t="inlineStr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inlineStr"/>
      <c r="V225" s="129" t="inlineStr"/>
      <c r="W225" s="130" t="inlineStr"/>
      <c r="X225" s="130" t="inlineStr"/>
    </row>
    <row r="226" hidden="1" ht="14.25" customHeight="1" s="83">
      <c r="A226" s="103" t="n"/>
      <c r="B226" s="125" t="inlineStr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inlineStr"/>
      <c r="V226" s="129" t="inlineStr"/>
      <c r="W226" s="130" t="inlineStr"/>
      <c r="X226" s="130" t="inlineStr"/>
    </row>
    <row r="227" hidden="1" ht="14.25" customHeight="1" s="83">
      <c r="A227" s="103" t="n"/>
      <c r="B227" s="125" t="inlineStr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inlineStr"/>
      <c r="V227" s="129" t="inlineStr"/>
      <c r="W227" s="130" t="inlineStr"/>
      <c r="X227" s="130" t="inlineStr"/>
    </row>
    <row r="228" hidden="1" ht="14.25" customHeight="1" s="83">
      <c r="A228" s="103" t="n"/>
      <c r="B228" s="125" t="inlineStr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inlineStr"/>
      <c r="V228" s="129" t="inlineStr"/>
      <c r="W228" s="130" t="inlineStr"/>
      <c r="X228" s="130" t="inlineStr"/>
    </row>
    <row r="229" hidden="1" ht="14.25" customHeight="1" s="83">
      <c r="A229" s="103" t="n"/>
      <c r="B229" s="125" t="inlineStr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inlineStr"/>
      <c r="V229" s="129" t="inlineStr"/>
      <c r="W229" s="130" t="inlineStr"/>
      <c r="X229" s="130" t="inlineStr"/>
    </row>
    <row r="230" hidden="1" ht="14.25" customHeight="1" s="83">
      <c r="A230" s="103" t="n"/>
      <c r="B230" s="125" t="inlineStr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inlineStr"/>
      <c r="V230" s="129" t="inlineStr"/>
      <c r="W230" s="130" t="inlineStr"/>
      <c r="X230" s="130" t="inlineStr"/>
    </row>
    <row r="231" hidden="1" ht="14.25" customHeight="1" s="83">
      <c r="A231" s="103" t="n"/>
      <c r="B231" s="125" t="inlineStr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inlineStr"/>
      <c r="V231" s="129" t="inlineStr"/>
      <c r="W231" s="130" t="inlineStr"/>
      <c r="X231" s="130" t="inlineStr"/>
    </row>
    <row r="232" hidden="1" ht="14.25" customHeight="1" s="83">
      <c r="A232" s="103" t="n"/>
      <c r="B232" s="125" t="inlineStr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inlineStr"/>
      <c r="V232" s="129" t="inlineStr"/>
      <c r="W232" s="130" t="inlineStr"/>
      <c r="X232" s="130" t="inlineStr"/>
    </row>
    <row r="233" hidden="1" ht="14.25" customHeight="1" s="83">
      <c r="A233" s="103" t="n"/>
      <c r="B233" s="125" t="inlineStr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inlineStr"/>
      <c r="V233" s="129" t="inlineStr"/>
      <c r="W233" s="130" t="inlineStr"/>
      <c r="X233" s="130" t="inlineStr"/>
    </row>
    <row r="234" hidden="1" ht="14.25" customHeight="1" s="83">
      <c r="A234" s="103" t="n"/>
      <c r="B234" s="125" t="inlineStr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inlineStr"/>
      <c r="V234" s="129" t="inlineStr"/>
      <c r="W234" s="130" t="inlineStr"/>
      <c r="X234" s="130" t="inlineStr"/>
    </row>
    <row r="235" hidden="1" ht="14.25" customHeight="1" s="83">
      <c r="A235" s="103" t="n"/>
      <c r="B235" s="125" t="inlineStr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inlineStr"/>
      <c r="V235" s="129" t="inlineStr"/>
      <c r="W235" s="130" t="inlineStr"/>
      <c r="X235" s="130" t="inlineStr"/>
    </row>
    <row r="236" hidden="1" ht="14.25" customHeight="1" s="83">
      <c r="A236" s="103" t="n"/>
      <c r="B236" s="125" t="inlineStr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inlineStr"/>
      <c r="V236" s="129" t="inlineStr"/>
      <c r="W236" s="130" t="inlineStr"/>
      <c r="X236" s="130" t="inlineStr"/>
    </row>
    <row r="237" hidden="1" ht="14.25" customHeight="1" s="83">
      <c r="A237" s="103" t="n"/>
      <c r="B237" s="125" t="inlineStr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inlineStr"/>
      <c r="V237" s="129" t="inlineStr"/>
      <c r="W237" s="130" t="inlineStr"/>
      <c r="X237" s="130" t="inlineStr"/>
    </row>
    <row r="238" hidden="1" ht="14.25" customHeight="1" s="83">
      <c r="A238" s="103" t="n"/>
      <c r="B238" s="125" t="inlineStr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inlineStr"/>
      <c r="V238" s="129" t="inlineStr"/>
      <c r="W238" s="130" t="inlineStr"/>
      <c r="X238" s="130" t="inlineStr"/>
    </row>
    <row r="239" hidden="1" ht="14.25" customHeight="1" s="83">
      <c r="A239" s="103" t="n"/>
      <c r="B239" s="125" t="inlineStr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inlineStr"/>
      <c r="V239" s="129" t="inlineStr"/>
      <c r="W239" s="130" t="inlineStr"/>
      <c r="X239" s="130" t="inlineStr"/>
    </row>
    <row r="240" hidden="1" ht="14.25" customHeight="1" s="83">
      <c r="A240" s="103" t="n"/>
      <c r="B240" s="125" t="inlineStr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inlineStr"/>
      <c r="V240" s="129" t="inlineStr"/>
      <c r="W240" s="130" t="inlineStr"/>
      <c r="X240" s="130" t="inlineStr"/>
    </row>
    <row r="241" hidden="1" ht="14.25" customHeight="1" s="83">
      <c r="A241" s="103" t="n"/>
      <c r="B241" s="125" t="inlineStr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inlineStr"/>
      <c r="V241" s="129" t="inlineStr"/>
      <c r="W241" s="130" t="inlineStr"/>
      <c r="X241" s="130" t="inlineStr"/>
    </row>
    <row r="242" hidden="1" ht="14.25" customHeight="1" s="83">
      <c r="A242" s="103" t="n"/>
      <c r="B242" s="125" t="inlineStr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inlineStr"/>
      <c r="V242" s="129" t="inlineStr"/>
      <c r="W242" s="130" t="inlineStr"/>
      <c r="X242" s="130" t="inlineStr"/>
    </row>
    <row r="243" hidden="1" ht="14.25" customHeight="1" s="83">
      <c r="A243" s="103" t="n"/>
      <c r="B243" s="125" t="inlineStr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inlineStr"/>
      <c r="V243" s="129" t="inlineStr"/>
      <c r="W243" s="130" t="inlineStr"/>
      <c r="X243" s="130" t="inlineStr"/>
    </row>
    <row r="244" hidden="1" ht="14.25" customHeight="1" s="83">
      <c r="A244" s="103" t="n"/>
      <c r="B244" s="125" t="inlineStr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inlineStr"/>
      <c r="V244" s="129" t="inlineStr"/>
      <c r="W244" s="130" t="inlineStr"/>
      <c r="X244" s="130" t="inlineStr"/>
    </row>
    <row r="245" hidden="1" ht="14.25" customHeight="1" s="83">
      <c r="A245" s="103" t="n"/>
      <c r="B245" s="125" t="inlineStr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inlineStr"/>
      <c r="V245" s="129" t="inlineStr"/>
      <c r="W245" s="130" t="inlineStr"/>
      <c r="X245" s="130" t="inlineStr"/>
    </row>
    <row r="246" hidden="1" ht="14.25" customHeight="1" s="83">
      <c r="A246" s="103" t="n"/>
      <c r="B246" s="125" t="inlineStr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inlineStr"/>
      <c r="V246" s="129" t="inlineStr"/>
      <c r="W246" s="130" t="inlineStr"/>
      <c r="X246" s="130" t="inlineStr"/>
    </row>
    <row r="247" hidden="1" ht="14.25" customHeight="1" s="83">
      <c r="A247" s="103" t="n"/>
      <c r="B247" s="125" t="inlineStr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inlineStr"/>
      <c r="V247" s="129" t="inlineStr"/>
      <c r="W247" s="130" t="inlineStr"/>
      <c r="X247" s="130" t="inlineStr"/>
    </row>
    <row r="248" hidden="1" ht="14.25" customHeight="1" s="83">
      <c r="A248" s="103" t="n"/>
      <c r="B248" s="125" t="inlineStr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inlineStr"/>
      <c r="V248" s="129" t="inlineStr"/>
      <c r="W248" s="130" t="inlineStr"/>
      <c r="X248" s="130" t="inlineStr"/>
    </row>
    <row r="249" hidden="1" ht="14.25" customHeight="1" s="83">
      <c r="A249" s="103" t="n"/>
      <c r="B249" s="125" t="inlineStr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inlineStr"/>
      <c r="V249" s="129" t="inlineStr"/>
      <c r="W249" s="130" t="inlineStr"/>
      <c r="X249" s="130" t="inlineStr"/>
    </row>
    <row r="250" hidden="1" ht="14.25" customHeight="1" s="83">
      <c r="A250" s="103" t="n"/>
      <c r="B250" s="125" t="inlineStr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inlineStr"/>
      <c r="V250" s="129" t="inlineStr"/>
      <c r="W250" s="130" t="inlineStr"/>
      <c r="X250" s="130" t="inlineStr"/>
    </row>
    <row r="251" hidden="1" ht="14.25" customHeight="1" s="83">
      <c r="A251" s="103" t="n"/>
      <c r="B251" s="125" t="inlineStr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inlineStr"/>
      <c r="V251" s="129" t="inlineStr"/>
      <c r="W251" s="130" t="inlineStr"/>
      <c r="X251" s="130" t="inlineStr"/>
    </row>
    <row r="252" hidden="1" ht="14.25" customHeight="1" s="83">
      <c r="A252" s="103" t="n"/>
      <c r="B252" s="125" t="inlineStr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inlineStr"/>
      <c r="V252" s="129" t="inlineStr"/>
      <c r="W252" s="130" t="inlineStr"/>
      <c r="X252" s="130" t="inlineStr"/>
    </row>
    <row r="253" hidden="1" ht="14.25" customHeight="1" s="83">
      <c r="A253" s="103" t="n"/>
      <c r="B253" s="125" t="inlineStr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inlineStr"/>
      <c r="V253" s="129" t="inlineStr"/>
      <c r="W253" s="130" t="inlineStr"/>
      <c r="X253" s="130" t="inlineStr"/>
    </row>
    <row r="254" hidden="1" ht="14.25" customHeight="1" s="83">
      <c r="A254" s="103" t="n"/>
      <c r="B254" s="125" t="inlineStr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inlineStr"/>
      <c r="V254" s="129" t="inlineStr"/>
      <c r="W254" s="130" t="inlineStr"/>
      <c r="X254" s="130" t="inlineStr"/>
    </row>
    <row r="255" hidden="1" ht="14.25" customHeight="1" s="83">
      <c r="A255" s="103" t="n"/>
      <c r="B255" s="125" t="inlineStr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inlineStr"/>
      <c r="V255" s="129" t="inlineStr"/>
      <c r="W255" s="130" t="inlineStr"/>
      <c r="X255" s="130" t="inlineStr"/>
    </row>
    <row r="256" hidden="1" ht="14.25" customHeight="1" s="83">
      <c r="A256" s="103" t="n"/>
      <c r="B256" s="125" t="inlineStr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inlineStr"/>
      <c r="V256" s="129" t="inlineStr"/>
      <c r="W256" s="130" t="inlineStr"/>
      <c r="X256" s="130" t="inlineStr"/>
    </row>
    <row r="257" hidden="1" ht="14.25" customHeight="1" s="83">
      <c r="A257" s="103" t="n"/>
      <c r="B257" s="125" t="inlineStr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inlineStr"/>
      <c r="V257" s="129" t="inlineStr"/>
      <c r="W257" s="130" t="inlineStr"/>
      <c r="X257" s="130" t="inlineStr"/>
    </row>
    <row r="258" hidden="1" ht="14.25" customHeight="1" s="83">
      <c r="A258" s="103" t="n"/>
      <c r="B258" s="125" t="inlineStr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inlineStr"/>
      <c r="V258" s="129" t="inlineStr"/>
      <c r="W258" s="130" t="inlineStr"/>
      <c r="X258" s="130" t="inlineStr"/>
    </row>
    <row r="259" hidden="1" ht="14.25" customHeight="1" s="83">
      <c r="A259" s="103" t="n"/>
      <c r="B259" s="125" t="inlineStr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inlineStr"/>
      <c r="V259" s="129" t="inlineStr"/>
      <c r="W259" s="130" t="inlineStr"/>
      <c r="X259" s="130" t="inlineStr"/>
    </row>
    <row r="260" hidden="1" ht="14.25" customHeight="1" s="83">
      <c r="A260" s="103" t="n"/>
      <c r="B260" s="125" t="inlineStr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inlineStr"/>
      <c r="V260" s="129" t="inlineStr"/>
      <c r="W260" s="130" t="inlineStr"/>
      <c r="X260" s="130" t="inlineStr"/>
    </row>
    <row r="261" hidden="1" ht="14.25" customHeight="1" s="83">
      <c r="A261" s="103" t="n"/>
      <c r="B261" s="125" t="inlineStr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inlineStr"/>
      <c r="V261" s="129" t="inlineStr"/>
      <c r="W261" s="130" t="inlineStr"/>
      <c r="X261" s="130" t="inlineStr"/>
    </row>
    <row r="262" hidden="1" ht="14.25" customHeight="1" s="83">
      <c r="A262" s="103" t="n"/>
      <c r="B262" s="125" t="inlineStr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inlineStr"/>
      <c r="V262" s="129" t="inlineStr"/>
      <c r="W262" s="130" t="inlineStr"/>
      <c r="X262" s="130" t="inlineStr"/>
    </row>
    <row r="263" hidden="1" ht="14.25" customHeight="1" s="83">
      <c r="A263" s="103" t="n"/>
      <c r="B263" s="125" t="inlineStr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inlineStr"/>
      <c r="V263" s="129" t="inlineStr"/>
      <c r="W263" s="130" t="inlineStr"/>
      <c r="X263" s="130" t="inlineStr"/>
    </row>
    <row r="264" hidden="1" ht="14.25" customHeight="1" s="83">
      <c r="A264" s="103" t="n"/>
      <c r="B264" s="125" t="inlineStr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inlineStr"/>
      <c r="V264" s="129" t="inlineStr"/>
      <c r="W264" s="130" t="inlineStr"/>
      <c r="X264" s="130" t="inlineStr"/>
    </row>
    <row r="265" hidden="1" ht="14.25" customHeight="1" s="83">
      <c r="A265" s="103" t="n"/>
      <c r="B265" s="125" t="inlineStr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inlineStr"/>
      <c r="V265" s="129" t="inlineStr"/>
      <c r="W265" s="130" t="inlineStr"/>
      <c r="X265" s="130" t="inlineStr"/>
    </row>
    <row r="266" hidden="1" ht="14.25" customHeight="1" s="83">
      <c r="A266" s="103" t="n"/>
      <c r="B266" s="125" t="inlineStr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inlineStr"/>
      <c r="V266" s="129" t="inlineStr"/>
      <c r="W266" s="130" t="inlineStr"/>
      <c r="X266" s="130" t="inlineStr"/>
    </row>
    <row r="267" hidden="1" ht="14.25" customHeight="1" s="83">
      <c r="A267" s="103" t="n"/>
      <c r="B267" s="125" t="inlineStr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inlineStr"/>
      <c r="V267" s="129" t="inlineStr"/>
      <c r="W267" s="130" t="inlineStr"/>
      <c r="X267" s="130" t="inlineStr"/>
    </row>
    <row r="268" hidden="1" ht="14.25" customHeight="1" s="83">
      <c r="A268" s="103" t="n"/>
      <c r="B268" s="125" t="inlineStr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inlineStr"/>
      <c r="V268" s="129" t="inlineStr"/>
      <c r="W268" s="130" t="inlineStr"/>
      <c r="X268" s="130" t="inlineStr"/>
    </row>
    <row r="269" hidden="1" ht="14.25" customHeight="1" s="83">
      <c r="A269" s="103" t="n"/>
      <c r="B269" s="125" t="inlineStr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inlineStr"/>
      <c r="V269" s="129" t="inlineStr"/>
      <c r="W269" s="130" t="inlineStr"/>
      <c r="X269" s="130" t="inlineStr"/>
    </row>
    <row r="270" hidden="1" ht="14.25" customHeight="1" s="83">
      <c r="A270" s="103" t="n"/>
      <c r="B270" s="125" t="inlineStr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inlineStr"/>
      <c r="V270" s="129" t="inlineStr"/>
      <c r="W270" s="130" t="inlineStr"/>
      <c r="X270" s="130" t="inlineStr"/>
    </row>
    <row r="271" hidden="1" ht="14.25" customHeight="1" s="83">
      <c r="A271" s="103" t="n"/>
      <c r="B271" s="125" t="inlineStr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inlineStr"/>
      <c r="V271" s="129" t="inlineStr"/>
      <c r="W271" s="130" t="inlineStr"/>
      <c r="X271" s="130" t="inlineStr"/>
    </row>
    <row r="272" hidden="1" ht="14.25" customHeight="1" s="83">
      <c r="A272" s="103" t="n"/>
      <c r="B272" s="125" t="inlineStr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inlineStr"/>
      <c r="V272" s="129" t="inlineStr"/>
      <c r="W272" s="130" t="inlineStr"/>
      <c r="X272" s="130" t="inlineStr"/>
    </row>
    <row r="273" hidden="1" ht="14.25" customHeight="1" s="83">
      <c r="A273" s="103" t="n"/>
      <c r="B273" s="125" t="inlineStr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inlineStr"/>
      <c r="V273" s="129" t="inlineStr"/>
      <c r="W273" s="130" t="inlineStr"/>
      <c r="X273" s="130" t="inlineStr"/>
    </row>
    <row r="274" hidden="1" ht="14.25" customHeight="1" s="83">
      <c r="A274" s="103" t="n"/>
      <c r="B274" s="125" t="inlineStr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inlineStr"/>
      <c r="V274" s="129" t="inlineStr"/>
      <c r="W274" s="130" t="inlineStr"/>
      <c r="X274" s="130" t="inlineStr"/>
    </row>
    <row r="275" hidden="1" ht="14.25" customHeight="1" s="83">
      <c r="A275" s="103" t="n"/>
      <c r="B275" s="125" t="inlineStr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inlineStr"/>
      <c r="V275" s="129" t="inlineStr"/>
      <c r="W275" s="130" t="inlineStr"/>
      <c r="X275" s="130" t="inlineStr"/>
    </row>
    <row r="276" hidden="1" ht="14.25" customHeight="1" s="83">
      <c r="A276" s="103" t="n"/>
      <c r="B276" s="125" t="inlineStr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inlineStr"/>
      <c r="V276" s="129" t="inlineStr"/>
      <c r="W276" s="130" t="inlineStr"/>
      <c r="X276" s="130" t="inlineStr"/>
    </row>
    <row r="277" hidden="1" ht="14.25" customHeight="1" s="83">
      <c r="A277" s="103" t="n"/>
      <c r="B277" s="125" t="inlineStr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inlineStr"/>
      <c r="V277" s="129" t="inlineStr"/>
      <c r="W277" s="130" t="inlineStr"/>
      <c r="X277" s="130" t="inlineStr"/>
    </row>
    <row r="278" hidden="1" ht="14.25" customHeight="1" s="83">
      <c r="A278" s="103" t="n"/>
      <c r="B278" s="125" t="inlineStr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inlineStr"/>
      <c r="V278" s="129" t="inlineStr"/>
      <c r="W278" s="130" t="inlineStr"/>
      <c r="X278" s="130" t="inlineStr"/>
    </row>
    <row r="279" hidden="1" ht="14.25" customHeight="1" s="83">
      <c r="A279" s="103" t="n"/>
      <c r="B279" s="125" t="inlineStr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inlineStr"/>
      <c r="V279" s="129" t="inlineStr"/>
      <c r="W279" s="130" t="inlineStr"/>
      <c r="X279" s="130" t="inlineStr"/>
    </row>
    <row r="280" hidden="1" ht="14.25" customHeight="1" s="83">
      <c r="A280" s="103" t="n"/>
      <c r="B280" s="125" t="inlineStr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inlineStr"/>
      <c r="V280" s="129" t="inlineStr"/>
      <c r="W280" s="130" t="inlineStr"/>
      <c r="X280" s="130" t="inlineStr"/>
    </row>
    <row r="281" hidden="1" ht="14.25" customHeight="1" s="83">
      <c r="A281" s="103" t="n"/>
      <c r="B281" s="125" t="inlineStr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inlineStr"/>
      <c r="V281" s="129" t="inlineStr"/>
      <c r="W281" s="130" t="inlineStr"/>
      <c r="X281" s="130" t="inlineStr"/>
    </row>
    <row r="282" hidden="1" ht="14.25" customHeight="1" s="83">
      <c r="A282" s="103" t="n"/>
      <c r="B282" s="125" t="inlineStr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inlineStr"/>
      <c r="V282" s="129" t="inlineStr"/>
      <c r="W282" s="130" t="inlineStr"/>
      <c r="X282" s="130" t="inlineStr"/>
    </row>
    <row r="283" hidden="1" ht="14.25" customHeight="1" s="83">
      <c r="A283" s="103" t="n"/>
      <c r="B283" s="125" t="inlineStr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inlineStr"/>
      <c r="V283" s="129" t="inlineStr"/>
      <c r="W283" s="130" t="inlineStr"/>
      <c r="X283" s="130" t="inlineStr"/>
    </row>
    <row r="284" hidden="1" ht="14.25" customHeight="1" s="83">
      <c r="A284" s="103" t="n"/>
      <c r="B284" s="125" t="inlineStr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inlineStr"/>
      <c r="V284" s="129" t="inlineStr"/>
      <c r="W284" s="130" t="inlineStr"/>
      <c r="X284" s="130" t="inlineStr"/>
    </row>
    <row r="285" hidden="1" ht="14.25" customHeight="1" s="83">
      <c r="A285" s="103" t="n"/>
      <c r="B285" s="125" t="inlineStr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inlineStr"/>
      <c r="V285" s="129" t="inlineStr"/>
      <c r="W285" s="130" t="inlineStr"/>
      <c r="X285" s="130" t="inlineStr"/>
    </row>
    <row r="286" hidden="1" ht="14.25" customHeight="1" s="83">
      <c r="A286" s="103" t="n"/>
      <c r="B286" s="125" t="inlineStr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inlineStr"/>
      <c r="V286" s="129" t="inlineStr"/>
      <c r="W286" s="130" t="inlineStr"/>
      <c r="X286" s="130" t="inlineStr"/>
    </row>
    <row r="287" hidden="1" ht="14.25" customHeight="1" s="83">
      <c r="A287" s="103" t="n"/>
      <c r="B287" s="125" t="inlineStr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inlineStr"/>
      <c r="V287" s="129" t="inlineStr"/>
      <c r="W287" s="130" t="inlineStr"/>
      <c r="X287" s="130" t="inlineStr"/>
    </row>
    <row r="288" hidden="1" ht="14.25" customHeight="1" s="83">
      <c r="A288" s="103" t="n"/>
      <c r="B288" s="125" t="inlineStr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inlineStr"/>
      <c r="V288" s="129" t="inlineStr"/>
      <c r="W288" s="130" t="inlineStr"/>
      <c r="X288" s="130" t="inlineStr"/>
    </row>
    <row r="289" hidden="1" ht="14.25" customHeight="1" s="83">
      <c r="A289" s="103" t="n"/>
      <c r="B289" s="125" t="inlineStr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inlineStr"/>
      <c r="V289" s="129" t="inlineStr"/>
      <c r="W289" s="130" t="inlineStr"/>
      <c r="X289" s="130" t="inlineStr"/>
    </row>
    <row r="290" hidden="1" ht="14.25" customHeight="1" s="83">
      <c r="A290" s="103" t="n"/>
      <c r="B290" s="125" t="inlineStr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inlineStr"/>
      <c r="V290" s="129" t="inlineStr"/>
      <c r="W290" s="130" t="inlineStr"/>
      <c r="X290" s="130" t="inlineStr"/>
    </row>
    <row r="291" hidden="1" ht="14.25" customHeight="1" s="83">
      <c r="A291" s="103" t="n"/>
      <c r="B291" s="125" t="inlineStr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inlineStr"/>
      <c r="V291" s="129" t="inlineStr"/>
      <c r="W291" s="130" t="inlineStr"/>
      <c r="X291" s="130" t="inlineStr"/>
    </row>
    <row r="292" hidden="1" ht="14.25" customHeight="1" s="83">
      <c r="A292" s="103" t="n"/>
      <c r="B292" s="125" t="inlineStr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inlineStr"/>
      <c r="V292" s="129" t="inlineStr"/>
      <c r="W292" s="130" t="inlineStr"/>
      <c r="X292" s="130" t="inlineStr"/>
    </row>
    <row r="293" hidden="1" ht="14.25" customHeight="1" s="83">
      <c r="A293" s="103" t="n"/>
      <c r="B293" s="125" t="inlineStr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inlineStr"/>
      <c r="V293" s="129" t="inlineStr"/>
      <c r="W293" s="130" t="inlineStr"/>
      <c r="X293" s="130" t="inlineStr"/>
    </row>
    <row r="294" hidden="1" ht="14.25" customHeight="1" s="83">
      <c r="A294" s="103" t="n"/>
      <c r="B294" s="125" t="inlineStr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inlineStr"/>
      <c r="V294" s="129" t="inlineStr"/>
      <c r="W294" s="130" t="inlineStr"/>
      <c r="X294" s="130" t="inlineStr"/>
    </row>
    <row r="295" hidden="1" ht="14.25" customHeight="1" s="83">
      <c r="A295" s="103" t="n"/>
      <c r="B295" s="125" t="inlineStr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inlineStr"/>
      <c r="V295" s="129" t="inlineStr"/>
      <c r="W295" s="130" t="inlineStr"/>
      <c r="X295" s="130" t="inlineStr"/>
    </row>
    <row r="296" hidden="1" ht="14.25" customHeight="1" s="83">
      <c r="A296" s="103" t="n"/>
      <c r="B296" s="125" t="inlineStr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inlineStr"/>
      <c r="V296" s="129" t="inlineStr"/>
      <c r="W296" s="130" t="inlineStr"/>
      <c r="X296" s="130" t="inlineStr"/>
    </row>
    <row r="297" hidden="1" ht="14.25" customHeight="1" s="83">
      <c r="A297" s="103" t="n"/>
      <c r="B297" s="125" t="inlineStr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inlineStr"/>
      <c r="V297" s="129" t="inlineStr"/>
      <c r="W297" s="130" t="inlineStr"/>
      <c r="X297" s="130" t="inlineStr"/>
    </row>
    <row r="298" hidden="1" ht="14.25" customHeight="1" s="83">
      <c r="A298" s="103" t="n"/>
      <c r="B298" s="125" t="inlineStr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inlineStr"/>
      <c r="V298" s="129" t="inlineStr"/>
      <c r="W298" s="130" t="inlineStr"/>
      <c r="X298" s="130" t="inlineStr"/>
    </row>
    <row r="299" hidden="1" ht="14.25" customHeight="1" s="83">
      <c r="A299" s="103" t="n"/>
      <c r="B299" s="125" t="inlineStr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inlineStr"/>
      <c r="V299" s="129" t="inlineStr"/>
      <c r="W299" s="130" t="inlineStr"/>
      <c r="X299" s="130" t="inlineStr"/>
    </row>
    <row r="300" hidden="1" ht="14.25" customHeight="1" s="83">
      <c r="A300" s="103" t="n"/>
      <c r="B300" s="125" t="inlineStr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inlineStr"/>
      <c r="V300" s="129" t="inlineStr"/>
      <c r="W300" s="130" t="inlineStr"/>
      <c r="X300" s="130" t="inlineStr"/>
    </row>
    <row r="301" ht="14.25" customHeight="1" s="83">
      <c r="A301" s="103" t="n"/>
      <c r="B301" s="125" t="inlineStr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inlineStr"/>
      <c r="V301" s="129" t="inlineStr"/>
    </row>
    <row r="302" ht="14.25" customHeight="1" s="83">
      <c r="A302" s="103" t="n"/>
      <c r="B302" s="125" t="inlineStr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inlineStr"/>
      <c r="V302" s="129" t="inlineStr"/>
    </row>
    <row r="303" ht="14.25" customHeight="1" s="83">
      <c r="A303" s="103" t="n"/>
      <c r="B303" s="125" t="inlineStr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inlineStr"/>
      <c r="V303" s="129" t="inlineStr"/>
    </row>
    <row r="304" ht="14.25" customHeight="1" s="83">
      <c r="A304" s="103" t="n"/>
      <c r="B304" s="125" t="inlineStr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inlineStr"/>
      <c r="V304" s="129" t="inlineStr"/>
    </row>
    <row r="305" ht="14.25" customHeight="1" s="83">
      <c r="A305" s="103" t="n"/>
      <c r="B305" s="125" t="inlineStr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inlineStr"/>
      <c r="V305" s="129" t="inlineStr"/>
    </row>
    <row r="306" ht="14.25" customHeight="1" s="83">
      <c r="A306" s="103" t="n"/>
      <c r="B306" s="125" t="inlineStr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inlineStr"/>
      <c r="V306" s="129" t="inlineStr"/>
    </row>
    <row r="307" ht="14.25" customHeight="1" s="83">
      <c r="A307" s="103" t="n"/>
      <c r="B307" s="125" t="inlineStr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inlineStr"/>
      <c r="V307" s="129" t="inlineStr"/>
    </row>
    <row r="308" ht="14.25" customHeight="1" s="83">
      <c r="A308" s="103" t="n"/>
      <c r="B308" s="125" t="inlineStr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inlineStr"/>
      <c r="V308" s="129" t="inlineStr"/>
    </row>
    <row r="309" ht="14.25" customHeight="1" s="83">
      <c r="A309" s="103" t="n"/>
      <c r="B309" s="125" t="inlineStr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inlineStr"/>
      <c r="V309" s="129" t="inlineStr"/>
    </row>
    <row r="310" ht="14.25" customHeight="1" s="83">
      <c r="A310" s="103" t="n"/>
      <c r="B310" s="125" t="inlineStr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inlineStr"/>
      <c r="V310" s="129" t="inlineStr"/>
    </row>
    <row r="311" ht="14.25" customHeight="1" s="83">
      <c r="A311" s="103" t="n"/>
      <c r="B311" s="125" t="inlineStr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inlineStr"/>
      <c r="V311" s="129" t="inlineStr"/>
    </row>
    <row r="312" ht="14.25" customHeight="1" s="83">
      <c r="A312" s="103" t="n"/>
      <c r="B312" s="125" t="inlineStr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inlineStr"/>
      <c r="V312" s="129" t="inlineStr"/>
    </row>
    <row r="313" ht="14.25" customHeight="1" s="83">
      <c r="A313" s="103" t="n"/>
      <c r="B313" s="125" t="inlineStr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inlineStr"/>
      <c r="V313" s="129" t="inlineStr"/>
    </row>
    <row r="314" ht="14.25" customHeight="1" s="83">
      <c r="A314" s="103" t="n"/>
      <c r="B314" s="125" t="inlineStr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inlineStr"/>
      <c r="V314" s="129" t="inlineStr"/>
    </row>
    <row r="315" ht="14.25" customHeight="1" s="83">
      <c r="A315" s="103" t="n"/>
      <c r="B315" s="125" t="inlineStr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inlineStr"/>
      <c r="V315" s="129" t="inlineStr"/>
    </row>
    <row r="316" ht="14.25" customHeight="1" s="83">
      <c r="A316" s="103" t="n"/>
      <c r="B316" s="125" t="inlineStr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inlineStr"/>
      <c r="V316" s="129" t="inlineStr"/>
    </row>
    <row r="317" ht="14.25" customHeight="1" s="83">
      <c r="A317" s="103" t="n"/>
      <c r="B317" s="125" t="inlineStr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inlineStr"/>
      <c r="V317" s="129" t="inlineStr"/>
    </row>
    <row r="318" ht="14.25" customHeight="1" s="83">
      <c r="A318" s="103" t="n"/>
      <c r="B318" s="125" t="inlineStr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inlineStr"/>
      <c r="V318" s="129" t="inlineStr"/>
    </row>
    <row r="319" ht="14.25" customHeight="1" s="83">
      <c r="A319" s="103" t="n"/>
      <c r="B319" s="125" t="inlineStr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inlineStr"/>
      <c r="V319" s="129" t="inlineStr"/>
    </row>
    <row r="320" ht="14.25" customHeight="1" s="83">
      <c r="A320" s="103" t="n"/>
      <c r="B320" s="125" t="inlineStr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inlineStr"/>
      <c r="V320" s="129" t="inlineStr"/>
    </row>
    <row r="321" ht="14.25" customHeight="1" s="83">
      <c r="A321" s="103" t="n"/>
      <c r="B321" s="125" t="inlineStr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inlineStr"/>
      <c r="V321" s="129" t="inlineStr"/>
    </row>
    <row r="322" ht="14.25" customHeight="1" s="83">
      <c r="A322" s="103" t="n"/>
      <c r="B322" s="125" t="inlineStr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inlineStr"/>
      <c r="V322" s="129" t="inlineStr"/>
    </row>
    <row r="323" ht="14.25" customHeight="1" s="83">
      <c r="A323" s="103" t="n"/>
      <c r="B323" s="125" t="inlineStr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inlineStr"/>
      <c r="V323" s="129" t="inlineStr"/>
    </row>
    <row r="324" ht="14.25" customHeight="1" s="83">
      <c r="A324" s="103" t="n"/>
      <c r="B324" s="125" t="inlineStr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inlineStr"/>
      <c r="V324" s="129" t="inlineStr"/>
    </row>
    <row r="325" ht="14.25" customHeight="1" s="83">
      <c r="A325" s="103" t="n"/>
      <c r="B325" s="125" t="inlineStr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inlineStr"/>
      <c r="V325" s="129" t="inlineStr"/>
    </row>
    <row r="326" ht="14.25" customHeight="1" s="83">
      <c r="A326" s="103" t="n"/>
      <c r="B326" s="125" t="inlineStr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inlineStr"/>
      <c r="V326" s="129" t="inlineStr"/>
    </row>
    <row r="327" ht="14.25" customHeight="1" s="83">
      <c r="A327" s="103" t="n"/>
      <c r="B327" s="125" t="inlineStr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inlineStr"/>
      <c r="V327" s="129" t="inlineStr"/>
    </row>
    <row r="328" ht="14.25" customHeight="1" s="83">
      <c r="A328" s="103" t="n"/>
      <c r="B328" s="125" t="inlineStr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inlineStr"/>
      <c r="V328" s="129" t="inlineStr"/>
    </row>
    <row r="329" ht="14.25" customHeight="1" s="83">
      <c r="A329" s="103" t="n"/>
      <c r="B329" s="125" t="inlineStr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inlineStr"/>
      <c r="V329" s="129" t="inlineStr"/>
    </row>
    <row r="330" ht="14.25" customHeight="1" s="83">
      <c r="A330" s="103" t="n"/>
      <c r="B330" s="125" t="inlineStr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inlineStr"/>
      <c r="V330" s="129" t="inlineStr"/>
    </row>
    <row r="331" ht="14.25" customHeight="1" s="83">
      <c r="A331" s="103" t="n"/>
      <c r="B331" s="125" t="inlineStr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inlineStr"/>
      <c r="V331" s="129" t="inlineStr"/>
    </row>
    <row r="332" ht="14.25" customHeight="1" s="83">
      <c r="A332" s="103" t="n"/>
      <c r="B332" s="125" t="inlineStr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inlineStr"/>
      <c r="V332" s="129" t="inlineStr"/>
    </row>
    <row r="333" ht="14.25" customHeight="1" s="83">
      <c r="A333" s="103" t="n"/>
      <c r="B333" s="125" t="inlineStr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inlineStr"/>
      <c r="V333" s="129" t="inlineStr"/>
    </row>
    <row r="334" ht="14.25" customHeight="1" s="83">
      <c r="A334" s="103" t="n"/>
      <c r="B334" s="125" t="inlineStr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inlineStr"/>
      <c r="V334" s="129" t="inlineStr"/>
    </row>
    <row r="335" ht="14.25" customHeight="1" s="83">
      <c r="A335" s="103" t="n"/>
      <c r="B335" s="125" t="inlineStr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inlineStr"/>
      <c r="V335" s="129" t="inlineStr"/>
    </row>
    <row r="336" ht="14.25" customHeight="1" s="83">
      <c r="A336" s="103" t="n"/>
      <c r="B336" s="125" t="inlineStr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inlineStr"/>
      <c r="V336" s="129" t="inlineStr"/>
    </row>
    <row r="337" ht="14.25" customHeight="1" s="83">
      <c r="A337" s="103" t="n"/>
      <c r="B337" s="125" t="inlineStr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inlineStr"/>
      <c r="V337" s="129" t="inlineStr"/>
    </row>
    <row r="338" ht="14.25" customHeight="1" s="83">
      <c r="A338" s="103" t="n"/>
      <c r="B338" s="125" t="inlineStr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inlineStr"/>
      <c r="V338" s="129" t="inlineStr"/>
    </row>
    <row r="339" ht="14.25" customHeight="1" s="83">
      <c r="A339" s="103" t="n"/>
      <c r="B339" s="125" t="inlineStr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inlineStr"/>
      <c r="V339" s="129" t="inlineStr"/>
    </row>
    <row r="340" ht="14.25" customHeight="1" s="83">
      <c r="A340" s="103" t="n"/>
      <c r="B340" s="125" t="inlineStr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inlineStr"/>
      <c r="V340" s="129" t="inlineStr"/>
    </row>
    <row r="341" ht="14.25" customHeight="1" s="83">
      <c r="A341" s="103" t="n"/>
      <c r="B341" s="125" t="inlineStr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inlineStr"/>
      <c r="V341" s="129" t="inlineStr"/>
    </row>
    <row r="342" ht="14.25" customHeight="1" s="83">
      <c r="A342" s="103" t="n"/>
      <c r="B342" s="125" t="inlineStr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inlineStr"/>
      <c r="V342" s="129" t="inlineStr"/>
    </row>
    <row r="343" ht="14.25" customHeight="1" s="83">
      <c r="A343" s="103" t="n"/>
      <c r="B343" s="125" t="inlineStr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inlineStr"/>
      <c r="V343" s="129" t="inlineStr"/>
    </row>
    <row r="344" ht="14.25" customHeight="1" s="83">
      <c r="A344" s="103" t="n"/>
      <c r="B344" s="125" t="inlineStr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inlineStr"/>
      <c r="V344" s="129" t="inlineStr"/>
    </row>
    <row r="345" ht="14.25" customHeight="1" s="83">
      <c r="A345" s="103" t="n"/>
      <c r="B345" s="125" t="inlineStr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inlineStr"/>
      <c r="V345" s="129" t="inlineStr"/>
    </row>
    <row r="346" ht="14.25" customHeight="1" s="83">
      <c r="A346" s="103" t="n"/>
      <c r="B346" s="125" t="inlineStr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inlineStr"/>
      <c r="V346" s="129" t="inlineStr"/>
    </row>
    <row r="347" ht="14.25" customHeight="1" s="83">
      <c r="A347" s="103" t="n"/>
      <c r="B347" s="125" t="inlineStr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inlineStr"/>
      <c r="V347" s="129" t="inlineStr"/>
    </row>
    <row r="348" ht="14.25" customHeight="1" s="83">
      <c r="A348" s="103" t="n"/>
      <c r="B348" s="125" t="inlineStr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inlineStr"/>
      <c r="V348" s="129" t="inlineStr"/>
    </row>
    <row r="349" ht="14.25" customHeight="1" s="83">
      <c r="A349" s="103" t="n"/>
      <c r="B349" s="125" t="inlineStr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inlineStr"/>
      <c r="V349" s="129" t="inlineStr"/>
    </row>
    <row r="350" ht="14.25" customHeight="1" s="83">
      <c r="A350" s="103" t="n"/>
      <c r="B350" s="125" t="inlineStr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inlineStr"/>
      <c r="V350" s="129" t="inlineStr"/>
    </row>
    <row r="351" ht="14.25" customHeight="1" s="83">
      <c r="A351" s="103" t="n"/>
      <c r="B351" s="125" t="inlineStr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inlineStr"/>
      <c r="V351" s="129" t="inlineStr"/>
    </row>
    <row r="352" ht="14.25" customHeight="1" s="83">
      <c r="A352" s="103" t="n"/>
      <c r="B352" s="125" t="inlineStr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inlineStr"/>
      <c r="V352" s="129" t="inlineStr"/>
    </row>
    <row r="353" ht="14.25" customHeight="1" s="83">
      <c r="A353" s="103" t="n"/>
      <c r="B353" s="125" t="inlineStr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inlineStr"/>
      <c r="V353" s="129" t="inlineStr"/>
    </row>
    <row r="354" ht="14.25" customHeight="1" s="83">
      <c r="A354" s="103" t="n"/>
      <c r="B354" s="125" t="inlineStr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inlineStr"/>
      <c r="V354" s="129" t="inlineStr"/>
    </row>
    <row r="355" ht="14.25" customHeight="1" s="83">
      <c r="A355" s="103" t="n"/>
      <c r="B355" s="125" t="inlineStr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inlineStr"/>
      <c r="V355" s="129" t="inlineStr"/>
    </row>
    <row r="356" ht="14.25" customHeight="1" s="83">
      <c r="A356" s="103" t="n"/>
      <c r="B356" s="125" t="inlineStr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inlineStr"/>
      <c r="V356" s="129" t="inlineStr"/>
    </row>
    <row r="357" ht="14.25" customHeight="1" s="83">
      <c r="A357" s="103" t="n"/>
      <c r="B357" s="125" t="inlineStr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inlineStr"/>
      <c r="V357" s="129" t="inlineStr"/>
    </row>
    <row r="358" ht="14.25" customHeight="1" s="83">
      <c r="A358" s="103" t="n"/>
      <c r="B358" s="125" t="inlineStr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inlineStr"/>
      <c r="V358" s="129" t="inlineStr"/>
    </row>
    <row r="359" ht="14.25" customHeight="1" s="83">
      <c r="A359" s="103" t="n"/>
      <c r="B359" s="125" t="inlineStr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inlineStr"/>
      <c r="V359" s="129" t="inlineStr"/>
    </row>
    <row r="360" ht="14.25" customHeight="1" s="83">
      <c r="A360" s="103" t="n"/>
      <c r="B360" s="125" t="inlineStr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inlineStr"/>
      <c r="V360" s="129" t="inlineStr"/>
    </row>
    <row r="361" ht="14.25" customHeight="1" s="83">
      <c r="A361" s="103" t="n"/>
      <c r="B361" s="125" t="inlineStr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inlineStr"/>
      <c r="V361" s="129" t="inlineStr"/>
    </row>
    <row r="362" ht="14.25" customHeight="1" s="83">
      <c r="A362" s="103" t="n"/>
      <c r="B362" s="125" t="inlineStr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inlineStr"/>
      <c r="V362" s="129" t="inlineStr"/>
    </row>
    <row r="363" ht="14.25" customHeight="1" s="83">
      <c r="A363" s="103" t="n"/>
      <c r="B363" s="125" t="inlineStr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inlineStr"/>
      <c r="V363" s="129" t="inlineStr"/>
    </row>
    <row r="364" ht="14.25" customHeight="1" s="83">
      <c r="A364" s="103" t="n"/>
      <c r="B364" s="125" t="inlineStr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inlineStr"/>
      <c r="V364" s="129" t="inlineStr"/>
    </row>
    <row r="365" ht="14.25" customHeight="1" s="83">
      <c r="A365" s="103" t="n"/>
      <c r="B365" s="125" t="inlineStr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inlineStr"/>
      <c r="V365" s="129" t="inlineStr"/>
    </row>
    <row r="366" ht="14.25" customHeight="1" s="83">
      <c r="A366" s="103" t="n"/>
      <c r="B366" s="125" t="inlineStr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inlineStr"/>
      <c r="V366" s="129" t="inlineStr"/>
    </row>
    <row r="367" ht="14.25" customHeight="1" s="83">
      <c r="A367" s="103" t="n"/>
      <c r="B367" s="125" t="inlineStr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inlineStr"/>
      <c r="V367" s="129" t="inlineStr"/>
    </row>
    <row r="368" ht="14.25" customHeight="1" s="83">
      <c r="A368" s="103" t="n"/>
      <c r="B368" s="125" t="inlineStr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inlineStr"/>
      <c r="V368" s="129" t="inlineStr"/>
    </row>
    <row r="369" ht="14.25" customHeight="1" s="83">
      <c r="A369" s="103" t="n"/>
      <c r="B369" s="125" t="inlineStr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inlineStr"/>
      <c r="V369" s="129" t="inlineStr"/>
    </row>
    <row r="370" ht="14.25" customHeight="1" s="83">
      <c r="A370" s="103" t="n"/>
      <c r="B370" s="125" t="inlineStr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inlineStr"/>
      <c r="V370" s="129" t="inlineStr"/>
    </row>
    <row r="371" ht="14.25" customHeight="1" s="83">
      <c r="A371" s="103" t="n"/>
      <c r="B371" s="125" t="inlineStr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inlineStr"/>
      <c r="V371" s="129" t="inlineStr"/>
    </row>
    <row r="372" ht="14.25" customHeight="1" s="83">
      <c r="A372" s="103" t="n"/>
      <c r="B372" s="125" t="inlineStr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inlineStr"/>
      <c r="V372" s="129" t="inlineStr"/>
    </row>
    <row r="373" ht="14.25" customHeight="1" s="83">
      <c r="A373" s="103" t="n"/>
      <c r="B373" s="125" t="inlineStr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inlineStr"/>
      <c r="V373" s="129" t="inlineStr"/>
    </row>
    <row r="374" ht="14.25" customHeight="1" s="83">
      <c r="A374" s="103" t="n"/>
      <c r="B374" s="125" t="inlineStr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inlineStr"/>
      <c r="V374" s="129" t="inlineStr"/>
    </row>
    <row r="375" ht="14.25" customHeight="1" s="83">
      <c r="A375" s="103" t="n"/>
      <c r="B375" s="125" t="inlineStr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inlineStr"/>
      <c r="V375" s="129" t="inlineStr"/>
    </row>
    <row r="376" ht="14.25" customHeight="1" s="83">
      <c r="A376" s="103" t="n"/>
      <c r="B376" s="125" t="inlineStr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inlineStr"/>
      <c r="V376" s="129" t="inlineStr"/>
    </row>
    <row r="377" ht="14.25" customHeight="1" s="83">
      <c r="A377" s="103" t="n"/>
      <c r="B377" s="125" t="inlineStr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inlineStr"/>
      <c r="V377" s="129" t="inlineStr"/>
    </row>
    <row r="378" ht="14.25" customHeight="1" s="83">
      <c r="A378" s="103" t="n"/>
      <c r="B378" s="125" t="inlineStr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inlineStr"/>
      <c r="V378" s="129" t="inlineStr"/>
    </row>
    <row r="379" ht="14.25" customHeight="1" s="83">
      <c r="A379" s="103" t="n"/>
      <c r="B379" s="125" t="inlineStr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inlineStr"/>
      <c r="V379" s="129" t="inlineStr"/>
    </row>
    <row r="380" ht="14.25" customHeight="1" s="83">
      <c r="A380" s="103" t="n"/>
      <c r="B380" s="125" t="inlineStr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inlineStr"/>
      <c r="V380" s="129" t="inlineStr"/>
    </row>
    <row r="381" ht="14.25" customHeight="1" s="83">
      <c r="A381" s="103" t="n"/>
      <c r="B381" s="125" t="inlineStr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inlineStr"/>
      <c r="V381" s="129" t="inlineStr"/>
    </row>
    <row r="382" ht="14.25" customHeight="1" s="83">
      <c r="A382" s="103" t="n"/>
      <c r="B382" s="125" t="inlineStr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inlineStr"/>
      <c r="V382" s="129" t="inlineStr"/>
    </row>
    <row r="383" ht="14.25" customHeight="1" s="83">
      <c r="A383" s="103" t="n"/>
      <c r="B383" s="125" t="inlineStr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inlineStr"/>
      <c r="V383" s="129" t="inlineStr"/>
    </row>
    <row r="384" ht="14.25" customHeight="1" s="83">
      <c r="A384" s="103" t="n"/>
      <c r="B384" s="125" t="inlineStr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inlineStr"/>
      <c r="V384" s="129" t="inlineStr"/>
    </row>
    <row r="385" ht="14.25" customHeight="1" s="83">
      <c r="A385" s="103" t="n"/>
      <c r="B385" s="125" t="inlineStr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inlineStr"/>
      <c r="V385" s="129" t="inlineStr"/>
    </row>
    <row r="386" ht="14.25" customHeight="1" s="83">
      <c r="A386" s="103" t="n"/>
      <c r="B386" s="125" t="inlineStr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inlineStr"/>
      <c r="V386" s="129" t="inlineStr"/>
    </row>
    <row r="387" ht="14.25" customHeight="1" s="83">
      <c r="A387" s="103" t="n"/>
      <c r="B387" s="125" t="inlineStr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inlineStr"/>
      <c r="V387" s="129" t="inlineStr"/>
    </row>
    <row r="388" ht="14.25" customHeight="1" s="83">
      <c r="A388" s="103" t="n"/>
      <c r="B388" s="125" t="inlineStr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inlineStr"/>
      <c r="V388" s="129" t="inlineStr"/>
    </row>
    <row r="389" ht="14.25" customHeight="1" s="83">
      <c r="A389" s="103" t="n"/>
      <c r="B389" s="125" t="inlineStr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inlineStr"/>
      <c r="V389" s="129" t="inlineStr"/>
    </row>
    <row r="390" ht="14.25" customHeight="1" s="83">
      <c r="A390" s="103" t="n"/>
      <c r="B390" s="125" t="inlineStr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inlineStr"/>
      <c r="V390" s="129" t="inlineStr"/>
    </row>
    <row r="391" ht="14.25" customHeight="1" s="83">
      <c r="A391" s="103" t="n"/>
      <c r="B391" s="125" t="inlineStr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inlineStr"/>
      <c r="V391" s="129" t="inlineStr"/>
    </row>
    <row r="392" ht="14.25" customHeight="1" s="83">
      <c r="A392" s="103" t="n"/>
      <c r="B392" s="125" t="inlineStr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inlineStr"/>
      <c r="V392" s="129" t="inlineStr"/>
    </row>
    <row r="393" ht="14.25" customHeight="1" s="83">
      <c r="A393" s="103" t="n"/>
      <c r="B393" s="125" t="inlineStr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inlineStr"/>
      <c r="V393" s="129" t="inlineStr"/>
    </row>
    <row r="394" ht="14.25" customHeight="1" s="83">
      <c r="A394" s="103" t="n"/>
      <c r="B394" s="125" t="inlineStr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inlineStr"/>
      <c r="V394" s="129" t="inlineStr"/>
    </row>
    <row r="395" ht="14.25" customHeight="1" s="83">
      <c r="A395" s="103" t="n"/>
      <c r="B395" s="125" t="inlineStr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inlineStr"/>
      <c r="V395" s="129" t="inlineStr"/>
    </row>
    <row r="396" ht="14.25" customHeight="1" s="83">
      <c r="A396" s="103" t="n"/>
      <c r="B396" s="125" t="inlineStr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inlineStr"/>
      <c r="V396" s="129" t="inlineStr"/>
    </row>
    <row r="397" ht="14.25" customHeight="1" s="83">
      <c r="A397" s="103" t="n"/>
      <c r="B397" s="125" t="inlineStr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inlineStr"/>
      <c r="V397" s="129" t="inlineStr"/>
    </row>
    <row r="398" ht="14.25" customHeight="1" s="83">
      <c r="A398" s="103" t="n"/>
      <c r="B398" s="125" t="inlineStr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inlineStr"/>
      <c r="V398" s="129" t="inlineStr"/>
    </row>
    <row r="399" ht="14.25" customHeight="1" s="83">
      <c r="A399" s="103" t="n"/>
      <c r="B399" s="125" t="inlineStr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inlineStr"/>
      <c r="V399" s="129" t="inlineStr"/>
    </row>
    <row r="400" ht="14.25" customHeight="1" s="83">
      <c r="A400" s="103" t="n"/>
      <c r="B400" s="125" t="inlineStr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inlineStr"/>
      <c r="V400" s="129" t="inlineStr"/>
    </row>
    <row r="401" ht="14.25" customHeight="1" s="83">
      <c r="A401" s="103" t="n"/>
      <c r="B401" s="125" t="inlineStr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inlineStr"/>
      <c r="V401" s="129" t="inlineStr"/>
    </row>
    <row r="402" ht="14.25" customHeight="1" s="83">
      <c r="A402" s="103" t="n"/>
      <c r="B402" s="125" t="inlineStr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inlineStr"/>
      <c r="V402" s="129" t="inlineStr"/>
    </row>
    <row r="403" ht="14.25" customHeight="1" s="83">
      <c r="A403" s="103" t="n"/>
      <c r="B403" s="125" t="inlineStr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inlineStr"/>
      <c r="V403" s="129" t="inlineStr"/>
    </row>
    <row r="404" ht="14.25" customHeight="1" s="83">
      <c r="A404" s="103" t="n"/>
      <c r="B404" s="125" t="inlineStr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inlineStr"/>
      <c r="V404" s="129" t="inlineStr"/>
    </row>
    <row r="405" ht="14.25" customHeight="1" s="83">
      <c r="A405" s="103" t="n"/>
      <c r="B405" s="125" t="inlineStr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inlineStr"/>
      <c r="V405" s="129" t="inlineStr"/>
    </row>
    <row r="406" ht="14.25" customHeight="1" s="83">
      <c r="A406" s="103" t="n"/>
      <c r="B406" s="125" t="inlineStr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inlineStr"/>
      <c r="V406" s="129" t="inlineStr"/>
    </row>
    <row r="407" ht="14.25" customHeight="1" s="83">
      <c r="A407" s="103" t="n"/>
      <c r="B407" s="125" t="inlineStr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inlineStr"/>
      <c r="V407" s="129" t="inlineStr"/>
    </row>
    <row r="408" ht="14.25" customHeight="1" s="83">
      <c r="A408" s="103" t="n"/>
      <c r="B408" s="125" t="inlineStr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inlineStr"/>
      <c r="V408" s="129" t="inlineStr"/>
    </row>
    <row r="409" ht="14.25" customHeight="1" s="83">
      <c r="A409" s="103" t="n"/>
      <c r="B409" s="125" t="inlineStr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inlineStr"/>
      <c r="V409" s="129" t="inlineStr"/>
    </row>
    <row r="410" ht="14.25" customHeight="1" s="83">
      <c r="A410" s="103" t="n"/>
      <c r="B410" s="125" t="inlineStr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inlineStr"/>
      <c r="V410" s="129" t="inlineStr"/>
    </row>
    <row r="411" ht="14.25" customHeight="1" s="83">
      <c r="A411" s="103" t="n"/>
      <c r="B411" s="125" t="inlineStr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inlineStr"/>
      <c r="V411" s="129" t="inlineStr"/>
    </row>
    <row r="412" ht="14.25" customHeight="1" s="83">
      <c r="A412" s="103" t="n"/>
      <c r="B412" s="125" t="inlineStr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inlineStr"/>
      <c r="V412" s="129" t="inlineStr"/>
    </row>
    <row r="413" ht="14.25" customHeight="1" s="83">
      <c r="A413" s="103" t="n"/>
      <c r="B413" s="125" t="inlineStr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inlineStr"/>
      <c r="V413" s="129" t="inlineStr"/>
    </row>
    <row r="414" ht="14.25" customHeight="1" s="83">
      <c r="A414" s="103" t="n"/>
      <c r="B414" s="125" t="inlineStr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inlineStr"/>
      <c r="V414" s="129" t="inlineStr"/>
    </row>
    <row r="415" ht="14.25" customHeight="1" s="83">
      <c r="A415" s="103" t="n"/>
      <c r="B415" s="125" t="inlineStr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inlineStr"/>
      <c r="V415" s="129" t="inlineStr"/>
    </row>
    <row r="416" ht="14.25" customHeight="1" s="83">
      <c r="A416" s="103" t="n"/>
      <c r="B416" s="125" t="inlineStr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inlineStr"/>
      <c r="V416" s="129" t="inlineStr"/>
    </row>
    <row r="417" ht="14.25" customHeight="1" s="83">
      <c r="A417" s="103" t="n"/>
      <c r="B417" s="125" t="inlineStr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inlineStr"/>
      <c r="V417" s="129" t="inlineStr"/>
    </row>
    <row r="418" ht="14.25" customHeight="1" s="83">
      <c r="A418" s="103" t="n"/>
      <c r="B418" s="125" t="inlineStr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inlineStr"/>
      <c r="V418" s="129" t="inlineStr"/>
    </row>
    <row r="419" ht="14.25" customHeight="1" s="83">
      <c r="A419" s="103" t="n"/>
      <c r="B419" s="125" t="inlineStr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inlineStr"/>
      <c r="V419" s="129" t="inlineStr"/>
    </row>
    <row r="420" ht="14.25" customHeight="1" s="83">
      <c r="A420" s="103" t="n"/>
      <c r="B420" s="125" t="inlineStr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inlineStr"/>
      <c r="V420" s="129" t="inlineStr"/>
    </row>
    <row r="421" ht="14.25" customHeight="1" s="83">
      <c r="A421" s="103" t="n"/>
      <c r="B421" s="125" t="inlineStr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inlineStr"/>
      <c r="V421" s="129" t="inlineStr"/>
    </row>
    <row r="422" ht="14.25" customHeight="1" s="83">
      <c r="A422" s="103" t="n"/>
      <c r="B422" s="125" t="inlineStr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inlineStr"/>
      <c r="V422" s="129" t="inlineStr"/>
    </row>
    <row r="423" ht="14.25" customHeight="1" s="83">
      <c r="A423" s="103" t="n"/>
      <c r="B423" s="125" t="inlineStr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inlineStr"/>
      <c r="V423" s="129" t="inlineStr"/>
    </row>
    <row r="424" ht="14.25" customHeight="1" s="83">
      <c r="A424" s="103" t="n"/>
      <c r="B424" s="125" t="inlineStr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inlineStr"/>
      <c r="V424" s="129" t="inlineStr"/>
    </row>
    <row r="425" ht="14.25" customHeight="1" s="83">
      <c r="A425" s="103" t="n"/>
      <c r="B425" s="125" t="inlineStr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inlineStr"/>
      <c r="V425" s="129" t="inlineStr"/>
    </row>
    <row r="426" ht="14.25" customHeight="1" s="83">
      <c r="A426" s="103" t="n"/>
      <c r="B426" s="125" t="inlineStr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inlineStr"/>
      <c r="V426" s="129" t="inlineStr"/>
    </row>
    <row r="427" ht="14.25" customHeight="1" s="83">
      <c r="A427" s="103" t="n"/>
      <c r="B427" s="125" t="inlineStr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inlineStr"/>
      <c r="V427" s="129" t="inlineStr"/>
    </row>
    <row r="428" ht="14.25" customHeight="1" s="83">
      <c r="A428" s="103" t="n"/>
      <c r="B428" s="125" t="inlineStr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inlineStr"/>
      <c r="V428" s="129" t="inlineStr"/>
    </row>
    <row r="429" ht="14.25" customHeight="1" s="83">
      <c r="A429" s="103" t="n"/>
      <c r="B429" s="125" t="inlineStr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inlineStr"/>
      <c r="V429" s="129" t="inlineStr"/>
    </row>
    <row r="430" ht="14.25" customHeight="1" s="83">
      <c r="A430" s="103" t="n"/>
      <c r="B430" s="125" t="inlineStr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inlineStr"/>
      <c r="V430" s="129" t="inlineStr"/>
    </row>
    <row r="431" ht="14.25" customHeight="1" s="83">
      <c r="A431" s="103" t="n"/>
      <c r="B431" s="125" t="inlineStr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inlineStr"/>
      <c r="V431" s="129" t="inlineStr"/>
    </row>
    <row r="432" ht="14.25" customHeight="1" s="83">
      <c r="A432" s="103" t="n"/>
      <c r="B432" s="125" t="inlineStr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inlineStr"/>
      <c r="V432" s="129" t="inlineStr"/>
    </row>
    <row r="433" ht="14.25" customHeight="1" s="83">
      <c r="A433" s="103" t="n"/>
      <c r="B433" s="125" t="inlineStr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inlineStr"/>
      <c r="V433" s="129" t="inlineStr"/>
    </row>
    <row r="434" ht="14.25" customHeight="1" s="83">
      <c r="A434" s="103" t="n"/>
      <c r="B434" s="125" t="inlineStr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inlineStr"/>
      <c r="V434" s="129" t="inlineStr"/>
    </row>
    <row r="435" ht="14.25" customHeight="1" s="83">
      <c r="A435" s="103" t="n"/>
      <c r="B435" s="125" t="inlineStr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inlineStr"/>
      <c r="V435" s="129" t="inlineStr"/>
    </row>
    <row r="436" ht="14.25" customHeight="1" s="83">
      <c r="A436" s="103" t="n"/>
      <c r="B436" s="125" t="inlineStr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inlineStr"/>
      <c r="V436" s="129" t="inlineStr"/>
    </row>
    <row r="437" ht="14.25" customHeight="1" s="83">
      <c r="A437" s="103" t="n"/>
      <c r="B437" s="125" t="inlineStr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inlineStr"/>
      <c r="V437" s="129" t="inlineStr"/>
    </row>
    <row r="438" ht="14.25" customHeight="1" s="83">
      <c r="A438" s="103" t="n"/>
      <c r="B438" s="125" t="inlineStr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inlineStr"/>
      <c r="V438" s="129" t="inlineStr"/>
    </row>
    <row r="439" ht="14.25" customHeight="1" s="83">
      <c r="A439" s="103" t="n"/>
      <c r="B439" s="125" t="inlineStr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inlineStr"/>
      <c r="V439" s="129" t="inlineStr"/>
    </row>
    <row r="440" ht="14.25" customHeight="1" s="83">
      <c r="A440" s="103" t="n"/>
      <c r="B440" s="125" t="inlineStr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inlineStr"/>
      <c r="V440" s="129" t="inlineStr"/>
    </row>
    <row r="441" ht="14.25" customHeight="1" s="83">
      <c r="A441" s="103" t="n"/>
      <c r="B441" s="125" t="inlineStr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inlineStr"/>
      <c r="V441" s="129" t="inlineStr"/>
    </row>
    <row r="442" ht="14.25" customHeight="1" s="83">
      <c r="A442" s="103" t="n"/>
      <c r="B442" s="125" t="inlineStr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inlineStr"/>
      <c r="V442" s="129" t="inlineStr"/>
    </row>
    <row r="443" ht="14.25" customHeight="1" s="83">
      <c r="A443" s="103" t="n"/>
      <c r="B443" s="125" t="inlineStr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inlineStr"/>
      <c r="V443" s="129" t="inlineStr"/>
    </row>
    <row r="444" ht="14.25" customHeight="1" s="83">
      <c r="A444" s="103" t="n"/>
      <c r="B444" s="125" t="inlineStr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inlineStr"/>
      <c r="V444" s="129" t="inlineStr"/>
    </row>
    <row r="445" ht="14.25" customHeight="1" s="83">
      <c r="A445" s="103" t="n"/>
      <c r="B445" s="125" t="inlineStr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inlineStr"/>
      <c r="V445" s="129" t="inlineStr"/>
    </row>
    <row r="446" ht="14.25" customHeight="1" s="83">
      <c r="A446" s="103" t="n"/>
      <c r="B446" s="125" t="inlineStr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inlineStr"/>
      <c r="V446" s="129" t="inlineStr"/>
    </row>
    <row r="447" ht="14.25" customHeight="1" s="83">
      <c r="A447" s="103" t="n"/>
      <c r="B447" s="125" t="inlineStr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inlineStr"/>
      <c r="V447" s="129" t="inlineStr"/>
    </row>
    <row r="448" ht="14.25" customHeight="1" s="83">
      <c r="A448" s="103" t="n"/>
      <c r="B448" s="125" t="inlineStr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inlineStr"/>
      <c r="V448" s="129" t="inlineStr"/>
    </row>
    <row r="449" ht="14.25" customHeight="1" s="83">
      <c r="A449" s="103" t="n"/>
      <c r="B449" s="125" t="inlineStr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inlineStr"/>
      <c r="V449" s="129" t="inlineStr"/>
    </row>
    <row r="450" ht="14.25" customHeight="1" s="83">
      <c r="A450" s="103" t="n"/>
      <c r="B450" s="125" t="inlineStr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inlineStr"/>
      <c r="V450" s="129" t="inlineStr"/>
    </row>
    <row r="451" ht="14.25" customHeight="1" s="83">
      <c r="A451" s="103" t="n"/>
      <c r="B451" s="125" t="inlineStr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inlineStr"/>
      <c r="V451" s="129" t="inlineStr"/>
    </row>
    <row r="452" ht="14.25" customHeight="1" s="83">
      <c r="A452" s="103" t="n"/>
      <c r="B452" s="125" t="inlineStr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inlineStr"/>
      <c r="V452" s="129" t="inlineStr"/>
    </row>
    <row r="453" ht="14.25" customHeight="1" s="83">
      <c r="A453" s="103" t="n"/>
      <c r="B453" s="125" t="inlineStr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inlineStr"/>
      <c r="V453" s="129" t="inlineStr"/>
    </row>
    <row r="454" ht="14.25" customHeight="1" s="83">
      <c r="A454" s="103" t="n"/>
      <c r="B454" s="125" t="inlineStr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inlineStr"/>
      <c r="V454" s="129" t="inlineStr"/>
    </row>
    <row r="455" ht="14.25" customHeight="1" s="83">
      <c r="A455" s="103" t="n"/>
      <c r="B455" s="125" t="inlineStr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inlineStr"/>
      <c r="V455" s="129" t="inlineStr"/>
    </row>
    <row r="456" ht="14.25" customHeight="1" s="83">
      <c r="A456" s="103" t="n"/>
      <c r="B456" s="125" t="inlineStr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inlineStr"/>
      <c r="V456" s="129" t="inlineStr"/>
    </row>
    <row r="457" ht="14.25" customHeight="1" s="83">
      <c r="A457" s="103" t="n"/>
      <c r="B457" s="125" t="inlineStr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inlineStr"/>
      <c r="V457" s="129" t="inlineStr"/>
    </row>
    <row r="458" ht="14.25" customHeight="1" s="83">
      <c r="A458" s="103" t="n"/>
      <c r="B458" s="125" t="inlineStr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inlineStr"/>
      <c r="V458" s="129" t="inlineStr"/>
    </row>
    <row r="459" ht="14.25" customHeight="1" s="83">
      <c r="A459" s="103" t="n"/>
      <c r="B459" s="125" t="inlineStr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inlineStr"/>
      <c r="V459" s="129" t="inlineStr"/>
    </row>
    <row r="460" ht="14.25" customHeight="1" s="83">
      <c r="A460" s="103" t="n"/>
      <c r="B460" s="125" t="inlineStr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inlineStr"/>
      <c r="V460" s="129" t="inlineStr"/>
    </row>
    <row r="461" ht="14.25" customHeight="1" s="83">
      <c r="A461" s="103" t="n"/>
      <c r="B461" s="125" t="inlineStr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inlineStr"/>
      <c r="V461" s="129" t="inlineStr"/>
    </row>
    <row r="462" ht="14.25" customHeight="1" s="83">
      <c r="A462" s="103" t="n"/>
      <c r="B462" s="125" t="inlineStr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inlineStr"/>
      <c r="V462" s="129" t="inlineStr"/>
    </row>
    <row r="463" ht="14.25" customHeight="1" s="83">
      <c r="A463" s="103" t="n"/>
      <c r="B463" s="125" t="inlineStr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inlineStr"/>
      <c r="V463" s="129" t="inlineStr"/>
    </row>
    <row r="464" ht="14.25" customHeight="1" s="83">
      <c r="A464" s="103" t="n"/>
      <c r="B464" s="125" t="inlineStr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inlineStr"/>
      <c r="V464" s="129" t="inlineStr"/>
    </row>
    <row r="465" ht="14.25" customHeight="1" s="83">
      <c r="A465" s="103" t="n"/>
      <c r="B465" s="125" t="inlineStr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inlineStr"/>
      <c r="V465" s="129" t="inlineStr"/>
    </row>
    <row r="466" ht="14.25" customHeight="1" s="83">
      <c r="A466" s="103" t="n"/>
      <c r="B466" s="125" t="inlineStr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inlineStr"/>
      <c r="V466" s="129" t="inlineStr"/>
    </row>
    <row r="467" ht="14.25" customHeight="1" s="83">
      <c r="A467" s="103" t="n"/>
      <c r="B467" s="125" t="inlineStr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inlineStr"/>
      <c r="V467" s="129" t="inlineStr"/>
    </row>
    <row r="468" ht="14.25" customHeight="1" s="83">
      <c r="A468" s="103" t="n"/>
      <c r="B468" s="125" t="inlineStr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inlineStr"/>
      <c r="V468" s="129" t="inlineStr"/>
    </row>
    <row r="469" ht="14.25" customHeight="1" s="83">
      <c r="A469" s="103" t="n"/>
      <c r="B469" s="125" t="inlineStr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inlineStr"/>
      <c r="V469" s="129" t="inlineStr"/>
    </row>
    <row r="470" ht="14.25" customHeight="1" s="83">
      <c r="A470" s="103" t="n"/>
      <c r="B470" s="125" t="inlineStr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inlineStr"/>
      <c r="V470" s="129" t="inlineStr"/>
    </row>
    <row r="471" ht="14.25" customHeight="1" s="83">
      <c r="A471" s="103" t="n"/>
      <c r="B471" s="125" t="inlineStr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inlineStr"/>
      <c r="V471" s="129" t="inlineStr"/>
    </row>
    <row r="472" ht="14.25" customHeight="1" s="83">
      <c r="A472" s="103" t="n"/>
      <c r="B472" s="125" t="inlineStr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inlineStr"/>
      <c r="V472" s="129" t="inlineStr"/>
    </row>
    <row r="473" ht="14.25" customHeight="1" s="83">
      <c r="A473" s="103" t="n"/>
      <c r="B473" s="125" t="inlineStr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inlineStr"/>
      <c r="V473" s="129" t="inlineStr"/>
    </row>
    <row r="474" ht="14.25" customHeight="1" s="83">
      <c r="A474" s="103" t="n"/>
      <c r="B474" s="125" t="inlineStr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inlineStr"/>
      <c r="V474" s="129" t="inlineStr"/>
    </row>
    <row r="475" ht="14.25" customHeight="1" s="83">
      <c r="A475" s="103" t="n"/>
      <c r="B475" s="125" t="inlineStr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inlineStr"/>
      <c r="V475" s="129" t="inlineStr"/>
    </row>
    <row r="476" ht="14.25" customHeight="1" s="83">
      <c r="A476" s="103" t="n"/>
      <c r="B476" s="125" t="inlineStr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inlineStr"/>
      <c r="V476" s="129" t="inlineStr"/>
    </row>
    <row r="477" ht="14.25" customHeight="1" s="83">
      <c r="A477" s="103" t="n"/>
      <c r="B477" s="125" t="inlineStr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inlineStr"/>
      <c r="V477" s="129" t="inlineStr"/>
    </row>
    <row r="478" ht="14.25" customHeight="1" s="83">
      <c r="A478" s="103" t="n"/>
      <c r="B478" s="125" t="inlineStr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inlineStr"/>
      <c r="V478" s="129" t="inlineStr"/>
    </row>
    <row r="479" ht="14.25" customHeight="1" s="83">
      <c r="A479" s="103" t="n"/>
      <c r="B479" s="125" t="inlineStr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inlineStr"/>
      <c r="V479" s="129" t="inlineStr"/>
    </row>
    <row r="480" ht="14.25" customHeight="1" s="83">
      <c r="A480" s="103" t="n"/>
      <c r="B480" s="125" t="inlineStr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inlineStr"/>
      <c r="V480" s="129" t="inlineStr"/>
    </row>
    <row r="481" ht="14.25" customHeight="1" s="83">
      <c r="A481" s="103" t="n"/>
      <c r="B481" s="125" t="inlineStr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inlineStr"/>
      <c r="V481" s="129" t="inlineStr"/>
    </row>
    <row r="482" ht="14.25" customHeight="1" s="83">
      <c r="A482" s="103" t="n"/>
      <c r="B482" s="125" t="inlineStr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inlineStr"/>
      <c r="V482" s="129" t="inlineStr"/>
    </row>
    <row r="483" ht="14.25" customHeight="1" s="83">
      <c r="A483" s="103" t="n"/>
      <c r="B483" s="125" t="inlineStr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inlineStr"/>
      <c r="V483" s="129" t="inlineStr"/>
    </row>
    <row r="484" ht="14.25" customHeight="1" s="83">
      <c r="A484" s="103" t="n"/>
      <c r="B484" s="125" t="inlineStr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inlineStr"/>
      <c r="V484" s="129" t="inlineStr"/>
    </row>
    <row r="485" ht="14.25" customHeight="1" s="83">
      <c r="A485" s="103" t="n"/>
      <c r="B485" s="125" t="inlineStr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inlineStr"/>
      <c r="V485" s="129" t="inlineStr"/>
    </row>
    <row r="486" ht="14.25" customHeight="1" s="83">
      <c r="A486" s="103" t="n"/>
      <c r="B486" s="125" t="inlineStr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inlineStr"/>
      <c r="V486" s="129" t="inlineStr"/>
    </row>
    <row r="487" ht="14.25" customHeight="1" s="83">
      <c r="A487" s="103" t="n"/>
      <c r="B487" s="125" t="inlineStr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inlineStr"/>
      <c r="V487" s="129" t="inlineStr"/>
    </row>
    <row r="488" ht="14.25" customHeight="1" s="83">
      <c r="A488" s="103" t="n"/>
      <c r="B488" s="125" t="inlineStr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inlineStr"/>
      <c r="V488" s="129" t="inlineStr"/>
    </row>
    <row r="489" ht="14.25" customHeight="1" s="83">
      <c r="A489" s="103" t="n"/>
      <c r="B489" s="125" t="inlineStr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inlineStr"/>
      <c r="V489" s="129" t="inlineStr"/>
    </row>
    <row r="490" ht="14.25" customHeight="1" s="83">
      <c r="A490" s="103" t="n"/>
      <c r="B490" s="125" t="inlineStr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inlineStr"/>
      <c r="V490" s="129" t="inlineStr"/>
    </row>
    <row r="491" ht="14.25" customHeight="1" s="83">
      <c r="A491" s="103" t="n"/>
      <c r="B491" s="125" t="inlineStr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inlineStr"/>
      <c r="V491" s="129" t="inlineStr"/>
    </row>
    <row r="492" ht="14.25" customHeight="1" s="83">
      <c r="A492" s="103" t="n"/>
      <c r="B492" s="125" t="inlineStr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inlineStr"/>
      <c r="V492" s="129" t="inlineStr"/>
    </row>
    <row r="493" ht="14.25" customHeight="1" s="83">
      <c r="A493" s="103" t="n"/>
      <c r="B493" s="125" t="inlineStr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inlineStr"/>
      <c r="V493" s="129" t="inlineStr"/>
    </row>
    <row r="494" ht="14.25" customHeight="1" s="83">
      <c r="A494" s="103" t="n"/>
      <c r="B494" s="125" t="inlineStr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inlineStr"/>
      <c r="V494" s="129" t="inlineStr"/>
    </row>
    <row r="495" ht="14.25" customHeight="1" s="83">
      <c r="A495" s="103" t="n"/>
      <c r="B495" s="125" t="inlineStr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inlineStr"/>
      <c r="V495" s="129" t="inlineStr"/>
    </row>
    <row r="496" ht="14.25" customHeight="1" s="83">
      <c r="A496" s="103" t="n"/>
      <c r="B496" s="125" t="inlineStr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inlineStr"/>
      <c r="V496" s="129" t="inlineStr"/>
    </row>
    <row r="497" ht="14.25" customHeight="1" s="83">
      <c r="A497" s="103" t="n"/>
      <c r="B497" s="125" t="inlineStr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inlineStr"/>
      <c r="V497" s="129" t="inlineStr"/>
    </row>
    <row r="498" ht="14.25" customHeight="1" s="83">
      <c r="A498" s="103" t="n"/>
      <c r="B498" s="125" t="inlineStr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inlineStr"/>
      <c r="V498" s="129" t="inlineStr"/>
    </row>
    <row r="499" ht="14.25" customHeight="1" s="83">
      <c r="A499" s="103" t="n"/>
      <c r="B499" s="125" t="inlineStr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inlineStr"/>
      <c r="V499" s="129" t="inlineStr"/>
    </row>
    <row r="500" ht="14.25" customHeight="1" s="83">
      <c r="A500" s="103" t="n"/>
      <c r="B500" s="125" t="inlineStr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inlineStr"/>
      <c r="V500" s="129" t="inlineStr"/>
    </row>
    <row r="501" ht="14.25" customHeight="1" s="83">
      <c r="A501" s="103" t="n"/>
      <c r="B501" s="125" t="inlineStr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inlineStr"/>
      <c r="V501" s="129" t="inlineStr"/>
    </row>
    <row r="502" ht="14.25" customHeight="1" s="83">
      <c r="A502" s="103" t="n"/>
      <c r="B502" s="125" t="inlineStr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inlineStr"/>
      <c r="V502" s="129" t="inlineStr"/>
    </row>
    <row r="503" ht="14.25" customHeight="1" s="83">
      <c r="A503" s="103" t="n"/>
      <c r="B503" s="125" t="inlineStr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inlineStr"/>
      <c r="V503" s="129" t="inlineStr"/>
    </row>
    <row r="504" ht="14.25" customHeight="1" s="83">
      <c r="A504" s="103" t="n"/>
      <c r="B504" s="125" t="inlineStr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inlineStr"/>
      <c r="V504" s="129" t="inlineStr"/>
    </row>
    <row r="505" ht="14.25" customHeight="1" s="83">
      <c r="A505" s="103" t="n"/>
      <c r="B505" s="125" t="inlineStr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inlineStr"/>
      <c r="V505" s="129" t="inlineStr"/>
    </row>
    <row r="506" ht="14.25" customHeight="1" s="83">
      <c r="A506" s="103" t="n"/>
      <c r="B506" s="125" t="inlineStr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inlineStr"/>
      <c r="V506" s="129" t="inlineStr"/>
    </row>
    <row r="507" ht="14.25" customHeight="1" s="83">
      <c r="A507" s="103" t="n"/>
      <c r="B507" s="125" t="inlineStr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inlineStr"/>
      <c r="V507" s="129" t="inlineStr"/>
    </row>
    <row r="508" ht="14.25" customHeight="1" s="83">
      <c r="A508" s="103" t="n"/>
      <c r="B508" s="125" t="inlineStr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inlineStr"/>
      <c r="V508" s="129" t="inlineStr"/>
    </row>
    <row r="509" ht="14.25" customHeight="1" s="83">
      <c r="A509" s="103" t="n"/>
      <c r="B509" s="125" t="inlineStr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inlineStr"/>
      <c r="V509" s="129" t="inlineStr"/>
    </row>
    <row r="510" ht="14.25" customHeight="1" s="83">
      <c r="A510" s="103" t="n"/>
      <c r="B510" s="125" t="inlineStr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inlineStr"/>
      <c r="V510" s="129" t="inlineStr"/>
    </row>
    <row r="511" ht="14.25" customHeight="1" s="83">
      <c r="A511" s="103" t="n"/>
      <c r="B511" s="125" t="inlineStr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inlineStr"/>
      <c r="V511" s="129" t="inlineStr"/>
    </row>
    <row r="512" ht="14.25" customHeight="1" s="83">
      <c r="A512" s="103" t="n"/>
      <c r="B512" s="125" t="inlineStr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inlineStr"/>
      <c r="V512" s="129" t="inlineStr"/>
    </row>
    <row r="513" ht="14.25" customHeight="1" s="83">
      <c r="A513" s="103" t="n"/>
      <c r="B513" s="125" t="inlineStr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inlineStr"/>
      <c r="V513" s="129" t="inlineStr"/>
    </row>
    <row r="514" ht="14.25" customHeight="1" s="83">
      <c r="A514" s="103" t="n"/>
      <c r="B514" s="125" t="inlineStr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inlineStr"/>
      <c r="V514" s="129" t="inlineStr"/>
    </row>
    <row r="515" ht="14.25" customHeight="1" s="83">
      <c r="A515" s="103" t="n"/>
      <c r="B515" s="125" t="inlineStr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inlineStr"/>
      <c r="V515" s="129" t="inlineStr"/>
    </row>
    <row r="516" ht="14.25" customHeight="1" s="83">
      <c r="A516" s="103" t="n"/>
      <c r="B516" s="125" t="inlineStr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inlineStr"/>
      <c r="V516" s="129" t="inlineStr"/>
    </row>
    <row r="517" ht="14.25" customHeight="1" s="83">
      <c r="A517" s="103" t="n"/>
      <c r="B517" s="125" t="inlineStr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inlineStr"/>
      <c r="V517" s="129" t="inlineStr"/>
    </row>
    <row r="518" ht="14.25" customHeight="1" s="83">
      <c r="A518" s="103" t="n"/>
      <c r="B518" s="125" t="inlineStr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inlineStr"/>
      <c r="V518" s="129" t="inlineStr"/>
    </row>
    <row r="519" ht="14.25" customHeight="1" s="83">
      <c r="A519" s="103" t="n"/>
      <c r="B519" s="125" t="inlineStr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inlineStr"/>
      <c r="V519" s="129" t="inlineStr"/>
    </row>
    <row r="520" ht="14.25" customHeight="1" s="83">
      <c r="A520" s="103" t="n"/>
      <c r="B520" s="125" t="inlineStr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inlineStr"/>
      <c r="V520" s="129" t="inlineStr"/>
    </row>
    <row r="521" ht="14.25" customHeight="1" s="83">
      <c r="A521" s="103" t="n"/>
      <c r="B521" s="125" t="inlineStr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inlineStr"/>
      <c r="V521" s="129" t="inlineStr"/>
    </row>
    <row r="522" ht="14.25" customHeight="1" s="83">
      <c r="A522" s="103" t="n"/>
      <c r="B522" s="125" t="inlineStr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inlineStr"/>
      <c r="V522" s="129" t="inlineStr"/>
    </row>
    <row r="523" ht="14.25" customHeight="1" s="83">
      <c r="A523" s="103" t="n"/>
      <c r="B523" s="125" t="inlineStr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inlineStr"/>
      <c r="V523" s="129" t="inlineStr"/>
    </row>
    <row r="524" ht="14.25" customHeight="1" s="83">
      <c r="A524" s="103" t="n"/>
      <c r="B524" s="125" t="inlineStr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inlineStr"/>
      <c r="V524" s="129" t="inlineStr"/>
    </row>
    <row r="525" ht="14.25" customHeight="1" s="83">
      <c r="A525" s="103" t="n"/>
      <c r="B525" s="125" t="inlineStr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inlineStr"/>
      <c r="V525" s="129" t="inlineStr"/>
    </row>
    <row r="526" ht="14.25" customHeight="1" s="83">
      <c r="A526" s="103" t="n"/>
      <c r="B526" s="125" t="inlineStr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inlineStr"/>
      <c r="V526" s="129" t="inlineStr"/>
    </row>
    <row r="527" ht="14.25" customHeight="1" s="83">
      <c r="A527" s="103" t="n"/>
      <c r="B527" s="125" t="inlineStr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inlineStr"/>
      <c r="V527" s="129" t="inlineStr"/>
    </row>
    <row r="528" ht="14.25" customHeight="1" s="83">
      <c r="A528" s="103" t="n"/>
      <c r="B528" s="125" t="inlineStr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inlineStr"/>
      <c r="V528" s="129" t="inlineStr"/>
    </row>
    <row r="529" ht="14.25" customHeight="1" s="83">
      <c r="A529" s="103" t="n"/>
      <c r="B529" s="125" t="inlineStr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inlineStr"/>
      <c r="V529" s="129" t="inlineStr"/>
    </row>
    <row r="530" ht="14.25" customHeight="1" s="83">
      <c r="A530" s="103" t="n"/>
      <c r="B530" s="125" t="inlineStr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inlineStr"/>
      <c r="V530" s="129" t="inlineStr"/>
    </row>
    <row r="531" ht="14.25" customHeight="1" s="83">
      <c r="A531" s="103" t="n"/>
      <c r="B531" s="125" t="inlineStr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inlineStr"/>
      <c r="V531" s="129" t="inlineStr"/>
    </row>
    <row r="532" ht="14.25" customHeight="1" s="83">
      <c r="A532" s="103" t="n"/>
      <c r="B532" s="125" t="inlineStr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inlineStr"/>
      <c r="V532" s="129" t="inlineStr"/>
    </row>
    <row r="533" ht="14.25" customHeight="1" s="83">
      <c r="A533" s="103" t="n"/>
      <c r="B533" s="125" t="inlineStr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inlineStr"/>
      <c r="V533" s="129" t="inlineStr"/>
    </row>
    <row r="534" ht="14.25" customHeight="1" s="83">
      <c r="A534" s="103" t="n"/>
      <c r="B534" s="125" t="inlineStr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inlineStr"/>
      <c r="V534" s="129" t="inlineStr"/>
    </row>
    <row r="535" ht="14.25" customHeight="1" s="83">
      <c r="A535" s="103" t="n"/>
      <c r="B535" s="125" t="inlineStr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inlineStr"/>
      <c r="V535" s="129" t="inlineStr"/>
    </row>
    <row r="536" ht="14.25" customHeight="1" s="83">
      <c r="A536" s="103" t="n"/>
      <c r="B536" s="125" t="inlineStr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inlineStr"/>
      <c r="V536" s="129" t="inlineStr"/>
    </row>
    <row r="537" ht="14.25" customHeight="1" s="83">
      <c r="A537" s="103" t="n"/>
      <c r="B537" s="125" t="inlineStr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inlineStr"/>
      <c r="V537" s="129" t="inlineStr"/>
    </row>
    <row r="538" ht="14.25" customHeight="1" s="83">
      <c r="A538" s="103" t="n"/>
      <c r="B538" s="125" t="inlineStr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inlineStr"/>
      <c r="V538" s="129" t="inlineStr"/>
    </row>
    <row r="539" ht="14.25" customHeight="1" s="83">
      <c r="A539" s="103" t="n"/>
      <c r="B539" s="125" t="inlineStr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inlineStr"/>
      <c r="V539" s="129" t="inlineStr"/>
    </row>
    <row r="540" ht="14.25" customHeight="1" s="83">
      <c r="A540" s="103" t="n"/>
      <c r="B540" s="125" t="inlineStr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inlineStr"/>
      <c r="V540" s="129" t="inlineStr"/>
    </row>
    <row r="541" ht="14.25" customHeight="1" s="83">
      <c r="A541" s="103" t="n"/>
      <c r="B541" s="125" t="inlineStr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inlineStr"/>
      <c r="V541" s="129" t="inlineStr"/>
    </row>
    <row r="542" ht="14.25" customHeight="1" s="83">
      <c r="A542" s="103" t="n"/>
      <c r="B542" s="125" t="inlineStr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inlineStr"/>
      <c r="V542" s="129" t="inlineStr"/>
    </row>
    <row r="543" ht="14.25" customHeight="1" s="83">
      <c r="A543" s="103" t="n"/>
      <c r="B543" s="125" t="inlineStr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inlineStr"/>
      <c r="V543" s="129" t="inlineStr"/>
    </row>
    <row r="544" ht="14.25" customHeight="1" s="83">
      <c r="A544" s="103" t="n"/>
      <c r="B544" s="125" t="inlineStr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inlineStr"/>
      <c r="V544" s="129" t="inlineStr"/>
    </row>
    <row r="545" ht="14.25" customHeight="1" s="83">
      <c r="A545" s="103" t="n"/>
      <c r="B545" s="125" t="inlineStr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inlineStr"/>
      <c r="V545" s="129" t="inlineStr"/>
    </row>
    <row r="546" ht="14.25" customHeight="1" s="83">
      <c r="A546" s="103" t="n"/>
      <c r="B546" s="125" t="inlineStr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inlineStr"/>
      <c r="V546" s="129" t="inlineStr"/>
    </row>
    <row r="547" ht="14.25" customHeight="1" s="83">
      <c r="A547" s="103" t="n"/>
      <c r="B547" s="125" t="inlineStr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inlineStr"/>
      <c r="V547" s="129" t="inlineStr"/>
    </row>
    <row r="548" ht="14.25" customHeight="1" s="83">
      <c r="A548" s="103" t="n"/>
      <c r="B548" s="125" t="inlineStr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inlineStr"/>
      <c r="V548" s="129" t="inlineStr"/>
    </row>
    <row r="549" ht="14.25" customHeight="1" s="83">
      <c r="A549" s="103" t="n"/>
      <c r="B549" s="125" t="inlineStr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inlineStr"/>
      <c r="V549" s="129" t="inlineStr"/>
    </row>
    <row r="550" ht="14.25" customHeight="1" s="83">
      <c r="A550" s="103" t="n"/>
      <c r="B550" s="125" t="inlineStr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inlineStr"/>
      <c r="V550" s="129" t="inlineStr"/>
    </row>
    <row r="551" ht="14.25" customHeight="1" s="83">
      <c r="A551" s="103" t="n"/>
      <c r="B551" s="125" t="inlineStr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inlineStr"/>
      <c r="V551" s="129" t="inlineStr"/>
    </row>
    <row r="552" ht="14.25" customHeight="1" s="83">
      <c r="A552" s="103" t="n"/>
      <c r="B552" s="125" t="inlineStr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inlineStr"/>
      <c r="V552" s="129" t="inlineStr"/>
    </row>
    <row r="553" ht="14.25" customHeight="1" s="83">
      <c r="A553" s="103" t="n"/>
      <c r="B553" s="125" t="inlineStr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inlineStr"/>
      <c r="V553" s="129" t="inlineStr"/>
    </row>
    <row r="554" ht="14.25" customHeight="1" s="83">
      <c r="A554" s="103" t="n"/>
      <c r="B554" s="125" t="inlineStr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inlineStr"/>
      <c r="V554" s="129" t="inlineStr"/>
    </row>
    <row r="555" ht="14.25" customHeight="1" s="83">
      <c r="A555" s="103" t="n"/>
      <c r="B555" s="125" t="inlineStr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inlineStr"/>
      <c r="V555" s="129" t="inlineStr"/>
    </row>
    <row r="556" ht="14.25" customHeight="1" s="83">
      <c r="A556" s="103" t="n"/>
      <c r="B556" s="125" t="inlineStr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inlineStr"/>
      <c r="V556" s="129" t="inlineStr"/>
    </row>
    <row r="557" ht="14.25" customHeight="1" s="83">
      <c r="A557" s="103" t="n"/>
      <c r="B557" s="125" t="inlineStr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inlineStr"/>
      <c r="V557" s="129" t="inlineStr"/>
    </row>
    <row r="558" ht="14.25" customHeight="1" s="83">
      <c r="A558" s="103" t="n"/>
      <c r="B558" s="125" t="inlineStr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inlineStr"/>
      <c r="V558" s="129" t="inlineStr"/>
    </row>
    <row r="559" ht="14.25" customHeight="1" s="83">
      <c r="A559" s="103" t="n"/>
      <c r="B559" s="125" t="inlineStr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inlineStr"/>
      <c r="V559" s="129" t="inlineStr"/>
    </row>
    <row r="560" ht="14.25" customHeight="1" s="83">
      <c r="A560" s="103" t="n"/>
      <c r="B560" s="125" t="inlineStr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inlineStr"/>
      <c r="V560" s="129" t="inlineStr"/>
    </row>
    <row r="561" ht="14.25" customHeight="1" s="83">
      <c r="A561" s="103" t="n"/>
      <c r="B561" s="125" t="inlineStr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inlineStr"/>
      <c r="V561" s="129" t="inlineStr"/>
    </row>
    <row r="562" ht="14.25" customHeight="1" s="83">
      <c r="A562" s="103" t="n"/>
      <c r="B562" s="125" t="inlineStr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inlineStr"/>
      <c r="V562" s="129" t="inlineStr"/>
    </row>
    <row r="563" ht="14.25" customHeight="1" s="83">
      <c r="A563" s="103" t="n"/>
      <c r="B563" s="125" t="inlineStr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inlineStr"/>
      <c r="V563" s="129" t="inlineStr"/>
    </row>
    <row r="564" ht="14.25" customHeight="1" s="83">
      <c r="A564" s="103" t="n"/>
      <c r="B564" s="125" t="inlineStr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inlineStr"/>
      <c r="V564" s="129" t="inlineStr"/>
    </row>
    <row r="565" ht="14.25" customHeight="1" s="83">
      <c r="A565" s="103" t="n"/>
      <c r="B565" s="125" t="inlineStr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inlineStr"/>
      <c r="V565" s="129" t="inlineStr"/>
    </row>
    <row r="566" ht="14.25" customHeight="1" s="83">
      <c r="A566" s="103" t="n"/>
      <c r="B566" s="125" t="inlineStr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inlineStr"/>
      <c r="V566" s="129" t="inlineStr"/>
    </row>
    <row r="567" ht="14.25" customHeight="1" s="83">
      <c r="A567" s="103" t="n"/>
      <c r="B567" s="125" t="inlineStr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inlineStr"/>
      <c r="V567" s="129" t="inlineStr"/>
    </row>
    <row r="568" ht="14.25" customHeight="1" s="83">
      <c r="A568" s="103" t="n"/>
      <c r="B568" s="125" t="inlineStr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inlineStr"/>
      <c r="V568" s="129" t="inlineStr"/>
    </row>
    <row r="569" ht="14.25" customHeight="1" s="83">
      <c r="A569" s="103" t="n"/>
      <c r="B569" s="125" t="inlineStr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inlineStr"/>
      <c r="V569" s="129" t="inlineStr"/>
    </row>
    <row r="570" ht="14.25" customHeight="1" s="83">
      <c r="A570" s="103" t="n"/>
      <c r="B570" s="125" t="inlineStr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inlineStr"/>
      <c r="V570" s="129" t="inlineStr"/>
    </row>
    <row r="571" ht="14.25" customHeight="1" s="83">
      <c r="A571" s="103" t="n"/>
      <c r="B571" s="125" t="inlineStr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inlineStr"/>
      <c r="V571" s="129" t="inlineStr"/>
    </row>
    <row r="572" ht="14.25" customHeight="1" s="83">
      <c r="A572" s="103" t="n"/>
      <c r="B572" s="125" t="inlineStr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inlineStr"/>
      <c r="V572" s="129" t="inlineStr"/>
    </row>
    <row r="573" ht="14.25" customHeight="1" s="83">
      <c r="A573" s="103" t="n"/>
      <c r="B573" s="125" t="inlineStr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inlineStr"/>
      <c r="V573" s="129" t="inlineStr"/>
    </row>
    <row r="574" ht="14.25" customHeight="1" s="83">
      <c r="A574" s="103" t="n"/>
      <c r="B574" s="125" t="inlineStr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inlineStr"/>
      <c r="V574" s="129" t="inlineStr"/>
    </row>
    <row r="575" ht="14.25" customHeight="1" s="83">
      <c r="A575" s="103" t="n"/>
      <c r="B575" s="125" t="inlineStr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inlineStr"/>
      <c r="V575" s="129" t="inlineStr"/>
    </row>
    <row r="576" ht="14.25" customHeight="1" s="83">
      <c r="A576" s="103" t="n"/>
      <c r="B576" s="125" t="inlineStr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inlineStr"/>
      <c r="V576" s="129" t="inlineStr"/>
    </row>
    <row r="577" ht="14.25" customHeight="1" s="83">
      <c r="A577" s="103" t="n"/>
      <c r="B577" s="125" t="inlineStr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inlineStr"/>
      <c r="V577" s="129" t="inlineStr"/>
    </row>
    <row r="578" ht="14.25" customHeight="1" s="83">
      <c r="A578" s="103" t="n"/>
      <c r="B578" s="125" t="inlineStr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inlineStr"/>
      <c r="V578" s="129" t="inlineStr"/>
    </row>
    <row r="579" ht="14.25" customHeight="1" s="83">
      <c r="A579" s="103" t="n"/>
      <c r="B579" s="125" t="inlineStr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inlineStr"/>
      <c r="V579" s="129" t="inlineStr"/>
    </row>
    <row r="580" ht="14.25" customHeight="1" s="83">
      <c r="A580" s="103" t="n"/>
      <c r="B580" s="125" t="inlineStr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inlineStr"/>
      <c r="V580" s="129" t="inlineStr"/>
    </row>
    <row r="581" ht="14.25" customHeight="1" s="83">
      <c r="A581" s="103" t="n"/>
      <c r="B581" s="125" t="inlineStr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inlineStr"/>
      <c r="V581" s="129" t="inlineStr"/>
    </row>
    <row r="582" ht="14.25" customHeight="1" s="83">
      <c r="A582" s="103" t="n"/>
      <c r="B582" s="125" t="inlineStr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inlineStr"/>
      <c r="V582" s="129" t="inlineStr"/>
    </row>
    <row r="583" ht="14.25" customHeight="1" s="83">
      <c r="A583" s="103" t="n"/>
      <c r="B583" s="125" t="inlineStr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inlineStr"/>
      <c r="V583" s="129" t="inlineStr"/>
    </row>
    <row r="584" ht="14.25" customHeight="1" s="83">
      <c r="A584" s="103" t="n"/>
      <c r="B584" s="125" t="inlineStr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inlineStr"/>
      <c r="V584" s="129" t="inlineStr"/>
    </row>
    <row r="585" ht="14.25" customHeight="1" s="83">
      <c r="A585" s="103" t="n"/>
      <c r="B585" s="125" t="inlineStr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inlineStr"/>
      <c r="V585" s="129" t="inlineStr"/>
    </row>
    <row r="586" ht="14.25" customHeight="1" s="83">
      <c r="A586" s="103" t="n"/>
      <c r="B586" s="125" t="inlineStr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inlineStr"/>
      <c r="V586" s="129" t="inlineStr"/>
    </row>
    <row r="587" ht="14.25" customHeight="1" s="83">
      <c r="A587" s="103" t="n"/>
      <c r="B587" s="125" t="inlineStr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inlineStr"/>
      <c r="V587" s="129" t="inlineStr"/>
    </row>
    <row r="588" ht="14.25" customHeight="1" s="83">
      <c r="A588" s="103" t="n"/>
      <c r="B588" s="125" t="inlineStr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inlineStr"/>
      <c r="V588" s="129" t="inlineStr"/>
    </row>
    <row r="589" ht="14.25" customHeight="1" s="83">
      <c r="A589" s="103" t="n"/>
      <c r="B589" s="125" t="inlineStr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inlineStr"/>
      <c r="V589" s="129" t="inlineStr"/>
    </row>
    <row r="590" ht="14.25" customHeight="1" s="83">
      <c r="A590" s="103" t="n"/>
      <c r="B590" s="125" t="inlineStr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inlineStr"/>
      <c r="V590" s="129" t="inlineStr"/>
    </row>
    <row r="591" ht="14.25" customHeight="1" s="83">
      <c r="A591" s="103" t="n"/>
      <c r="B591" s="125" t="inlineStr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inlineStr"/>
      <c r="V591" s="129" t="inlineStr"/>
    </row>
    <row r="592" ht="14.25" customHeight="1" s="83">
      <c r="A592" s="103" t="n"/>
      <c r="B592" s="125" t="inlineStr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inlineStr"/>
      <c r="V592" s="129" t="inlineStr"/>
    </row>
    <row r="593" ht="14.25" customHeight="1" s="83">
      <c r="A593" s="103" t="n"/>
      <c r="B593" s="125" t="inlineStr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inlineStr"/>
      <c r="V593" s="129" t="inlineStr"/>
    </row>
    <row r="594" ht="14.25" customHeight="1" s="83">
      <c r="A594" s="103" t="n"/>
      <c r="B594" s="125" t="inlineStr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inlineStr"/>
      <c r="V594" s="129" t="inlineStr"/>
    </row>
    <row r="595" ht="14.25" customHeight="1" s="83">
      <c r="A595" s="103" t="n"/>
      <c r="B595" s="125" t="inlineStr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inlineStr"/>
      <c r="V595" s="129" t="inlineStr"/>
    </row>
    <row r="596" ht="14.25" customHeight="1" s="83">
      <c r="A596" s="103" t="n"/>
      <c r="B596" s="125" t="inlineStr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inlineStr"/>
      <c r="V596" s="129" t="inlineStr"/>
    </row>
    <row r="597" ht="14.25" customHeight="1" s="83">
      <c r="A597" s="103" t="n"/>
      <c r="B597" s="125" t="inlineStr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inlineStr"/>
      <c r="V597" s="129" t="inlineStr"/>
    </row>
    <row r="598" ht="14.25" customHeight="1" s="83">
      <c r="A598" s="103" t="n"/>
      <c r="B598" s="125" t="inlineStr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inlineStr"/>
      <c r="V598" s="129" t="inlineStr"/>
    </row>
    <row r="599" ht="14.25" customHeight="1" s="83">
      <c r="A599" s="103" t="n"/>
      <c r="B599" s="125" t="inlineStr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inlineStr"/>
      <c r="V599" s="129" t="inlineStr"/>
    </row>
    <row r="600" ht="14.25" customHeight="1" s="83">
      <c r="A600" s="103" t="n"/>
      <c r="B600" s="125" t="inlineStr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inlineStr"/>
      <c r="V600" s="129" t="inlineStr"/>
    </row>
    <row r="601" ht="14.25" customHeight="1" s="83">
      <c r="A601" s="103" t="n"/>
      <c r="B601" s="125" t="inlineStr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inlineStr"/>
      <c r="V601" s="129" t="inlineStr"/>
    </row>
    <row r="602" ht="14.25" customHeight="1" s="83">
      <c r="A602" s="103" t="n"/>
      <c r="B602" s="125" t="inlineStr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inlineStr"/>
      <c r="V602" s="129" t="inlineStr"/>
    </row>
    <row r="603" ht="14.25" customHeight="1" s="83">
      <c r="A603" s="103" t="n"/>
      <c r="B603" s="125" t="inlineStr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inlineStr"/>
      <c r="V603" s="129" t="inlineStr"/>
    </row>
    <row r="604" ht="14.25" customHeight="1" s="83">
      <c r="A604" s="103" t="n"/>
      <c r="B604" s="125" t="inlineStr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inlineStr"/>
      <c r="V604" s="129" t="inlineStr"/>
    </row>
    <row r="605" ht="14.25" customHeight="1" s="83">
      <c r="A605" s="103" t="n"/>
      <c r="B605" s="125" t="inlineStr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inlineStr"/>
      <c r="V605" s="129" t="inlineStr"/>
    </row>
    <row r="606" ht="14.25" customHeight="1" s="83">
      <c r="A606" s="103" t="n"/>
      <c r="B606" s="125" t="inlineStr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inlineStr"/>
      <c r="V606" s="129" t="inlineStr"/>
    </row>
    <row r="607" ht="14.25" customHeight="1" s="83">
      <c r="A607" s="103" t="n"/>
      <c r="B607" s="125" t="inlineStr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inlineStr"/>
      <c r="V607" s="129" t="inlineStr"/>
    </row>
    <row r="608" ht="14.25" customHeight="1" s="83">
      <c r="A608" s="103" t="n"/>
      <c r="B608" s="125" t="inlineStr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inlineStr"/>
      <c r="V608" s="129" t="inlineStr"/>
    </row>
    <row r="609" ht="14.25" customHeight="1" s="83">
      <c r="A609" s="103" t="n"/>
      <c r="B609" s="125" t="inlineStr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inlineStr"/>
      <c r="V609" s="129" t="inlineStr"/>
    </row>
    <row r="610" ht="14.25" customHeight="1" s="83">
      <c r="A610" s="103" t="n"/>
      <c r="B610" s="125" t="inlineStr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inlineStr"/>
      <c r="V610" s="129" t="inlineStr"/>
    </row>
    <row r="611" ht="14.25" customHeight="1" s="83">
      <c r="A611" s="103" t="n"/>
      <c r="B611" s="125" t="inlineStr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inlineStr"/>
      <c r="V611" s="129" t="inlineStr"/>
    </row>
    <row r="612" ht="14.25" customHeight="1" s="83">
      <c r="A612" s="103" t="n"/>
      <c r="B612" s="125" t="inlineStr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inlineStr"/>
      <c r="V612" s="129" t="inlineStr"/>
    </row>
    <row r="613" ht="14.25" customHeight="1" s="83">
      <c r="A613" s="103" t="n"/>
      <c r="B613" s="125" t="inlineStr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inlineStr"/>
      <c r="V613" s="129" t="inlineStr"/>
    </row>
    <row r="614" ht="14.25" customHeight="1" s="83">
      <c r="A614" s="103" t="n"/>
      <c r="B614" s="125" t="inlineStr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inlineStr"/>
      <c r="V614" s="129" t="inlineStr"/>
    </row>
    <row r="615" ht="14.25" customHeight="1" s="83">
      <c r="A615" s="103" t="n"/>
      <c r="B615" s="125" t="inlineStr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inlineStr"/>
      <c r="V615" s="129" t="inlineStr"/>
    </row>
    <row r="616" ht="14.25" customHeight="1" s="83">
      <c r="A616" s="103" t="n"/>
      <c r="B616" s="125" t="inlineStr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inlineStr"/>
      <c r="V616" s="129" t="inlineStr"/>
    </row>
    <row r="617" ht="14.25" customHeight="1" s="83">
      <c r="A617" s="103" t="n"/>
      <c r="B617" s="125" t="inlineStr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inlineStr"/>
      <c r="V617" s="129" t="inlineStr"/>
    </row>
    <row r="618" ht="14.25" customHeight="1" s="83">
      <c r="A618" s="103" t="n"/>
      <c r="B618" s="125" t="inlineStr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inlineStr"/>
      <c r="V618" s="129" t="inlineStr"/>
    </row>
    <row r="619" ht="14.25" customHeight="1" s="83">
      <c r="A619" s="103" t="n"/>
      <c r="B619" s="125" t="inlineStr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inlineStr"/>
      <c r="V619" s="129" t="inlineStr"/>
    </row>
    <row r="620" ht="14.25" customHeight="1" s="83">
      <c r="A620" s="103" t="n"/>
      <c r="B620" s="125" t="inlineStr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inlineStr"/>
      <c r="V620" s="129" t="inlineStr"/>
    </row>
    <row r="621" ht="14.25" customHeight="1" s="83">
      <c r="A621" s="103" t="n"/>
      <c r="B621" s="125" t="inlineStr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inlineStr"/>
      <c r="V621" s="129" t="inlineStr"/>
    </row>
    <row r="622" ht="14.25" customHeight="1" s="83">
      <c r="A622" s="103" t="n"/>
      <c r="B622" s="125" t="inlineStr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inlineStr"/>
      <c r="V622" s="129" t="inlineStr"/>
    </row>
    <row r="623" ht="14.25" customHeight="1" s="83">
      <c r="A623" s="103" t="n"/>
      <c r="B623" s="125" t="inlineStr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inlineStr"/>
      <c r="V623" s="129" t="inlineStr"/>
    </row>
    <row r="624" ht="14.25" customHeight="1" s="83">
      <c r="A624" s="103" t="n"/>
      <c r="B624" s="125" t="inlineStr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inlineStr"/>
      <c r="V624" s="129" t="inlineStr"/>
    </row>
    <row r="625" ht="14.25" customHeight="1" s="83">
      <c r="A625" s="103" t="n"/>
      <c r="B625" s="125" t="inlineStr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inlineStr"/>
      <c r="V625" s="129" t="inlineStr"/>
    </row>
    <row r="626" ht="14.25" customHeight="1" s="83">
      <c r="A626" s="103" t="n"/>
      <c r="B626" s="125" t="inlineStr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inlineStr"/>
      <c r="V626" s="129" t="inlineStr"/>
    </row>
    <row r="627" ht="14.25" customHeight="1" s="83">
      <c r="A627" s="103" t="n"/>
      <c r="B627" s="125" t="inlineStr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inlineStr"/>
      <c r="V627" s="129" t="inlineStr"/>
    </row>
    <row r="628" ht="14.25" customHeight="1" s="83">
      <c r="A628" s="103" t="n"/>
      <c r="B628" s="125" t="inlineStr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inlineStr"/>
      <c r="V628" s="129" t="inlineStr"/>
    </row>
    <row r="629" ht="14.25" customHeight="1" s="83">
      <c r="A629" s="103" t="n"/>
      <c r="B629" s="125" t="inlineStr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inlineStr"/>
      <c r="V629" s="129" t="inlineStr"/>
    </row>
    <row r="630" ht="14.25" customHeight="1" s="83">
      <c r="A630" s="103" t="n"/>
      <c r="B630" s="125" t="inlineStr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inlineStr"/>
      <c r="V630" s="129" t="inlineStr"/>
    </row>
    <row r="631" ht="14.25" customHeight="1" s="83">
      <c r="A631" s="103" t="n"/>
      <c r="B631" s="125" t="inlineStr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inlineStr"/>
      <c r="V631" s="129" t="inlineStr"/>
    </row>
    <row r="632" ht="14.25" customHeight="1" s="83">
      <c r="A632" s="103" t="n"/>
      <c r="B632" s="125" t="inlineStr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inlineStr"/>
      <c r="V632" s="129" t="inlineStr"/>
    </row>
    <row r="633" ht="14.25" customHeight="1" s="83">
      <c r="A633" s="103" t="n"/>
      <c r="B633" s="125" t="inlineStr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inlineStr"/>
      <c r="V633" s="129" t="inlineStr"/>
    </row>
    <row r="634" ht="14.25" customHeight="1" s="83">
      <c r="A634" s="103" t="n"/>
      <c r="B634" s="125" t="inlineStr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inlineStr"/>
      <c r="V634" s="129" t="inlineStr"/>
    </row>
    <row r="635" ht="14.25" customHeight="1" s="83">
      <c r="A635" s="103" t="n"/>
      <c r="B635" s="125" t="inlineStr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inlineStr"/>
      <c r="V635" s="129" t="inlineStr"/>
    </row>
    <row r="636" ht="14.25" customHeight="1" s="83">
      <c r="A636" s="103" t="n"/>
      <c r="B636" s="125" t="inlineStr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inlineStr"/>
      <c r="V636" s="129" t="inlineStr"/>
    </row>
    <row r="637" ht="14.25" customHeight="1" s="83">
      <c r="A637" s="103" t="n"/>
      <c r="B637" s="125" t="inlineStr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inlineStr"/>
      <c r="V637" s="129" t="inlineStr"/>
    </row>
    <row r="638" ht="14.25" customHeight="1" s="83">
      <c r="A638" s="103" t="n"/>
      <c r="B638" s="125" t="inlineStr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inlineStr"/>
      <c r="V638" s="129" t="inlineStr"/>
    </row>
    <row r="639" ht="14.25" customHeight="1" s="83">
      <c r="A639" s="103" t="n"/>
      <c r="B639" s="125" t="inlineStr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inlineStr"/>
      <c r="V639" s="129" t="inlineStr"/>
    </row>
    <row r="640" ht="14.25" customHeight="1" s="83">
      <c r="A640" s="103" t="n"/>
      <c r="B640" s="125" t="inlineStr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inlineStr"/>
      <c r="V640" s="129" t="inlineStr"/>
    </row>
    <row r="641" ht="14.25" customHeight="1" s="83">
      <c r="A641" s="103" t="n"/>
      <c r="B641" s="125" t="inlineStr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inlineStr"/>
      <c r="V641" s="129" t="inlineStr"/>
    </row>
    <row r="642" ht="14.25" customHeight="1" s="83">
      <c r="A642" s="103" t="n"/>
      <c r="B642" s="125" t="inlineStr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inlineStr"/>
      <c r="V642" s="129" t="inlineStr"/>
    </row>
    <row r="643" ht="14.25" customHeight="1" s="83">
      <c r="A643" s="103" t="n"/>
      <c r="B643" s="125" t="inlineStr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inlineStr"/>
      <c r="V643" s="129" t="inlineStr"/>
    </row>
    <row r="644" ht="14.25" customHeight="1" s="83">
      <c r="A644" s="103" t="n"/>
      <c r="B644" s="125" t="inlineStr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inlineStr"/>
      <c r="V644" s="129" t="inlineStr"/>
    </row>
    <row r="645" ht="14.25" customHeight="1" s="83">
      <c r="A645" s="103" t="n"/>
      <c r="B645" s="125" t="inlineStr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inlineStr"/>
      <c r="V645" s="129" t="inlineStr"/>
    </row>
    <row r="646" ht="14.25" customHeight="1" s="83">
      <c r="A646" s="103" t="n"/>
      <c r="B646" s="125" t="inlineStr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inlineStr"/>
      <c r="V646" s="129" t="inlineStr"/>
    </row>
    <row r="647" ht="14.25" customHeight="1" s="83">
      <c r="A647" s="103" t="n"/>
      <c r="B647" s="125" t="inlineStr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inlineStr"/>
      <c r="V647" s="129" t="inlineStr"/>
    </row>
    <row r="648" ht="14.25" customHeight="1" s="83">
      <c r="A648" s="103" t="n"/>
      <c r="B648" s="125" t="inlineStr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inlineStr"/>
      <c r="V648" s="129" t="inlineStr"/>
    </row>
    <row r="649" ht="14.25" customHeight="1" s="83">
      <c r="A649" s="103" t="n"/>
      <c r="B649" s="125" t="inlineStr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inlineStr"/>
      <c r="V649" s="129" t="inlineStr"/>
    </row>
    <row r="650" ht="14.25" customHeight="1" s="83">
      <c r="A650" s="103" t="n"/>
      <c r="B650" s="125" t="inlineStr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inlineStr"/>
      <c r="V650" s="129" t="inlineStr"/>
    </row>
    <row r="651" ht="14.25" customHeight="1" s="83">
      <c r="A651" s="103" t="n"/>
      <c r="B651" s="125" t="inlineStr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inlineStr"/>
      <c r="V651" s="129" t="inlineStr"/>
    </row>
    <row r="652" ht="14.25" customHeight="1" s="83">
      <c r="A652" s="103" t="n"/>
      <c r="B652" s="125" t="inlineStr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inlineStr"/>
      <c r="V652" s="129" t="inlineStr"/>
    </row>
    <row r="653" ht="14.25" customHeight="1" s="83">
      <c r="A653" s="103" t="n"/>
      <c r="B653" s="125" t="inlineStr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inlineStr"/>
      <c r="V653" s="129" t="inlineStr"/>
    </row>
    <row r="654" ht="14.25" customHeight="1" s="83">
      <c r="A654" s="103" t="n"/>
      <c r="B654" s="125" t="inlineStr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inlineStr"/>
      <c r="V654" s="129" t="inlineStr"/>
    </row>
    <row r="655" ht="14.25" customHeight="1" s="83">
      <c r="A655" s="103" t="n"/>
      <c r="B655" s="125" t="inlineStr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inlineStr"/>
      <c r="V655" s="129" t="inlineStr"/>
    </row>
    <row r="656" ht="14.25" customHeight="1" s="83">
      <c r="A656" s="103" t="n"/>
      <c r="B656" s="125" t="inlineStr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inlineStr"/>
      <c r="V656" s="129" t="inlineStr"/>
    </row>
    <row r="657" ht="14.25" customHeight="1" s="83">
      <c r="A657" s="103" t="n"/>
      <c r="B657" s="125" t="inlineStr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inlineStr"/>
      <c r="V657" s="129" t="inlineStr"/>
    </row>
    <row r="658" ht="14.25" customHeight="1" s="83">
      <c r="A658" s="103" t="n"/>
      <c r="B658" s="125" t="inlineStr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inlineStr"/>
      <c r="V658" s="129" t="inlineStr"/>
    </row>
    <row r="659" ht="14.25" customHeight="1" s="83">
      <c r="A659" s="103" t="n"/>
      <c r="B659" s="125" t="inlineStr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inlineStr"/>
      <c r="V659" s="129" t="inlineStr"/>
    </row>
    <row r="660" ht="14.25" customHeight="1" s="83">
      <c r="A660" s="103" t="n"/>
      <c r="B660" s="125" t="inlineStr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inlineStr"/>
      <c r="V660" s="129" t="inlineStr"/>
    </row>
    <row r="661" ht="14.25" customHeight="1" s="83">
      <c r="A661" s="103" t="n"/>
      <c r="B661" s="125" t="inlineStr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inlineStr"/>
      <c r="V661" s="129" t="inlineStr"/>
    </row>
    <row r="662" ht="14.25" customHeight="1" s="83">
      <c r="A662" s="103" t="n"/>
      <c r="B662" s="125" t="inlineStr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inlineStr"/>
      <c r="V662" s="129" t="inlineStr"/>
    </row>
    <row r="663" ht="14.25" customHeight="1" s="83">
      <c r="A663" s="103" t="n"/>
      <c r="B663" s="125" t="inlineStr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inlineStr"/>
      <c r="V663" s="129" t="inlineStr"/>
    </row>
    <row r="664" ht="14.25" customHeight="1" s="83">
      <c r="A664" s="103" t="n"/>
      <c r="B664" s="125" t="inlineStr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inlineStr"/>
      <c r="V664" s="129" t="inlineStr"/>
    </row>
    <row r="665" ht="14.25" customHeight="1" s="83">
      <c r="A665" s="103" t="n"/>
      <c r="B665" s="125" t="inlineStr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inlineStr"/>
      <c r="V665" s="129" t="inlineStr"/>
    </row>
    <row r="666" ht="14.25" customHeight="1" s="83">
      <c r="A666" s="103" t="n"/>
      <c r="B666" s="125" t="inlineStr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inlineStr"/>
      <c r="V666" s="129" t="inlineStr"/>
    </row>
    <row r="667" ht="14.25" customHeight="1" s="83">
      <c r="A667" s="103" t="n"/>
      <c r="B667" s="125" t="inlineStr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inlineStr"/>
      <c r="V667" s="129" t="inlineStr"/>
    </row>
    <row r="668" ht="14.25" customHeight="1" s="83">
      <c r="A668" s="103" t="n"/>
      <c r="B668" s="125" t="inlineStr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inlineStr"/>
      <c r="V668" s="129" t="inlineStr"/>
    </row>
    <row r="669" ht="14.25" customHeight="1" s="83">
      <c r="A669" s="103" t="n"/>
      <c r="B669" s="125" t="inlineStr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inlineStr"/>
      <c r="V669" s="129" t="inlineStr"/>
    </row>
    <row r="670" ht="14.25" customHeight="1" s="83">
      <c r="A670" s="103" t="n"/>
      <c r="B670" s="125" t="inlineStr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inlineStr"/>
      <c r="V670" s="129" t="inlineStr"/>
    </row>
    <row r="671" ht="14.25" customHeight="1" s="83">
      <c r="A671" s="103" t="n"/>
      <c r="B671" s="125" t="inlineStr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inlineStr"/>
      <c r="V671" s="129" t="inlineStr"/>
    </row>
    <row r="672" ht="14.25" customHeight="1" s="83">
      <c r="A672" s="103" t="n"/>
      <c r="B672" s="125" t="inlineStr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inlineStr"/>
      <c r="V672" s="129" t="inlineStr"/>
    </row>
    <row r="673" ht="14.25" customHeight="1" s="83">
      <c r="A673" s="103" t="n"/>
      <c r="B673" s="125" t="inlineStr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inlineStr"/>
      <c r="V673" s="129" t="inlineStr"/>
    </row>
    <row r="674" ht="14.25" customHeight="1" s="83">
      <c r="A674" s="103" t="n"/>
      <c r="B674" s="125" t="inlineStr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inlineStr"/>
      <c r="V674" s="129" t="inlineStr"/>
    </row>
    <row r="675" ht="14.25" customHeight="1" s="83">
      <c r="A675" s="103" t="n"/>
      <c r="B675" s="125" t="inlineStr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inlineStr"/>
      <c r="V675" s="129" t="inlineStr"/>
    </row>
    <row r="676" ht="14.25" customHeight="1" s="83">
      <c r="A676" s="103" t="n"/>
      <c r="B676" s="125" t="inlineStr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inlineStr"/>
      <c r="V676" s="129" t="inlineStr"/>
    </row>
    <row r="677" ht="14.25" customHeight="1" s="83">
      <c r="A677" s="103" t="n"/>
      <c r="B677" s="125" t="inlineStr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inlineStr"/>
      <c r="V677" s="129" t="inlineStr"/>
    </row>
    <row r="678" ht="14.25" customHeight="1" s="83">
      <c r="A678" s="103" t="n"/>
      <c r="B678" s="125" t="inlineStr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inlineStr"/>
      <c r="V678" s="129" t="inlineStr"/>
    </row>
    <row r="679" ht="14.25" customHeight="1" s="83">
      <c r="A679" s="103" t="n"/>
      <c r="B679" s="125" t="inlineStr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inlineStr"/>
      <c r="V679" s="129" t="inlineStr"/>
    </row>
    <row r="680" ht="14.25" customHeight="1" s="83">
      <c r="A680" s="103" t="n"/>
      <c r="B680" s="125" t="inlineStr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inlineStr"/>
      <c r="V680" s="129" t="inlineStr"/>
    </row>
    <row r="681" ht="14.25" customHeight="1" s="83">
      <c r="A681" s="103" t="n"/>
      <c r="B681" s="125" t="inlineStr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inlineStr"/>
      <c r="V681" s="129" t="inlineStr"/>
    </row>
    <row r="682" ht="14.25" customHeight="1" s="83">
      <c r="A682" s="103" t="n"/>
      <c r="B682" s="125" t="inlineStr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inlineStr"/>
      <c r="V682" s="129" t="inlineStr"/>
    </row>
    <row r="683" ht="14.25" customHeight="1" s="83">
      <c r="A683" s="103" t="n"/>
      <c r="B683" s="125" t="inlineStr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inlineStr"/>
      <c r="V683" s="129" t="inlineStr"/>
    </row>
    <row r="684" ht="14.25" customHeight="1" s="83">
      <c r="A684" s="103" t="n"/>
      <c r="B684" s="125" t="inlineStr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inlineStr"/>
      <c r="V684" s="129" t="inlineStr"/>
    </row>
    <row r="685" ht="14.25" customHeight="1" s="83">
      <c r="A685" s="103" t="n"/>
      <c r="B685" s="125" t="inlineStr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inlineStr"/>
      <c r="V685" s="129" t="inlineStr"/>
    </row>
    <row r="686" ht="14.25" customHeight="1" s="83">
      <c r="A686" s="103" t="n"/>
      <c r="B686" s="125" t="inlineStr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inlineStr"/>
      <c r="V686" s="129" t="inlineStr"/>
    </row>
    <row r="687" ht="14.25" customHeight="1" s="83">
      <c r="A687" s="103" t="n"/>
      <c r="B687" s="125" t="inlineStr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inlineStr"/>
      <c r="V687" s="129" t="inlineStr"/>
    </row>
    <row r="688" ht="14.25" customHeight="1" s="83">
      <c r="A688" s="103" t="n"/>
      <c r="B688" s="125" t="inlineStr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inlineStr"/>
      <c r="V688" s="129" t="inlineStr"/>
    </row>
    <row r="689" ht="14.25" customHeight="1" s="83">
      <c r="A689" s="103" t="n"/>
      <c r="B689" s="125" t="inlineStr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inlineStr"/>
      <c r="V689" s="129" t="inlineStr"/>
    </row>
    <row r="690" ht="14.25" customHeight="1" s="83">
      <c r="A690" s="103" t="n"/>
      <c r="B690" s="125" t="inlineStr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inlineStr"/>
      <c r="V690" s="129" t="inlineStr"/>
    </row>
    <row r="691" ht="14.25" customHeight="1" s="83">
      <c r="A691" s="103" t="n"/>
      <c r="B691" s="125" t="inlineStr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inlineStr"/>
      <c r="V691" s="129" t="inlineStr"/>
    </row>
    <row r="692" ht="14.25" customHeight="1" s="83">
      <c r="A692" s="103" t="n"/>
      <c r="B692" s="125" t="inlineStr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inlineStr"/>
      <c r="V692" s="129" t="inlineStr"/>
    </row>
    <row r="693" ht="14.25" customHeight="1" s="83">
      <c r="A693" s="103" t="n"/>
      <c r="B693" s="125" t="inlineStr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inlineStr"/>
      <c r="V693" s="129" t="inlineStr"/>
    </row>
    <row r="694" ht="14.25" customHeight="1" s="83">
      <c r="A694" s="103" t="n"/>
      <c r="B694" s="125" t="inlineStr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inlineStr"/>
      <c r="V694" s="129" t="inlineStr"/>
    </row>
    <row r="695" ht="14.25" customHeight="1" s="83">
      <c r="A695" s="103" t="n"/>
      <c r="B695" s="125" t="inlineStr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inlineStr"/>
      <c r="V695" s="129" t="inlineStr"/>
    </row>
    <row r="696" ht="14.25" customHeight="1" s="83">
      <c r="A696" s="103" t="n"/>
      <c r="B696" s="125" t="inlineStr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inlineStr"/>
      <c r="V696" s="129" t="inlineStr"/>
    </row>
    <row r="697" ht="14.25" customHeight="1" s="83">
      <c r="A697" s="103" t="n"/>
      <c r="B697" s="125" t="inlineStr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inlineStr"/>
      <c r="V697" s="129" t="inlineStr"/>
    </row>
    <row r="698" ht="14.25" customHeight="1" s="83">
      <c r="A698" s="103" t="n"/>
      <c r="B698" s="125" t="inlineStr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inlineStr"/>
      <c r="V698" s="129" t="inlineStr"/>
    </row>
    <row r="699" ht="14.25" customHeight="1" s="83">
      <c r="A699" s="103" t="n"/>
      <c r="B699" s="125" t="inlineStr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inlineStr"/>
      <c r="V699" s="129" t="inlineStr"/>
    </row>
    <row r="700" ht="14.25" customHeight="1" s="83">
      <c r="A700" s="103" t="n"/>
      <c r="B700" s="125" t="inlineStr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inlineStr"/>
      <c r="V700" s="129" t="inlineStr"/>
    </row>
    <row r="701" ht="14.25" customHeight="1" s="83">
      <c r="A701" s="103" t="n"/>
      <c r="B701" s="125" t="inlineStr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inlineStr"/>
      <c r="V701" s="129" t="inlineStr"/>
    </row>
    <row r="702" ht="14.25" customHeight="1" s="83">
      <c r="A702" s="103" t="n"/>
      <c r="B702" s="125" t="inlineStr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inlineStr"/>
      <c r="V702" s="129" t="inlineStr"/>
    </row>
    <row r="703" ht="14.25" customHeight="1" s="83">
      <c r="A703" s="103" t="n"/>
      <c r="B703" s="125" t="inlineStr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inlineStr"/>
      <c r="V703" s="129" t="inlineStr"/>
    </row>
    <row r="704" ht="14.25" customHeight="1" s="83">
      <c r="A704" s="103" t="n"/>
      <c r="B704" s="125" t="inlineStr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inlineStr"/>
      <c r="V704" s="129" t="inlineStr"/>
    </row>
    <row r="705" ht="14.25" customHeight="1" s="83">
      <c r="A705" s="103" t="n"/>
      <c r="B705" s="125" t="inlineStr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inlineStr"/>
      <c r="V705" s="129" t="inlineStr"/>
    </row>
    <row r="706" ht="14.25" customHeight="1" s="83">
      <c r="A706" s="103" t="n"/>
      <c r="B706" s="125" t="inlineStr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inlineStr"/>
      <c r="V706" s="129" t="inlineStr"/>
    </row>
    <row r="707" ht="14.25" customHeight="1" s="83">
      <c r="A707" s="103" t="n"/>
      <c r="B707" s="125" t="inlineStr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inlineStr"/>
      <c r="V707" s="129" t="inlineStr"/>
    </row>
    <row r="708" ht="14.25" customHeight="1" s="83">
      <c r="A708" s="103" t="n"/>
      <c r="B708" s="125" t="inlineStr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inlineStr"/>
      <c r="V708" s="129" t="inlineStr"/>
    </row>
    <row r="709" ht="14.25" customHeight="1" s="83">
      <c r="A709" s="103" t="n"/>
      <c r="B709" s="125" t="inlineStr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inlineStr"/>
      <c r="V709" s="129" t="inlineStr"/>
    </row>
    <row r="710" ht="14.25" customHeight="1" s="83">
      <c r="A710" s="103" t="n"/>
      <c r="B710" s="125" t="inlineStr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inlineStr"/>
      <c r="V710" s="129" t="inlineStr"/>
    </row>
    <row r="711" ht="14.25" customHeight="1" s="83">
      <c r="A711" s="103" t="n"/>
      <c r="B711" s="125" t="inlineStr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inlineStr"/>
      <c r="V711" s="129" t="inlineStr"/>
    </row>
    <row r="712" ht="14.25" customHeight="1" s="83">
      <c r="A712" s="103" t="n"/>
      <c r="B712" s="125" t="inlineStr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inlineStr"/>
      <c r="V712" s="129" t="inlineStr"/>
    </row>
    <row r="713" ht="14.25" customHeight="1" s="83">
      <c r="A713" s="103" t="n"/>
      <c r="B713" s="125" t="inlineStr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inlineStr"/>
      <c r="V713" s="129" t="inlineStr"/>
    </row>
    <row r="714" ht="14.25" customHeight="1" s="83">
      <c r="A714" s="103" t="n"/>
      <c r="B714" s="125" t="inlineStr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inlineStr"/>
      <c r="V714" s="129" t="inlineStr"/>
    </row>
    <row r="715" ht="14.25" customHeight="1" s="83">
      <c r="A715" s="103" t="n"/>
      <c r="B715" s="125" t="inlineStr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inlineStr"/>
      <c r="V715" s="129" t="inlineStr"/>
    </row>
    <row r="716" ht="14.25" customHeight="1" s="83">
      <c r="A716" s="103" t="n"/>
      <c r="B716" s="125" t="inlineStr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inlineStr"/>
      <c r="V716" s="129" t="inlineStr"/>
    </row>
    <row r="717" ht="14.25" customHeight="1" s="83">
      <c r="A717" s="103" t="n"/>
      <c r="B717" s="125" t="inlineStr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inlineStr"/>
      <c r="V717" s="129" t="inlineStr"/>
    </row>
    <row r="718" ht="14.25" customHeight="1" s="83">
      <c r="A718" s="103" t="n"/>
      <c r="B718" s="125" t="inlineStr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inlineStr"/>
      <c r="V718" s="129" t="inlineStr"/>
    </row>
    <row r="719" ht="14.25" customHeight="1" s="83">
      <c r="A719" s="103" t="n"/>
      <c r="B719" s="125" t="inlineStr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inlineStr"/>
      <c r="V719" s="129" t="inlineStr"/>
    </row>
    <row r="720" ht="14.25" customHeight="1" s="83">
      <c r="A720" s="103" t="n"/>
      <c r="B720" s="125" t="inlineStr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inlineStr"/>
      <c r="V720" s="129" t="inlineStr"/>
    </row>
    <row r="721" ht="14.25" customHeight="1" s="83">
      <c r="A721" s="103" t="n"/>
      <c r="B721" s="125" t="inlineStr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inlineStr"/>
      <c r="V721" s="129" t="inlineStr"/>
    </row>
    <row r="722" ht="14.25" customHeight="1" s="83">
      <c r="A722" s="103" t="n"/>
      <c r="B722" s="125" t="inlineStr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inlineStr"/>
      <c r="V722" s="129" t="inlineStr"/>
    </row>
    <row r="723" ht="14.25" customHeight="1" s="83">
      <c r="A723" s="103" t="n"/>
      <c r="B723" s="125" t="inlineStr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inlineStr"/>
      <c r="V723" s="129" t="inlineStr"/>
    </row>
    <row r="724" ht="14.25" customHeight="1" s="83">
      <c r="A724" s="103" t="n"/>
      <c r="B724" s="125" t="inlineStr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inlineStr"/>
      <c r="V724" s="129" t="inlineStr"/>
    </row>
    <row r="725" ht="14.25" customHeight="1" s="83">
      <c r="A725" s="103" t="n"/>
      <c r="B725" s="125" t="inlineStr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inlineStr"/>
      <c r="V725" s="129" t="inlineStr"/>
    </row>
    <row r="726" ht="14.25" customHeight="1" s="83">
      <c r="A726" s="103" t="n"/>
      <c r="B726" s="125" t="inlineStr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inlineStr"/>
      <c r="V726" s="129" t="inlineStr"/>
    </row>
    <row r="727" ht="14.25" customHeight="1" s="83">
      <c r="A727" s="103" t="n"/>
      <c r="B727" s="125" t="inlineStr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inlineStr"/>
      <c r="V727" s="129" t="inlineStr"/>
    </row>
    <row r="728" ht="14.25" customHeight="1" s="83">
      <c r="A728" s="103" t="n"/>
      <c r="B728" s="125" t="inlineStr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inlineStr"/>
      <c r="V728" s="129" t="inlineStr"/>
    </row>
    <row r="729" ht="14.25" customHeight="1" s="83">
      <c r="A729" s="103" t="n"/>
      <c r="B729" s="125" t="inlineStr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inlineStr"/>
      <c r="V729" s="129" t="inlineStr"/>
    </row>
    <row r="730" ht="14.25" customHeight="1" s="83">
      <c r="A730" s="103" t="n"/>
      <c r="B730" s="125" t="inlineStr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inlineStr"/>
      <c r="V730" s="129" t="inlineStr"/>
    </row>
    <row r="731" ht="14.25" customHeight="1" s="83">
      <c r="A731" s="103" t="n"/>
      <c r="B731" s="125" t="inlineStr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inlineStr"/>
      <c r="V731" s="129" t="inlineStr"/>
    </row>
    <row r="732" ht="14.25" customHeight="1" s="83">
      <c r="A732" s="103" t="n"/>
      <c r="B732" s="125" t="inlineStr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inlineStr"/>
      <c r="V732" s="129" t="inlineStr"/>
    </row>
    <row r="733" ht="14.25" customHeight="1" s="83">
      <c r="A733" s="103" t="n"/>
      <c r="B733" s="125" t="inlineStr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inlineStr"/>
      <c r="V733" s="129" t="inlineStr"/>
    </row>
    <row r="734" ht="14.25" customHeight="1" s="83">
      <c r="A734" s="103" t="n"/>
      <c r="B734" s="125" t="inlineStr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inlineStr"/>
      <c r="V734" s="129" t="inlineStr"/>
    </row>
    <row r="735" ht="14.25" customHeight="1" s="83">
      <c r="A735" s="103" t="n"/>
      <c r="B735" s="125" t="inlineStr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inlineStr"/>
      <c r="V735" s="129" t="inlineStr"/>
    </row>
    <row r="736" ht="14.25" customHeight="1" s="83">
      <c r="A736" s="103" t="n"/>
      <c r="B736" s="125" t="inlineStr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inlineStr"/>
      <c r="V736" s="129" t="inlineStr"/>
    </row>
    <row r="737" ht="14.25" customHeight="1" s="83">
      <c r="A737" s="103" t="n"/>
      <c r="B737" s="125" t="inlineStr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inlineStr"/>
      <c r="V737" s="129" t="inlineStr"/>
    </row>
    <row r="738" ht="14.25" customHeight="1" s="83">
      <c r="A738" s="103" t="n"/>
      <c r="B738" s="125" t="inlineStr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inlineStr"/>
      <c r="V738" s="129" t="inlineStr"/>
    </row>
    <row r="739" ht="14.25" customHeight="1" s="83">
      <c r="A739" s="103" t="n"/>
      <c r="B739" s="125" t="inlineStr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inlineStr"/>
      <c r="V739" s="129" t="inlineStr"/>
    </row>
    <row r="740" ht="14.25" customHeight="1" s="83">
      <c r="A740" s="103" t="n"/>
      <c r="B740" s="125" t="inlineStr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inlineStr"/>
      <c r="V740" s="129" t="inlineStr"/>
    </row>
    <row r="741" ht="14.25" customHeight="1" s="83">
      <c r="A741" s="103" t="n"/>
      <c r="B741" s="125" t="inlineStr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inlineStr"/>
      <c r="V741" s="129" t="inlineStr"/>
    </row>
    <row r="742" ht="14.25" customHeight="1" s="83">
      <c r="A742" s="103" t="n"/>
      <c r="B742" s="125" t="inlineStr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inlineStr"/>
      <c r="V742" s="129" t="inlineStr"/>
    </row>
    <row r="743" ht="14.25" customHeight="1" s="83">
      <c r="A743" s="103" t="n"/>
      <c r="B743" s="125" t="inlineStr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inlineStr"/>
      <c r="V743" s="129" t="inlineStr"/>
    </row>
    <row r="744" ht="14.25" customHeight="1" s="83">
      <c r="A744" s="103" t="n"/>
      <c r="B744" s="125" t="inlineStr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inlineStr"/>
      <c r="V744" s="129" t="inlineStr"/>
    </row>
    <row r="745" ht="14.25" customHeight="1" s="83">
      <c r="A745" s="103" t="n"/>
      <c r="B745" s="125" t="inlineStr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inlineStr"/>
      <c r="V745" s="129" t="inlineStr"/>
    </row>
    <row r="746" ht="14.25" customHeight="1" s="83">
      <c r="A746" s="103" t="n"/>
      <c r="B746" s="125" t="inlineStr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inlineStr"/>
      <c r="V746" s="129" t="inlineStr"/>
    </row>
    <row r="747" ht="14.25" customHeight="1" s="83">
      <c r="A747" s="103" t="n"/>
      <c r="B747" s="125" t="inlineStr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inlineStr"/>
      <c r="V747" s="129" t="inlineStr"/>
    </row>
    <row r="748" ht="14.25" customHeight="1" s="83">
      <c r="A748" s="103" t="n"/>
      <c r="B748" s="125" t="inlineStr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inlineStr"/>
      <c r="V748" s="129" t="inlineStr"/>
    </row>
    <row r="749" ht="14.25" customHeight="1" s="83">
      <c r="A749" s="103" t="n"/>
      <c r="B749" s="125" t="inlineStr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inlineStr"/>
      <c r="V749" s="129" t="inlineStr"/>
    </row>
    <row r="750" ht="14.25" customHeight="1" s="83">
      <c r="A750" s="103" t="n"/>
      <c r="B750" s="125" t="inlineStr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inlineStr"/>
      <c r="V750" s="129" t="inlineStr"/>
    </row>
    <row r="751" ht="14.25" customHeight="1" s="83">
      <c r="A751" s="103" t="n"/>
      <c r="B751" s="125" t="inlineStr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inlineStr"/>
      <c r="V751" s="129" t="inlineStr"/>
    </row>
    <row r="752" ht="14.25" customHeight="1" s="83">
      <c r="A752" s="103" t="n"/>
      <c r="B752" s="125" t="inlineStr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inlineStr"/>
      <c r="V752" s="129" t="inlineStr"/>
    </row>
    <row r="753" ht="14.25" customHeight="1" s="83">
      <c r="A753" s="103" t="n"/>
      <c r="B753" s="125" t="inlineStr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inlineStr"/>
      <c r="V753" s="129" t="inlineStr"/>
    </row>
    <row r="754" ht="14.25" customHeight="1" s="83">
      <c r="A754" s="103" t="n"/>
      <c r="B754" s="125" t="inlineStr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inlineStr"/>
      <c r="V754" s="129" t="inlineStr"/>
    </row>
    <row r="755" ht="14.25" customHeight="1" s="83">
      <c r="A755" s="103" t="n"/>
      <c r="B755" s="125" t="inlineStr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inlineStr"/>
      <c r="V755" s="129" t="inlineStr"/>
    </row>
    <row r="756" ht="14.25" customHeight="1" s="83">
      <c r="A756" s="103" t="n"/>
      <c r="B756" s="125" t="inlineStr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inlineStr"/>
      <c r="V756" s="129" t="inlineStr"/>
    </row>
    <row r="757" ht="14.25" customHeight="1" s="83">
      <c r="A757" s="103" t="n"/>
      <c r="B757" s="125" t="inlineStr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inlineStr"/>
      <c r="V757" s="129" t="inlineStr"/>
    </row>
    <row r="758" ht="14.25" customHeight="1" s="83">
      <c r="A758" s="103" t="n"/>
      <c r="B758" s="125" t="inlineStr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inlineStr"/>
      <c r="V758" s="129" t="inlineStr"/>
    </row>
    <row r="759" ht="14.25" customHeight="1" s="83">
      <c r="A759" s="103" t="n"/>
      <c r="B759" s="125" t="inlineStr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inlineStr"/>
      <c r="V759" s="129" t="inlineStr"/>
    </row>
    <row r="760" ht="14.25" customHeight="1" s="83">
      <c r="A760" s="103" t="n"/>
      <c r="B760" s="125" t="inlineStr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inlineStr"/>
      <c r="V760" s="129" t="inlineStr"/>
    </row>
    <row r="761" ht="14.25" customHeight="1" s="83">
      <c r="A761" s="103" t="n"/>
      <c r="B761" s="125" t="inlineStr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inlineStr"/>
      <c r="V761" s="129" t="inlineStr"/>
    </row>
    <row r="762" ht="14.25" customHeight="1" s="83">
      <c r="A762" s="103" t="n"/>
      <c r="B762" s="125" t="inlineStr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inlineStr"/>
      <c r="V762" s="129" t="inlineStr"/>
    </row>
    <row r="763" ht="14.25" customHeight="1" s="83">
      <c r="A763" s="103" t="n"/>
      <c r="B763" s="125" t="inlineStr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inlineStr"/>
      <c r="V763" s="129" t="inlineStr"/>
    </row>
    <row r="764" ht="14.25" customHeight="1" s="83">
      <c r="A764" s="103" t="n"/>
      <c r="B764" s="125" t="inlineStr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inlineStr"/>
      <c r="V764" s="129" t="inlineStr"/>
    </row>
    <row r="765" ht="14.25" customHeight="1" s="83">
      <c r="A765" s="103" t="n"/>
      <c r="B765" s="125" t="inlineStr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inlineStr"/>
      <c r="V765" s="129" t="inlineStr"/>
    </row>
    <row r="766" ht="14.25" customHeight="1" s="83">
      <c r="A766" s="103" t="n"/>
      <c r="B766" s="125" t="inlineStr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inlineStr"/>
      <c r="V766" s="129" t="inlineStr"/>
    </row>
    <row r="767" ht="14.25" customHeight="1" s="83">
      <c r="A767" s="103" t="n"/>
      <c r="B767" s="125" t="inlineStr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inlineStr"/>
      <c r="V767" s="129" t="inlineStr"/>
    </row>
    <row r="768" ht="14.25" customHeight="1" s="83">
      <c r="A768" s="103" t="n"/>
      <c r="B768" s="125" t="inlineStr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inlineStr"/>
      <c r="V768" s="129" t="inlineStr"/>
    </row>
    <row r="769" ht="14.25" customHeight="1" s="83">
      <c r="A769" s="103" t="n"/>
      <c r="B769" s="125" t="inlineStr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inlineStr"/>
      <c r="V769" s="129" t="inlineStr"/>
    </row>
    <row r="770" ht="14.25" customHeight="1" s="83">
      <c r="A770" s="103" t="n"/>
      <c r="B770" s="125" t="inlineStr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inlineStr"/>
      <c r="V770" s="129" t="inlineStr"/>
    </row>
    <row r="771" ht="14.25" customHeight="1" s="83">
      <c r="A771" s="103" t="n"/>
      <c r="B771" s="125" t="inlineStr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inlineStr"/>
      <c r="V771" s="129" t="inlineStr"/>
    </row>
    <row r="772" ht="14.25" customHeight="1" s="83">
      <c r="A772" s="103" t="n"/>
      <c r="B772" s="125" t="inlineStr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inlineStr"/>
      <c r="V772" s="129" t="inlineStr"/>
    </row>
    <row r="773" ht="14.25" customHeight="1" s="83">
      <c r="A773" s="103" t="n"/>
      <c r="B773" s="125" t="inlineStr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inlineStr"/>
      <c r="V773" s="129" t="inlineStr"/>
    </row>
    <row r="774" ht="14.25" customHeight="1" s="83">
      <c r="A774" s="103" t="n"/>
      <c r="B774" s="125" t="inlineStr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inlineStr"/>
      <c r="V774" s="129" t="inlineStr"/>
    </row>
    <row r="775" ht="14.25" customHeight="1" s="83">
      <c r="A775" s="103" t="n"/>
      <c r="B775" s="125" t="inlineStr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inlineStr"/>
      <c r="V775" s="129" t="inlineStr"/>
    </row>
    <row r="776" ht="14.25" customHeight="1" s="83">
      <c r="A776" s="103" t="n"/>
      <c r="B776" s="125" t="inlineStr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inlineStr"/>
      <c r="V776" s="129" t="inlineStr"/>
    </row>
    <row r="777" ht="14.25" customHeight="1" s="83">
      <c r="A777" s="103" t="n"/>
      <c r="B777" s="125" t="inlineStr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inlineStr"/>
      <c r="V777" s="129" t="inlineStr"/>
    </row>
    <row r="778" ht="14.25" customHeight="1" s="83">
      <c r="A778" s="103" t="n"/>
      <c r="B778" s="125" t="inlineStr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inlineStr"/>
      <c r="V778" s="129" t="inlineStr"/>
    </row>
    <row r="779" ht="14.25" customHeight="1" s="83">
      <c r="A779" s="103" t="n"/>
      <c r="B779" s="125" t="inlineStr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inlineStr"/>
      <c r="V779" s="129" t="inlineStr"/>
    </row>
    <row r="780" ht="14.25" customHeight="1" s="83">
      <c r="A780" s="103" t="n"/>
      <c r="B780" s="125" t="inlineStr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inlineStr"/>
      <c r="V780" s="129" t="inlineStr"/>
    </row>
    <row r="781" ht="14.25" customHeight="1" s="83">
      <c r="A781" s="103" t="n"/>
      <c r="B781" s="125" t="inlineStr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inlineStr"/>
      <c r="V781" s="129" t="inlineStr"/>
    </row>
    <row r="782" ht="14.25" customHeight="1" s="83">
      <c r="A782" s="103" t="n"/>
      <c r="B782" s="125" t="inlineStr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inlineStr"/>
      <c r="V782" s="129" t="inlineStr"/>
    </row>
    <row r="783" ht="14.25" customHeight="1" s="83">
      <c r="A783" s="103" t="n"/>
      <c r="B783" s="125" t="inlineStr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inlineStr"/>
      <c r="V783" s="129" t="inlineStr"/>
    </row>
    <row r="784" ht="14.25" customHeight="1" s="83">
      <c r="A784" s="103" t="n"/>
      <c r="B784" s="125" t="inlineStr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inlineStr"/>
      <c r="V784" s="129" t="inlineStr"/>
    </row>
    <row r="785" ht="14.25" customHeight="1" s="83">
      <c r="A785" s="103" t="n"/>
      <c r="B785" s="125" t="inlineStr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inlineStr"/>
      <c r="V785" s="129" t="inlineStr"/>
    </row>
    <row r="786" ht="14.25" customHeight="1" s="83">
      <c r="A786" s="103" t="n"/>
      <c r="B786" s="125" t="inlineStr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inlineStr"/>
      <c r="V786" s="129" t="inlineStr"/>
    </row>
    <row r="787" ht="14.25" customHeight="1" s="83">
      <c r="A787" s="103" t="n"/>
      <c r="B787" s="125" t="inlineStr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inlineStr"/>
      <c r="V787" s="129" t="inlineStr"/>
    </row>
    <row r="788" ht="14.25" customHeight="1" s="83">
      <c r="A788" s="103" t="n"/>
      <c r="B788" s="125" t="inlineStr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inlineStr"/>
      <c r="V788" s="129" t="inlineStr"/>
    </row>
    <row r="789" ht="14.25" customHeight="1" s="83">
      <c r="A789" s="103" t="n"/>
      <c r="B789" s="125" t="inlineStr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inlineStr"/>
      <c r="V789" s="129" t="inlineStr"/>
    </row>
    <row r="790" ht="14.25" customHeight="1" s="83">
      <c r="A790" s="103" t="n"/>
      <c r="B790" s="125" t="inlineStr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inlineStr"/>
      <c r="V790" s="129" t="inlineStr"/>
    </row>
    <row r="791" ht="14.25" customHeight="1" s="83">
      <c r="A791" s="103" t="n"/>
      <c r="B791" s="125" t="inlineStr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inlineStr"/>
      <c r="V791" s="129" t="inlineStr"/>
    </row>
    <row r="792" ht="14.25" customHeight="1" s="83">
      <c r="A792" s="103" t="n"/>
      <c r="B792" s="125" t="inlineStr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inlineStr"/>
      <c r="V792" s="129" t="inlineStr"/>
    </row>
    <row r="793" ht="14.25" customHeight="1" s="83">
      <c r="A793" s="103" t="n"/>
      <c r="B793" s="125" t="inlineStr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inlineStr"/>
      <c r="V793" s="129" t="inlineStr"/>
    </row>
    <row r="794" ht="14.25" customHeight="1" s="83">
      <c r="A794" s="103" t="n"/>
      <c r="B794" s="125" t="inlineStr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inlineStr"/>
      <c r="V794" s="129" t="inlineStr"/>
    </row>
    <row r="795" ht="14.25" customHeight="1" s="83">
      <c r="A795" s="103" t="n"/>
      <c r="B795" s="125" t="inlineStr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inlineStr"/>
      <c r="V795" s="129" t="inlineStr"/>
    </row>
    <row r="796" ht="14.25" customHeight="1" s="83">
      <c r="A796" s="103" t="n"/>
      <c r="B796" s="125" t="inlineStr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inlineStr"/>
      <c r="V796" s="129" t="inlineStr"/>
    </row>
    <row r="797" ht="14.25" customHeight="1" s="83">
      <c r="A797" s="103" t="n"/>
      <c r="B797" s="125" t="inlineStr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inlineStr"/>
      <c r="V797" s="129" t="inlineStr"/>
    </row>
    <row r="798" ht="14.25" customHeight="1" s="83">
      <c r="A798" s="103" t="n"/>
      <c r="B798" s="125" t="inlineStr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inlineStr"/>
      <c r="V798" s="129" t="inlineStr"/>
    </row>
    <row r="799" ht="14.25" customHeight="1" s="83">
      <c r="A799" s="103" t="n"/>
      <c r="B799" s="125" t="inlineStr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inlineStr"/>
      <c r="V799" s="129" t="inlineStr"/>
    </row>
    <row r="800" ht="14.25" customHeight="1" s="83">
      <c r="A800" s="103" t="n"/>
      <c r="B800" s="125" t="inlineStr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inlineStr"/>
      <c r="V800" s="129" t="inlineStr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IFERROR(SUMIFS('Electricity Management'!$V:$V,'Electricity Management'!$A:$A,$C$11,'Electricity Management'!$B:$B,DATE(YEAR($C$7),MONTH($C$7),1),'Electricity Management'!$C:$C,$C$12)*$H$24,0)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IFERROR(SUMIFS('Electricity Management'!$X:$X,'Electricity Management'!$K:$K,$C$11,'Electricity Management'!$B:$B,DATE(YEAR($C$7),MONTH($C$7),1),'Electricity Management'!$L:$L,$C$12)*$H$24,0)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2026-06-27T11:46:57Z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