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1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  <numFmt numFmtId="172" formatCode="yyyy-mm-dd h:mm:ss"/>
    <numFmt numFmtId="173" formatCode="mm/dd/yyyy"/>
    <numFmt numFmtId="174" formatCode="$#,##0.00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  <xf numFmtId="168" fontId="0" fillId="0" borderId="0" pivotButton="0" quotePrefix="0" xfId="0"/>
    <xf numFmtId="172" fontId="0" fillId="6" borderId="1" applyAlignment="1" applyProtection="1" pivotButton="0" quotePrefix="0" xfId="0">
      <alignment horizontal="general" vertical="center" wrapText="1"/>
      <protection locked="0" hidden="0"/>
    </xf>
    <xf numFmtId="173" fontId="0" fillId="5" borderId="1" applyAlignment="1" applyProtection="1" pivotButton="0" quotePrefix="0" xfId="0">
      <alignment horizontal="general" vertical="center" wrapText="1"/>
      <protection locked="0" hidden="0"/>
    </xf>
    <xf numFmtId="173" fontId="0" fillId="6" borderId="1" applyAlignment="1" applyProtection="1" pivotButton="0" quotePrefix="0" xfId="0">
      <alignment horizontal="general" vertical="center" wrapText="1"/>
      <protection locked="0" hidden="0"/>
    </xf>
    <xf numFmtId="174" fontId="0" fillId="5" borderId="1" applyAlignment="1" applyProtection="1" pivotButton="0" quotePrefix="0" xfId="0">
      <alignment horizontal="general" vertical="center" wrapText="1"/>
      <protection locked="0" hidden="0"/>
    </xf>
    <xf numFmtId="174" fontId="0" fillId="0" borderId="0" applyAlignment="1" applyProtection="1" pivotButton="0" quotePrefix="0" xfId="0">
      <alignment horizontal="general" vertical="center" wrapText="1"/>
      <protection locked="0" hidden="0"/>
    </xf>
    <xf numFmtId="174" fontId="0" fillId="6" borderId="0" applyAlignment="1" applyProtection="1" pivotButton="0" quotePrefix="0" xfId="0">
      <alignment horizontal="general" vertical="center" wrapText="1"/>
      <protection locked="0" hidden="0"/>
    </xf>
    <xf numFmtId="174" fontId="0" fillId="5" borderId="0" applyAlignment="1" applyProtection="1" pivotButton="0" quotePrefix="0" xfId="0">
      <alignment horizontal="general" vertical="center" wrapText="1"/>
      <protection locked="0" hidden="0"/>
    </xf>
    <xf numFmtId="1" fontId="0" fillId="0" borderId="0" applyAlignment="1" pivotButton="0" quotePrefix="0" xfId="0">
      <alignment horizontal="general" vertical="bottom"/>
    </xf>
    <xf numFmtId="174" fontId="0" fillId="0" borderId="0" applyAlignment="1" pivotButton="0" quotePrefix="0" xfId="0">
      <alignment horizontal="general" vertical="bottom"/>
    </xf>
    <xf numFmtId="171" fontId="0" fillId="5" borderId="1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Z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46356</v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N7" s="183" t="n">
        <v>46325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IFERROR(IF(_xlfn.XLOOKUP($C$6,'Client DB &amp; Bed Mgmt'!$D:$D,'Client DB &amp; Bed Mgmt'!$S:$S,"")=0,"",_xlfn.XLOOKUP($C$6,'Client DB &amp; Bed Mgmt'!$D:$D,'Client DB &amp; Bed Mgmt'!$S:$S,"")),"")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IFERROR(IF(_xlfn.XLOOKUP($C$6,'Client DB &amp; Bed Mgmt'!$D:$D,'Client DB &amp; Bed Mgmt'!$M:$M,"")=0,"",_xlfn.XLOOKUP($C$6,'Client DB &amp; Bed Mgmt'!$D:$D,'Client DB &amp; Bed Mgmt'!$M:$M,"")),"")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IFERROR(IF(_xlfn.XLOOKUP($C$6,'Client DB &amp; Bed Mgmt'!$D:$D,'Client DB &amp; Bed Mgmt'!$N:$N,"")=0,"",_xlfn.XLOOKUP($C$6,'Client DB &amp; Bed Mgmt'!$D:$D,'Client DB &amp; Bed Mgmt'!$N:$N,"")),"")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C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8" customWidth="1" style="82" min="1" max="2"/>
    <col width="18" customWidth="1" style="83" min="2" max="2"/>
    <col width="15" customWidth="1" style="82" min="3" max="3"/>
    <col width="22" customWidth="1" style="82" min="4" max="5"/>
    <col width="16" customWidth="1" style="83" min="5" max="5"/>
    <col width="16" customWidth="1" style="82" min="6" max="6"/>
    <col width="18" customWidth="1" style="82" min="7" max="7"/>
    <col width="16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8" customWidth="1" style="83" min="22" max="22"/>
    <col width="18" customWidth="1" style="83" min="23" max="23"/>
    <col width="18" customWidth="1" style="83" min="24" max="24"/>
    <col width="18" customWidth="1" style="83" min="25" max="25"/>
    <col width="18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Month</t>
        </is>
      </c>
      <c r="B4" s="193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End Month</t>
        </is>
      </c>
      <c r="B5" s="194" t="n">
        <v>46357</v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Mgmt'!$D$5:$D$428&lt;&gt;"")*--IFERROR(DATE(YEAR('Client DB &amp; Bed Mgmt'!$M$5:$M$428),MONTH('Client DB &amp; Bed Mgmt'!$M$5:$M$428),1)&lt;=DATE(YEAR($B$4),MONTH($B$4),1),FALSE)*--IFERROR(DATE(YEAR(IF(ISNUMBER('Client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Mgmt'!$M$5:$M$428,0))),1)&gt;=DATE(YEAR($B$4),MONTH($B$4),1),FALSE))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Bed Capacity / Dorm</t>
        </is>
      </c>
      <c r="B6" s="182">
        <f>IFERROR(AVERAGE(DormRegistry[Bed Capacity]),0)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Mgmt'!$D$5:$D$428&lt;&gt;"")*--IFERROR(DATE(YEAR('Client DB &amp; Bed Mgmt'!$M$5:$M$428),MONTH('Client DB &amp; Bed Mgmt'!$M$5:$M$428),1)&lt;=DATE(YEAR($B$4),MONTH($B$4),1),FALSE)*--IFERROR(DATE(YEAR(IF(ISNUMBER('Client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Mgmt'!$M$5:$M$428,0))),1)&gt;=DATE(YEAR($B$4),MONTH($B$4),1),FALSE))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Default Rent Setting</t>
        </is>
      </c>
      <c r="B7" s="187">
        <f>DefaultRentPerBed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Mgmt'!$D$5:$D$428&lt;&gt;"")*--IFERROR(DATE(YEAR('Client DB &amp; Bed Mgmt'!$M$5:$M$428),MONTH('Client DB &amp; Bed Mgmt'!$M$5:$M$428),1)&lt;=DATE(YEAR($B$4),MONTH($B$4),1),FALSE)*--IFERROR(DATE(YEAR(IF(ISNUMBER('Client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Mgmt'!$M$5:$M$428,0))),1)&gt;=DATE(YEAR($B$4),MONTH($B$4),1),FALSE))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Target Occupancy %</t>
        </is>
      </c>
      <c r="B8" s="169">
        <f>TargetOccupancy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Inflation %</t>
        </is>
      </c>
      <c r="B9" s="169">
        <f>InflationRate</f>
        <v/>
      </c>
      <c r="C9" s="88" t="n"/>
      <c r="D9" s="102" t="inlineStr">
        <is>
          <t>Model Rows</t>
        </is>
      </c>
      <c r="E9" s="182">
        <f>COUNTIF(FinancialModel[Nb Clients],"&gt;0")</f>
        <v/>
      </c>
      <c r="F9" s="88" t="n"/>
      <c r="G9" s="102" t="inlineStr">
        <is>
          <t>Rent Revenue Total</t>
        </is>
      </c>
      <c r="H9" s="168">
        <f>SUM(FinancialModel[Rent Revenue])</f>
        <v/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Generator Rate per kWh</t>
        </is>
      </c>
      <c r="B10" s="187">
        <f>GeneratorRate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102" t="inlineStr">
        <is>
          <t>Room Elec Revenue Total</t>
        </is>
      </c>
      <c r="H10" s="168">
        <f>SUM(FinancialModel[Room Elec Revenue])</f>
        <v/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inlineStr">
        <is>
          <t>Government Rate per kWh</t>
        </is>
      </c>
      <c r="B11" s="188">
        <f>GovernmentRate</f>
        <v/>
      </c>
      <c r="C11" s="88" t="n"/>
      <c r="D11" s="88" t="n"/>
      <c r="E11" s="88" t="n"/>
      <c r="F11" s="88" t="n"/>
      <c r="G11" s="102" t="inlineStr">
        <is>
          <t>Area Elec Revenue Total</t>
        </is>
      </c>
      <c r="H11" s="168">
        <f>SUM(FinancialModel[Area Elec Revenue])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124" t="inlineStr">
        <is>
          <t>Nb Clients</t>
        </is>
      </c>
      <c r="W13" s="124" t="inlineStr">
        <is>
          <t>Occupied Beds</t>
        </is>
      </c>
      <c r="X13" s="124" t="inlineStr">
        <is>
          <t>Rent Revenue</t>
        </is>
      </c>
      <c r="Y13" s="124" t="inlineStr">
        <is>
          <t>Room Elec Revenue</t>
        </is>
      </c>
      <c r="Z13" s="124" t="inlineStr">
        <is>
          <t>Area Elec Revenue</t>
        </is>
      </c>
      <c r="AA13" s="82" t="n"/>
      <c r="AB13" s="82" t="n"/>
    </row>
    <row r="14" ht="14.25" customHeight="1" s="83">
      <c r="A14" s="177">
        <f>IF(EDATE($B$4,0)&lt;=EOMONTH($B$5,0),EDATE($B$4,0),"")</f>
        <v/>
      </c>
      <c r="B14" s="103">
        <f>IF(EDATE($B$4,0)&lt;=EOMONTH($B$5,0),"Dorm 1","")</f>
        <v/>
      </c>
      <c r="C14" s="17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Mgmt'!$M$5:$M$428,0))),1)&gt;=DATE(YEAR(A14),MONTH(A14),1),FALSE))&gt;0),IFERROR(_xlfn.XLOOKUP(B14,DormRegistry[Dorm Name],DormRegistry[Ownership Type]),""),"")</f>
        <v/>
      </c>
      <c r="D14" s="17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Mgmt'!$M$5:$M$428,0))),1)&gt;=DATE(YEAR(A14),MONTH(A14),1),FALSE))&gt;0),IFERROR(_xlfn.XLOOKUP(B14,DormRegistry[Dorm Name],DormRegistry[Bed Capacity]),0),"")</f>
        <v/>
      </c>
      <c r="E14" s="13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Mgmt'!$M$5:$M$428,0))),1)&gt;=DATE(YEAR(A14),MONTH(A14),1),FALSE))&gt;0),$B$7*(1+$B$9)^(YEAR(A14)-YEAR($B$4)),"")</f>
        <v/>
      </c>
      <c r="F14" s="105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Mgmt'!$M$5:$M$428,0))),1)&gt;=DATE(YEAR(A14),MONTH(A14),1),FALSE))&gt;0),$B$8,"")</f>
        <v/>
      </c>
      <c r="G14" s="105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Mgmt'!$M$5:$M$428,0))),1)&gt;=DATE(YEAR(A14),MONTH(A14),1),FALSE))&gt;0),$B$9,"")</f>
        <v/>
      </c>
      <c r="H14" s="13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Mgmt'!$M$5:$M$428,0))),1)&gt;=DATE(YEAR(A14),MONTH(A14),1),FALSE))&gt;0),D14*E14,"")</f>
        <v/>
      </c>
      <c r="I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Mgmt'!$M$5:$M$428,0))),1)&gt;=DATE(YEAR(A14),MONTH(A14),1),FALSE))&gt;0),SUM(X14:Z14),"")</f>
        <v/>
      </c>
      <c r="J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Mgmt'!$M$5:$M$428,0))),1)&gt;=DATE(YEAR(A14),MONTH(A14),1),FALSE))&gt;0),D14*F14*E14,"")</f>
        <v/>
      </c>
      <c r="K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Mgmt'!$M$5:$M$428,0))),1)&gt;=DATE(YEAR(A14),MONTH(A14),1),FALSE))&gt;0),75,"")</f>
        <v/>
      </c>
      <c r="L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Mgmt'!$M$5:$M$428,0))),1)&gt;=DATE(YEAR(A14),MONTH(A14),1),FALSE))&gt;0),50,"")</f>
        <v/>
      </c>
      <c r="M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Mgmt'!$M$5:$M$428,0))),1)&gt;=DATE(YEAR(A14),MONTH(A14),1),FALSE))&gt;0),150,"")</f>
        <v/>
      </c>
      <c r="N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Mgmt'!$M$5:$M$428,0))),1)&gt;=DATE(YEAR(A14),MONTH(A14),1),FALSE))&gt;0),125,"")</f>
        <v/>
      </c>
      <c r="O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Mgmt'!$M$5:$M$428,0))),1)&gt;=DATE(YEAR(A14),MONTH(A14),1),FALSE))&gt;0),60,"")</f>
        <v/>
      </c>
      <c r="P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Mgmt'!$M$5:$M$428,0))),1)&gt;=DATE(YEAR(A14),MONTH(A14),1),FALSE))&gt;0),80,"")</f>
        <v/>
      </c>
      <c r="Q14" s="190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Mgmt'!$M$5:$M$428,0))),1)&gt;=DATE(YEAR(A14),MONTH(A14),1),FALSE))&gt;0),40,"")</f>
        <v/>
      </c>
      <c r="R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Mgmt'!$M$5:$M$428,0))),1)&gt;=DATE(YEAR(A14),MONTH(A14),1),FALSE))&gt;0),IF(C14="Owned",0,2500),"")</f>
        <v/>
      </c>
      <c r="S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Mgmt'!$M$5:$M$428,0))),1)&gt;=DATE(YEAR(A14),MONTH(A14),1),FALSE))&gt;0),SUM(K14:R14),"")</f>
        <v/>
      </c>
      <c r="T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Mgmt'!$M$5:$M$428,0))),1)&gt;=DATE(YEAR(A14),MONTH(A14),1),FALSE))&gt;0),I14-S14,"")</f>
        <v/>
      </c>
      <c r="U14" s="105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Mgmt'!$M$5:$M$428,0))),1)&gt;=DATE(YEAR(A14),MONTH(A14),1),FALSE))&gt;0),IFERROR(T14/I14,0),"")</f>
        <v/>
      </c>
      <c r="V14" s="191">
        <f>IF(EDATE($B$4,0)&lt;=EOMONTH($B$5,0),SUMPRODUCT(('Client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Mgmt'!$M$5:$M$428,0))),1)&gt;=DATE(YEAR(A14),MONTH(A14),1),FALSE)),"")</f>
        <v/>
      </c>
      <c r="W14" s="181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Mgmt'!$M$5:$M$428,0))),1)&gt;=DATE(YEAR(A14),MONTH(A14),1),FALSE)),"")</f>
        <v/>
      </c>
      <c r="X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Mgmt'!$M$5:$M$428,0))),1)&gt;=DATE(YEAR(A14),MONTH(A14),1),FALSE))&gt;0),IFERROR(SUMPRODUCT(('Client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Mgmt'!$M$5:$M$428,0))),1)&gt;=DATE(YEAR(A14),MONTH(A14),1),FALSE)*'Client DB &amp; Bed Mgmt'!$I$5:$I$428),0),"")</f>
        <v/>
      </c>
      <c r="Y14" s="189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Mgmt'!$M$5:$M$428,0))),1)&gt;=DATE(YEAR(A14),MONTH(A14),1),FALSE))&gt;0),IFERROR(SUMPRODUCT(('Client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Mgmt'!$M$5:$M$428,0))),1)&gt;=DATE(YEAR(A14),MONTH(A14),1),FALSE)*'Client DB &amp; Bed Mgmt'!$J$5:$J$428),0),"")</f>
        <v/>
      </c>
      <c r="Z14" s="192">
        <f>IF(AND(EDATE($B$4,0)&lt;=EOMONTH($B$5,0),SUMPRODUCT(('Client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Mgmt'!$M$5:$M$428,0))),1)&gt;=DATE(YEAR(A14),MONTH(A14),1),FALSE))&gt;0),IFERROR(SUMPRODUCT(('Client DB &amp; Bed Mgmt'!$A$5:$A$428=B14)*('Client DB &amp; Bed Mgmt'!$D$5:$D$428&lt;&gt;"")*--IFERROR(DATE(YEAR('Client DB &amp; Bed Mgmt'!$M$5:$M$428),MONTH('Client DB &amp; Bed Mgmt'!$M$5:$M$428),1)&lt;=DATE(YEAR(A14),MONTH(A14),1),FALSE)*--IFERROR(DATE(YEAR(IF(ISNUMBER('Client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Mgmt'!$M$5:$M$428,0))),1)&gt;=DATE(YEAR(A14),MONTH(A14),1),FALSE)*'Client DB &amp; Bed Mgmt'!$K$5:$K$428),0),"")</f>
        <v/>
      </c>
      <c r="AA14" s="82" t="n"/>
      <c r="AB14" s="82" t="n"/>
    </row>
    <row r="15" hidden="1" ht="14.25" customHeight="1" s="83">
      <c r="A15" s="177">
        <f>IF(EDATE($B$4,0)&lt;=EOMONTH($B$5,0),EDATE($B$4,0),"")</f>
        <v/>
      </c>
      <c r="B15" s="103">
        <f>IF(EDATE($B$4,0)&lt;=EOMONTH($B$5,0),"Dorm 2","")</f>
        <v/>
      </c>
      <c r="C15" s="17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Mgmt'!$M$5:$M$428,0))),1)&gt;=DATE(YEAR(A15),MONTH(A15),1),FALSE))&gt;0),IFERROR(_xlfn.XLOOKUP(B15,DormRegistry[Dorm Name],DormRegistry[Ownership Type]),""),"")</f>
        <v/>
      </c>
      <c r="D15" s="17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Mgmt'!$M$5:$M$428,0))),1)&gt;=DATE(YEAR(A15),MONTH(A15),1),FALSE))&gt;0),IFERROR(_xlfn.XLOOKUP(B15,DormRegistry[Dorm Name],DormRegistry[Bed Capacity]),0),"")</f>
        <v/>
      </c>
      <c r="E15" s="13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Mgmt'!$M$5:$M$428,0))),1)&gt;=DATE(YEAR(A15),MONTH(A15),1),FALSE))&gt;0),$B$7*(1+$B$9)^(YEAR(A15)-YEAR($B$4)),"")</f>
        <v/>
      </c>
      <c r="F15" s="105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Mgmt'!$M$5:$M$428,0))),1)&gt;=DATE(YEAR(A15),MONTH(A15),1),FALSE))&gt;0),$B$8,"")</f>
        <v/>
      </c>
      <c r="G15" s="105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Mgmt'!$M$5:$M$428,0))),1)&gt;=DATE(YEAR(A15),MONTH(A15),1),FALSE))&gt;0),$B$9,"")</f>
        <v/>
      </c>
      <c r="H15" s="13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Mgmt'!$M$5:$M$428,0))),1)&gt;=DATE(YEAR(A15),MONTH(A15),1),FALSE))&gt;0),D15*E15,"")</f>
        <v/>
      </c>
      <c r="I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Mgmt'!$M$5:$M$428,0))),1)&gt;=DATE(YEAR(A15),MONTH(A15),1),FALSE))&gt;0),SUM(X15:Z15),"")</f>
        <v/>
      </c>
      <c r="J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Mgmt'!$M$5:$M$428,0))),1)&gt;=DATE(YEAR(A15),MONTH(A15),1),FALSE))&gt;0),D15*F15*E15,"")</f>
        <v/>
      </c>
      <c r="K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Mgmt'!$M$5:$M$428,0))),1)&gt;=DATE(YEAR(A15),MONTH(A15),1),FALSE))&gt;0),75,"")</f>
        <v/>
      </c>
      <c r="L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Mgmt'!$M$5:$M$428,0))),1)&gt;=DATE(YEAR(A15),MONTH(A15),1),FALSE))&gt;0),50,"")</f>
        <v/>
      </c>
      <c r="M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Mgmt'!$M$5:$M$428,0))),1)&gt;=DATE(YEAR(A15),MONTH(A15),1),FALSE))&gt;0),150,"")</f>
        <v/>
      </c>
      <c r="N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Mgmt'!$M$5:$M$428,0))),1)&gt;=DATE(YEAR(A15),MONTH(A15),1),FALSE))&gt;0),125,"")</f>
        <v/>
      </c>
      <c r="O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Mgmt'!$M$5:$M$428,0))),1)&gt;=DATE(YEAR(A15),MONTH(A15),1),FALSE))&gt;0),60,"")</f>
        <v/>
      </c>
      <c r="P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Mgmt'!$M$5:$M$428,0))),1)&gt;=DATE(YEAR(A15),MONTH(A15),1),FALSE))&gt;0),80,"")</f>
        <v/>
      </c>
      <c r="Q15" s="190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Mgmt'!$M$5:$M$428,0))),1)&gt;=DATE(YEAR(A15),MONTH(A15),1),FALSE))&gt;0),40,"")</f>
        <v/>
      </c>
      <c r="R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Mgmt'!$M$5:$M$428,0))),1)&gt;=DATE(YEAR(A15),MONTH(A15),1),FALSE))&gt;0),IF(C15="Owned",0,2500),"")</f>
        <v/>
      </c>
      <c r="S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Mgmt'!$M$5:$M$428,0))),1)&gt;=DATE(YEAR(A15),MONTH(A15),1),FALSE))&gt;0),SUM(K15:R15),"")</f>
        <v/>
      </c>
      <c r="T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Mgmt'!$M$5:$M$428,0))),1)&gt;=DATE(YEAR(A15),MONTH(A15),1),FALSE))&gt;0),I15-S15,"")</f>
        <v/>
      </c>
      <c r="U15" s="105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Mgmt'!$M$5:$M$428,0))),1)&gt;=DATE(YEAR(A15),MONTH(A15),1),FALSE))&gt;0),IFERROR(T15/I15,0),"")</f>
        <v/>
      </c>
      <c r="V15" s="191">
        <f>IF(EDATE($B$4,0)&lt;=EOMONTH($B$5,0),SUMPRODUCT(('Client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Mgmt'!$M$5:$M$428,0))),1)&gt;=DATE(YEAR(A15),MONTH(A15),1),FALSE)),"")</f>
        <v/>
      </c>
      <c r="W15" s="181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Mgmt'!$M$5:$M$428,0))),1)&gt;=DATE(YEAR(A15),MONTH(A15),1),FALSE)),"")</f>
        <v/>
      </c>
      <c r="X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Mgmt'!$M$5:$M$428,0))),1)&gt;=DATE(YEAR(A15),MONTH(A15),1),FALSE))&gt;0),IFERROR(SUMPRODUCT(('Client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Mgmt'!$M$5:$M$428,0))),1)&gt;=DATE(YEAR(A15),MONTH(A15),1),FALSE)*'Client DB &amp; Bed Mgmt'!$I$5:$I$428),0),"")</f>
        <v/>
      </c>
      <c r="Y15" s="189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Mgmt'!$M$5:$M$428,0))),1)&gt;=DATE(YEAR(A15),MONTH(A15),1),FALSE))&gt;0),IFERROR(SUMPRODUCT(('Client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Mgmt'!$M$5:$M$428,0))),1)&gt;=DATE(YEAR(A15),MONTH(A15),1),FALSE)*'Client DB &amp; Bed Mgmt'!$J$5:$J$428),0),"")</f>
        <v/>
      </c>
      <c r="Z15" s="192">
        <f>IF(AND(EDATE($B$4,0)&lt;=EOMONTH($B$5,0),SUMPRODUCT(('Client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Mgmt'!$M$5:$M$428,0))),1)&gt;=DATE(YEAR(A15),MONTH(A15),1),FALSE))&gt;0),IFERROR(SUMPRODUCT(('Client DB &amp; Bed Mgmt'!$A$5:$A$428=B15)*('Client DB &amp; Bed Mgmt'!$D$5:$D$428&lt;&gt;"")*--IFERROR(DATE(YEAR('Client DB &amp; Bed Mgmt'!$M$5:$M$428),MONTH('Client DB &amp; Bed Mgmt'!$M$5:$M$428),1)&lt;=DATE(YEAR(A15),MONTH(A15),1),FALSE)*--IFERROR(DATE(YEAR(IF(ISNUMBER('Client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Mgmt'!$M$5:$M$428,0))),1)&gt;=DATE(YEAR(A15),MONTH(A15),1),FALSE)*'Client DB &amp; Bed Mgmt'!$K$5:$K$428),0),"")</f>
        <v/>
      </c>
      <c r="AA15" s="82" t="n"/>
      <c r="AB15" s="82" t="n"/>
    </row>
    <row r="16" hidden="1" ht="14.25" customHeight="1" s="83">
      <c r="A16" s="177">
        <f>IF(EDATE($B$4,0)&lt;=EOMONTH($B$5,0),EDATE($B$4,0),"")</f>
        <v/>
      </c>
      <c r="B16" s="103">
        <f>IF(EDATE($B$4,0)&lt;=EOMONTH($B$5,0),"Dorm 3","")</f>
        <v/>
      </c>
      <c r="C16" s="17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Mgmt'!$M$5:$M$428,0))),1)&gt;=DATE(YEAR(A16),MONTH(A16),1),FALSE))&gt;0),IFERROR(_xlfn.XLOOKUP(B16,DormRegistry[Dorm Name],DormRegistry[Ownership Type]),""),"")</f>
        <v/>
      </c>
      <c r="D16" s="17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Mgmt'!$M$5:$M$428,0))),1)&gt;=DATE(YEAR(A16),MONTH(A16),1),FALSE))&gt;0),IFERROR(_xlfn.XLOOKUP(B16,DormRegistry[Dorm Name],DormRegistry[Bed Capacity]),0),"")</f>
        <v/>
      </c>
      <c r="E16" s="13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Mgmt'!$M$5:$M$428,0))),1)&gt;=DATE(YEAR(A16),MONTH(A16),1),FALSE))&gt;0),$B$7*(1+$B$9)^(YEAR(A16)-YEAR($B$4)),"")</f>
        <v/>
      </c>
      <c r="F16" s="105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Mgmt'!$M$5:$M$428,0))),1)&gt;=DATE(YEAR(A16),MONTH(A16),1),FALSE))&gt;0),$B$8,"")</f>
        <v/>
      </c>
      <c r="G16" s="105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Mgmt'!$M$5:$M$428,0))),1)&gt;=DATE(YEAR(A16),MONTH(A16),1),FALSE))&gt;0),$B$9,"")</f>
        <v/>
      </c>
      <c r="H16" s="13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Mgmt'!$M$5:$M$428,0))),1)&gt;=DATE(YEAR(A16),MONTH(A16),1),FALSE))&gt;0),D16*E16,"")</f>
        <v/>
      </c>
      <c r="I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Mgmt'!$M$5:$M$428,0))),1)&gt;=DATE(YEAR(A16),MONTH(A16),1),FALSE))&gt;0),SUM(X16:Z16),"")</f>
        <v/>
      </c>
      <c r="J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Mgmt'!$M$5:$M$428,0))),1)&gt;=DATE(YEAR(A16),MONTH(A16),1),FALSE))&gt;0),D16*F16*E16,"")</f>
        <v/>
      </c>
      <c r="K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Mgmt'!$M$5:$M$428,0))),1)&gt;=DATE(YEAR(A16),MONTH(A16),1),FALSE))&gt;0),75,"")</f>
        <v/>
      </c>
      <c r="L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Mgmt'!$M$5:$M$428,0))),1)&gt;=DATE(YEAR(A16),MONTH(A16),1),FALSE))&gt;0),50,"")</f>
        <v/>
      </c>
      <c r="M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Mgmt'!$M$5:$M$428,0))),1)&gt;=DATE(YEAR(A16),MONTH(A16),1),FALSE))&gt;0),150,"")</f>
        <v/>
      </c>
      <c r="N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Mgmt'!$M$5:$M$428,0))),1)&gt;=DATE(YEAR(A16),MONTH(A16),1),FALSE))&gt;0),125,"")</f>
        <v/>
      </c>
      <c r="O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Mgmt'!$M$5:$M$428,0))),1)&gt;=DATE(YEAR(A16),MONTH(A16),1),FALSE))&gt;0),60,"")</f>
        <v/>
      </c>
      <c r="P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Mgmt'!$M$5:$M$428,0))),1)&gt;=DATE(YEAR(A16),MONTH(A16),1),FALSE))&gt;0),80,"")</f>
        <v/>
      </c>
      <c r="Q16" s="190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Mgmt'!$M$5:$M$428,0))),1)&gt;=DATE(YEAR(A16),MONTH(A16),1),FALSE))&gt;0),40,"")</f>
        <v/>
      </c>
      <c r="R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Mgmt'!$M$5:$M$428,0))),1)&gt;=DATE(YEAR(A16),MONTH(A16),1),FALSE))&gt;0),IF(C16="Owned",0,2500),"")</f>
        <v/>
      </c>
      <c r="S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Mgmt'!$M$5:$M$428,0))),1)&gt;=DATE(YEAR(A16),MONTH(A16),1),FALSE))&gt;0),SUM(K16:R16),"")</f>
        <v/>
      </c>
      <c r="T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Mgmt'!$M$5:$M$428,0))),1)&gt;=DATE(YEAR(A16),MONTH(A16),1),FALSE))&gt;0),I16-S16,"")</f>
        <v/>
      </c>
      <c r="U16" s="105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Mgmt'!$M$5:$M$428,0))),1)&gt;=DATE(YEAR(A16),MONTH(A16),1),FALSE))&gt;0),IFERROR(T16/I16,0),"")</f>
        <v/>
      </c>
      <c r="V16" s="191">
        <f>IF(EDATE($B$4,0)&lt;=EOMONTH($B$5,0),SUMPRODUCT(('Client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Mgmt'!$M$5:$M$428,0))),1)&gt;=DATE(YEAR(A16),MONTH(A16),1),FALSE)),"")</f>
        <v/>
      </c>
      <c r="W16" s="181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Mgmt'!$M$5:$M$428,0))),1)&gt;=DATE(YEAR(A16),MONTH(A16),1),FALSE)),"")</f>
        <v/>
      </c>
      <c r="X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Mgmt'!$M$5:$M$428,0))),1)&gt;=DATE(YEAR(A16),MONTH(A16),1),FALSE))&gt;0),IFERROR(SUMPRODUCT(('Client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Mgmt'!$M$5:$M$428,0))),1)&gt;=DATE(YEAR(A16),MONTH(A16),1),FALSE)*'Client DB &amp; Bed Mgmt'!$I$5:$I$428),0),"")</f>
        <v/>
      </c>
      <c r="Y16" s="189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Mgmt'!$M$5:$M$428,0))),1)&gt;=DATE(YEAR(A16),MONTH(A16),1),FALSE))&gt;0),IFERROR(SUMPRODUCT(('Client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Mgmt'!$M$5:$M$428,0))),1)&gt;=DATE(YEAR(A16),MONTH(A16),1),FALSE)*'Client DB &amp; Bed Mgmt'!$J$5:$J$428),0),"")</f>
        <v/>
      </c>
      <c r="Z16" s="192">
        <f>IF(AND(EDATE($B$4,0)&lt;=EOMONTH($B$5,0),SUMPRODUCT(('Client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Mgmt'!$M$5:$M$428,0))),1)&gt;=DATE(YEAR(A16),MONTH(A16),1),FALSE))&gt;0),IFERROR(SUMPRODUCT(('Client DB &amp; Bed Mgmt'!$A$5:$A$428=B16)*('Client DB &amp; Bed Mgmt'!$D$5:$D$428&lt;&gt;"")*--IFERROR(DATE(YEAR('Client DB &amp; Bed Mgmt'!$M$5:$M$428),MONTH('Client DB &amp; Bed Mgmt'!$M$5:$M$428),1)&lt;=DATE(YEAR(A16),MONTH(A16),1),FALSE)*--IFERROR(DATE(YEAR(IF(ISNUMBER('Client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Mgmt'!$M$5:$M$428,0))),1)&gt;=DATE(YEAR(A16),MONTH(A16),1),FALSE)*'Client DB &amp; Bed Mgmt'!$K$5:$K$428),0),"")</f>
        <v/>
      </c>
      <c r="AA16" s="82" t="n"/>
      <c r="AB16" s="82" t="n"/>
    </row>
    <row r="17" ht="14.25" customHeight="1" s="83">
      <c r="A17" s="177">
        <f>IF(EDATE($B$4,1)&lt;=EOMONTH($B$5,0),EDATE($B$4,1),"")</f>
        <v/>
      </c>
      <c r="B17" s="103">
        <f>IF(EDATE($B$4,1)&lt;=EOMONTH($B$5,0),"Dorm 1","")</f>
        <v/>
      </c>
      <c r="C17" s="17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Mgmt'!$M$5:$M$428,0))),1)&gt;=DATE(YEAR(A17),MONTH(A17),1),FALSE))&gt;0),IFERROR(_xlfn.XLOOKUP(B17,DormRegistry[Dorm Name],DormRegistry[Ownership Type]),""),"")</f>
        <v/>
      </c>
      <c r="D17" s="17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Mgmt'!$M$5:$M$428,0))),1)&gt;=DATE(YEAR(A17),MONTH(A17),1),FALSE))&gt;0),IFERROR(_xlfn.XLOOKUP(B17,DormRegistry[Dorm Name],DormRegistry[Bed Capacity]),0),"")</f>
        <v/>
      </c>
      <c r="E17" s="13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Mgmt'!$M$5:$M$428,0))),1)&gt;=DATE(YEAR(A17),MONTH(A17),1),FALSE))&gt;0),$B$7*(1+$B$9)^(YEAR(A17)-YEAR($B$4)),"")</f>
        <v/>
      </c>
      <c r="F17" s="105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Mgmt'!$M$5:$M$428,0))),1)&gt;=DATE(YEAR(A17),MONTH(A17),1),FALSE))&gt;0),$B$8,"")</f>
        <v/>
      </c>
      <c r="G17" s="105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Mgmt'!$M$5:$M$428,0))),1)&gt;=DATE(YEAR(A17),MONTH(A17),1),FALSE))&gt;0),$B$9,"")</f>
        <v/>
      </c>
      <c r="H17" s="13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Mgmt'!$M$5:$M$428,0))),1)&gt;=DATE(YEAR(A17),MONTH(A17),1),FALSE))&gt;0),D17*E17,"")</f>
        <v/>
      </c>
      <c r="I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Mgmt'!$M$5:$M$428,0))),1)&gt;=DATE(YEAR(A17),MONTH(A17),1),FALSE))&gt;0),SUM(X17:Z17),"")</f>
        <v/>
      </c>
      <c r="J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Mgmt'!$M$5:$M$428,0))),1)&gt;=DATE(YEAR(A17),MONTH(A17),1),FALSE))&gt;0),D17*F17*E17,"")</f>
        <v/>
      </c>
      <c r="K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Mgmt'!$M$5:$M$428,0))),1)&gt;=DATE(YEAR(A17),MONTH(A17),1),FALSE))&gt;0),75,"")</f>
        <v/>
      </c>
      <c r="L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Mgmt'!$M$5:$M$428,0))),1)&gt;=DATE(YEAR(A17),MONTH(A17),1),FALSE))&gt;0),50,"")</f>
        <v/>
      </c>
      <c r="M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Mgmt'!$M$5:$M$428,0))),1)&gt;=DATE(YEAR(A17),MONTH(A17),1),FALSE))&gt;0),150,"")</f>
        <v/>
      </c>
      <c r="N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Mgmt'!$M$5:$M$428,0))),1)&gt;=DATE(YEAR(A17),MONTH(A17),1),FALSE))&gt;0),125,"")</f>
        <v/>
      </c>
      <c r="O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Mgmt'!$M$5:$M$428,0))),1)&gt;=DATE(YEAR(A17),MONTH(A17),1),FALSE))&gt;0),60,"")</f>
        <v/>
      </c>
      <c r="P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Mgmt'!$M$5:$M$428,0))),1)&gt;=DATE(YEAR(A17),MONTH(A17),1),FALSE))&gt;0),80,"")</f>
        <v/>
      </c>
      <c r="Q17" s="190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Mgmt'!$M$5:$M$428,0))),1)&gt;=DATE(YEAR(A17),MONTH(A17),1),FALSE))&gt;0),40,"")</f>
        <v/>
      </c>
      <c r="R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Mgmt'!$M$5:$M$428,0))),1)&gt;=DATE(YEAR(A17),MONTH(A17),1),FALSE))&gt;0),IF(C17="Owned",0,2500),"")</f>
        <v/>
      </c>
      <c r="S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Mgmt'!$M$5:$M$428,0))),1)&gt;=DATE(YEAR(A17),MONTH(A17),1),FALSE))&gt;0),SUM(K17:R17),"")</f>
        <v/>
      </c>
      <c r="T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Mgmt'!$M$5:$M$428,0))),1)&gt;=DATE(YEAR(A17),MONTH(A17),1),FALSE))&gt;0),I17-S17,"")</f>
        <v/>
      </c>
      <c r="U17" s="105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Mgmt'!$M$5:$M$428,0))),1)&gt;=DATE(YEAR(A17),MONTH(A17),1),FALSE))&gt;0),IFERROR(T17/I17,0),"")</f>
        <v/>
      </c>
      <c r="V17" s="191">
        <f>IF(EDATE($B$4,1)&lt;=EOMONTH($B$5,0),SUMPRODUCT(('Client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Mgmt'!$M$5:$M$428,0))),1)&gt;=DATE(YEAR(A17),MONTH(A17),1),FALSE)),"")</f>
        <v/>
      </c>
      <c r="W17" s="181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Mgmt'!$M$5:$M$428,0))),1)&gt;=DATE(YEAR(A17),MONTH(A17),1),FALSE)),"")</f>
        <v/>
      </c>
      <c r="X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Mgmt'!$M$5:$M$428,0))),1)&gt;=DATE(YEAR(A17),MONTH(A17),1),FALSE))&gt;0),IFERROR(SUMPRODUCT(('Client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Mgmt'!$M$5:$M$428,0))),1)&gt;=DATE(YEAR(A17),MONTH(A17),1),FALSE)*'Client DB &amp; Bed Mgmt'!$I$5:$I$428),0),"")</f>
        <v/>
      </c>
      <c r="Y17" s="189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Mgmt'!$M$5:$M$428,0))),1)&gt;=DATE(YEAR(A17),MONTH(A17),1),FALSE))&gt;0),IFERROR(SUMPRODUCT(('Client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Mgmt'!$M$5:$M$428,0))),1)&gt;=DATE(YEAR(A17),MONTH(A17),1),FALSE)*'Client DB &amp; Bed Mgmt'!$J$5:$J$428),0),"")</f>
        <v/>
      </c>
      <c r="Z17" s="192">
        <f>IF(AND(EDATE($B$4,1)&lt;=EOMONTH($B$5,0),SUMPRODUCT(('Client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Mgmt'!$M$5:$M$428,0))),1)&gt;=DATE(YEAR(A17),MONTH(A17),1),FALSE))&gt;0),IFERROR(SUMPRODUCT(('Client DB &amp; Bed Mgmt'!$A$5:$A$428=B17)*('Client DB &amp; Bed Mgmt'!$D$5:$D$428&lt;&gt;"")*--IFERROR(DATE(YEAR('Client DB &amp; Bed Mgmt'!$M$5:$M$428),MONTH('Client DB &amp; Bed Mgmt'!$M$5:$M$428),1)&lt;=DATE(YEAR(A17),MONTH(A17),1),FALSE)*--IFERROR(DATE(YEAR(IF(ISNUMBER('Client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Mgmt'!$M$5:$M$428,0))),1)&gt;=DATE(YEAR(A17),MONTH(A17),1),FALSE)*'Client DB &amp; Bed Mgmt'!$K$5:$K$428),0),"")</f>
        <v/>
      </c>
      <c r="AA17" s="82" t="n"/>
      <c r="AB17" s="82" t="n"/>
    </row>
    <row r="18" hidden="1" ht="14.25" customHeight="1" s="83">
      <c r="A18" s="177">
        <f>IF(EDATE($B$4,1)&lt;=EOMONTH($B$5,0),EDATE($B$4,1),"")</f>
        <v/>
      </c>
      <c r="B18" s="103">
        <f>IF(EDATE($B$4,1)&lt;=EOMONTH($B$5,0),"Dorm 2","")</f>
        <v/>
      </c>
      <c r="C18" s="17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Mgmt'!$M$5:$M$428,0))),1)&gt;=DATE(YEAR(A18),MONTH(A18),1),FALSE))&gt;0),IFERROR(_xlfn.XLOOKUP(B18,DormRegistry[Dorm Name],DormRegistry[Ownership Type]),""),"")</f>
        <v/>
      </c>
      <c r="D18" s="17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Mgmt'!$M$5:$M$428,0))),1)&gt;=DATE(YEAR(A18),MONTH(A18),1),FALSE))&gt;0),IFERROR(_xlfn.XLOOKUP(B18,DormRegistry[Dorm Name],DormRegistry[Bed Capacity]),0),"")</f>
        <v/>
      </c>
      <c r="E18" s="13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Mgmt'!$M$5:$M$428,0))),1)&gt;=DATE(YEAR(A18),MONTH(A18),1),FALSE))&gt;0),$B$7*(1+$B$9)^(YEAR(A18)-YEAR($B$4)),"")</f>
        <v/>
      </c>
      <c r="F18" s="105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Mgmt'!$M$5:$M$428,0))),1)&gt;=DATE(YEAR(A18),MONTH(A18),1),FALSE))&gt;0),$B$8,"")</f>
        <v/>
      </c>
      <c r="G18" s="105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Mgmt'!$M$5:$M$428,0))),1)&gt;=DATE(YEAR(A18),MONTH(A18),1),FALSE))&gt;0),$B$9,"")</f>
        <v/>
      </c>
      <c r="H18" s="13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Mgmt'!$M$5:$M$428,0))),1)&gt;=DATE(YEAR(A18),MONTH(A18),1),FALSE))&gt;0),D18*E18,"")</f>
        <v/>
      </c>
      <c r="I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Mgmt'!$M$5:$M$428,0))),1)&gt;=DATE(YEAR(A18),MONTH(A18),1),FALSE))&gt;0),SUM(X18:Z18),"")</f>
        <v/>
      </c>
      <c r="J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Mgmt'!$M$5:$M$428,0))),1)&gt;=DATE(YEAR(A18),MONTH(A18),1),FALSE))&gt;0),D18*F18*E18,"")</f>
        <v/>
      </c>
      <c r="K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Mgmt'!$M$5:$M$428,0))),1)&gt;=DATE(YEAR(A18),MONTH(A18),1),FALSE))&gt;0),75,"")</f>
        <v/>
      </c>
      <c r="L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Mgmt'!$M$5:$M$428,0))),1)&gt;=DATE(YEAR(A18),MONTH(A18),1),FALSE))&gt;0),50,"")</f>
        <v/>
      </c>
      <c r="M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Mgmt'!$M$5:$M$428,0))),1)&gt;=DATE(YEAR(A18),MONTH(A18),1),FALSE))&gt;0),150,"")</f>
        <v/>
      </c>
      <c r="N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Mgmt'!$M$5:$M$428,0))),1)&gt;=DATE(YEAR(A18),MONTH(A18),1),FALSE))&gt;0),125,"")</f>
        <v/>
      </c>
      <c r="O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Mgmt'!$M$5:$M$428,0))),1)&gt;=DATE(YEAR(A18),MONTH(A18),1),FALSE))&gt;0),60,"")</f>
        <v/>
      </c>
      <c r="P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Mgmt'!$M$5:$M$428,0))),1)&gt;=DATE(YEAR(A18),MONTH(A18),1),FALSE))&gt;0),80,"")</f>
        <v/>
      </c>
      <c r="Q18" s="190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Mgmt'!$M$5:$M$428,0))),1)&gt;=DATE(YEAR(A18),MONTH(A18),1),FALSE))&gt;0),40,"")</f>
        <v/>
      </c>
      <c r="R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Mgmt'!$M$5:$M$428,0))),1)&gt;=DATE(YEAR(A18),MONTH(A18),1),FALSE))&gt;0),IF(C18="Owned",0,2500),"")</f>
        <v/>
      </c>
      <c r="S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Mgmt'!$M$5:$M$428,0))),1)&gt;=DATE(YEAR(A18),MONTH(A18),1),FALSE))&gt;0),SUM(K18:R18),"")</f>
        <v/>
      </c>
      <c r="T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Mgmt'!$M$5:$M$428,0))),1)&gt;=DATE(YEAR(A18),MONTH(A18),1),FALSE))&gt;0),I18-S18,"")</f>
        <v/>
      </c>
      <c r="U18" s="105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Mgmt'!$M$5:$M$428,0))),1)&gt;=DATE(YEAR(A18),MONTH(A18),1),FALSE))&gt;0),IFERROR(T18/I18,0),"")</f>
        <v/>
      </c>
      <c r="V18" s="191">
        <f>IF(EDATE($B$4,1)&lt;=EOMONTH($B$5,0),SUMPRODUCT(('Client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Mgmt'!$M$5:$M$428,0))),1)&gt;=DATE(YEAR(A18),MONTH(A18),1),FALSE)),"")</f>
        <v/>
      </c>
      <c r="W18" s="181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Mgmt'!$M$5:$M$428,0))),1)&gt;=DATE(YEAR(A18),MONTH(A18),1),FALSE)),"")</f>
        <v/>
      </c>
      <c r="X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Mgmt'!$M$5:$M$428,0))),1)&gt;=DATE(YEAR(A18),MONTH(A18),1),FALSE))&gt;0),IFERROR(SUMPRODUCT(('Client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Mgmt'!$M$5:$M$428,0))),1)&gt;=DATE(YEAR(A18),MONTH(A18),1),FALSE)*'Client DB &amp; Bed Mgmt'!$I$5:$I$428),0),"")</f>
        <v/>
      </c>
      <c r="Y18" s="189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Mgmt'!$M$5:$M$428,0))),1)&gt;=DATE(YEAR(A18),MONTH(A18),1),FALSE))&gt;0),IFERROR(SUMPRODUCT(('Client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Mgmt'!$M$5:$M$428,0))),1)&gt;=DATE(YEAR(A18),MONTH(A18),1),FALSE)*'Client DB &amp; Bed Mgmt'!$J$5:$J$428),0),"")</f>
        <v/>
      </c>
      <c r="Z18" s="192">
        <f>IF(AND(EDATE($B$4,1)&lt;=EOMONTH($B$5,0),SUMPRODUCT(('Client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Mgmt'!$M$5:$M$428,0))),1)&gt;=DATE(YEAR(A18),MONTH(A18),1),FALSE))&gt;0),IFERROR(SUMPRODUCT(('Client DB &amp; Bed Mgmt'!$A$5:$A$428=B18)*('Client DB &amp; Bed Mgmt'!$D$5:$D$428&lt;&gt;"")*--IFERROR(DATE(YEAR('Client DB &amp; Bed Mgmt'!$M$5:$M$428),MONTH('Client DB &amp; Bed Mgmt'!$M$5:$M$428),1)&lt;=DATE(YEAR(A18),MONTH(A18),1),FALSE)*--IFERROR(DATE(YEAR(IF(ISNUMBER('Client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Mgmt'!$M$5:$M$428,0))),1)&gt;=DATE(YEAR(A18),MONTH(A18),1),FALSE)*'Client DB &amp; Bed Mgmt'!$K$5:$K$428),0),"")</f>
        <v/>
      </c>
      <c r="AA18" s="82" t="n"/>
      <c r="AB18" s="82" t="n"/>
    </row>
    <row r="19" hidden="1" ht="14.25" customHeight="1" s="83">
      <c r="A19" s="177">
        <f>IF(EDATE($B$4,1)&lt;=EOMONTH($B$5,0),EDATE($B$4,1),"")</f>
        <v/>
      </c>
      <c r="B19" s="103">
        <f>IF(EDATE($B$4,1)&lt;=EOMONTH($B$5,0),"Dorm 3","")</f>
        <v/>
      </c>
      <c r="C19" s="17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Mgmt'!$M$5:$M$428,0))),1)&gt;=DATE(YEAR(A19),MONTH(A19),1),FALSE))&gt;0),IFERROR(_xlfn.XLOOKUP(B19,DormRegistry[Dorm Name],DormRegistry[Ownership Type]),""),"")</f>
        <v/>
      </c>
      <c r="D19" s="17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Mgmt'!$M$5:$M$428,0))),1)&gt;=DATE(YEAR(A19),MONTH(A19),1),FALSE))&gt;0),IFERROR(_xlfn.XLOOKUP(B19,DormRegistry[Dorm Name],DormRegistry[Bed Capacity]),0),"")</f>
        <v/>
      </c>
      <c r="E19" s="13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Mgmt'!$M$5:$M$428,0))),1)&gt;=DATE(YEAR(A19),MONTH(A19),1),FALSE))&gt;0),$B$7*(1+$B$9)^(YEAR(A19)-YEAR($B$4)),"")</f>
        <v/>
      </c>
      <c r="F19" s="105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Mgmt'!$M$5:$M$428,0))),1)&gt;=DATE(YEAR(A19),MONTH(A19),1),FALSE))&gt;0),$B$8,"")</f>
        <v/>
      </c>
      <c r="G19" s="105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Mgmt'!$M$5:$M$428,0))),1)&gt;=DATE(YEAR(A19),MONTH(A19),1),FALSE))&gt;0),$B$9,"")</f>
        <v/>
      </c>
      <c r="H19" s="13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Mgmt'!$M$5:$M$428,0))),1)&gt;=DATE(YEAR(A19),MONTH(A19),1),FALSE))&gt;0),D19*E19,"")</f>
        <v/>
      </c>
      <c r="I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Mgmt'!$M$5:$M$428,0))),1)&gt;=DATE(YEAR(A19),MONTH(A19),1),FALSE))&gt;0),SUM(X19:Z19),"")</f>
        <v/>
      </c>
      <c r="J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Mgmt'!$M$5:$M$428,0))),1)&gt;=DATE(YEAR(A19),MONTH(A19),1),FALSE))&gt;0),D19*F19*E19,"")</f>
        <v/>
      </c>
      <c r="K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Mgmt'!$M$5:$M$428,0))),1)&gt;=DATE(YEAR(A19),MONTH(A19),1),FALSE))&gt;0),75,"")</f>
        <v/>
      </c>
      <c r="L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Mgmt'!$M$5:$M$428,0))),1)&gt;=DATE(YEAR(A19),MONTH(A19),1),FALSE))&gt;0),50,"")</f>
        <v/>
      </c>
      <c r="M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Mgmt'!$M$5:$M$428,0))),1)&gt;=DATE(YEAR(A19),MONTH(A19),1),FALSE))&gt;0),150,"")</f>
        <v/>
      </c>
      <c r="N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Mgmt'!$M$5:$M$428,0))),1)&gt;=DATE(YEAR(A19),MONTH(A19),1),FALSE))&gt;0),125,"")</f>
        <v/>
      </c>
      <c r="O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Mgmt'!$M$5:$M$428,0))),1)&gt;=DATE(YEAR(A19),MONTH(A19),1),FALSE))&gt;0),60,"")</f>
        <v/>
      </c>
      <c r="P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Mgmt'!$M$5:$M$428,0))),1)&gt;=DATE(YEAR(A19),MONTH(A19),1),FALSE))&gt;0),80,"")</f>
        <v/>
      </c>
      <c r="Q19" s="190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Mgmt'!$M$5:$M$428,0))),1)&gt;=DATE(YEAR(A19),MONTH(A19),1),FALSE))&gt;0),40,"")</f>
        <v/>
      </c>
      <c r="R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Mgmt'!$M$5:$M$428,0))),1)&gt;=DATE(YEAR(A19),MONTH(A19),1),FALSE))&gt;0),IF(C19="Owned",0,2500),"")</f>
        <v/>
      </c>
      <c r="S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Mgmt'!$M$5:$M$428,0))),1)&gt;=DATE(YEAR(A19),MONTH(A19),1),FALSE))&gt;0),SUM(K19:R19),"")</f>
        <v/>
      </c>
      <c r="T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Mgmt'!$M$5:$M$428,0))),1)&gt;=DATE(YEAR(A19),MONTH(A19),1),FALSE))&gt;0),I19-S19,"")</f>
        <v/>
      </c>
      <c r="U19" s="105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Mgmt'!$M$5:$M$428,0))),1)&gt;=DATE(YEAR(A19),MONTH(A19),1),FALSE))&gt;0),IFERROR(T19/I19,0),"")</f>
        <v/>
      </c>
      <c r="V19" s="191">
        <f>IF(EDATE($B$4,1)&lt;=EOMONTH($B$5,0),SUMPRODUCT(('Client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Mgmt'!$M$5:$M$428,0))),1)&gt;=DATE(YEAR(A19),MONTH(A19),1),FALSE)),"")</f>
        <v/>
      </c>
      <c r="W19" s="181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Mgmt'!$M$5:$M$428,0))),1)&gt;=DATE(YEAR(A19),MONTH(A19),1),FALSE)),"")</f>
        <v/>
      </c>
      <c r="X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Mgmt'!$M$5:$M$428,0))),1)&gt;=DATE(YEAR(A19),MONTH(A19),1),FALSE))&gt;0),IFERROR(SUMPRODUCT(('Client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Mgmt'!$M$5:$M$428,0))),1)&gt;=DATE(YEAR(A19),MONTH(A19),1),FALSE)*'Client DB &amp; Bed Mgmt'!$I$5:$I$428),0),"")</f>
        <v/>
      </c>
      <c r="Y19" s="189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Mgmt'!$M$5:$M$428,0))),1)&gt;=DATE(YEAR(A19),MONTH(A19),1),FALSE))&gt;0),IFERROR(SUMPRODUCT(('Client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Mgmt'!$M$5:$M$428,0))),1)&gt;=DATE(YEAR(A19),MONTH(A19),1),FALSE)*'Client DB &amp; Bed Mgmt'!$J$5:$J$428),0),"")</f>
        <v/>
      </c>
      <c r="Z19" s="192">
        <f>IF(AND(EDATE($B$4,1)&lt;=EOMONTH($B$5,0),SUMPRODUCT(('Client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Mgmt'!$M$5:$M$428,0))),1)&gt;=DATE(YEAR(A19),MONTH(A19),1),FALSE))&gt;0),IFERROR(SUMPRODUCT(('Client DB &amp; Bed Mgmt'!$A$5:$A$428=B19)*('Client DB &amp; Bed Mgmt'!$D$5:$D$428&lt;&gt;"")*--IFERROR(DATE(YEAR('Client DB &amp; Bed Mgmt'!$M$5:$M$428),MONTH('Client DB &amp; Bed Mgmt'!$M$5:$M$428),1)&lt;=DATE(YEAR(A19),MONTH(A19),1),FALSE)*--IFERROR(DATE(YEAR(IF(ISNUMBER('Client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Mgmt'!$M$5:$M$428,0))),1)&gt;=DATE(YEAR(A19),MONTH(A19),1),FALSE)*'Client DB &amp; Bed Mgmt'!$K$5:$K$428),0),"")</f>
        <v/>
      </c>
      <c r="AA19" s="82" t="n"/>
      <c r="AB19" s="82" t="n"/>
    </row>
    <row r="20" ht="14.25" customHeight="1" s="83">
      <c r="A20" s="177">
        <f>IF(EDATE($B$4,2)&lt;=EOMONTH($B$5,0),EDATE($B$4,2),"")</f>
        <v/>
      </c>
      <c r="B20" s="103">
        <f>IF(EDATE($B$4,2)&lt;=EOMONTH($B$5,0),"Dorm 1","")</f>
        <v/>
      </c>
      <c r="C20" s="17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Mgmt'!$M$5:$M$428,0))),1)&gt;=DATE(YEAR(A20),MONTH(A20),1),FALSE))&gt;0),IFERROR(_xlfn.XLOOKUP(B20,DormRegistry[Dorm Name],DormRegistry[Ownership Type]),""),"")</f>
        <v/>
      </c>
      <c r="D20" s="17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Mgmt'!$M$5:$M$428,0))),1)&gt;=DATE(YEAR(A20),MONTH(A20),1),FALSE))&gt;0),IFERROR(_xlfn.XLOOKUP(B20,DormRegistry[Dorm Name],DormRegistry[Bed Capacity]),0),"")</f>
        <v/>
      </c>
      <c r="E20" s="13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Mgmt'!$M$5:$M$428,0))),1)&gt;=DATE(YEAR(A20),MONTH(A20),1),FALSE))&gt;0),$B$7*(1+$B$9)^(YEAR(A20)-YEAR($B$4)),"")</f>
        <v/>
      </c>
      <c r="F20" s="105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Mgmt'!$M$5:$M$428,0))),1)&gt;=DATE(YEAR(A20),MONTH(A20),1),FALSE))&gt;0),$B$8,"")</f>
        <v/>
      </c>
      <c r="G20" s="105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Mgmt'!$M$5:$M$428,0))),1)&gt;=DATE(YEAR(A20),MONTH(A20),1),FALSE))&gt;0),$B$9,"")</f>
        <v/>
      </c>
      <c r="H20" s="13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Mgmt'!$M$5:$M$428,0))),1)&gt;=DATE(YEAR(A20),MONTH(A20),1),FALSE))&gt;0),D20*E20,"")</f>
        <v/>
      </c>
      <c r="I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Mgmt'!$M$5:$M$428,0))),1)&gt;=DATE(YEAR(A20),MONTH(A20),1),FALSE))&gt;0),SUM(X20:Z20),"")</f>
        <v/>
      </c>
      <c r="J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Mgmt'!$M$5:$M$428,0))),1)&gt;=DATE(YEAR(A20),MONTH(A20),1),FALSE))&gt;0),D20*F20*E20,"")</f>
        <v/>
      </c>
      <c r="K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Mgmt'!$M$5:$M$428,0))),1)&gt;=DATE(YEAR(A20),MONTH(A20),1),FALSE))&gt;0),75,"")</f>
        <v/>
      </c>
      <c r="L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Mgmt'!$M$5:$M$428,0))),1)&gt;=DATE(YEAR(A20),MONTH(A20),1),FALSE))&gt;0),50,"")</f>
        <v/>
      </c>
      <c r="M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Mgmt'!$M$5:$M$428,0))),1)&gt;=DATE(YEAR(A20),MONTH(A20),1),FALSE))&gt;0),150,"")</f>
        <v/>
      </c>
      <c r="N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Mgmt'!$M$5:$M$428,0))),1)&gt;=DATE(YEAR(A20),MONTH(A20),1),FALSE))&gt;0),125,"")</f>
        <v/>
      </c>
      <c r="O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Mgmt'!$M$5:$M$428,0))),1)&gt;=DATE(YEAR(A20),MONTH(A20),1),FALSE))&gt;0),60,"")</f>
        <v/>
      </c>
      <c r="P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Mgmt'!$M$5:$M$428,0))),1)&gt;=DATE(YEAR(A20),MONTH(A20),1),FALSE))&gt;0),80,"")</f>
        <v/>
      </c>
      <c r="Q20" s="190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Mgmt'!$M$5:$M$428,0))),1)&gt;=DATE(YEAR(A20),MONTH(A20),1),FALSE))&gt;0),40,"")</f>
        <v/>
      </c>
      <c r="R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Mgmt'!$M$5:$M$428,0))),1)&gt;=DATE(YEAR(A20),MONTH(A20),1),FALSE))&gt;0),IF(C20="Owned",0,2500),"")</f>
        <v/>
      </c>
      <c r="S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Mgmt'!$M$5:$M$428,0))),1)&gt;=DATE(YEAR(A20),MONTH(A20),1),FALSE))&gt;0),SUM(K20:R20),"")</f>
        <v/>
      </c>
      <c r="T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Mgmt'!$M$5:$M$428,0))),1)&gt;=DATE(YEAR(A20),MONTH(A20),1),FALSE))&gt;0),I20-S20,"")</f>
        <v/>
      </c>
      <c r="U20" s="105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Mgmt'!$M$5:$M$428,0))),1)&gt;=DATE(YEAR(A20),MONTH(A20),1),FALSE))&gt;0),IFERROR(T20/I20,0),"")</f>
        <v/>
      </c>
      <c r="V20" s="191">
        <f>IF(EDATE($B$4,2)&lt;=EOMONTH($B$5,0),SUMPRODUCT(('Client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Mgmt'!$M$5:$M$428,0))),1)&gt;=DATE(YEAR(A20),MONTH(A20),1),FALSE)),"")</f>
        <v/>
      </c>
      <c r="W20" s="181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Mgmt'!$M$5:$M$428,0))),1)&gt;=DATE(YEAR(A20),MONTH(A20),1),FALSE)),"")</f>
        <v/>
      </c>
      <c r="X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Mgmt'!$M$5:$M$428,0))),1)&gt;=DATE(YEAR(A20),MONTH(A20),1),FALSE))&gt;0),IFERROR(SUMPRODUCT(('Client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Mgmt'!$M$5:$M$428,0))),1)&gt;=DATE(YEAR(A20),MONTH(A20),1),FALSE)*'Client DB &amp; Bed Mgmt'!$I$5:$I$428),0),"")</f>
        <v/>
      </c>
      <c r="Y20" s="189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Mgmt'!$M$5:$M$428,0))),1)&gt;=DATE(YEAR(A20),MONTH(A20),1),FALSE))&gt;0),IFERROR(SUMPRODUCT(('Client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Mgmt'!$M$5:$M$428,0))),1)&gt;=DATE(YEAR(A20),MONTH(A20),1),FALSE)*'Client DB &amp; Bed Mgmt'!$J$5:$J$428),0),"")</f>
        <v/>
      </c>
      <c r="Z20" s="192">
        <f>IF(AND(EDATE($B$4,2)&lt;=EOMONTH($B$5,0),SUMPRODUCT(('Client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Mgmt'!$M$5:$M$428,0))),1)&gt;=DATE(YEAR(A20),MONTH(A20),1),FALSE))&gt;0),IFERROR(SUMPRODUCT(('Client DB &amp; Bed Mgmt'!$A$5:$A$428=B20)*('Client DB &amp; Bed Mgmt'!$D$5:$D$428&lt;&gt;"")*--IFERROR(DATE(YEAR('Client DB &amp; Bed Mgmt'!$M$5:$M$428),MONTH('Client DB &amp; Bed Mgmt'!$M$5:$M$428),1)&lt;=DATE(YEAR(A20),MONTH(A20),1),FALSE)*--IFERROR(DATE(YEAR(IF(ISNUMBER('Client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Mgmt'!$M$5:$M$428,0))),1)&gt;=DATE(YEAR(A20),MONTH(A20),1),FALSE)*'Client DB &amp; Bed Mgmt'!$K$5:$K$428),0),"")</f>
        <v/>
      </c>
      <c r="AA20" s="82" t="n"/>
      <c r="AB20" s="82" t="n"/>
    </row>
    <row r="21" hidden="1" ht="14.25" customHeight="1" s="83">
      <c r="A21" s="177">
        <f>IF(EDATE($B$4,2)&lt;=EOMONTH($B$5,0),EDATE($B$4,2),"")</f>
        <v/>
      </c>
      <c r="B21" s="103">
        <f>IF(EDATE($B$4,2)&lt;=EOMONTH($B$5,0),"Dorm 2","")</f>
        <v/>
      </c>
      <c r="C21" s="17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Mgmt'!$M$5:$M$428,0))),1)&gt;=DATE(YEAR(A21),MONTH(A21),1),FALSE))&gt;0),IFERROR(_xlfn.XLOOKUP(B21,DormRegistry[Dorm Name],DormRegistry[Ownership Type]),""),"")</f>
        <v/>
      </c>
      <c r="D21" s="17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Mgmt'!$M$5:$M$428,0))),1)&gt;=DATE(YEAR(A21),MONTH(A21),1),FALSE))&gt;0),IFERROR(_xlfn.XLOOKUP(B21,DormRegistry[Dorm Name],DormRegistry[Bed Capacity]),0),"")</f>
        <v/>
      </c>
      <c r="E21" s="13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Mgmt'!$M$5:$M$428,0))),1)&gt;=DATE(YEAR(A21),MONTH(A21),1),FALSE))&gt;0),$B$7*(1+$B$9)^(YEAR(A21)-YEAR($B$4)),"")</f>
        <v/>
      </c>
      <c r="F21" s="105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Mgmt'!$M$5:$M$428,0))),1)&gt;=DATE(YEAR(A21),MONTH(A21),1),FALSE))&gt;0),$B$8,"")</f>
        <v/>
      </c>
      <c r="G21" s="105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Mgmt'!$M$5:$M$428,0))),1)&gt;=DATE(YEAR(A21),MONTH(A21),1),FALSE))&gt;0),$B$9,"")</f>
        <v/>
      </c>
      <c r="H21" s="13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Mgmt'!$M$5:$M$428,0))),1)&gt;=DATE(YEAR(A21),MONTH(A21),1),FALSE))&gt;0),D21*E21,"")</f>
        <v/>
      </c>
      <c r="I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Mgmt'!$M$5:$M$428,0))),1)&gt;=DATE(YEAR(A21),MONTH(A21),1),FALSE))&gt;0),SUM(X21:Z21),"")</f>
        <v/>
      </c>
      <c r="J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Mgmt'!$M$5:$M$428,0))),1)&gt;=DATE(YEAR(A21),MONTH(A21),1),FALSE))&gt;0),D21*F21*E21,"")</f>
        <v/>
      </c>
      <c r="K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Mgmt'!$M$5:$M$428,0))),1)&gt;=DATE(YEAR(A21),MONTH(A21),1),FALSE))&gt;0),75,"")</f>
        <v/>
      </c>
      <c r="L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Mgmt'!$M$5:$M$428,0))),1)&gt;=DATE(YEAR(A21),MONTH(A21),1),FALSE))&gt;0),50,"")</f>
        <v/>
      </c>
      <c r="M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Mgmt'!$M$5:$M$428,0))),1)&gt;=DATE(YEAR(A21),MONTH(A21),1),FALSE))&gt;0),150,"")</f>
        <v/>
      </c>
      <c r="N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Mgmt'!$M$5:$M$428,0))),1)&gt;=DATE(YEAR(A21),MONTH(A21),1),FALSE))&gt;0),125,"")</f>
        <v/>
      </c>
      <c r="O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Mgmt'!$M$5:$M$428,0))),1)&gt;=DATE(YEAR(A21),MONTH(A21),1),FALSE))&gt;0),60,"")</f>
        <v/>
      </c>
      <c r="P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Mgmt'!$M$5:$M$428,0))),1)&gt;=DATE(YEAR(A21),MONTH(A21),1),FALSE))&gt;0),80,"")</f>
        <v/>
      </c>
      <c r="Q21" s="190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Mgmt'!$M$5:$M$428,0))),1)&gt;=DATE(YEAR(A21),MONTH(A21),1),FALSE))&gt;0),40,"")</f>
        <v/>
      </c>
      <c r="R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Mgmt'!$M$5:$M$428,0))),1)&gt;=DATE(YEAR(A21),MONTH(A21),1),FALSE))&gt;0),IF(C21="Owned",0,2500),"")</f>
        <v/>
      </c>
      <c r="S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Mgmt'!$M$5:$M$428,0))),1)&gt;=DATE(YEAR(A21),MONTH(A21),1),FALSE))&gt;0),SUM(K21:R21),"")</f>
        <v/>
      </c>
      <c r="T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Mgmt'!$M$5:$M$428,0))),1)&gt;=DATE(YEAR(A21),MONTH(A21),1),FALSE))&gt;0),I21-S21,"")</f>
        <v/>
      </c>
      <c r="U21" s="105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Mgmt'!$M$5:$M$428,0))),1)&gt;=DATE(YEAR(A21),MONTH(A21),1),FALSE))&gt;0),IFERROR(T21/I21,0),"")</f>
        <v/>
      </c>
      <c r="V21" s="191">
        <f>IF(EDATE($B$4,2)&lt;=EOMONTH($B$5,0),SUMPRODUCT(('Client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Mgmt'!$M$5:$M$428,0))),1)&gt;=DATE(YEAR(A21),MONTH(A21),1),FALSE)),"")</f>
        <v/>
      </c>
      <c r="W21" s="181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Mgmt'!$M$5:$M$428,0))),1)&gt;=DATE(YEAR(A21),MONTH(A21),1),FALSE)),"")</f>
        <v/>
      </c>
      <c r="X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Mgmt'!$M$5:$M$428,0))),1)&gt;=DATE(YEAR(A21),MONTH(A21),1),FALSE))&gt;0),IFERROR(SUMPRODUCT(('Client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Mgmt'!$M$5:$M$428,0))),1)&gt;=DATE(YEAR(A21),MONTH(A21),1),FALSE)*'Client DB &amp; Bed Mgmt'!$I$5:$I$428),0),"")</f>
        <v/>
      </c>
      <c r="Y21" s="189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Mgmt'!$M$5:$M$428,0))),1)&gt;=DATE(YEAR(A21),MONTH(A21),1),FALSE))&gt;0),IFERROR(SUMPRODUCT(('Client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Mgmt'!$M$5:$M$428,0))),1)&gt;=DATE(YEAR(A21),MONTH(A21),1),FALSE)*'Client DB &amp; Bed Mgmt'!$J$5:$J$428),0),"")</f>
        <v/>
      </c>
      <c r="Z21" s="192">
        <f>IF(AND(EDATE($B$4,2)&lt;=EOMONTH($B$5,0),SUMPRODUCT(('Client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Mgmt'!$M$5:$M$428,0))),1)&gt;=DATE(YEAR(A21),MONTH(A21),1),FALSE))&gt;0),IFERROR(SUMPRODUCT(('Client DB &amp; Bed Mgmt'!$A$5:$A$428=B21)*('Client DB &amp; Bed Mgmt'!$D$5:$D$428&lt;&gt;"")*--IFERROR(DATE(YEAR('Client DB &amp; Bed Mgmt'!$M$5:$M$428),MONTH('Client DB &amp; Bed Mgmt'!$M$5:$M$428),1)&lt;=DATE(YEAR(A21),MONTH(A21),1),FALSE)*--IFERROR(DATE(YEAR(IF(ISNUMBER('Client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Mgmt'!$M$5:$M$428,0))),1)&gt;=DATE(YEAR(A21),MONTH(A21),1),FALSE)*'Client DB &amp; Bed Mgmt'!$K$5:$K$428),0),"")</f>
        <v/>
      </c>
      <c r="AA21" s="82" t="n"/>
      <c r="AB21" s="82" t="n"/>
    </row>
    <row r="22" hidden="1" ht="14.25" customHeight="1" s="83">
      <c r="A22" s="177">
        <f>IF(EDATE($B$4,2)&lt;=EOMONTH($B$5,0),EDATE($B$4,2),"")</f>
        <v/>
      </c>
      <c r="B22" s="103">
        <f>IF(EDATE($B$4,2)&lt;=EOMONTH($B$5,0),"Dorm 3","")</f>
        <v/>
      </c>
      <c r="C22" s="17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Mgmt'!$M$5:$M$428,0))),1)&gt;=DATE(YEAR(A22),MONTH(A22),1),FALSE))&gt;0),IFERROR(_xlfn.XLOOKUP(B22,DormRegistry[Dorm Name],DormRegistry[Ownership Type]),""),"")</f>
        <v/>
      </c>
      <c r="D22" s="17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Mgmt'!$M$5:$M$428,0))),1)&gt;=DATE(YEAR(A22),MONTH(A22),1),FALSE))&gt;0),IFERROR(_xlfn.XLOOKUP(B22,DormRegistry[Dorm Name],DormRegistry[Bed Capacity]),0),"")</f>
        <v/>
      </c>
      <c r="E22" s="13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Mgmt'!$M$5:$M$428,0))),1)&gt;=DATE(YEAR(A22),MONTH(A22),1),FALSE))&gt;0),$B$7*(1+$B$9)^(YEAR(A22)-YEAR($B$4)),"")</f>
        <v/>
      </c>
      <c r="F22" s="105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Mgmt'!$M$5:$M$428,0))),1)&gt;=DATE(YEAR(A22),MONTH(A22),1),FALSE))&gt;0),$B$8,"")</f>
        <v/>
      </c>
      <c r="G22" s="105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Mgmt'!$M$5:$M$428,0))),1)&gt;=DATE(YEAR(A22),MONTH(A22),1),FALSE))&gt;0),$B$9,"")</f>
        <v/>
      </c>
      <c r="H22" s="13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Mgmt'!$M$5:$M$428,0))),1)&gt;=DATE(YEAR(A22),MONTH(A22),1),FALSE))&gt;0),D22*E22,"")</f>
        <v/>
      </c>
      <c r="I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Mgmt'!$M$5:$M$428,0))),1)&gt;=DATE(YEAR(A22),MONTH(A22),1),FALSE))&gt;0),SUM(X22:Z22),"")</f>
        <v/>
      </c>
      <c r="J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Mgmt'!$M$5:$M$428,0))),1)&gt;=DATE(YEAR(A22),MONTH(A22),1),FALSE))&gt;0),D22*F22*E22,"")</f>
        <v/>
      </c>
      <c r="K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Mgmt'!$M$5:$M$428,0))),1)&gt;=DATE(YEAR(A22),MONTH(A22),1),FALSE))&gt;0),75,"")</f>
        <v/>
      </c>
      <c r="L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Mgmt'!$M$5:$M$428,0))),1)&gt;=DATE(YEAR(A22),MONTH(A22),1),FALSE))&gt;0),50,"")</f>
        <v/>
      </c>
      <c r="M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Mgmt'!$M$5:$M$428,0))),1)&gt;=DATE(YEAR(A22),MONTH(A22),1),FALSE))&gt;0),150,"")</f>
        <v/>
      </c>
      <c r="N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Mgmt'!$M$5:$M$428,0))),1)&gt;=DATE(YEAR(A22),MONTH(A22),1),FALSE))&gt;0),125,"")</f>
        <v/>
      </c>
      <c r="O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Mgmt'!$M$5:$M$428,0))),1)&gt;=DATE(YEAR(A22),MONTH(A22),1),FALSE))&gt;0),60,"")</f>
        <v/>
      </c>
      <c r="P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Mgmt'!$M$5:$M$428,0))),1)&gt;=DATE(YEAR(A22),MONTH(A22),1),FALSE))&gt;0),80,"")</f>
        <v/>
      </c>
      <c r="Q22" s="190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Mgmt'!$M$5:$M$428,0))),1)&gt;=DATE(YEAR(A22),MONTH(A22),1),FALSE))&gt;0),40,"")</f>
        <v/>
      </c>
      <c r="R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Mgmt'!$M$5:$M$428,0))),1)&gt;=DATE(YEAR(A22),MONTH(A22),1),FALSE))&gt;0),IF(C22="Owned",0,2500),"")</f>
        <v/>
      </c>
      <c r="S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Mgmt'!$M$5:$M$428,0))),1)&gt;=DATE(YEAR(A22),MONTH(A22),1),FALSE))&gt;0),SUM(K22:R22),"")</f>
        <v/>
      </c>
      <c r="T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Mgmt'!$M$5:$M$428,0))),1)&gt;=DATE(YEAR(A22),MONTH(A22),1),FALSE))&gt;0),I22-S22,"")</f>
        <v/>
      </c>
      <c r="U22" s="105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Mgmt'!$M$5:$M$428,0))),1)&gt;=DATE(YEAR(A22),MONTH(A22),1),FALSE))&gt;0),IFERROR(T22/I22,0),"")</f>
        <v/>
      </c>
      <c r="V22" s="191">
        <f>IF(EDATE($B$4,2)&lt;=EOMONTH($B$5,0),SUMPRODUCT(('Client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Mgmt'!$M$5:$M$428,0))),1)&gt;=DATE(YEAR(A22),MONTH(A22),1),FALSE)),"")</f>
        <v/>
      </c>
      <c r="W22" s="181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Mgmt'!$M$5:$M$428,0))),1)&gt;=DATE(YEAR(A22),MONTH(A22),1),FALSE)),"")</f>
        <v/>
      </c>
      <c r="X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Mgmt'!$M$5:$M$428,0))),1)&gt;=DATE(YEAR(A22),MONTH(A22),1),FALSE))&gt;0),IFERROR(SUMPRODUCT(('Client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Mgmt'!$M$5:$M$428,0))),1)&gt;=DATE(YEAR(A22),MONTH(A22),1),FALSE)*'Client DB &amp; Bed Mgmt'!$I$5:$I$428),0),"")</f>
        <v/>
      </c>
      <c r="Y22" s="189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Mgmt'!$M$5:$M$428,0))),1)&gt;=DATE(YEAR(A22),MONTH(A22),1),FALSE))&gt;0),IFERROR(SUMPRODUCT(('Client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Mgmt'!$M$5:$M$428,0))),1)&gt;=DATE(YEAR(A22),MONTH(A22),1),FALSE)*'Client DB &amp; Bed Mgmt'!$J$5:$J$428),0),"")</f>
        <v/>
      </c>
      <c r="Z22" s="192">
        <f>IF(AND(EDATE($B$4,2)&lt;=EOMONTH($B$5,0),SUMPRODUCT(('Client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Mgmt'!$M$5:$M$428,0))),1)&gt;=DATE(YEAR(A22),MONTH(A22),1),FALSE))&gt;0),IFERROR(SUMPRODUCT(('Client DB &amp; Bed Mgmt'!$A$5:$A$428=B22)*('Client DB &amp; Bed Mgmt'!$D$5:$D$428&lt;&gt;"")*--IFERROR(DATE(YEAR('Client DB &amp; Bed Mgmt'!$M$5:$M$428),MONTH('Client DB &amp; Bed Mgmt'!$M$5:$M$428),1)&lt;=DATE(YEAR(A22),MONTH(A22),1),FALSE)*--IFERROR(DATE(YEAR(IF(ISNUMBER('Client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Mgmt'!$M$5:$M$428,0))),1)&gt;=DATE(YEAR(A22),MONTH(A22),1),FALSE)*'Client DB &amp; Bed Mgmt'!$K$5:$K$428),0),"")</f>
        <v/>
      </c>
      <c r="AA22" s="82" t="n"/>
      <c r="AB22" s="82" t="n"/>
    </row>
    <row r="23" ht="14.25" customHeight="1" s="83">
      <c r="A23" s="177">
        <f>IF(EDATE($B$4,3)&lt;=EOMONTH($B$5,0),EDATE($B$4,3),"")</f>
        <v/>
      </c>
      <c r="B23" s="103">
        <f>IF(EDATE($B$4,3)&lt;=EOMONTH($B$5,0),"Dorm 1","")</f>
        <v/>
      </c>
      <c r="C23" s="17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Mgmt'!$M$5:$M$428,0))),1)&gt;=DATE(YEAR(A23),MONTH(A23),1),FALSE))&gt;0),IFERROR(_xlfn.XLOOKUP(B23,DormRegistry[Dorm Name],DormRegistry[Ownership Type]),""),"")</f>
        <v/>
      </c>
      <c r="D23" s="17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Mgmt'!$M$5:$M$428,0))),1)&gt;=DATE(YEAR(A23),MONTH(A23),1),FALSE))&gt;0),IFERROR(_xlfn.XLOOKUP(B23,DormRegistry[Dorm Name],DormRegistry[Bed Capacity]),0),"")</f>
        <v/>
      </c>
      <c r="E23" s="13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Mgmt'!$M$5:$M$428,0))),1)&gt;=DATE(YEAR(A23),MONTH(A23),1),FALSE))&gt;0),$B$7*(1+$B$9)^(YEAR(A23)-YEAR($B$4)),"")</f>
        <v/>
      </c>
      <c r="F23" s="105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Mgmt'!$M$5:$M$428,0))),1)&gt;=DATE(YEAR(A23),MONTH(A23),1),FALSE))&gt;0),$B$8,"")</f>
        <v/>
      </c>
      <c r="G23" s="105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Mgmt'!$M$5:$M$428,0))),1)&gt;=DATE(YEAR(A23),MONTH(A23),1),FALSE))&gt;0),$B$9,"")</f>
        <v/>
      </c>
      <c r="H23" s="13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Mgmt'!$M$5:$M$428,0))),1)&gt;=DATE(YEAR(A23),MONTH(A23),1),FALSE))&gt;0),D23*E23,"")</f>
        <v/>
      </c>
      <c r="I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Mgmt'!$M$5:$M$428,0))),1)&gt;=DATE(YEAR(A23),MONTH(A23),1),FALSE))&gt;0),SUM(X23:Z23),"")</f>
        <v/>
      </c>
      <c r="J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Mgmt'!$M$5:$M$428,0))),1)&gt;=DATE(YEAR(A23),MONTH(A23),1),FALSE))&gt;0),D23*F23*E23,"")</f>
        <v/>
      </c>
      <c r="K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Mgmt'!$M$5:$M$428,0))),1)&gt;=DATE(YEAR(A23),MONTH(A23),1),FALSE))&gt;0),75,"")</f>
        <v/>
      </c>
      <c r="L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Mgmt'!$M$5:$M$428,0))),1)&gt;=DATE(YEAR(A23),MONTH(A23),1),FALSE))&gt;0),50,"")</f>
        <v/>
      </c>
      <c r="M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Mgmt'!$M$5:$M$428,0))),1)&gt;=DATE(YEAR(A23),MONTH(A23),1),FALSE))&gt;0),150,"")</f>
        <v/>
      </c>
      <c r="N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Mgmt'!$M$5:$M$428,0))),1)&gt;=DATE(YEAR(A23),MONTH(A23),1),FALSE))&gt;0),125,"")</f>
        <v/>
      </c>
      <c r="O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Mgmt'!$M$5:$M$428,0))),1)&gt;=DATE(YEAR(A23),MONTH(A23),1),FALSE))&gt;0),60,"")</f>
        <v/>
      </c>
      <c r="P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Mgmt'!$M$5:$M$428,0))),1)&gt;=DATE(YEAR(A23),MONTH(A23),1),FALSE))&gt;0),80,"")</f>
        <v/>
      </c>
      <c r="Q23" s="190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Mgmt'!$M$5:$M$428,0))),1)&gt;=DATE(YEAR(A23),MONTH(A23),1),FALSE))&gt;0),40,"")</f>
        <v/>
      </c>
      <c r="R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Mgmt'!$M$5:$M$428,0))),1)&gt;=DATE(YEAR(A23),MONTH(A23),1),FALSE))&gt;0),IF(C23="Owned",0,2500),"")</f>
        <v/>
      </c>
      <c r="S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Mgmt'!$M$5:$M$428,0))),1)&gt;=DATE(YEAR(A23),MONTH(A23),1),FALSE))&gt;0),SUM(K23:R23),"")</f>
        <v/>
      </c>
      <c r="T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Mgmt'!$M$5:$M$428,0))),1)&gt;=DATE(YEAR(A23),MONTH(A23),1),FALSE))&gt;0),I23-S23,"")</f>
        <v/>
      </c>
      <c r="U23" s="105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Mgmt'!$M$5:$M$428,0))),1)&gt;=DATE(YEAR(A23),MONTH(A23),1),FALSE))&gt;0),IFERROR(T23/I23,0),"")</f>
        <v/>
      </c>
      <c r="V23" s="191">
        <f>IF(EDATE($B$4,3)&lt;=EOMONTH($B$5,0),SUMPRODUCT(('Client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Mgmt'!$M$5:$M$428,0))),1)&gt;=DATE(YEAR(A23),MONTH(A23),1),FALSE)),"")</f>
        <v/>
      </c>
      <c r="W23" s="181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Mgmt'!$M$5:$M$428,0))),1)&gt;=DATE(YEAR(A23),MONTH(A23),1),FALSE)),"")</f>
        <v/>
      </c>
      <c r="X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Mgmt'!$M$5:$M$428,0))),1)&gt;=DATE(YEAR(A23),MONTH(A23),1),FALSE))&gt;0),IFERROR(SUMPRODUCT(('Client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Mgmt'!$M$5:$M$428,0))),1)&gt;=DATE(YEAR(A23),MONTH(A23),1),FALSE)*'Client DB &amp; Bed Mgmt'!$I$5:$I$428),0),"")</f>
        <v/>
      </c>
      <c r="Y23" s="189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Mgmt'!$M$5:$M$428,0))),1)&gt;=DATE(YEAR(A23),MONTH(A23),1),FALSE))&gt;0),IFERROR(SUMPRODUCT(('Client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Mgmt'!$M$5:$M$428,0))),1)&gt;=DATE(YEAR(A23),MONTH(A23),1),FALSE)*'Client DB &amp; Bed Mgmt'!$J$5:$J$428),0),"")</f>
        <v/>
      </c>
      <c r="Z23" s="192">
        <f>IF(AND(EDATE($B$4,3)&lt;=EOMONTH($B$5,0),SUMPRODUCT(('Client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Mgmt'!$M$5:$M$428,0))),1)&gt;=DATE(YEAR(A23),MONTH(A23),1),FALSE))&gt;0),IFERROR(SUMPRODUCT(('Client DB &amp; Bed Mgmt'!$A$5:$A$428=B23)*('Client DB &amp; Bed Mgmt'!$D$5:$D$428&lt;&gt;"")*--IFERROR(DATE(YEAR('Client DB &amp; Bed Mgmt'!$M$5:$M$428),MONTH('Client DB &amp; Bed Mgmt'!$M$5:$M$428),1)&lt;=DATE(YEAR(A23),MONTH(A23),1),FALSE)*--IFERROR(DATE(YEAR(IF(ISNUMBER('Client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Mgmt'!$M$5:$M$428,0))),1)&gt;=DATE(YEAR(A23),MONTH(A23),1),FALSE)*'Client DB &amp; Bed Mgmt'!$K$5:$K$428),0),"")</f>
        <v/>
      </c>
      <c r="AA23" s="82" t="n"/>
      <c r="AB23" s="82" t="n"/>
    </row>
    <row r="24" hidden="1" ht="14.25" customHeight="1" s="83">
      <c r="A24" s="177">
        <f>IF(EDATE($B$4,3)&lt;=EOMONTH($B$5,0),EDATE($B$4,3),"")</f>
        <v/>
      </c>
      <c r="B24" s="103">
        <f>IF(EDATE($B$4,3)&lt;=EOMONTH($B$5,0),"Dorm 2","")</f>
        <v/>
      </c>
      <c r="C24" s="17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Mgmt'!$M$5:$M$428,0))),1)&gt;=DATE(YEAR(A24),MONTH(A24),1),FALSE))&gt;0),IFERROR(_xlfn.XLOOKUP(B24,DormRegistry[Dorm Name],DormRegistry[Ownership Type]),""),"")</f>
        <v/>
      </c>
      <c r="D24" s="17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Mgmt'!$M$5:$M$428,0))),1)&gt;=DATE(YEAR(A24),MONTH(A24),1),FALSE))&gt;0),IFERROR(_xlfn.XLOOKUP(B24,DormRegistry[Dorm Name],DormRegistry[Bed Capacity]),0),"")</f>
        <v/>
      </c>
      <c r="E24" s="13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Mgmt'!$M$5:$M$428,0))),1)&gt;=DATE(YEAR(A24),MONTH(A24),1),FALSE))&gt;0),$B$7*(1+$B$9)^(YEAR(A24)-YEAR($B$4)),"")</f>
        <v/>
      </c>
      <c r="F24" s="105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Mgmt'!$M$5:$M$428,0))),1)&gt;=DATE(YEAR(A24),MONTH(A24),1),FALSE))&gt;0),$B$8,"")</f>
        <v/>
      </c>
      <c r="G24" s="105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Mgmt'!$M$5:$M$428,0))),1)&gt;=DATE(YEAR(A24),MONTH(A24),1),FALSE))&gt;0),$B$9,"")</f>
        <v/>
      </c>
      <c r="H24" s="13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Mgmt'!$M$5:$M$428,0))),1)&gt;=DATE(YEAR(A24),MONTH(A24),1),FALSE))&gt;0),D24*E24,"")</f>
        <v/>
      </c>
      <c r="I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Mgmt'!$M$5:$M$428,0))),1)&gt;=DATE(YEAR(A24),MONTH(A24),1),FALSE))&gt;0),SUM(X24:Z24),"")</f>
        <v/>
      </c>
      <c r="J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Mgmt'!$M$5:$M$428,0))),1)&gt;=DATE(YEAR(A24),MONTH(A24),1),FALSE))&gt;0),D24*F24*E24,"")</f>
        <v/>
      </c>
      <c r="K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Mgmt'!$M$5:$M$428,0))),1)&gt;=DATE(YEAR(A24),MONTH(A24),1),FALSE))&gt;0),75,"")</f>
        <v/>
      </c>
      <c r="L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Mgmt'!$M$5:$M$428,0))),1)&gt;=DATE(YEAR(A24),MONTH(A24),1),FALSE))&gt;0),50,"")</f>
        <v/>
      </c>
      <c r="M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Mgmt'!$M$5:$M$428,0))),1)&gt;=DATE(YEAR(A24),MONTH(A24),1),FALSE))&gt;0),150,"")</f>
        <v/>
      </c>
      <c r="N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Mgmt'!$M$5:$M$428,0))),1)&gt;=DATE(YEAR(A24),MONTH(A24),1),FALSE))&gt;0),125,"")</f>
        <v/>
      </c>
      <c r="O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Mgmt'!$M$5:$M$428,0))),1)&gt;=DATE(YEAR(A24),MONTH(A24),1),FALSE))&gt;0),60,"")</f>
        <v/>
      </c>
      <c r="P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Mgmt'!$M$5:$M$428,0))),1)&gt;=DATE(YEAR(A24),MONTH(A24),1),FALSE))&gt;0),80,"")</f>
        <v/>
      </c>
      <c r="Q24" s="190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Mgmt'!$M$5:$M$428,0))),1)&gt;=DATE(YEAR(A24),MONTH(A24),1),FALSE))&gt;0),40,"")</f>
        <v/>
      </c>
      <c r="R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Mgmt'!$M$5:$M$428,0))),1)&gt;=DATE(YEAR(A24),MONTH(A24),1),FALSE))&gt;0),IF(C24="Owned",0,2500),"")</f>
        <v/>
      </c>
      <c r="S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Mgmt'!$M$5:$M$428,0))),1)&gt;=DATE(YEAR(A24),MONTH(A24),1),FALSE))&gt;0),SUM(K24:R24),"")</f>
        <v/>
      </c>
      <c r="T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Mgmt'!$M$5:$M$428,0))),1)&gt;=DATE(YEAR(A24),MONTH(A24),1),FALSE))&gt;0),I24-S24,"")</f>
        <v/>
      </c>
      <c r="U24" s="105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Mgmt'!$M$5:$M$428,0))),1)&gt;=DATE(YEAR(A24),MONTH(A24),1),FALSE))&gt;0),IFERROR(T24/I24,0),"")</f>
        <v/>
      </c>
      <c r="V24" s="191">
        <f>IF(EDATE($B$4,3)&lt;=EOMONTH($B$5,0),SUMPRODUCT(('Client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Mgmt'!$M$5:$M$428,0))),1)&gt;=DATE(YEAR(A24),MONTH(A24),1),FALSE)),"")</f>
        <v/>
      </c>
      <c r="W24" s="181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Mgmt'!$M$5:$M$428,0))),1)&gt;=DATE(YEAR(A24),MONTH(A24),1),FALSE)),"")</f>
        <v/>
      </c>
      <c r="X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Mgmt'!$M$5:$M$428,0))),1)&gt;=DATE(YEAR(A24),MONTH(A24),1),FALSE))&gt;0),IFERROR(SUMPRODUCT(('Client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Mgmt'!$M$5:$M$428,0))),1)&gt;=DATE(YEAR(A24),MONTH(A24),1),FALSE)*'Client DB &amp; Bed Mgmt'!$I$5:$I$428),0),"")</f>
        <v/>
      </c>
      <c r="Y24" s="189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Mgmt'!$M$5:$M$428,0))),1)&gt;=DATE(YEAR(A24),MONTH(A24),1),FALSE))&gt;0),IFERROR(SUMPRODUCT(('Client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Mgmt'!$M$5:$M$428,0))),1)&gt;=DATE(YEAR(A24),MONTH(A24),1),FALSE)*'Client DB &amp; Bed Mgmt'!$J$5:$J$428),0),"")</f>
        <v/>
      </c>
      <c r="Z24" s="192">
        <f>IF(AND(EDATE($B$4,3)&lt;=EOMONTH($B$5,0),SUMPRODUCT(('Client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Mgmt'!$M$5:$M$428,0))),1)&gt;=DATE(YEAR(A24),MONTH(A24),1),FALSE))&gt;0),IFERROR(SUMPRODUCT(('Client DB &amp; Bed Mgmt'!$A$5:$A$428=B24)*('Client DB &amp; Bed Mgmt'!$D$5:$D$428&lt;&gt;"")*--IFERROR(DATE(YEAR('Client DB &amp; Bed Mgmt'!$M$5:$M$428),MONTH('Client DB &amp; Bed Mgmt'!$M$5:$M$428),1)&lt;=DATE(YEAR(A24),MONTH(A24),1),FALSE)*--IFERROR(DATE(YEAR(IF(ISNUMBER('Client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Mgmt'!$M$5:$M$428,0))),1)&gt;=DATE(YEAR(A24),MONTH(A24),1),FALSE)*'Client DB &amp; Bed Mgmt'!$K$5:$K$428),0),"")</f>
        <v/>
      </c>
      <c r="AA24" s="82" t="n"/>
      <c r="AB24" s="82" t="n"/>
    </row>
    <row r="25" hidden="1" ht="14.25" customHeight="1" s="83">
      <c r="A25" s="177">
        <f>IF(EDATE($B$4,3)&lt;=EOMONTH($B$5,0),EDATE($B$4,3),"")</f>
        <v/>
      </c>
      <c r="B25" s="103">
        <f>IF(EDATE($B$4,3)&lt;=EOMONTH($B$5,0),"Dorm 3","")</f>
        <v/>
      </c>
      <c r="C25" s="17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Mgmt'!$M$5:$M$428,0))),1)&gt;=DATE(YEAR(A25),MONTH(A25),1),FALSE))&gt;0),IFERROR(_xlfn.XLOOKUP(B25,DormRegistry[Dorm Name],DormRegistry[Ownership Type]),""),"")</f>
        <v/>
      </c>
      <c r="D25" s="17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Mgmt'!$M$5:$M$428,0))),1)&gt;=DATE(YEAR(A25),MONTH(A25),1),FALSE))&gt;0),IFERROR(_xlfn.XLOOKUP(B25,DormRegistry[Dorm Name],DormRegistry[Bed Capacity]),0),"")</f>
        <v/>
      </c>
      <c r="E25" s="13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Mgmt'!$M$5:$M$428,0))),1)&gt;=DATE(YEAR(A25),MONTH(A25),1),FALSE))&gt;0),$B$7*(1+$B$9)^(YEAR(A25)-YEAR($B$4)),"")</f>
        <v/>
      </c>
      <c r="F25" s="105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Mgmt'!$M$5:$M$428,0))),1)&gt;=DATE(YEAR(A25),MONTH(A25),1),FALSE))&gt;0),$B$8,"")</f>
        <v/>
      </c>
      <c r="G25" s="105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Mgmt'!$M$5:$M$428,0))),1)&gt;=DATE(YEAR(A25),MONTH(A25),1),FALSE))&gt;0),$B$9,"")</f>
        <v/>
      </c>
      <c r="H25" s="13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Mgmt'!$M$5:$M$428,0))),1)&gt;=DATE(YEAR(A25),MONTH(A25),1),FALSE))&gt;0),D25*E25,"")</f>
        <v/>
      </c>
      <c r="I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Mgmt'!$M$5:$M$428,0))),1)&gt;=DATE(YEAR(A25),MONTH(A25),1),FALSE))&gt;0),SUM(X25:Z25),"")</f>
        <v/>
      </c>
      <c r="J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Mgmt'!$M$5:$M$428,0))),1)&gt;=DATE(YEAR(A25),MONTH(A25),1),FALSE))&gt;0),D25*F25*E25,"")</f>
        <v/>
      </c>
      <c r="K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Mgmt'!$M$5:$M$428,0))),1)&gt;=DATE(YEAR(A25),MONTH(A25),1),FALSE))&gt;0),75,"")</f>
        <v/>
      </c>
      <c r="L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Mgmt'!$M$5:$M$428,0))),1)&gt;=DATE(YEAR(A25),MONTH(A25),1),FALSE))&gt;0),50,"")</f>
        <v/>
      </c>
      <c r="M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Mgmt'!$M$5:$M$428,0))),1)&gt;=DATE(YEAR(A25),MONTH(A25),1),FALSE))&gt;0),150,"")</f>
        <v/>
      </c>
      <c r="N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Mgmt'!$M$5:$M$428,0))),1)&gt;=DATE(YEAR(A25),MONTH(A25),1),FALSE))&gt;0),125,"")</f>
        <v/>
      </c>
      <c r="O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Mgmt'!$M$5:$M$428,0))),1)&gt;=DATE(YEAR(A25),MONTH(A25),1),FALSE))&gt;0),60,"")</f>
        <v/>
      </c>
      <c r="P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Mgmt'!$M$5:$M$428,0))),1)&gt;=DATE(YEAR(A25),MONTH(A25),1),FALSE))&gt;0),80,"")</f>
        <v/>
      </c>
      <c r="Q25" s="190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Mgmt'!$M$5:$M$428,0))),1)&gt;=DATE(YEAR(A25),MONTH(A25),1),FALSE))&gt;0),40,"")</f>
        <v/>
      </c>
      <c r="R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Mgmt'!$M$5:$M$428,0))),1)&gt;=DATE(YEAR(A25),MONTH(A25),1),FALSE))&gt;0),IF(C25="Owned",0,2500),"")</f>
        <v/>
      </c>
      <c r="S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Mgmt'!$M$5:$M$428,0))),1)&gt;=DATE(YEAR(A25),MONTH(A25),1),FALSE))&gt;0),SUM(K25:R25),"")</f>
        <v/>
      </c>
      <c r="T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Mgmt'!$M$5:$M$428,0))),1)&gt;=DATE(YEAR(A25),MONTH(A25),1),FALSE))&gt;0),I25-S25,"")</f>
        <v/>
      </c>
      <c r="U25" s="105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Mgmt'!$M$5:$M$428,0))),1)&gt;=DATE(YEAR(A25),MONTH(A25),1),FALSE))&gt;0),IFERROR(T25/I25,0),"")</f>
        <v/>
      </c>
      <c r="V25" s="191">
        <f>IF(EDATE($B$4,3)&lt;=EOMONTH($B$5,0),SUMPRODUCT(('Client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Mgmt'!$M$5:$M$428,0))),1)&gt;=DATE(YEAR(A25),MONTH(A25),1),FALSE)),"")</f>
        <v/>
      </c>
      <c r="W25" s="181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Mgmt'!$M$5:$M$428,0))),1)&gt;=DATE(YEAR(A25),MONTH(A25),1),FALSE)),"")</f>
        <v/>
      </c>
      <c r="X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Mgmt'!$M$5:$M$428,0))),1)&gt;=DATE(YEAR(A25),MONTH(A25),1),FALSE))&gt;0),IFERROR(SUMPRODUCT(('Client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Mgmt'!$M$5:$M$428,0))),1)&gt;=DATE(YEAR(A25),MONTH(A25),1),FALSE)*'Client DB &amp; Bed Mgmt'!$I$5:$I$428),0),"")</f>
        <v/>
      </c>
      <c r="Y25" s="189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Mgmt'!$M$5:$M$428,0))),1)&gt;=DATE(YEAR(A25),MONTH(A25),1),FALSE))&gt;0),IFERROR(SUMPRODUCT(('Client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Mgmt'!$M$5:$M$428,0))),1)&gt;=DATE(YEAR(A25),MONTH(A25),1),FALSE)*'Client DB &amp; Bed Mgmt'!$J$5:$J$428),0),"")</f>
        <v/>
      </c>
      <c r="Z25" s="192">
        <f>IF(AND(EDATE($B$4,3)&lt;=EOMONTH($B$5,0),SUMPRODUCT(('Client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Mgmt'!$M$5:$M$428,0))),1)&gt;=DATE(YEAR(A25),MONTH(A25),1),FALSE))&gt;0),IFERROR(SUMPRODUCT(('Client DB &amp; Bed Mgmt'!$A$5:$A$428=B25)*('Client DB &amp; Bed Mgmt'!$D$5:$D$428&lt;&gt;"")*--IFERROR(DATE(YEAR('Client DB &amp; Bed Mgmt'!$M$5:$M$428),MONTH('Client DB &amp; Bed Mgmt'!$M$5:$M$428),1)&lt;=DATE(YEAR(A25),MONTH(A25),1),FALSE)*--IFERROR(DATE(YEAR(IF(ISNUMBER('Client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Mgmt'!$M$5:$M$428,0))),1)&gt;=DATE(YEAR(A25),MONTH(A25),1),FALSE)*'Client DB &amp; Bed Mgmt'!$K$5:$K$428),0),"")</f>
        <v/>
      </c>
      <c r="AA25" s="82" t="n"/>
      <c r="AB25" s="82" t="n"/>
    </row>
    <row r="26" ht="14.25" customHeight="1" s="83">
      <c r="A26" s="177">
        <f>IF(EDATE($B$4,4)&lt;=EOMONTH($B$5,0),EDATE($B$4,4),"")</f>
        <v/>
      </c>
      <c r="B26" s="103">
        <f>IF(EDATE($B$4,4)&lt;=EOMONTH($B$5,0),"Dorm 1","")</f>
        <v/>
      </c>
      <c r="C26" s="17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Mgmt'!$M$5:$M$428,0))),1)&gt;=DATE(YEAR(A26),MONTH(A26),1),FALSE))&gt;0),IFERROR(_xlfn.XLOOKUP(B26,DormRegistry[Dorm Name],DormRegistry[Ownership Type]),""),"")</f>
        <v/>
      </c>
      <c r="D26" s="17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Mgmt'!$M$5:$M$428,0))),1)&gt;=DATE(YEAR(A26),MONTH(A26),1),FALSE))&gt;0),IFERROR(_xlfn.XLOOKUP(B26,DormRegistry[Dorm Name],DormRegistry[Bed Capacity]),0),"")</f>
        <v/>
      </c>
      <c r="E26" s="13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Mgmt'!$M$5:$M$428,0))),1)&gt;=DATE(YEAR(A26),MONTH(A26),1),FALSE))&gt;0),$B$7*(1+$B$9)^(YEAR(A26)-YEAR($B$4)),"")</f>
        <v/>
      </c>
      <c r="F26" s="105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Mgmt'!$M$5:$M$428,0))),1)&gt;=DATE(YEAR(A26),MONTH(A26),1),FALSE))&gt;0),$B$8,"")</f>
        <v/>
      </c>
      <c r="G26" s="105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Mgmt'!$M$5:$M$428,0))),1)&gt;=DATE(YEAR(A26),MONTH(A26),1),FALSE))&gt;0),$B$9,"")</f>
        <v/>
      </c>
      <c r="H26" s="13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Mgmt'!$M$5:$M$428,0))),1)&gt;=DATE(YEAR(A26),MONTH(A26),1),FALSE))&gt;0),D26*E26,"")</f>
        <v/>
      </c>
      <c r="I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Mgmt'!$M$5:$M$428,0))),1)&gt;=DATE(YEAR(A26),MONTH(A26),1),FALSE))&gt;0),SUM(X26:Z26),"")</f>
        <v/>
      </c>
      <c r="J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Mgmt'!$M$5:$M$428,0))),1)&gt;=DATE(YEAR(A26),MONTH(A26),1),FALSE))&gt;0),D26*F26*E26,"")</f>
        <v/>
      </c>
      <c r="K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Mgmt'!$M$5:$M$428,0))),1)&gt;=DATE(YEAR(A26),MONTH(A26),1),FALSE))&gt;0),75,"")</f>
        <v/>
      </c>
      <c r="L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Mgmt'!$M$5:$M$428,0))),1)&gt;=DATE(YEAR(A26),MONTH(A26),1),FALSE))&gt;0),50,"")</f>
        <v/>
      </c>
      <c r="M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Mgmt'!$M$5:$M$428,0))),1)&gt;=DATE(YEAR(A26),MONTH(A26),1),FALSE))&gt;0),150,"")</f>
        <v/>
      </c>
      <c r="N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Mgmt'!$M$5:$M$428,0))),1)&gt;=DATE(YEAR(A26),MONTH(A26),1),FALSE))&gt;0),125,"")</f>
        <v/>
      </c>
      <c r="O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Mgmt'!$M$5:$M$428,0))),1)&gt;=DATE(YEAR(A26),MONTH(A26),1),FALSE))&gt;0),60,"")</f>
        <v/>
      </c>
      <c r="P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Mgmt'!$M$5:$M$428,0))),1)&gt;=DATE(YEAR(A26),MONTH(A26),1),FALSE))&gt;0),80,"")</f>
        <v/>
      </c>
      <c r="Q26" s="190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Mgmt'!$M$5:$M$428,0))),1)&gt;=DATE(YEAR(A26),MONTH(A26),1),FALSE))&gt;0),40,"")</f>
        <v/>
      </c>
      <c r="R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Mgmt'!$M$5:$M$428,0))),1)&gt;=DATE(YEAR(A26),MONTH(A26),1),FALSE))&gt;0),IF(C26="Owned",0,2500),"")</f>
        <v/>
      </c>
      <c r="S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Mgmt'!$M$5:$M$428,0))),1)&gt;=DATE(YEAR(A26),MONTH(A26),1),FALSE))&gt;0),SUM(K26:R26),"")</f>
        <v/>
      </c>
      <c r="T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Mgmt'!$M$5:$M$428,0))),1)&gt;=DATE(YEAR(A26),MONTH(A26),1),FALSE))&gt;0),I26-S26,"")</f>
        <v/>
      </c>
      <c r="U26" s="105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Mgmt'!$M$5:$M$428,0))),1)&gt;=DATE(YEAR(A26),MONTH(A26),1),FALSE))&gt;0),IFERROR(T26/I26,0),"")</f>
        <v/>
      </c>
      <c r="V26" s="191">
        <f>IF(EDATE($B$4,4)&lt;=EOMONTH($B$5,0),SUMPRODUCT(('Client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Mgmt'!$M$5:$M$428,0))),1)&gt;=DATE(YEAR(A26),MONTH(A26),1),FALSE)),"")</f>
        <v/>
      </c>
      <c r="W26" s="181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Mgmt'!$M$5:$M$428,0))),1)&gt;=DATE(YEAR(A26),MONTH(A26),1),FALSE)),"")</f>
        <v/>
      </c>
      <c r="X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Mgmt'!$M$5:$M$428,0))),1)&gt;=DATE(YEAR(A26),MONTH(A26),1),FALSE))&gt;0),IFERROR(SUMPRODUCT(('Client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Mgmt'!$M$5:$M$428,0))),1)&gt;=DATE(YEAR(A26),MONTH(A26),1),FALSE)*'Client DB &amp; Bed Mgmt'!$I$5:$I$428),0),"")</f>
        <v/>
      </c>
      <c r="Y26" s="189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Mgmt'!$M$5:$M$428,0))),1)&gt;=DATE(YEAR(A26),MONTH(A26),1),FALSE))&gt;0),IFERROR(SUMPRODUCT(('Client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Mgmt'!$M$5:$M$428,0))),1)&gt;=DATE(YEAR(A26),MONTH(A26),1),FALSE)*'Client DB &amp; Bed Mgmt'!$J$5:$J$428),0),"")</f>
        <v/>
      </c>
      <c r="Z26" s="192">
        <f>IF(AND(EDATE($B$4,4)&lt;=EOMONTH($B$5,0),SUMPRODUCT(('Client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Mgmt'!$M$5:$M$428,0))),1)&gt;=DATE(YEAR(A26),MONTH(A26),1),FALSE))&gt;0),IFERROR(SUMPRODUCT(('Client DB &amp; Bed Mgmt'!$A$5:$A$428=B26)*('Client DB &amp; Bed Mgmt'!$D$5:$D$428&lt;&gt;"")*--IFERROR(DATE(YEAR('Client DB &amp; Bed Mgmt'!$M$5:$M$428),MONTH('Client DB &amp; Bed Mgmt'!$M$5:$M$428),1)&lt;=DATE(YEAR(A26),MONTH(A26),1),FALSE)*--IFERROR(DATE(YEAR(IF(ISNUMBER('Client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Mgmt'!$M$5:$M$428,0))),1)&gt;=DATE(YEAR(A26),MONTH(A26),1),FALSE)*'Client DB &amp; Bed Mgmt'!$K$5:$K$428),0),"")</f>
        <v/>
      </c>
      <c r="AA26" s="82" t="n"/>
      <c r="AB26" s="82" t="n"/>
    </row>
    <row r="27" hidden="1" ht="14.25" customHeight="1" s="83">
      <c r="A27" s="177">
        <f>IF(EDATE($B$4,4)&lt;=EOMONTH($B$5,0),EDATE($B$4,4),"")</f>
        <v/>
      </c>
      <c r="B27" s="103">
        <f>IF(EDATE($B$4,4)&lt;=EOMONTH($B$5,0),"Dorm 2","")</f>
        <v/>
      </c>
      <c r="C27" s="17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Mgmt'!$M$5:$M$428,0))),1)&gt;=DATE(YEAR(A27),MONTH(A27),1),FALSE))&gt;0),IFERROR(_xlfn.XLOOKUP(B27,DormRegistry[Dorm Name],DormRegistry[Ownership Type]),""),"")</f>
        <v/>
      </c>
      <c r="D27" s="17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Mgmt'!$M$5:$M$428,0))),1)&gt;=DATE(YEAR(A27),MONTH(A27),1),FALSE))&gt;0),IFERROR(_xlfn.XLOOKUP(B27,DormRegistry[Dorm Name],DormRegistry[Bed Capacity]),0),"")</f>
        <v/>
      </c>
      <c r="E27" s="13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Mgmt'!$M$5:$M$428,0))),1)&gt;=DATE(YEAR(A27),MONTH(A27),1),FALSE))&gt;0),$B$7*(1+$B$9)^(YEAR(A27)-YEAR($B$4)),"")</f>
        <v/>
      </c>
      <c r="F27" s="105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Mgmt'!$M$5:$M$428,0))),1)&gt;=DATE(YEAR(A27),MONTH(A27),1),FALSE))&gt;0),$B$8,"")</f>
        <v/>
      </c>
      <c r="G27" s="105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Mgmt'!$M$5:$M$428,0))),1)&gt;=DATE(YEAR(A27),MONTH(A27),1),FALSE))&gt;0),$B$9,"")</f>
        <v/>
      </c>
      <c r="H27" s="13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Mgmt'!$M$5:$M$428,0))),1)&gt;=DATE(YEAR(A27),MONTH(A27),1),FALSE))&gt;0),D27*E27,"")</f>
        <v/>
      </c>
      <c r="I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Mgmt'!$M$5:$M$428,0))),1)&gt;=DATE(YEAR(A27),MONTH(A27),1),FALSE))&gt;0),SUM(X27:Z27),"")</f>
        <v/>
      </c>
      <c r="J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Mgmt'!$M$5:$M$428,0))),1)&gt;=DATE(YEAR(A27),MONTH(A27),1),FALSE))&gt;0),D27*F27*E27,"")</f>
        <v/>
      </c>
      <c r="K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Mgmt'!$M$5:$M$428,0))),1)&gt;=DATE(YEAR(A27),MONTH(A27),1),FALSE))&gt;0),75,"")</f>
        <v/>
      </c>
      <c r="L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Mgmt'!$M$5:$M$428,0))),1)&gt;=DATE(YEAR(A27),MONTH(A27),1),FALSE))&gt;0),50,"")</f>
        <v/>
      </c>
      <c r="M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Mgmt'!$M$5:$M$428,0))),1)&gt;=DATE(YEAR(A27),MONTH(A27),1),FALSE))&gt;0),150,"")</f>
        <v/>
      </c>
      <c r="N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Mgmt'!$M$5:$M$428,0))),1)&gt;=DATE(YEAR(A27),MONTH(A27),1),FALSE))&gt;0),125,"")</f>
        <v/>
      </c>
      <c r="O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Mgmt'!$M$5:$M$428,0))),1)&gt;=DATE(YEAR(A27),MONTH(A27),1),FALSE))&gt;0),60,"")</f>
        <v/>
      </c>
      <c r="P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Mgmt'!$M$5:$M$428,0))),1)&gt;=DATE(YEAR(A27),MONTH(A27),1),FALSE))&gt;0),80,"")</f>
        <v/>
      </c>
      <c r="Q27" s="190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Mgmt'!$M$5:$M$428,0))),1)&gt;=DATE(YEAR(A27),MONTH(A27),1),FALSE))&gt;0),40,"")</f>
        <v/>
      </c>
      <c r="R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Mgmt'!$M$5:$M$428,0))),1)&gt;=DATE(YEAR(A27),MONTH(A27),1),FALSE))&gt;0),IF(C27="Owned",0,2500),"")</f>
        <v/>
      </c>
      <c r="S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Mgmt'!$M$5:$M$428,0))),1)&gt;=DATE(YEAR(A27),MONTH(A27),1),FALSE))&gt;0),SUM(K27:R27),"")</f>
        <v/>
      </c>
      <c r="T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Mgmt'!$M$5:$M$428,0))),1)&gt;=DATE(YEAR(A27),MONTH(A27),1),FALSE))&gt;0),I27-S27,"")</f>
        <v/>
      </c>
      <c r="U27" s="105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Mgmt'!$M$5:$M$428,0))),1)&gt;=DATE(YEAR(A27),MONTH(A27),1),FALSE))&gt;0),IFERROR(T27/I27,0),"")</f>
        <v/>
      </c>
      <c r="V27" s="191">
        <f>IF(EDATE($B$4,4)&lt;=EOMONTH($B$5,0),SUMPRODUCT(('Client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Mgmt'!$M$5:$M$428,0))),1)&gt;=DATE(YEAR(A27),MONTH(A27),1),FALSE)),"")</f>
        <v/>
      </c>
      <c r="W27" s="181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Mgmt'!$M$5:$M$428,0))),1)&gt;=DATE(YEAR(A27),MONTH(A27),1),FALSE)),"")</f>
        <v/>
      </c>
      <c r="X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Mgmt'!$M$5:$M$428,0))),1)&gt;=DATE(YEAR(A27),MONTH(A27),1),FALSE))&gt;0),IFERROR(SUMPRODUCT(('Client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Mgmt'!$M$5:$M$428,0))),1)&gt;=DATE(YEAR(A27),MONTH(A27),1),FALSE)*'Client DB &amp; Bed Mgmt'!$I$5:$I$428),0),"")</f>
        <v/>
      </c>
      <c r="Y27" s="189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Mgmt'!$M$5:$M$428,0))),1)&gt;=DATE(YEAR(A27),MONTH(A27),1),FALSE))&gt;0),IFERROR(SUMPRODUCT(('Client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Mgmt'!$M$5:$M$428,0))),1)&gt;=DATE(YEAR(A27),MONTH(A27),1),FALSE)*'Client DB &amp; Bed Mgmt'!$J$5:$J$428),0),"")</f>
        <v/>
      </c>
      <c r="Z27" s="192">
        <f>IF(AND(EDATE($B$4,4)&lt;=EOMONTH($B$5,0),SUMPRODUCT(('Client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Mgmt'!$M$5:$M$428,0))),1)&gt;=DATE(YEAR(A27),MONTH(A27),1),FALSE))&gt;0),IFERROR(SUMPRODUCT(('Client DB &amp; Bed Mgmt'!$A$5:$A$428=B27)*('Client DB &amp; Bed Mgmt'!$D$5:$D$428&lt;&gt;"")*--IFERROR(DATE(YEAR('Client DB &amp; Bed Mgmt'!$M$5:$M$428),MONTH('Client DB &amp; Bed Mgmt'!$M$5:$M$428),1)&lt;=DATE(YEAR(A27),MONTH(A27),1),FALSE)*--IFERROR(DATE(YEAR(IF(ISNUMBER('Client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Mgmt'!$M$5:$M$428,0))),1)&gt;=DATE(YEAR(A27),MONTH(A27),1),FALSE)*'Client DB &amp; Bed Mgmt'!$K$5:$K$428),0),"")</f>
        <v/>
      </c>
      <c r="AA27" s="82" t="n"/>
      <c r="AB27" s="82" t="n"/>
    </row>
    <row r="28" hidden="1" ht="14.25" customHeight="1" s="83">
      <c r="A28" s="177">
        <f>IF(EDATE($B$4,4)&lt;=EOMONTH($B$5,0),EDATE($B$4,4),"")</f>
        <v/>
      </c>
      <c r="B28" s="103">
        <f>IF(EDATE($B$4,4)&lt;=EOMONTH($B$5,0),"Dorm 3","")</f>
        <v/>
      </c>
      <c r="C28" s="17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Mgmt'!$M$5:$M$428,0))),1)&gt;=DATE(YEAR(A28),MONTH(A28),1),FALSE))&gt;0),IFERROR(_xlfn.XLOOKUP(B28,DormRegistry[Dorm Name],DormRegistry[Ownership Type]),""),"")</f>
        <v/>
      </c>
      <c r="D28" s="17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Mgmt'!$M$5:$M$428,0))),1)&gt;=DATE(YEAR(A28),MONTH(A28),1),FALSE))&gt;0),IFERROR(_xlfn.XLOOKUP(B28,DormRegistry[Dorm Name],DormRegistry[Bed Capacity]),0),"")</f>
        <v/>
      </c>
      <c r="E28" s="13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Mgmt'!$M$5:$M$428,0))),1)&gt;=DATE(YEAR(A28),MONTH(A28),1),FALSE))&gt;0),$B$7*(1+$B$9)^(YEAR(A28)-YEAR($B$4)),"")</f>
        <v/>
      </c>
      <c r="F28" s="105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Mgmt'!$M$5:$M$428,0))),1)&gt;=DATE(YEAR(A28),MONTH(A28),1),FALSE))&gt;0),$B$8,"")</f>
        <v/>
      </c>
      <c r="G28" s="105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Mgmt'!$M$5:$M$428,0))),1)&gt;=DATE(YEAR(A28),MONTH(A28),1),FALSE))&gt;0),$B$9,"")</f>
        <v/>
      </c>
      <c r="H28" s="13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Mgmt'!$M$5:$M$428,0))),1)&gt;=DATE(YEAR(A28),MONTH(A28),1),FALSE))&gt;0),D28*E28,"")</f>
        <v/>
      </c>
      <c r="I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Mgmt'!$M$5:$M$428,0))),1)&gt;=DATE(YEAR(A28),MONTH(A28),1),FALSE))&gt;0),SUM(X28:Z28),"")</f>
        <v/>
      </c>
      <c r="J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Mgmt'!$M$5:$M$428,0))),1)&gt;=DATE(YEAR(A28),MONTH(A28),1),FALSE))&gt;0),D28*F28*E28,"")</f>
        <v/>
      </c>
      <c r="K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Mgmt'!$M$5:$M$428,0))),1)&gt;=DATE(YEAR(A28),MONTH(A28),1),FALSE))&gt;0),75,"")</f>
        <v/>
      </c>
      <c r="L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Mgmt'!$M$5:$M$428,0))),1)&gt;=DATE(YEAR(A28),MONTH(A28),1),FALSE))&gt;0),50,"")</f>
        <v/>
      </c>
      <c r="M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Mgmt'!$M$5:$M$428,0))),1)&gt;=DATE(YEAR(A28),MONTH(A28),1),FALSE))&gt;0),150,"")</f>
        <v/>
      </c>
      <c r="N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Mgmt'!$M$5:$M$428,0))),1)&gt;=DATE(YEAR(A28),MONTH(A28),1),FALSE))&gt;0),125,"")</f>
        <v/>
      </c>
      <c r="O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Mgmt'!$M$5:$M$428,0))),1)&gt;=DATE(YEAR(A28),MONTH(A28),1),FALSE))&gt;0),60,"")</f>
        <v/>
      </c>
      <c r="P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Mgmt'!$M$5:$M$428,0))),1)&gt;=DATE(YEAR(A28),MONTH(A28),1),FALSE))&gt;0),80,"")</f>
        <v/>
      </c>
      <c r="Q28" s="190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Mgmt'!$M$5:$M$428,0))),1)&gt;=DATE(YEAR(A28),MONTH(A28),1),FALSE))&gt;0),40,"")</f>
        <v/>
      </c>
      <c r="R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Mgmt'!$M$5:$M$428,0))),1)&gt;=DATE(YEAR(A28),MONTH(A28),1),FALSE))&gt;0),IF(C28="Owned",0,2500),"")</f>
        <v/>
      </c>
      <c r="S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Mgmt'!$M$5:$M$428,0))),1)&gt;=DATE(YEAR(A28),MONTH(A28),1),FALSE))&gt;0),SUM(K28:R28),"")</f>
        <v/>
      </c>
      <c r="T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Mgmt'!$M$5:$M$428,0))),1)&gt;=DATE(YEAR(A28),MONTH(A28),1),FALSE))&gt;0),I28-S28,"")</f>
        <v/>
      </c>
      <c r="U28" s="105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Mgmt'!$M$5:$M$428,0))),1)&gt;=DATE(YEAR(A28),MONTH(A28),1),FALSE))&gt;0),IFERROR(T28/I28,0),"")</f>
        <v/>
      </c>
      <c r="V28" s="191">
        <f>IF(EDATE($B$4,4)&lt;=EOMONTH($B$5,0),SUMPRODUCT(('Client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Mgmt'!$M$5:$M$428,0))),1)&gt;=DATE(YEAR(A28),MONTH(A28),1),FALSE)),"")</f>
        <v/>
      </c>
      <c r="W28" s="181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Mgmt'!$M$5:$M$428,0))),1)&gt;=DATE(YEAR(A28),MONTH(A28),1),FALSE)),"")</f>
        <v/>
      </c>
      <c r="X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Mgmt'!$M$5:$M$428,0))),1)&gt;=DATE(YEAR(A28),MONTH(A28),1),FALSE))&gt;0),IFERROR(SUMPRODUCT(('Client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Mgmt'!$M$5:$M$428,0))),1)&gt;=DATE(YEAR(A28),MONTH(A28),1),FALSE)*'Client DB &amp; Bed Mgmt'!$I$5:$I$428),0),"")</f>
        <v/>
      </c>
      <c r="Y28" s="189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Mgmt'!$M$5:$M$428,0))),1)&gt;=DATE(YEAR(A28),MONTH(A28),1),FALSE))&gt;0),IFERROR(SUMPRODUCT(('Client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Mgmt'!$M$5:$M$428,0))),1)&gt;=DATE(YEAR(A28),MONTH(A28),1),FALSE)*'Client DB &amp; Bed Mgmt'!$J$5:$J$428),0),"")</f>
        <v/>
      </c>
      <c r="Z28" s="192">
        <f>IF(AND(EDATE($B$4,4)&lt;=EOMONTH($B$5,0),SUMPRODUCT(('Client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Mgmt'!$M$5:$M$428,0))),1)&gt;=DATE(YEAR(A28),MONTH(A28),1),FALSE))&gt;0),IFERROR(SUMPRODUCT(('Client DB &amp; Bed Mgmt'!$A$5:$A$428=B28)*('Client DB &amp; Bed Mgmt'!$D$5:$D$428&lt;&gt;"")*--IFERROR(DATE(YEAR('Client DB &amp; Bed Mgmt'!$M$5:$M$428),MONTH('Client DB &amp; Bed Mgmt'!$M$5:$M$428),1)&lt;=DATE(YEAR(A28),MONTH(A28),1),FALSE)*--IFERROR(DATE(YEAR(IF(ISNUMBER('Client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Mgmt'!$M$5:$M$428,0))),1)&gt;=DATE(YEAR(A28),MONTH(A28),1),FALSE)*'Client DB &amp; Bed Mgmt'!$K$5:$K$428),0),"")</f>
        <v/>
      </c>
      <c r="AA28" s="82" t="n"/>
      <c r="AB28" s="82" t="n"/>
    </row>
    <row r="29" ht="14.25" customHeight="1" s="83">
      <c r="A29" s="177">
        <f>IF(EDATE($B$4,5)&lt;=EOMONTH($B$5,0),EDATE($B$4,5),"")</f>
        <v/>
      </c>
      <c r="B29" s="103">
        <f>IF(EDATE($B$4,5)&lt;=EOMONTH($B$5,0),"Dorm 1","")</f>
        <v/>
      </c>
      <c r="C29" s="17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Mgmt'!$M$5:$M$428,0))),1)&gt;=DATE(YEAR(A29),MONTH(A29),1),FALSE))&gt;0),IFERROR(_xlfn.XLOOKUP(B29,DormRegistry[Dorm Name],DormRegistry[Ownership Type]),""),"")</f>
        <v/>
      </c>
      <c r="D29" s="17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Mgmt'!$M$5:$M$428,0))),1)&gt;=DATE(YEAR(A29),MONTH(A29),1),FALSE))&gt;0),IFERROR(_xlfn.XLOOKUP(B29,DormRegistry[Dorm Name],DormRegistry[Bed Capacity]),0),"")</f>
        <v/>
      </c>
      <c r="E29" s="13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Mgmt'!$M$5:$M$428,0))),1)&gt;=DATE(YEAR(A29),MONTH(A29),1),FALSE))&gt;0),$B$7*(1+$B$9)^(YEAR(A29)-YEAR($B$4)),"")</f>
        <v/>
      </c>
      <c r="F29" s="105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Mgmt'!$M$5:$M$428,0))),1)&gt;=DATE(YEAR(A29),MONTH(A29),1),FALSE))&gt;0),$B$8,"")</f>
        <v/>
      </c>
      <c r="G29" s="105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Mgmt'!$M$5:$M$428,0))),1)&gt;=DATE(YEAR(A29),MONTH(A29),1),FALSE))&gt;0),$B$9,"")</f>
        <v/>
      </c>
      <c r="H29" s="13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Mgmt'!$M$5:$M$428,0))),1)&gt;=DATE(YEAR(A29),MONTH(A29),1),FALSE))&gt;0),D29*E29,"")</f>
        <v/>
      </c>
      <c r="I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Mgmt'!$M$5:$M$428,0))),1)&gt;=DATE(YEAR(A29),MONTH(A29),1),FALSE))&gt;0),SUM(X29:Z29),"")</f>
        <v/>
      </c>
      <c r="J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Mgmt'!$M$5:$M$428,0))),1)&gt;=DATE(YEAR(A29),MONTH(A29),1),FALSE))&gt;0),D29*F29*E29,"")</f>
        <v/>
      </c>
      <c r="K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Mgmt'!$M$5:$M$428,0))),1)&gt;=DATE(YEAR(A29),MONTH(A29),1),FALSE))&gt;0),75,"")</f>
        <v/>
      </c>
      <c r="L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Mgmt'!$M$5:$M$428,0))),1)&gt;=DATE(YEAR(A29),MONTH(A29),1),FALSE))&gt;0),50,"")</f>
        <v/>
      </c>
      <c r="M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Mgmt'!$M$5:$M$428,0))),1)&gt;=DATE(YEAR(A29),MONTH(A29),1),FALSE))&gt;0),150,"")</f>
        <v/>
      </c>
      <c r="N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Mgmt'!$M$5:$M$428,0))),1)&gt;=DATE(YEAR(A29),MONTH(A29),1),FALSE))&gt;0),125,"")</f>
        <v/>
      </c>
      <c r="O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Mgmt'!$M$5:$M$428,0))),1)&gt;=DATE(YEAR(A29),MONTH(A29),1),FALSE))&gt;0),60,"")</f>
        <v/>
      </c>
      <c r="P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Mgmt'!$M$5:$M$428,0))),1)&gt;=DATE(YEAR(A29),MONTH(A29),1),FALSE))&gt;0),80,"")</f>
        <v/>
      </c>
      <c r="Q29" s="190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Mgmt'!$M$5:$M$428,0))),1)&gt;=DATE(YEAR(A29),MONTH(A29),1),FALSE))&gt;0),40,"")</f>
        <v/>
      </c>
      <c r="R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Mgmt'!$M$5:$M$428,0))),1)&gt;=DATE(YEAR(A29),MONTH(A29),1),FALSE))&gt;0),IF(C29="Owned",0,2500),"")</f>
        <v/>
      </c>
      <c r="S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Mgmt'!$M$5:$M$428,0))),1)&gt;=DATE(YEAR(A29),MONTH(A29),1),FALSE))&gt;0),SUM(K29:R29),"")</f>
        <v/>
      </c>
      <c r="T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Mgmt'!$M$5:$M$428,0))),1)&gt;=DATE(YEAR(A29),MONTH(A29),1),FALSE))&gt;0),I29-S29,"")</f>
        <v/>
      </c>
      <c r="U29" s="105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Mgmt'!$M$5:$M$428,0))),1)&gt;=DATE(YEAR(A29),MONTH(A29),1),FALSE))&gt;0),IFERROR(T29/I29,0),"")</f>
        <v/>
      </c>
      <c r="V29" s="191">
        <f>IF(EDATE($B$4,5)&lt;=EOMONTH($B$5,0),SUMPRODUCT(('Client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Mgmt'!$M$5:$M$428,0))),1)&gt;=DATE(YEAR(A29),MONTH(A29),1),FALSE)),"")</f>
        <v/>
      </c>
      <c r="W29" s="181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Mgmt'!$M$5:$M$428,0))),1)&gt;=DATE(YEAR(A29),MONTH(A29),1),FALSE)),"")</f>
        <v/>
      </c>
      <c r="X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Mgmt'!$M$5:$M$428,0))),1)&gt;=DATE(YEAR(A29),MONTH(A29),1),FALSE))&gt;0),IFERROR(SUMPRODUCT(('Client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Mgmt'!$M$5:$M$428,0))),1)&gt;=DATE(YEAR(A29),MONTH(A29),1),FALSE)*'Client DB &amp; Bed Mgmt'!$I$5:$I$428),0),"")</f>
        <v/>
      </c>
      <c r="Y29" s="189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Mgmt'!$M$5:$M$428,0))),1)&gt;=DATE(YEAR(A29),MONTH(A29),1),FALSE))&gt;0),IFERROR(SUMPRODUCT(('Client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Mgmt'!$M$5:$M$428,0))),1)&gt;=DATE(YEAR(A29),MONTH(A29),1),FALSE)*'Client DB &amp; Bed Mgmt'!$J$5:$J$428),0),"")</f>
        <v/>
      </c>
      <c r="Z29" s="192">
        <f>IF(AND(EDATE($B$4,5)&lt;=EOMONTH($B$5,0),SUMPRODUCT(('Client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Mgmt'!$M$5:$M$428,0))),1)&gt;=DATE(YEAR(A29),MONTH(A29),1),FALSE))&gt;0),IFERROR(SUMPRODUCT(('Client DB &amp; Bed Mgmt'!$A$5:$A$428=B29)*('Client DB &amp; Bed Mgmt'!$D$5:$D$428&lt;&gt;"")*--IFERROR(DATE(YEAR('Client DB &amp; Bed Mgmt'!$M$5:$M$428),MONTH('Client DB &amp; Bed Mgmt'!$M$5:$M$428),1)&lt;=DATE(YEAR(A29),MONTH(A29),1),FALSE)*--IFERROR(DATE(YEAR(IF(ISNUMBER('Client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Mgmt'!$M$5:$M$428,0))),1)&gt;=DATE(YEAR(A29),MONTH(A29),1),FALSE)*'Client DB &amp; Bed Mgmt'!$K$5:$K$428),0),"")</f>
        <v/>
      </c>
      <c r="AA29" s="82" t="n"/>
      <c r="AB29" s="82" t="n"/>
    </row>
    <row r="30" hidden="1" ht="14.25" customHeight="1" s="83">
      <c r="A30" s="177">
        <f>IF(EDATE($B$4,5)&lt;=EOMONTH($B$5,0),EDATE($B$4,5),"")</f>
        <v/>
      </c>
      <c r="B30" s="103">
        <f>IF(EDATE($B$4,5)&lt;=EOMONTH($B$5,0),"Dorm 2","")</f>
        <v/>
      </c>
      <c r="C30" s="17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Mgmt'!$M$5:$M$428,0))),1)&gt;=DATE(YEAR(A30),MONTH(A30),1),FALSE))&gt;0),IFERROR(_xlfn.XLOOKUP(B30,DormRegistry[Dorm Name],DormRegistry[Ownership Type]),""),"")</f>
        <v/>
      </c>
      <c r="D30" s="17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Mgmt'!$M$5:$M$428,0))),1)&gt;=DATE(YEAR(A30),MONTH(A30),1),FALSE))&gt;0),IFERROR(_xlfn.XLOOKUP(B30,DormRegistry[Dorm Name],DormRegistry[Bed Capacity]),0),"")</f>
        <v/>
      </c>
      <c r="E30" s="13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Mgmt'!$M$5:$M$428,0))),1)&gt;=DATE(YEAR(A30),MONTH(A30),1),FALSE))&gt;0),$B$7*(1+$B$9)^(YEAR(A30)-YEAR($B$4)),"")</f>
        <v/>
      </c>
      <c r="F30" s="105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Mgmt'!$M$5:$M$428,0))),1)&gt;=DATE(YEAR(A30),MONTH(A30),1),FALSE))&gt;0),$B$8,"")</f>
        <v/>
      </c>
      <c r="G30" s="105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Mgmt'!$M$5:$M$428,0))),1)&gt;=DATE(YEAR(A30),MONTH(A30),1),FALSE))&gt;0),$B$9,"")</f>
        <v/>
      </c>
      <c r="H30" s="13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Mgmt'!$M$5:$M$428,0))),1)&gt;=DATE(YEAR(A30),MONTH(A30),1),FALSE))&gt;0),D30*E30,"")</f>
        <v/>
      </c>
      <c r="I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Mgmt'!$M$5:$M$428,0))),1)&gt;=DATE(YEAR(A30),MONTH(A30),1),FALSE))&gt;0),SUM(X30:Z30),"")</f>
        <v/>
      </c>
      <c r="J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Mgmt'!$M$5:$M$428,0))),1)&gt;=DATE(YEAR(A30),MONTH(A30),1),FALSE))&gt;0),D30*F30*E30,"")</f>
        <v/>
      </c>
      <c r="K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Mgmt'!$M$5:$M$428,0))),1)&gt;=DATE(YEAR(A30),MONTH(A30),1),FALSE))&gt;0),75,"")</f>
        <v/>
      </c>
      <c r="L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Mgmt'!$M$5:$M$428,0))),1)&gt;=DATE(YEAR(A30),MONTH(A30),1),FALSE))&gt;0),50,"")</f>
        <v/>
      </c>
      <c r="M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Mgmt'!$M$5:$M$428,0))),1)&gt;=DATE(YEAR(A30),MONTH(A30),1),FALSE))&gt;0),150,"")</f>
        <v/>
      </c>
      <c r="N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Mgmt'!$M$5:$M$428,0))),1)&gt;=DATE(YEAR(A30),MONTH(A30),1),FALSE))&gt;0),125,"")</f>
        <v/>
      </c>
      <c r="O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Mgmt'!$M$5:$M$428,0))),1)&gt;=DATE(YEAR(A30),MONTH(A30),1),FALSE))&gt;0),60,"")</f>
        <v/>
      </c>
      <c r="P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Mgmt'!$M$5:$M$428,0))),1)&gt;=DATE(YEAR(A30),MONTH(A30),1),FALSE))&gt;0),80,"")</f>
        <v/>
      </c>
      <c r="Q30" s="190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Mgmt'!$M$5:$M$428,0))),1)&gt;=DATE(YEAR(A30),MONTH(A30),1),FALSE))&gt;0),40,"")</f>
        <v/>
      </c>
      <c r="R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Mgmt'!$M$5:$M$428,0))),1)&gt;=DATE(YEAR(A30),MONTH(A30),1),FALSE))&gt;0),IF(C30="Owned",0,2500),"")</f>
        <v/>
      </c>
      <c r="S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Mgmt'!$M$5:$M$428,0))),1)&gt;=DATE(YEAR(A30),MONTH(A30),1),FALSE))&gt;0),SUM(K30:R30),"")</f>
        <v/>
      </c>
      <c r="T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Mgmt'!$M$5:$M$428,0))),1)&gt;=DATE(YEAR(A30),MONTH(A30),1),FALSE))&gt;0),I30-S30,"")</f>
        <v/>
      </c>
      <c r="U30" s="105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Mgmt'!$M$5:$M$428,0))),1)&gt;=DATE(YEAR(A30),MONTH(A30),1),FALSE))&gt;0),IFERROR(T30/I30,0),"")</f>
        <v/>
      </c>
      <c r="V30" s="191">
        <f>IF(EDATE($B$4,5)&lt;=EOMONTH($B$5,0),SUMPRODUCT(('Client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Mgmt'!$M$5:$M$428,0))),1)&gt;=DATE(YEAR(A30),MONTH(A30),1),FALSE)),"")</f>
        <v/>
      </c>
      <c r="W30" s="181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Mgmt'!$M$5:$M$428,0))),1)&gt;=DATE(YEAR(A30),MONTH(A30),1),FALSE)),"")</f>
        <v/>
      </c>
      <c r="X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Mgmt'!$M$5:$M$428,0))),1)&gt;=DATE(YEAR(A30),MONTH(A30),1),FALSE))&gt;0),IFERROR(SUMPRODUCT(('Client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Mgmt'!$M$5:$M$428,0))),1)&gt;=DATE(YEAR(A30),MONTH(A30),1),FALSE)*'Client DB &amp; Bed Mgmt'!$I$5:$I$428),0),"")</f>
        <v/>
      </c>
      <c r="Y30" s="189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Mgmt'!$M$5:$M$428,0))),1)&gt;=DATE(YEAR(A30),MONTH(A30),1),FALSE))&gt;0),IFERROR(SUMPRODUCT(('Client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Mgmt'!$M$5:$M$428,0))),1)&gt;=DATE(YEAR(A30),MONTH(A30),1),FALSE)*'Client DB &amp; Bed Mgmt'!$J$5:$J$428),0),"")</f>
        <v/>
      </c>
      <c r="Z30" s="192">
        <f>IF(AND(EDATE($B$4,5)&lt;=EOMONTH($B$5,0),SUMPRODUCT(('Client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Mgmt'!$M$5:$M$428,0))),1)&gt;=DATE(YEAR(A30),MONTH(A30),1),FALSE))&gt;0),IFERROR(SUMPRODUCT(('Client DB &amp; Bed Mgmt'!$A$5:$A$428=B30)*('Client DB &amp; Bed Mgmt'!$D$5:$D$428&lt;&gt;"")*--IFERROR(DATE(YEAR('Client DB &amp; Bed Mgmt'!$M$5:$M$428),MONTH('Client DB &amp; Bed Mgmt'!$M$5:$M$428),1)&lt;=DATE(YEAR(A30),MONTH(A30),1),FALSE)*--IFERROR(DATE(YEAR(IF(ISNUMBER('Client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Mgmt'!$M$5:$M$428,0))),1)&gt;=DATE(YEAR(A30),MONTH(A30),1),FALSE)*'Client DB &amp; Bed Mgmt'!$K$5:$K$428),0),"")</f>
        <v/>
      </c>
      <c r="AA30" s="82" t="n"/>
      <c r="AB30" s="82" t="n"/>
    </row>
    <row r="31" hidden="1" ht="14.25" customHeight="1" s="83">
      <c r="A31" s="177">
        <f>IF(EDATE($B$4,5)&lt;=EOMONTH($B$5,0),EDATE($B$4,5),"")</f>
        <v/>
      </c>
      <c r="B31" s="103">
        <f>IF(EDATE($B$4,5)&lt;=EOMONTH($B$5,0),"Dorm 3","")</f>
        <v/>
      </c>
      <c r="C31" s="17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Mgmt'!$M$5:$M$428,0))),1)&gt;=DATE(YEAR(A31),MONTH(A31),1),FALSE))&gt;0),IFERROR(_xlfn.XLOOKUP(B31,DormRegistry[Dorm Name],DormRegistry[Ownership Type]),""),"")</f>
        <v/>
      </c>
      <c r="D31" s="17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Mgmt'!$M$5:$M$428,0))),1)&gt;=DATE(YEAR(A31),MONTH(A31),1),FALSE))&gt;0),IFERROR(_xlfn.XLOOKUP(B31,DormRegistry[Dorm Name],DormRegistry[Bed Capacity]),0),"")</f>
        <v/>
      </c>
      <c r="E31" s="13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Mgmt'!$M$5:$M$428,0))),1)&gt;=DATE(YEAR(A31),MONTH(A31),1),FALSE))&gt;0),$B$7*(1+$B$9)^(YEAR(A31)-YEAR($B$4)),"")</f>
        <v/>
      </c>
      <c r="F31" s="105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Mgmt'!$M$5:$M$428,0))),1)&gt;=DATE(YEAR(A31),MONTH(A31),1),FALSE))&gt;0),$B$8,"")</f>
        <v/>
      </c>
      <c r="G31" s="105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Mgmt'!$M$5:$M$428,0))),1)&gt;=DATE(YEAR(A31),MONTH(A31),1),FALSE))&gt;0),$B$9,"")</f>
        <v/>
      </c>
      <c r="H31" s="13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Mgmt'!$M$5:$M$428,0))),1)&gt;=DATE(YEAR(A31),MONTH(A31),1),FALSE))&gt;0),D31*E31,"")</f>
        <v/>
      </c>
      <c r="I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Mgmt'!$M$5:$M$428,0))),1)&gt;=DATE(YEAR(A31),MONTH(A31),1),FALSE))&gt;0),SUM(X31:Z31),"")</f>
        <v/>
      </c>
      <c r="J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Mgmt'!$M$5:$M$428,0))),1)&gt;=DATE(YEAR(A31),MONTH(A31),1),FALSE))&gt;0),D31*F31*E31,"")</f>
        <v/>
      </c>
      <c r="K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Mgmt'!$M$5:$M$428,0))),1)&gt;=DATE(YEAR(A31),MONTH(A31),1),FALSE))&gt;0),75,"")</f>
        <v/>
      </c>
      <c r="L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Mgmt'!$M$5:$M$428,0))),1)&gt;=DATE(YEAR(A31),MONTH(A31),1),FALSE))&gt;0),50,"")</f>
        <v/>
      </c>
      <c r="M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Mgmt'!$M$5:$M$428,0))),1)&gt;=DATE(YEAR(A31),MONTH(A31),1),FALSE))&gt;0),150,"")</f>
        <v/>
      </c>
      <c r="N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Mgmt'!$M$5:$M$428,0))),1)&gt;=DATE(YEAR(A31),MONTH(A31),1),FALSE))&gt;0),125,"")</f>
        <v/>
      </c>
      <c r="O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Mgmt'!$M$5:$M$428,0))),1)&gt;=DATE(YEAR(A31),MONTH(A31),1),FALSE))&gt;0),60,"")</f>
        <v/>
      </c>
      <c r="P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Mgmt'!$M$5:$M$428,0))),1)&gt;=DATE(YEAR(A31),MONTH(A31),1),FALSE))&gt;0),80,"")</f>
        <v/>
      </c>
      <c r="Q31" s="190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Mgmt'!$M$5:$M$428,0))),1)&gt;=DATE(YEAR(A31),MONTH(A31),1),FALSE))&gt;0),40,"")</f>
        <v/>
      </c>
      <c r="R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Mgmt'!$M$5:$M$428,0))),1)&gt;=DATE(YEAR(A31),MONTH(A31),1),FALSE))&gt;0),IF(C31="Owned",0,2500),"")</f>
        <v/>
      </c>
      <c r="S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Mgmt'!$M$5:$M$428,0))),1)&gt;=DATE(YEAR(A31),MONTH(A31),1),FALSE))&gt;0),SUM(K31:R31),"")</f>
        <v/>
      </c>
      <c r="T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Mgmt'!$M$5:$M$428,0))),1)&gt;=DATE(YEAR(A31),MONTH(A31),1),FALSE))&gt;0),I31-S31,"")</f>
        <v/>
      </c>
      <c r="U31" s="105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Mgmt'!$M$5:$M$428,0))),1)&gt;=DATE(YEAR(A31),MONTH(A31),1),FALSE))&gt;0),IFERROR(T31/I31,0),"")</f>
        <v/>
      </c>
      <c r="V31" s="191">
        <f>IF(EDATE($B$4,5)&lt;=EOMONTH($B$5,0),SUMPRODUCT(('Client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Mgmt'!$M$5:$M$428,0))),1)&gt;=DATE(YEAR(A31),MONTH(A31),1),FALSE)),"")</f>
        <v/>
      </c>
      <c r="W31" s="181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Mgmt'!$M$5:$M$428,0))),1)&gt;=DATE(YEAR(A31),MONTH(A31),1),FALSE)),"")</f>
        <v/>
      </c>
      <c r="X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Mgmt'!$M$5:$M$428,0))),1)&gt;=DATE(YEAR(A31),MONTH(A31),1),FALSE))&gt;0),IFERROR(SUMPRODUCT(('Client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Mgmt'!$M$5:$M$428,0))),1)&gt;=DATE(YEAR(A31),MONTH(A31),1),FALSE)*'Client DB &amp; Bed Mgmt'!$I$5:$I$428),0),"")</f>
        <v/>
      </c>
      <c r="Y31" s="189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Mgmt'!$M$5:$M$428,0))),1)&gt;=DATE(YEAR(A31),MONTH(A31),1),FALSE))&gt;0),IFERROR(SUMPRODUCT(('Client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Mgmt'!$M$5:$M$428,0))),1)&gt;=DATE(YEAR(A31),MONTH(A31),1),FALSE)*'Client DB &amp; Bed Mgmt'!$J$5:$J$428),0),"")</f>
        <v/>
      </c>
      <c r="Z31" s="192">
        <f>IF(AND(EDATE($B$4,5)&lt;=EOMONTH($B$5,0),SUMPRODUCT(('Client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Mgmt'!$M$5:$M$428,0))),1)&gt;=DATE(YEAR(A31),MONTH(A31),1),FALSE))&gt;0),IFERROR(SUMPRODUCT(('Client DB &amp; Bed Mgmt'!$A$5:$A$428=B31)*('Client DB &amp; Bed Mgmt'!$D$5:$D$428&lt;&gt;"")*--IFERROR(DATE(YEAR('Client DB &amp; Bed Mgmt'!$M$5:$M$428),MONTH('Client DB &amp; Bed Mgmt'!$M$5:$M$428),1)&lt;=DATE(YEAR(A31),MONTH(A31),1),FALSE)*--IFERROR(DATE(YEAR(IF(ISNUMBER('Client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Mgmt'!$M$5:$M$428,0))),1)&gt;=DATE(YEAR(A31),MONTH(A31),1),FALSE)*'Client DB &amp; Bed Mgmt'!$K$5:$K$428),0),"")</f>
        <v/>
      </c>
      <c r="AA31" s="82" t="n"/>
      <c r="AB31" s="82" t="n"/>
    </row>
    <row r="32" ht="14.25" customHeight="1" s="83">
      <c r="A32" s="177">
        <f>IF(EDATE($B$4,6)&lt;=EOMONTH($B$5,0),EDATE($B$4,6),"")</f>
        <v/>
      </c>
      <c r="B32" s="103">
        <f>IF(EDATE($B$4,6)&lt;=EOMONTH($B$5,0),"Dorm 1","")</f>
        <v/>
      </c>
      <c r="C32" s="17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Mgmt'!$M$5:$M$428,0))),1)&gt;=DATE(YEAR(A32),MONTH(A32),1),FALSE))&gt;0),IFERROR(_xlfn.XLOOKUP(B32,DormRegistry[Dorm Name],DormRegistry[Ownership Type]),""),"")</f>
        <v/>
      </c>
      <c r="D32" s="17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Mgmt'!$M$5:$M$428,0))),1)&gt;=DATE(YEAR(A32),MONTH(A32),1),FALSE))&gt;0),IFERROR(_xlfn.XLOOKUP(B32,DormRegistry[Dorm Name],DormRegistry[Bed Capacity]),0),"")</f>
        <v/>
      </c>
      <c r="E32" s="13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Mgmt'!$M$5:$M$428,0))),1)&gt;=DATE(YEAR(A32),MONTH(A32),1),FALSE))&gt;0),$B$7*(1+$B$9)^(YEAR(A32)-YEAR($B$4)),"")</f>
        <v/>
      </c>
      <c r="F32" s="105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Mgmt'!$M$5:$M$428,0))),1)&gt;=DATE(YEAR(A32),MONTH(A32),1),FALSE))&gt;0),$B$8,"")</f>
        <v/>
      </c>
      <c r="G32" s="105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Mgmt'!$M$5:$M$428,0))),1)&gt;=DATE(YEAR(A32),MONTH(A32),1),FALSE))&gt;0),$B$9,"")</f>
        <v/>
      </c>
      <c r="H32" s="13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Mgmt'!$M$5:$M$428,0))),1)&gt;=DATE(YEAR(A32),MONTH(A32),1),FALSE))&gt;0),D32*E32,"")</f>
        <v/>
      </c>
      <c r="I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Mgmt'!$M$5:$M$428,0))),1)&gt;=DATE(YEAR(A32),MONTH(A32),1),FALSE))&gt;0),SUM(X32:Z32),"")</f>
        <v/>
      </c>
      <c r="J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Mgmt'!$M$5:$M$428,0))),1)&gt;=DATE(YEAR(A32),MONTH(A32),1),FALSE))&gt;0),D32*F32*E32,"")</f>
        <v/>
      </c>
      <c r="K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Mgmt'!$M$5:$M$428,0))),1)&gt;=DATE(YEAR(A32),MONTH(A32),1),FALSE))&gt;0),75,"")</f>
        <v/>
      </c>
      <c r="L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Mgmt'!$M$5:$M$428,0))),1)&gt;=DATE(YEAR(A32),MONTH(A32),1),FALSE))&gt;0),50,"")</f>
        <v/>
      </c>
      <c r="M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Mgmt'!$M$5:$M$428,0))),1)&gt;=DATE(YEAR(A32),MONTH(A32),1),FALSE))&gt;0),150,"")</f>
        <v/>
      </c>
      <c r="N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Mgmt'!$M$5:$M$428,0))),1)&gt;=DATE(YEAR(A32),MONTH(A32),1),FALSE))&gt;0),125,"")</f>
        <v/>
      </c>
      <c r="O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Mgmt'!$M$5:$M$428,0))),1)&gt;=DATE(YEAR(A32),MONTH(A32),1),FALSE))&gt;0),60,"")</f>
        <v/>
      </c>
      <c r="P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Mgmt'!$M$5:$M$428,0))),1)&gt;=DATE(YEAR(A32),MONTH(A32),1),FALSE))&gt;0),80,"")</f>
        <v/>
      </c>
      <c r="Q32" s="190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Mgmt'!$M$5:$M$428,0))),1)&gt;=DATE(YEAR(A32),MONTH(A32),1),FALSE))&gt;0),40,"")</f>
        <v/>
      </c>
      <c r="R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Mgmt'!$M$5:$M$428,0))),1)&gt;=DATE(YEAR(A32),MONTH(A32),1),FALSE))&gt;0),IF(C32="Owned",0,2500),"")</f>
        <v/>
      </c>
      <c r="S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Mgmt'!$M$5:$M$428,0))),1)&gt;=DATE(YEAR(A32),MONTH(A32),1),FALSE))&gt;0),SUM(K32:R32),"")</f>
        <v/>
      </c>
      <c r="T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Mgmt'!$M$5:$M$428,0))),1)&gt;=DATE(YEAR(A32),MONTH(A32),1),FALSE))&gt;0),I32-S32,"")</f>
        <v/>
      </c>
      <c r="U32" s="105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Mgmt'!$M$5:$M$428,0))),1)&gt;=DATE(YEAR(A32),MONTH(A32),1),FALSE))&gt;0),IFERROR(T32/I32,0),"")</f>
        <v/>
      </c>
      <c r="V32" s="191">
        <f>IF(EDATE($B$4,6)&lt;=EOMONTH($B$5,0),SUMPRODUCT(('Client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Mgmt'!$M$5:$M$428,0))),1)&gt;=DATE(YEAR(A32),MONTH(A32),1),FALSE)),"")</f>
        <v/>
      </c>
      <c r="W32" s="181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Mgmt'!$M$5:$M$428,0))),1)&gt;=DATE(YEAR(A32),MONTH(A32),1),FALSE)),"")</f>
        <v/>
      </c>
      <c r="X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Mgmt'!$M$5:$M$428,0))),1)&gt;=DATE(YEAR(A32),MONTH(A32),1),FALSE))&gt;0),IFERROR(SUMPRODUCT(('Client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Mgmt'!$M$5:$M$428,0))),1)&gt;=DATE(YEAR(A32),MONTH(A32),1),FALSE)*'Client DB &amp; Bed Mgmt'!$I$5:$I$428),0),"")</f>
        <v/>
      </c>
      <c r="Y32" s="189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Mgmt'!$M$5:$M$428,0))),1)&gt;=DATE(YEAR(A32),MONTH(A32),1),FALSE))&gt;0),IFERROR(SUMPRODUCT(('Client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Mgmt'!$M$5:$M$428,0))),1)&gt;=DATE(YEAR(A32),MONTH(A32),1),FALSE)*'Client DB &amp; Bed Mgmt'!$J$5:$J$428),0),"")</f>
        <v/>
      </c>
      <c r="Z32" s="192">
        <f>IF(AND(EDATE($B$4,6)&lt;=EOMONTH($B$5,0),SUMPRODUCT(('Client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Mgmt'!$M$5:$M$428,0))),1)&gt;=DATE(YEAR(A32),MONTH(A32),1),FALSE))&gt;0),IFERROR(SUMPRODUCT(('Client DB &amp; Bed Mgmt'!$A$5:$A$428=B32)*('Client DB &amp; Bed Mgmt'!$D$5:$D$428&lt;&gt;"")*--IFERROR(DATE(YEAR('Client DB &amp; Bed Mgmt'!$M$5:$M$428),MONTH('Client DB &amp; Bed Mgmt'!$M$5:$M$428),1)&lt;=DATE(YEAR(A32),MONTH(A32),1),FALSE)*--IFERROR(DATE(YEAR(IF(ISNUMBER('Client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Mgmt'!$M$5:$M$428,0))),1)&gt;=DATE(YEAR(A32),MONTH(A32),1),FALSE)*'Client DB &amp; Bed Mgmt'!$K$5:$K$428),0),"")</f>
        <v/>
      </c>
      <c r="AA32" s="82" t="n"/>
      <c r="AB32" s="82" t="n"/>
    </row>
    <row r="33" hidden="1" ht="14.25" customHeight="1" s="83">
      <c r="A33" s="177">
        <f>IF(EDATE($B$4,6)&lt;=EOMONTH($B$5,0),EDATE($B$4,6),"")</f>
        <v/>
      </c>
      <c r="B33" s="103">
        <f>IF(EDATE($B$4,6)&lt;=EOMONTH($B$5,0),"Dorm 2","")</f>
        <v/>
      </c>
      <c r="C33" s="17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Mgmt'!$M$5:$M$428,0))),1)&gt;=DATE(YEAR(A33),MONTH(A33),1),FALSE))&gt;0),IFERROR(_xlfn.XLOOKUP(B33,DormRegistry[Dorm Name],DormRegistry[Ownership Type]),""),"")</f>
        <v/>
      </c>
      <c r="D33" s="17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Mgmt'!$M$5:$M$428,0))),1)&gt;=DATE(YEAR(A33),MONTH(A33),1),FALSE))&gt;0),IFERROR(_xlfn.XLOOKUP(B33,DormRegistry[Dorm Name],DormRegistry[Bed Capacity]),0),"")</f>
        <v/>
      </c>
      <c r="E33" s="13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Mgmt'!$M$5:$M$428,0))),1)&gt;=DATE(YEAR(A33),MONTH(A33),1),FALSE))&gt;0),$B$7*(1+$B$9)^(YEAR(A33)-YEAR($B$4)),"")</f>
        <v/>
      </c>
      <c r="F33" s="105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Mgmt'!$M$5:$M$428,0))),1)&gt;=DATE(YEAR(A33),MONTH(A33),1),FALSE))&gt;0),$B$8,"")</f>
        <v/>
      </c>
      <c r="G33" s="105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Mgmt'!$M$5:$M$428,0))),1)&gt;=DATE(YEAR(A33),MONTH(A33),1),FALSE))&gt;0),$B$9,"")</f>
        <v/>
      </c>
      <c r="H33" s="13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Mgmt'!$M$5:$M$428,0))),1)&gt;=DATE(YEAR(A33),MONTH(A33),1),FALSE))&gt;0),D33*E33,"")</f>
        <v/>
      </c>
      <c r="I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Mgmt'!$M$5:$M$428,0))),1)&gt;=DATE(YEAR(A33),MONTH(A33),1),FALSE))&gt;0),SUM(X33:Z33),"")</f>
        <v/>
      </c>
      <c r="J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Mgmt'!$M$5:$M$428,0))),1)&gt;=DATE(YEAR(A33),MONTH(A33),1),FALSE))&gt;0),D33*F33*E33,"")</f>
        <v/>
      </c>
      <c r="K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Mgmt'!$M$5:$M$428,0))),1)&gt;=DATE(YEAR(A33),MONTH(A33),1),FALSE))&gt;0),75,"")</f>
        <v/>
      </c>
      <c r="L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Mgmt'!$M$5:$M$428,0))),1)&gt;=DATE(YEAR(A33),MONTH(A33),1),FALSE))&gt;0),50,"")</f>
        <v/>
      </c>
      <c r="M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Mgmt'!$M$5:$M$428,0))),1)&gt;=DATE(YEAR(A33),MONTH(A33),1),FALSE))&gt;0),150,"")</f>
        <v/>
      </c>
      <c r="N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Mgmt'!$M$5:$M$428,0))),1)&gt;=DATE(YEAR(A33),MONTH(A33),1),FALSE))&gt;0),125,"")</f>
        <v/>
      </c>
      <c r="O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Mgmt'!$M$5:$M$428,0))),1)&gt;=DATE(YEAR(A33),MONTH(A33),1),FALSE))&gt;0),60,"")</f>
        <v/>
      </c>
      <c r="P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Mgmt'!$M$5:$M$428,0))),1)&gt;=DATE(YEAR(A33),MONTH(A33),1),FALSE))&gt;0),80,"")</f>
        <v/>
      </c>
      <c r="Q33" s="190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Mgmt'!$M$5:$M$428,0))),1)&gt;=DATE(YEAR(A33),MONTH(A33),1),FALSE))&gt;0),40,"")</f>
        <v/>
      </c>
      <c r="R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Mgmt'!$M$5:$M$428,0))),1)&gt;=DATE(YEAR(A33),MONTH(A33),1),FALSE))&gt;0),IF(C33="Owned",0,2500),"")</f>
        <v/>
      </c>
      <c r="S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Mgmt'!$M$5:$M$428,0))),1)&gt;=DATE(YEAR(A33),MONTH(A33),1),FALSE))&gt;0),SUM(K33:R33),"")</f>
        <v/>
      </c>
      <c r="T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Mgmt'!$M$5:$M$428,0))),1)&gt;=DATE(YEAR(A33),MONTH(A33),1),FALSE))&gt;0),I33-S33,"")</f>
        <v/>
      </c>
      <c r="U33" s="105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Mgmt'!$M$5:$M$428,0))),1)&gt;=DATE(YEAR(A33),MONTH(A33),1),FALSE))&gt;0),IFERROR(T33/I33,0),"")</f>
        <v/>
      </c>
      <c r="V33" s="191">
        <f>IF(EDATE($B$4,6)&lt;=EOMONTH($B$5,0),SUMPRODUCT(('Client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Mgmt'!$M$5:$M$428,0))),1)&gt;=DATE(YEAR(A33),MONTH(A33),1),FALSE)),"")</f>
        <v/>
      </c>
      <c r="W33" s="181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Mgmt'!$M$5:$M$428,0))),1)&gt;=DATE(YEAR(A33),MONTH(A33),1),FALSE)),"")</f>
        <v/>
      </c>
      <c r="X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Mgmt'!$M$5:$M$428,0))),1)&gt;=DATE(YEAR(A33),MONTH(A33),1),FALSE))&gt;0),IFERROR(SUMPRODUCT(('Client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Mgmt'!$M$5:$M$428,0))),1)&gt;=DATE(YEAR(A33),MONTH(A33),1),FALSE)*'Client DB &amp; Bed Mgmt'!$I$5:$I$428),0),"")</f>
        <v/>
      </c>
      <c r="Y33" s="189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Mgmt'!$M$5:$M$428,0))),1)&gt;=DATE(YEAR(A33),MONTH(A33),1),FALSE))&gt;0),IFERROR(SUMPRODUCT(('Client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Mgmt'!$M$5:$M$428,0))),1)&gt;=DATE(YEAR(A33),MONTH(A33),1),FALSE)*'Client DB &amp; Bed Mgmt'!$J$5:$J$428),0),"")</f>
        <v/>
      </c>
      <c r="Z33" s="192">
        <f>IF(AND(EDATE($B$4,6)&lt;=EOMONTH($B$5,0),SUMPRODUCT(('Client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Mgmt'!$M$5:$M$428,0))),1)&gt;=DATE(YEAR(A33),MONTH(A33),1),FALSE))&gt;0),IFERROR(SUMPRODUCT(('Client DB &amp; Bed Mgmt'!$A$5:$A$428=B33)*('Client DB &amp; Bed Mgmt'!$D$5:$D$428&lt;&gt;"")*--IFERROR(DATE(YEAR('Client DB &amp; Bed Mgmt'!$M$5:$M$428),MONTH('Client DB &amp; Bed Mgmt'!$M$5:$M$428),1)&lt;=DATE(YEAR(A33),MONTH(A33),1),FALSE)*--IFERROR(DATE(YEAR(IF(ISNUMBER('Client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Mgmt'!$M$5:$M$428,0))),1)&gt;=DATE(YEAR(A33),MONTH(A33),1),FALSE)*'Client DB &amp; Bed Mgmt'!$K$5:$K$428),0),"")</f>
        <v/>
      </c>
      <c r="AA33" s="82" t="n"/>
      <c r="AB33" s="82" t="n"/>
    </row>
    <row r="34" hidden="1" ht="14.25" customHeight="1" s="83">
      <c r="A34" s="177">
        <f>IF(EDATE($B$4,6)&lt;=EOMONTH($B$5,0),EDATE($B$4,6),"")</f>
        <v/>
      </c>
      <c r="B34" s="103">
        <f>IF(EDATE($B$4,6)&lt;=EOMONTH($B$5,0),"Dorm 3","")</f>
        <v/>
      </c>
      <c r="C34" s="17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Mgmt'!$M$5:$M$428,0))),1)&gt;=DATE(YEAR(A34),MONTH(A34),1),FALSE))&gt;0),IFERROR(_xlfn.XLOOKUP(B34,DormRegistry[Dorm Name],DormRegistry[Ownership Type]),""),"")</f>
        <v/>
      </c>
      <c r="D34" s="17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Mgmt'!$M$5:$M$428,0))),1)&gt;=DATE(YEAR(A34),MONTH(A34),1),FALSE))&gt;0),IFERROR(_xlfn.XLOOKUP(B34,DormRegistry[Dorm Name],DormRegistry[Bed Capacity]),0),"")</f>
        <v/>
      </c>
      <c r="E34" s="13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Mgmt'!$M$5:$M$428,0))),1)&gt;=DATE(YEAR(A34),MONTH(A34),1),FALSE))&gt;0),$B$7*(1+$B$9)^(YEAR(A34)-YEAR($B$4)),"")</f>
        <v/>
      </c>
      <c r="F34" s="105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Mgmt'!$M$5:$M$428,0))),1)&gt;=DATE(YEAR(A34),MONTH(A34),1),FALSE))&gt;0),$B$8,"")</f>
        <v/>
      </c>
      <c r="G34" s="105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Mgmt'!$M$5:$M$428,0))),1)&gt;=DATE(YEAR(A34),MONTH(A34),1),FALSE))&gt;0),$B$9,"")</f>
        <v/>
      </c>
      <c r="H34" s="13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Mgmt'!$M$5:$M$428,0))),1)&gt;=DATE(YEAR(A34),MONTH(A34),1),FALSE))&gt;0),D34*E34,"")</f>
        <v/>
      </c>
      <c r="I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Mgmt'!$M$5:$M$428,0))),1)&gt;=DATE(YEAR(A34),MONTH(A34),1),FALSE))&gt;0),SUM(X34:Z34),"")</f>
        <v/>
      </c>
      <c r="J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Mgmt'!$M$5:$M$428,0))),1)&gt;=DATE(YEAR(A34),MONTH(A34),1),FALSE))&gt;0),D34*F34*E34,"")</f>
        <v/>
      </c>
      <c r="K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Mgmt'!$M$5:$M$428,0))),1)&gt;=DATE(YEAR(A34),MONTH(A34),1),FALSE))&gt;0),75,"")</f>
        <v/>
      </c>
      <c r="L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Mgmt'!$M$5:$M$428,0))),1)&gt;=DATE(YEAR(A34),MONTH(A34),1),FALSE))&gt;0),50,"")</f>
        <v/>
      </c>
      <c r="M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Mgmt'!$M$5:$M$428,0))),1)&gt;=DATE(YEAR(A34),MONTH(A34),1),FALSE))&gt;0),150,"")</f>
        <v/>
      </c>
      <c r="N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Mgmt'!$M$5:$M$428,0))),1)&gt;=DATE(YEAR(A34),MONTH(A34),1),FALSE))&gt;0),125,"")</f>
        <v/>
      </c>
      <c r="O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Mgmt'!$M$5:$M$428,0))),1)&gt;=DATE(YEAR(A34),MONTH(A34),1),FALSE))&gt;0),60,"")</f>
        <v/>
      </c>
      <c r="P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Mgmt'!$M$5:$M$428,0))),1)&gt;=DATE(YEAR(A34),MONTH(A34),1),FALSE))&gt;0),80,"")</f>
        <v/>
      </c>
      <c r="Q34" s="190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Mgmt'!$M$5:$M$428,0))),1)&gt;=DATE(YEAR(A34),MONTH(A34),1),FALSE))&gt;0),40,"")</f>
        <v/>
      </c>
      <c r="R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Mgmt'!$M$5:$M$428,0))),1)&gt;=DATE(YEAR(A34),MONTH(A34),1),FALSE))&gt;0),IF(C34="Owned",0,2500),"")</f>
        <v/>
      </c>
      <c r="S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Mgmt'!$M$5:$M$428,0))),1)&gt;=DATE(YEAR(A34),MONTH(A34),1),FALSE))&gt;0),SUM(K34:R34),"")</f>
        <v/>
      </c>
      <c r="T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Mgmt'!$M$5:$M$428,0))),1)&gt;=DATE(YEAR(A34),MONTH(A34),1),FALSE))&gt;0),I34-S34,"")</f>
        <v/>
      </c>
      <c r="U34" s="105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Mgmt'!$M$5:$M$428,0))),1)&gt;=DATE(YEAR(A34),MONTH(A34),1),FALSE))&gt;0),IFERROR(T34/I34,0),"")</f>
        <v/>
      </c>
      <c r="V34" s="191">
        <f>IF(EDATE($B$4,6)&lt;=EOMONTH($B$5,0),SUMPRODUCT(('Client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Mgmt'!$M$5:$M$428,0))),1)&gt;=DATE(YEAR(A34),MONTH(A34),1),FALSE)),"")</f>
        <v/>
      </c>
      <c r="W34" s="181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Mgmt'!$M$5:$M$428,0))),1)&gt;=DATE(YEAR(A34),MONTH(A34),1),FALSE)),"")</f>
        <v/>
      </c>
      <c r="X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Mgmt'!$M$5:$M$428,0))),1)&gt;=DATE(YEAR(A34),MONTH(A34),1),FALSE))&gt;0),IFERROR(SUMPRODUCT(('Client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Mgmt'!$M$5:$M$428,0))),1)&gt;=DATE(YEAR(A34),MONTH(A34),1),FALSE)*'Client DB &amp; Bed Mgmt'!$I$5:$I$428),0),"")</f>
        <v/>
      </c>
      <c r="Y34" s="189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Mgmt'!$M$5:$M$428,0))),1)&gt;=DATE(YEAR(A34),MONTH(A34),1),FALSE))&gt;0),IFERROR(SUMPRODUCT(('Client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Mgmt'!$M$5:$M$428,0))),1)&gt;=DATE(YEAR(A34),MONTH(A34),1),FALSE)*'Client DB &amp; Bed Mgmt'!$J$5:$J$428),0),"")</f>
        <v/>
      </c>
      <c r="Z34" s="192">
        <f>IF(AND(EDATE($B$4,6)&lt;=EOMONTH($B$5,0),SUMPRODUCT(('Client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Mgmt'!$M$5:$M$428,0))),1)&gt;=DATE(YEAR(A34),MONTH(A34),1),FALSE))&gt;0),IFERROR(SUMPRODUCT(('Client DB &amp; Bed Mgmt'!$A$5:$A$428=B34)*('Client DB &amp; Bed Mgmt'!$D$5:$D$428&lt;&gt;"")*--IFERROR(DATE(YEAR('Client DB &amp; Bed Mgmt'!$M$5:$M$428),MONTH('Client DB &amp; Bed Mgmt'!$M$5:$M$428),1)&lt;=DATE(YEAR(A34),MONTH(A34),1),FALSE)*--IFERROR(DATE(YEAR(IF(ISNUMBER('Client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Mgmt'!$M$5:$M$428,0))),1)&gt;=DATE(YEAR(A34),MONTH(A34),1),FALSE)*'Client DB &amp; Bed Mgmt'!$K$5:$K$428),0),"")</f>
        <v/>
      </c>
      <c r="AA34" s="82" t="n"/>
      <c r="AB34" s="82" t="n"/>
    </row>
    <row r="35" ht="14.25" customHeight="1" s="83">
      <c r="A35" s="177">
        <f>IF(EDATE($B$4,7)&lt;=EOMONTH($B$5,0),EDATE($B$4,7),"")</f>
        <v/>
      </c>
      <c r="B35" s="103">
        <f>IF(EDATE($B$4,7)&lt;=EOMONTH($B$5,0),"Dorm 1","")</f>
        <v/>
      </c>
      <c r="C35" s="17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Mgmt'!$M$5:$M$428,0))),1)&gt;=DATE(YEAR(A35),MONTH(A35),1),FALSE))&gt;0),IFERROR(_xlfn.XLOOKUP(B35,DormRegistry[Dorm Name],DormRegistry[Ownership Type]),""),"")</f>
        <v/>
      </c>
      <c r="D35" s="17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Mgmt'!$M$5:$M$428,0))),1)&gt;=DATE(YEAR(A35),MONTH(A35),1),FALSE))&gt;0),IFERROR(_xlfn.XLOOKUP(B35,DormRegistry[Dorm Name],DormRegistry[Bed Capacity]),0),"")</f>
        <v/>
      </c>
      <c r="E35" s="13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Mgmt'!$M$5:$M$428,0))),1)&gt;=DATE(YEAR(A35),MONTH(A35),1),FALSE))&gt;0),$B$7*(1+$B$9)^(YEAR(A35)-YEAR($B$4)),"")</f>
        <v/>
      </c>
      <c r="F35" s="105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Mgmt'!$M$5:$M$428,0))),1)&gt;=DATE(YEAR(A35),MONTH(A35),1),FALSE))&gt;0),$B$8,"")</f>
        <v/>
      </c>
      <c r="G35" s="105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Mgmt'!$M$5:$M$428,0))),1)&gt;=DATE(YEAR(A35),MONTH(A35),1),FALSE))&gt;0),$B$9,"")</f>
        <v/>
      </c>
      <c r="H35" s="13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Mgmt'!$M$5:$M$428,0))),1)&gt;=DATE(YEAR(A35),MONTH(A35),1),FALSE))&gt;0),D35*E35,"")</f>
        <v/>
      </c>
      <c r="I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Mgmt'!$M$5:$M$428,0))),1)&gt;=DATE(YEAR(A35),MONTH(A35),1),FALSE))&gt;0),SUM(X35:Z35),"")</f>
        <v/>
      </c>
      <c r="J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Mgmt'!$M$5:$M$428,0))),1)&gt;=DATE(YEAR(A35),MONTH(A35),1),FALSE))&gt;0),D35*F35*E35,"")</f>
        <v/>
      </c>
      <c r="K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Mgmt'!$M$5:$M$428,0))),1)&gt;=DATE(YEAR(A35),MONTH(A35),1),FALSE))&gt;0),75,"")</f>
        <v/>
      </c>
      <c r="L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Mgmt'!$M$5:$M$428,0))),1)&gt;=DATE(YEAR(A35),MONTH(A35),1),FALSE))&gt;0),50,"")</f>
        <v/>
      </c>
      <c r="M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Mgmt'!$M$5:$M$428,0))),1)&gt;=DATE(YEAR(A35),MONTH(A35),1),FALSE))&gt;0),150,"")</f>
        <v/>
      </c>
      <c r="N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Mgmt'!$M$5:$M$428,0))),1)&gt;=DATE(YEAR(A35),MONTH(A35),1),FALSE))&gt;0),125,"")</f>
        <v/>
      </c>
      <c r="O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Mgmt'!$M$5:$M$428,0))),1)&gt;=DATE(YEAR(A35),MONTH(A35),1),FALSE))&gt;0),60,"")</f>
        <v/>
      </c>
      <c r="P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Mgmt'!$M$5:$M$428,0))),1)&gt;=DATE(YEAR(A35),MONTH(A35),1),FALSE))&gt;0),80,"")</f>
        <v/>
      </c>
      <c r="Q35" s="190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Mgmt'!$M$5:$M$428,0))),1)&gt;=DATE(YEAR(A35),MONTH(A35),1),FALSE))&gt;0),40,"")</f>
        <v/>
      </c>
      <c r="R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Mgmt'!$M$5:$M$428,0))),1)&gt;=DATE(YEAR(A35),MONTH(A35),1),FALSE))&gt;0),IF(C35="Owned",0,2500),"")</f>
        <v/>
      </c>
      <c r="S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Mgmt'!$M$5:$M$428,0))),1)&gt;=DATE(YEAR(A35),MONTH(A35),1),FALSE))&gt;0),SUM(K35:R35),"")</f>
        <v/>
      </c>
      <c r="T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Mgmt'!$M$5:$M$428,0))),1)&gt;=DATE(YEAR(A35),MONTH(A35),1),FALSE))&gt;0),I35-S35,"")</f>
        <v/>
      </c>
      <c r="U35" s="105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Mgmt'!$M$5:$M$428,0))),1)&gt;=DATE(YEAR(A35),MONTH(A35),1),FALSE))&gt;0),IFERROR(T35/I35,0),"")</f>
        <v/>
      </c>
      <c r="V35" s="191">
        <f>IF(EDATE($B$4,7)&lt;=EOMONTH($B$5,0),SUMPRODUCT(('Client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Mgmt'!$M$5:$M$428,0))),1)&gt;=DATE(YEAR(A35),MONTH(A35),1),FALSE)),"")</f>
        <v/>
      </c>
      <c r="W35" s="181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Mgmt'!$M$5:$M$428,0))),1)&gt;=DATE(YEAR(A35),MONTH(A35),1),FALSE)),"")</f>
        <v/>
      </c>
      <c r="X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Mgmt'!$M$5:$M$428,0))),1)&gt;=DATE(YEAR(A35),MONTH(A35),1),FALSE))&gt;0),IFERROR(SUMPRODUCT(('Client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Mgmt'!$M$5:$M$428,0))),1)&gt;=DATE(YEAR(A35),MONTH(A35),1),FALSE)*'Client DB &amp; Bed Mgmt'!$I$5:$I$428),0),"")</f>
        <v/>
      </c>
      <c r="Y35" s="189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Mgmt'!$M$5:$M$428,0))),1)&gt;=DATE(YEAR(A35),MONTH(A35),1),FALSE))&gt;0),IFERROR(SUMPRODUCT(('Client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Mgmt'!$M$5:$M$428,0))),1)&gt;=DATE(YEAR(A35),MONTH(A35),1),FALSE)*'Client DB &amp; Bed Mgmt'!$J$5:$J$428),0),"")</f>
        <v/>
      </c>
      <c r="Z35" s="192">
        <f>IF(AND(EDATE($B$4,7)&lt;=EOMONTH($B$5,0),SUMPRODUCT(('Client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Mgmt'!$M$5:$M$428,0))),1)&gt;=DATE(YEAR(A35),MONTH(A35),1),FALSE))&gt;0),IFERROR(SUMPRODUCT(('Client DB &amp; Bed Mgmt'!$A$5:$A$428=B35)*('Client DB &amp; Bed Mgmt'!$D$5:$D$428&lt;&gt;"")*--IFERROR(DATE(YEAR('Client DB &amp; Bed Mgmt'!$M$5:$M$428),MONTH('Client DB &amp; Bed Mgmt'!$M$5:$M$428),1)&lt;=DATE(YEAR(A35),MONTH(A35),1),FALSE)*--IFERROR(DATE(YEAR(IF(ISNUMBER('Client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Mgmt'!$M$5:$M$428,0))),1)&gt;=DATE(YEAR(A35),MONTH(A35),1),FALSE)*'Client DB &amp; Bed Mgmt'!$K$5:$K$428),0),"")</f>
        <v/>
      </c>
      <c r="AA35" s="82" t="n"/>
      <c r="AB35" s="82" t="n"/>
    </row>
    <row r="36" hidden="1" ht="14.25" customHeight="1" s="83">
      <c r="A36" s="177">
        <f>IF(EDATE($B$4,7)&lt;=EOMONTH($B$5,0),EDATE($B$4,7),"")</f>
        <v/>
      </c>
      <c r="B36" s="103">
        <f>IF(EDATE($B$4,7)&lt;=EOMONTH($B$5,0),"Dorm 2","")</f>
        <v/>
      </c>
      <c r="C36" s="17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Mgmt'!$M$5:$M$428,0))),1)&gt;=DATE(YEAR(A36),MONTH(A36),1),FALSE))&gt;0),IFERROR(_xlfn.XLOOKUP(B36,DormRegistry[Dorm Name],DormRegistry[Ownership Type]),""),"")</f>
        <v/>
      </c>
      <c r="D36" s="17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Mgmt'!$M$5:$M$428,0))),1)&gt;=DATE(YEAR(A36),MONTH(A36),1),FALSE))&gt;0),IFERROR(_xlfn.XLOOKUP(B36,DormRegistry[Dorm Name],DormRegistry[Bed Capacity]),0),"")</f>
        <v/>
      </c>
      <c r="E36" s="13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Mgmt'!$M$5:$M$428,0))),1)&gt;=DATE(YEAR(A36),MONTH(A36),1),FALSE))&gt;0),$B$7*(1+$B$9)^(YEAR(A36)-YEAR($B$4)),"")</f>
        <v/>
      </c>
      <c r="F36" s="105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Mgmt'!$M$5:$M$428,0))),1)&gt;=DATE(YEAR(A36),MONTH(A36),1),FALSE))&gt;0),$B$8,"")</f>
        <v/>
      </c>
      <c r="G36" s="105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Mgmt'!$M$5:$M$428,0))),1)&gt;=DATE(YEAR(A36),MONTH(A36),1),FALSE))&gt;0),$B$9,"")</f>
        <v/>
      </c>
      <c r="H36" s="13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Mgmt'!$M$5:$M$428,0))),1)&gt;=DATE(YEAR(A36),MONTH(A36),1),FALSE))&gt;0),D36*E36,"")</f>
        <v/>
      </c>
      <c r="I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Mgmt'!$M$5:$M$428,0))),1)&gt;=DATE(YEAR(A36),MONTH(A36),1),FALSE))&gt;0),SUM(X36:Z36),"")</f>
        <v/>
      </c>
      <c r="J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Mgmt'!$M$5:$M$428,0))),1)&gt;=DATE(YEAR(A36),MONTH(A36),1),FALSE))&gt;0),D36*F36*E36,"")</f>
        <v/>
      </c>
      <c r="K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Mgmt'!$M$5:$M$428,0))),1)&gt;=DATE(YEAR(A36),MONTH(A36),1),FALSE))&gt;0),75,"")</f>
        <v/>
      </c>
      <c r="L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Mgmt'!$M$5:$M$428,0))),1)&gt;=DATE(YEAR(A36),MONTH(A36),1),FALSE))&gt;0),50,"")</f>
        <v/>
      </c>
      <c r="M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Mgmt'!$M$5:$M$428,0))),1)&gt;=DATE(YEAR(A36),MONTH(A36),1),FALSE))&gt;0),150,"")</f>
        <v/>
      </c>
      <c r="N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Mgmt'!$M$5:$M$428,0))),1)&gt;=DATE(YEAR(A36),MONTH(A36),1),FALSE))&gt;0),125,"")</f>
        <v/>
      </c>
      <c r="O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Mgmt'!$M$5:$M$428,0))),1)&gt;=DATE(YEAR(A36),MONTH(A36),1),FALSE))&gt;0),60,"")</f>
        <v/>
      </c>
      <c r="P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Mgmt'!$M$5:$M$428,0))),1)&gt;=DATE(YEAR(A36),MONTH(A36),1),FALSE))&gt;0),80,"")</f>
        <v/>
      </c>
      <c r="Q36" s="190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Mgmt'!$M$5:$M$428,0))),1)&gt;=DATE(YEAR(A36),MONTH(A36),1),FALSE))&gt;0),40,"")</f>
        <v/>
      </c>
      <c r="R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Mgmt'!$M$5:$M$428,0))),1)&gt;=DATE(YEAR(A36),MONTH(A36),1),FALSE))&gt;0),IF(C36="Owned",0,2500),"")</f>
        <v/>
      </c>
      <c r="S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Mgmt'!$M$5:$M$428,0))),1)&gt;=DATE(YEAR(A36),MONTH(A36),1),FALSE))&gt;0),SUM(K36:R36),"")</f>
        <v/>
      </c>
      <c r="T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Mgmt'!$M$5:$M$428,0))),1)&gt;=DATE(YEAR(A36),MONTH(A36),1),FALSE))&gt;0),I36-S36,"")</f>
        <v/>
      </c>
      <c r="U36" s="105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Mgmt'!$M$5:$M$428,0))),1)&gt;=DATE(YEAR(A36),MONTH(A36),1),FALSE))&gt;0),IFERROR(T36/I36,0),"")</f>
        <v/>
      </c>
      <c r="V36" s="191">
        <f>IF(EDATE($B$4,7)&lt;=EOMONTH($B$5,0),SUMPRODUCT(('Client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Mgmt'!$M$5:$M$428,0))),1)&gt;=DATE(YEAR(A36),MONTH(A36),1),FALSE)),"")</f>
        <v/>
      </c>
      <c r="W36" s="181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Mgmt'!$M$5:$M$428,0))),1)&gt;=DATE(YEAR(A36),MONTH(A36),1),FALSE)),"")</f>
        <v/>
      </c>
      <c r="X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Mgmt'!$M$5:$M$428,0))),1)&gt;=DATE(YEAR(A36),MONTH(A36),1),FALSE))&gt;0),IFERROR(SUMPRODUCT(('Client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Mgmt'!$M$5:$M$428,0))),1)&gt;=DATE(YEAR(A36),MONTH(A36),1),FALSE)*'Client DB &amp; Bed Mgmt'!$I$5:$I$428),0),"")</f>
        <v/>
      </c>
      <c r="Y36" s="189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Mgmt'!$M$5:$M$428,0))),1)&gt;=DATE(YEAR(A36),MONTH(A36),1),FALSE))&gt;0),IFERROR(SUMPRODUCT(('Client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Mgmt'!$M$5:$M$428,0))),1)&gt;=DATE(YEAR(A36),MONTH(A36),1),FALSE)*'Client DB &amp; Bed Mgmt'!$J$5:$J$428),0),"")</f>
        <v/>
      </c>
      <c r="Z36" s="192">
        <f>IF(AND(EDATE($B$4,7)&lt;=EOMONTH($B$5,0),SUMPRODUCT(('Client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Mgmt'!$M$5:$M$428,0))),1)&gt;=DATE(YEAR(A36),MONTH(A36),1),FALSE))&gt;0),IFERROR(SUMPRODUCT(('Client DB &amp; Bed Mgmt'!$A$5:$A$428=B36)*('Client DB &amp; Bed Mgmt'!$D$5:$D$428&lt;&gt;"")*--IFERROR(DATE(YEAR('Client DB &amp; Bed Mgmt'!$M$5:$M$428),MONTH('Client DB &amp; Bed Mgmt'!$M$5:$M$428),1)&lt;=DATE(YEAR(A36),MONTH(A36),1),FALSE)*--IFERROR(DATE(YEAR(IF(ISNUMBER('Client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Mgmt'!$M$5:$M$428,0))),1)&gt;=DATE(YEAR(A36),MONTH(A36),1),FALSE)*'Client DB &amp; Bed Mgmt'!$K$5:$K$428),0),"")</f>
        <v/>
      </c>
      <c r="AA36" s="82" t="n"/>
      <c r="AB36" s="82" t="n"/>
    </row>
    <row r="37" hidden="1" ht="14.25" customHeight="1" s="83">
      <c r="A37" s="177">
        <f>IF(EDATE($B$4,7)&lt;=EOMONTH($B$5,0),EDATE($B$4,7),"")</f>
        <v/>
      </c>
      <c r="B37" s="103">
        <f>IF(EDATE($B$4,7)&lt;=EOMONTH($B$5,0),"Dorm 3","")</f>
        <v/>
      </c>
      <c r="C37" s="17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Mgmt'!$M$5:$M$428,0))),1)&gt;=DATE(YEAR(A37),MONTH(A37),1),FALSE))&gt;0),IFERROR(_xlfn.XLOOKUP(B37,DormRegistry[Dorm Name],DormRegistry[Ownership Type]),""),"")</f>
        <v/>
      </c>
      <c r="D37" s="17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Mgmt'!$M$5:$M$428,0))),1)&gt;=DATE(YEAR(A37),MONTH(A37),1),FALSE))&gt;0),IFERROR(_xlfn.XLOOKUP(B37,DormRegistry[Dorm Name],DormRegistry[Bed Capacity]),0),"")</f>
        <v/>
      </c>
      <c r="E37" s="13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Mgmt'!$M$5:$M$428,0))),1)&gt;=DATE(YEAR(A37),MONTH(A37),1),FALSE))&gt;0),$B$7*(1+$B$9)^(YEAR(A37)-YEAR($B$4)),"")</f>
        <v/>
      </c>
      <c r="F37" s="105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Mgmt'!$M$5:$M$428,0))),1)&gt;=DATE(YEAR(A37),MONTH(A37),1),FALSE))&gt;0),$B$8,"")</f>
        <v/>
      </c>
      <c r="G37" s="105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Mgmt'!$M$5:$M$428,0))),1)&gt;=DATE(YEAR(A37),MONTH(A37),1),FALSE))&gt;0),$B$9,"")</f>
        <v/>
      </c>
      <c r="H37" s="13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Mgmt'!$M$5:$M$428,0))),1)&gt;=DATE(YEAR(A37),MONTH(A37),1),FALSE))&gt;0),D37*E37,"")</f>
        <v/>
      </c>
      <c r="I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Mgmt'!$M$5:$M$428,0))),1)&gt;=DATE(YEAR(A37),MONTH(A37),1),FALSE))&gt;0),SUM(X37:Z37),"")</f>
        <v/>
      </c>
      <c r="J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Mgmt'!$M$5:$M$428,0))),1)&gt;=DATE(YEAR(A37),MONTH(A37),1),FALSE))&gt;0),D37*F37*E37,"")</f>
        <v/>
      </c>
      <c r="K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Mgmt'!$M$5:$M$428,0))),1)&gt;=DATE(YEAR(A37),MONTH(A37),1),FALSE))&gt;0),75,"")</f>
        <v/>
      </c>
      <c r="L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Mgmt'!$M$5:$M$428,0))),1)&gt;=DATE(YEAR(A37),MONTH(A37),1),FALSE))&gt;0),50,"")</f>
        <v/>
      </c>
      <c r="M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Mgmt'!$M$5:$M$428,0))),1)&gt;=DATE(YEAR(A37),MONTH(A37),1),FALSE))&gt;0),150,"")</f>
        <v/>
      </c>
      <c r="N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Mgmt'!$M$5:$M$428,0))),1)&gt;=DATE(YEAR(A37),MONTH(A37),1),FALSE))&gt;0),125,"")</f>
        <v/>
      </c>
      <c r="O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Mgmt'!$M$5:$M$428,0))),1)&gt;=DATE(YEAR(A37),MONTH(A37),1),FALSE))&gt;0),60,"")</f>
        <v/>
      </c>
      <c r="P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Mgmt'!$M$5:$M$428,0))),1)&gt;=DATE(YEAR(A37),MONTH(A37),1),FALSE))&gt;0),80,"")</f>
        <v/>
      </c>
      <c r="Q37" s="190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Mgmt'!$M$5:$M$428,0))),1)&gt;=DATE(YEAR(A37),MONTH(A37),1),FALSE))&gt;0),40,"")</f>
        <v/>
      </c>
      <c r="R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Mgmt'!$M$5:$M$428,0))),1)&gt;=DATE(YEAR(A37),MONTH(A37),1),FALSE))&gt;0),IF(C37="Owned",0,2500),"")</f>
        <v/>
      </c>
      <c r="S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Mgmt'!$M$5:$M$428,0))),1)&gt;=DATE(YEAR(A37),MONTH(A37),1),FALSE))&gt;0),SUM(K37:R37),"")</f>
        <v/>
      </c>
      <c r="T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Mgmt'!$M$5:$M$428,0))),1)&gt;=DATE(YEAR(A37),MONTH(A37),1),FALSE))&gt;0),I37-S37,"")</f>
        <v/>
      </c>
      <c r="U37" s="105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Mgmt'!$M$5:$M$428,0))),1)&gt;=DATE(YEAR(A37),MONTH(A37),1),FALSE))&gt;0),IFERROR(T37/I37,0),"")</f>
        <v/>
      </c>
      <c r="V37" s="191">
        <f>IF(EDATE($B$4,7)&lt;=EOMONTH($B$5,0),SUMPRODUCT(('Client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Mgmt'!$M$5:$M$428,0))),1)&gt;=DATE(YEAR(A37),MONTH(A37),1),FALSE)),"")</f>
        <v/>
      </c>
      <c r="W37" s="181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Mgmt'!$M$5:$M$428,0))),1)&gt;=DATE(YEAR(A37),MONTH(A37),1),FALSE)),"")</f>
        <v/>
      </c>
      <c r="X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Mgmt'!$M$5:$M$428,0))),1)&gt;=DATE(YEAR(A37),MONTH(A37),1),FALSE))&gt;0),IFERROR(SUMPRODUCT(('Client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Mgmt'!$M$5:$M$428,0))),1)&gt;=DATE(YEAR(A37),MONTH(A37),1),FALSE)*'Client DB &amp; Bed Mgmt'!$I$5:$I$428),0),"")</f>
        <v/>
      </c>
      <c r="Y37" s="189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Mgmt'!$M$5:$M$428,0))),1)&gt;=DATE(YEAR(A37),MONTH(A37),1),FALSE))&gt;0),IFERROR(SUMPRODUCT(('Client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Mgmt'!$M$5:$M$428,0))),1)&gt;=DATE(YEAR(A37),MONTH(A37),1),FALSE)*'Client DB &amp; Bed Mgmt'!$J$5:$J$428),0),"")</f>
        <v/>
      </c>
      <c r="Z37" s="192">
        <f>IF(AND(EDATE($B$4,7)&lt;=EOMONTH($B$5,0),SUMPRODUCT(('Client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Mgmt'!$M$5:$M$428,0))),1)&gt;=DATE(YEAR(A37),MONTH(A37),1),FALSE))&gt;0),IFERROR(SUMPRODUCT(('Client DB &amp; Bed Mgmt'!$A$5:$A$428=B37)*('Client DB &amp; Bed Mgmt'!$D$5:$D$428&lt;&gt;"")*--IFERROR(DATE(YEAR('Client DB &amp; Bed Mgmt'!$M$5:$M$428),MONTH('Client DB &amp; Bed Mgmt'!$M$5:$M$428),1)&lt;=DATE(YEAR(A37),MONTH(A37),1),FALSE)*--IFERROR(DATE(YEAR(IF(ISNUMBER('Client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Mgmt'!$M$5:$M$428,0))),1)&gt;=DATE(YEAR(A37),MONTH(A37),1),FALSE)*'Client DB &amp; Bed Mgmt'!$K$5:$K$428),0),"")</f>
        <v/>
      </c>
      <c r="AA37" s="82" t="n"/>
      <c r="AB37" s="82" t="n"/>
    </row>
    <row r="38" ht="14.25" customHeight="1" s="83">
      <c r="A38" s="177">
        <f>IF(EDATE($B$4,8)&lt;=EOMONTH($B$5,0),EDATE($B$4,8),"")</f>
        <v/>
      </c>
      <c r="B38" s="103">
        <f>IF(EDATE($B$4,8)&lt;=EOMONTH($B$5,0),"Dorm 1","")</f>
        <v/>
      </c>
      <c r="C38" s="17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Mgmt'!$M$5:$M$428,0))),1)&gt;=DATE(YEAR(A38),MONTH(A38),1),FALSE))&gt;0),IFERROR(_xlfn.XLOOKUP(B38,DormRegistry[Dorm Name],DormRegistry[Ownership Type]),""),"")</f>
        <v/>
      </c>
      <c r="D38" s="17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Mgmt'!$M$5:$M$428,0))),1)&gt;=DATE(YEAR(A38),MONTH(A38),1),FALSE))&gt;0),IFERROR(_xlfn.XLOOKUP(B38,DormRegistry[Dorm Name],DormRegistry[Bed Capacity]),0),"")</f>
        <v/>
      </c>
      <c r="E38" s="13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Mgmt'!$M$5:$M$428,0))),1)&gt;=DATE(YEAR(A38),MONTH(A38),1),FALSE))&gt;0),$B$7*(1+$B$9)^(YEAR(A38)-YEAR($B$4)),"")</f>
        <v/>
      </c>
      <c r="F38" s="105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Mgmt'!$M$5:$M$428,0))),1)&gt;=DATE(YEAR(A38),MONTH(A38),1),FALSE))&gt;0),$B$8,"")</f>
        <v/>
      </c>
      <c r="G38" s="105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Mgmt'!$M$5:$M$428,0))),1)&gt;=DATE(YEAR(A38),MONTH(A38),1),FALSE))&gt;0),$B$9,"")</f>
        <v/>
      </c>
      <c r="H38" s="13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Mgmt'!$M$5:$M$428,0))),1)&gt;=DATE(YEAR(A38),MONTH(A38),1),FALSE))&gt;0),D38*E38,"")</f>
        <v/>
      </c>
      <c r="I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Mgmt'!$M$5:$M$428,0))),1)&gt;=DATE(YEAR(A38),MONTH(A38),1),FALSE))&gt;0),SUM(X38:Z38),"")</f>
        <v/>
      </c>
      <c r="J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Mgmt'!$M$5:$M$428,0))),1)&gt;=DATE(YEAR(A38),MONTH(A38),1),FALSE))&gt;0),D38*F38*E38,"")</f>
        <v/>
      </c>
      <c r="K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Mgmt'!$M$5:$M$428,0))),1)&gt;=DATE(YEAR(A38),MONTH(A38),1),FALSE))&gt;0),75,"")</f>
        <v/>
      </c>
      <c r="L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Mgmt'!$M$5:$M$428,0))),1)&gt;=DATE(YEAR(A38),MONTH(A38),1),FALSE))&gt;0),50,"")</f>
        <v/>
      </c>
      <c r="M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Mgmt'!$M$5:$M$428,0))),1)&gt;=DATE(YEAR(A38),MONTH(A38),1),FALSE))&gt;0),150,"")</f>
        <v/>
      </c>
      <c r="N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Mgmt'!$M$5:$M$428,0))),1)&gt;=DATE(YEAR(A38),MONTH(A38),1),FALSE))&gt;0),125,"")</f>
        <v/>
      </c>
      <c r="O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Mgmt'!$M$5:$M$428,0))),1)&gt;=DATE(YEAR(A38),MONTH(A38),1),FALSE))&gt;0),60,"")</f>
        <v/>
      </c>
      <c r="P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Mgmt'!$M$5:$M$428,0))),1)&gt;=DATE(YEAR(A38),MONTH(A38),1),FALSE))&gt;0),80,"")</f>
        <v/>
      </c>
      <c r="Q38" s="190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Mgmt'!$M$5:$M$428,0))),1)&gt;=DATE(YEAR(A38),MONTH(A38),1),FALSE))&gt;0),40,"")</f>
        <v/>
      </c>
      <c r="R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Mgmt'!$M$5:$M$428,0))),1)&gt;=DATE(YEAR(A38),MONTH(A38),1),FALSE))&gt;0),IF(C38="Owned",0,2500),"")</f>
        <v/>
      </c>
      <c r="S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Mgmt'!$M$5:$M$428,0))),1)&gt;=DATE(YEAR(A38),MONTH(A38),1),FALSE))&gt;0),SUM(K38:R38),"")</f>
        <v/>
      </c>
      <c r="T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Mgmt'!$M$5:$M$428,0))),1)&gt;=DATE(YEAR(A38),MONTH(A38),1),FALSE))&gt;0),I38-S38,"")</f>
        <v/>
      </c>
      <c r="U38" s="105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Mgmt'!$M$5:$M$428,0))),1)&gt;=DATE(YEAR(A38),MONTH(A38),1),FALSE))&gt;0),IFERROR(T38/I38,0),"")</f>
        <v/>
      </c>
      <c r="V38" s="191">
        <f>IF(EDATE($B$4,8)&lt;=EOMONTH($B$5,0),SUMPRODUCT(('Client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Mgmt'!$M$5:$M$428,0))),1)&gt;=DATE(YEAR(A38),MONTH(A38),1),FALSE)),"")</f>
        <v/>
      </c>
      <c r="W38" s="181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Mgmt'!$M$5:$M$428,0))),1)&gt;=DATE(YEAR(A38),MONTH(A38),1),FALSE)),"")</f>
        <v/>
      </c>
      <c r="X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Mgmt'!$M$5:$M$428,0))),1)&gt;=DATE(YEAR(A38),MONTH(A38),1),FALSE))&gt;0),IFERROR(SUMPRODUCT(('Client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Mgmt'!$M$5:$M$428,0))),1)&gt;=DATE(YEAR(A38),MONTH(A38),1),FALSE)*'Client DB &amp; Bed Mgmt'!$I$5:$I$428),0),"")</f>
        <v/>
      </c>
      <c r="Y38" s="189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Mgmt'!$M$5:$M$428,0))),1)&gt;=DATE(YEAR(A38),MONTH(A38),1),FALSE))&gt;0),IFERROR(SUMPRODUCT(('Client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Mgmt'!$M$5:$M$428,0))),1)&gt;=DATE(YEAR(A38),MONTH(A38),1),FALSE)*'Client DB &amp; Bed Mgmt'!$J$5:$J$428),0),"")</f>
        <v/>
      </c>
      <c r="Z38" s="192">
        <f>IF(AND(EDATE($B$4,8)&lt;=EOMONTH($B$5,0),SUMPRODUCT(('Client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Mgmt'!$M$5:$M$428,0))),1)&gt;=DATE(YEAR(A38),MONTH(A38),1),FALSE))&gt;0),IFERROR(SUMPRODUCT(('Client DB &amp; Bed Mgmt'!$A$5:$A$428=B38)*('Client DB &amp; Bed Mgmt'!$D$5:$D$428&lt;&gt;"")*--IFERROR(DATE(YEAR('Client DB &amp; Bed Mgmt'!$M$5:$M$428),MONTH('Client DB &amp; Bed Mgmt'!$M$5:$M$428),1)&lt;=DATE(YEAR(A38),MONTH(A38),1),FALSE)*--IFERROR(DATE(YEAR(IF(ISNUMBER('Client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Mgmt'!$M$5:$M$428,0))),1)&gt;=DATE(YEAR(A38),MONTH(A38),1),FALSE)*'Client DB &amp; Bed Mgmt'!$K$5:$K$428),0),"")</f>
        <v/>
      </c>
      <c r="AA38" s="82" t="n"/>
      <c r="AB38" s="82" t="n"/>
    </row>
    <row r="39" hidden="1" ht="14.25" customHeight="1" s="83">
      <c r="A39" s="177">
        <f>IF(EDATE($B$4,8)&lt;=EOMONTH($B$5,0),EDATE($B$4,8),"")</f>
        <v/>
      </c>
      <c r="B39" s="103">
        <f>IF(EDATE($B$4,8)&lt;=EOMONTH($B$5,0),"Dorm 2","")</f>
        <v/>
      </c>
      <c r="C39" s="17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Mgmt'!$M$5:$M$428,0))),1)&gt;=DATE(YEAR(A39),MONTH(A39),1),FALSE))&gt;0),IFERROR(_xlfn.XLOOKUP(B39,DormRegistry[Dorm Name],DormRegistry[Ownership Type]),""),"")</f>
        <v/>
      </c>
      <c r="D39" s="17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Mgmt'!$M$5:$M$428,0))),1)&gt;=DATE(YEAR(A39),MONTH(A39),1),FALSE))&gt;0),IFERROR(_xlfn.XLOOKUP(B39,DormRegistry[Dorm Name],DormRegistry[Bed Capacity]),0),"")</f>
        <v/>
      </c>
      <c r="E39" s="13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Mgmt'!$M$5:$M$428,0))),1)&gt;=DATE(YEAR(A39),MONTH(A39),1),FALSE))&gt;0),$B$7*(1+$B$9)^(YEAR(A39)-YEAR($B$4)),"")</f>
        <v/>
      </c>
      <c r="F39" s="105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Mgmt'!$M$5:$M$428,0))),1)&gt;=DATE(YEAR(A39),MONTH(A39),1),FALSE))&gt;0),$B$8,"")</f>
        <v/>
      </c>
      <c r="G39" s="105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Mgmt'!$M$5:$M$428,0))),1)&gt;=DATE(YEAR(A39),MONTH(A39),1),FALSE))&gt;0),$B$9,"")</f>
        <v/>
      </c>
      <c r="H39" s="13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Mgmt'!$M$5:$M$428,0))),1)&gt;=DATE(YEAR(A39),MONTH(A39),1),FALSE))&gt;0),D39*E39,"")</f>
        <v/>
      </c>
      <c r="I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Mgmt'!$M$5:$M$428,0))),1)&gt;=DATE(YEAR(A39),MONTH(A39),1),FALSE))&gt;0),SUM(X39:Z39),"")</f>
        <v/>
      </c>
      <c r="J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Mgmt'!$M$5:$M$428,0))),1)&gt;=DATE(YEAR(A39),MONTH(A39),1),FALSE))&gt;0),D39*F39*E39,"")</f>
        <v/>
      </c>
      <c r="K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Mgmt'!$M$5:$M$428,0))),1)&gt;=DATE(YEAR(A39),MONTH(A39),1),FALSE))&gt;0),75,"")</f>
        <v/>
      </c>
      <c r="L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Mgmt'!$M$5:$M$428,0))),1)&gt;=DATE(YEAR(A39),MONTH(A39),1),FALSE))&gt;0),50,"")</f>
        <v/>
      </c>
      <c r="M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Mgmt'!$M$5:$M$428,0))),1)&gt;=DATE(YEAR(A39),MONTH(A39),1),FALSE))&gt;0),150,"")</f>
        <v/>
      </c>
      <c r="N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Mgmt'!$M$5:$M$428,0))),1)&gt;=DATE(YEAR(A39),MONTH(A39),1),FALSE))&gt;0),125,"")</f>
        <v/>
      </c>
      <c r="O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Mgmt'!$M$5:$M$428,0))),1)&gt;=DATE(YEAR(A39),MONTH(A39),1),FALSE))&gt;0),60,"")</f>
        <v/>
      </c>
      <c r="P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Mgmt'!$M$5:$M$428,0))),1)&gt;=DATE(YEAR(A39),MONTH(A39),1),FALSE))&gt;0),80,"")</f>
        <v/>
      </c>
      <c r="Q39" s="190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Mgmt'!$M$5:$M$428,0))),1)&gt;=DATE(YEAR(A39),MONTH(A39),1),FALSE))&gt;0),40,"")</f>
        <v/>
      </c>
      <c r="R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Mgmt'!$M$5:$M$428,0))),1)&gt;=DATE(YEAR(A39),MONTH(A39),1),FALSE))&gt;0),IF(C39="Owned",0,2500),"")</f>
        <v/>
      </c>
      <c r="S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Mgmt'!$M$5:$M$428,0))),1)&gt;=DATE(YEAR(A39),MONTH(A39),1),FALSE))&gt;0),SUM(K39:R39),"")</f>
        <v/>
      </c>
      <c r="T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Mgmt'!$M$5:$M$428,0))),1)&gt;=DATE(YEAR(A39),MONTH(A39),1),FALSE))&gt;0),I39-S39,"")</f>
        <v/>
      </c>
      <c r="U39" s="105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Mgmt'!$M$5:$M$428,0))),1)&gt;=DATE(YEAR(A39),MONTH(A39),1),FALSE))&gt;0),IFERROR(T39/I39,0),"")</f>
        <v/>
      </c>
      <c r="V39" s="191">
        <f>IF(EDATE($B$4,8)&lt;=EOMONTH($B$5,0),SUMPRODUCT(('Client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Mgmt'!$M$5:$M$428,0))),1)&gt;=DATE(YEAR(A39),MONTH(A39),1),FALSE)),"")</f>
        <v/>
      </c>
      <c r="W39" s="181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Mgmt'!$M$5:$M$428,0))),1)&gt;=DATE(YEAR(A39),MONTH(A39),1),FALSE)),"")</f>
        <v/>
      </c>
      <c r="X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Mgmt'!$M$5:$M$428,0))),1)&gt;=DATE(YEAR(A39),MONTH(A39),1),FALSE))&gt;0),IFERROR(SUMPRODUCT(('Client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Mgmt'!$M$5:$M$428,0))),1)&gt;=DATE(YEAR(A39),MONTH(A39),1),FALSE)*'Client DB &amp; Bed Mgmt'!$I$5:$I$428),0),"")</f>
        <v/>
      </c>
      <c r="Y39" s="189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Mgmt'!$M$5:$M$428,0))),1)&gt;=DATE(YEAR(A39),MONTH(A39),1),FALSE))&gt;0),IFERROR(SUMPRODUCT(('Client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Mgmt'!$M$5:$M$428,0))),1)&gt;=DATE(YEAR(A39),MONTH(A39),1),FALSE)*'Client DB &amp; Bed Mgmt'!$J$5:$J$428),0),"")</f>
        <v/>
      </c>
      <c r="Z39" s="192">
        <f>IF(AND(EDATE($B$4,8)&lt;=EOMONTH($B$5,0),SUMPRODUCT(('Client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Mgmt'!$M$5:$M$428,0))),1)&gt;=DATE(YEAR(A39),MONTH(A39),1),FALSE))&gt;0),IFERROR(SUMPRODUCT(('Client DB &amp; Bed Mgmt'!$A$5:$A$428=B39)*('Client DB &amp; Bed Mgmt'!$D$5:$D$428&lt;&gt;"")*--IFERROR(DATE(YEAR('Client DB &amp; Bed Mgmt'!$M$5:$M$428),MONTH('Client DB &amp; Bed Mgmt'!$M$5:$M$428),1)&lt;=DATE(YEAR(A39),MONTH(A39),1),FALSE)*--IFERROR(DATE(YEAR(IF(ISNUMBER('Client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Mgmt'!$M$5:$M$428,0))),1)&gt;=DATE(YEAR(A39),MONTH(A39),1),FALSE)*'Client DB &amp; Bed Mgmt'!$K$5:$K$428),0),"")</f>
        <v/>
      </c>
      <c r="AA39" s="82" t="n"/>
      <c r="AB39" s="82" t="n"/>
    </row>
    <row r="40" hidden="1" ht="14.25" customHeight="1" s="83">
      <c r="A40" s="177">
        <f>IF(EDATE($B$4,8)&lt;=EOMONTH($B$5,0),EDATE($B$4,8),"")</f>
        <v/>
      </c>
      <c r="B40" s="103">
        <f>IF(EDATE($B$4,8)&lt;=EOMONTH($B$5,0),"Dorm 3","")</f>
        <v/>
      </c>
      <c r="C40" s="17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Mgmt'!$M$5:$M$428,0))),1)&gt;=DATE(YEAR(A40),MONTH(A40),1),FALSE))&gt;0),IFERROR(_xlfn.XLOOKUP(B40,DormRegistry[Dorm Name],DormRegistry[Ownership Type]),""),"")</f>
        <v/>
      </c>
      <c r="D40" s="17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Mgmt'!$M$5:$M$428,0))),1)&gt;=DATE(YEAR(A40),MONTH(A40),1),FALSE))&gt;0),IFERROR(_xlfn.XLOOKUP(B40,DormRegistry[Dorm Name],DormRegistry[Bed Capacity]),0),"")</f>
        <v/>
      </c>
      <c r="E40" s="13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Mgmt'!$M$5:$M$428,0))),1)&gt;=DATE(YEAR(A40),MONTH(A40),1),FALSE))&gt;0),$B$7*(1+$B$9)^(YEAR(A40)-YEAR($B$4)),"")</f>
        <v/>
      </c>
      <c r="F40" s="105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Mgmt'!$M$5:$M$428,0))),1)&gt;=DATE(YEAR(A40),MONTH(A40),1),FALSE))&gt;0),$B$8,"")</f>
        <v/>
      </c>
      <c r="G40" s="105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Mgmt'!$M$5:$M$428,0))),1)&gt;=DATE(YEAR(A40),MONTH(A40),1),FALSE))&gt;0),$B$9,"")</f>
        <v/>
      </c>
      <c r="H40" s="13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Mgmt'!$M$5:$M$428,0))),1)&gt;=DATE(YEAR(A40),MONTH(A40),1),FALSE))&gt;0),D40*E40,"")</f>
        <v/>
      </c>
      <c r="I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Mgmt'!$M$5:$M$428,0))),1)&gt;=DATE(YEAR(A40),MONTH(A40),1),FALSE))&gt;0),SUM(X40:Z40),"")</f>
        <v/>
      </c>
      <c r="J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Mgmt'!$M$5:$M$428,0))),1)&gt;=DATE(YEAR(A40),MONTH(A40),1),FALSE))&gt;0),D40*F40*E40,"")</f>
        <v/>
      </c>
      <c r="K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Mgmt'!$M$5:$M$428,0))),1)&gt;=DATE(YEAR(A40),MONTH(A40),1),FALSE))&gt;0),75,"")</f>
        <v/>
      </c>
      <c r="L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Mgmt'!$M$5:$M$428,0))),1)&gt;=DATE(YEAR(A40),MONTH(A40),1),FALSE))&gt;0),50,"")</f>
        <v/>
      </c>
      <c r="M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Mgmt'!$M$5:$M$428,0))),1)&gt;=DATE(YEAR(A40),MONTH(A40),1),FALSE))&gt;0),150,"")</f>
        <v/>
      </c>
      <c r="N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Mgmt'!$M$5:$M$428,0))),1)&gt;=DATE(YEAR(A40),MONTH(A40),1),FALSE))&gt;0),125,"")</f>
        <v/>
      </c>
      <c r="O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Mgmt'!$M$5:$M$428,0))),1)&gt;=DATE(YEAR(A40),MONTH(A40),1),FALSE))&gt;0),60,"")</f>
        <v/>
      </c>
      <c r="P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Mgmt'!$M$5:$M$428,0))),1)&gt;=DATE(YEAR(A40),MONTH(A40),1),FALSE))&gt;0),80,"")</f>
        <v/>
      </c>
      <c r="Q40" s="190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Mgmt'!$M$5:$M$428,0))),1)&gt;=DATE(YEAR(A40),MONTH(A40),1),FALSE))&gt;0),40,"")</f>
        <v/>
      </c>
      <c r="R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Mgmt'!$M$5:$M$428,0))),1)&gt;=DATE(YEAR(A40),MONTH(A40),1),FALSE))&gt;0),IF(C40="Owned",0,2500),"")</f>
        <v/>
      </c>
      <c r="S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Mgmt'!$M$5:$M$428,0))),1)&gt;=DATE(YEAR(A40),MONTH(A40),1),FALSE))&gt;0),SUM(K40:R40),"")</f>
        <v/>
      </c>
      <c r="T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Mgmt'!$M$5:$M$428,0))),1)&gt;=DATE(YEAR(A40),MONTH(A40),1),FALSE))&gt;0),I40-S40,"")</f>
        <v/>
      </c>
      <c r="U40" s="105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Mgmt'!$M$5:$M$428,0))),1)&gt;=DATE(YEAR(A40),MONTH(A40),1),FALSE))&gt;0),IFERROR(T40/I40,0),"")</f>
        <v/>
      </c>
      <c r="V40" s="191">
        <f>IF(EDATE($B$4,8)&lt;=EOMONTH($B$5,0),SUMPRODUCT(('Client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Mgmt'!$M$5:$M$428,0))),1)&gt;=DATE(YEAR(A40),MONTH(A40),1),FALSE)),"")</f>
        <v/>
      </c>
      <c r="W40" s="181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Mgmt'!$M$5:$M$428,0))),1)&gt;=DATE(YEAR(A40),MONTH(A40),1),FALSE)),"")</f>
        <v/>
      </c>
      <c r="X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Mgmt'!$M$5:$M$428,0))),1)&gt;=DATE(YEAR(A40),MONTH(A40),1),FALSE))&gt;0),IFERROR(SUMPRODUCT(('Client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Mgmt'!$M$5:$M$428,0))),1)&gt;=DATE(YEAR(A40),MONTH(A40),1),FALSE)*'Client DB &amp; Bed Mgmt'!$I$5:$I$428),0),"")</f>
        <v/>
      </c>
      <c r="Y40" s="189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Mgmt'!$M$5:$M$428,0))),1)&gt;=DATE(YEAR(A40),MONTH(A40),1),FALSE))&gt;0),IFERROR(SUMPRODUCT(('Client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Mgmt'!$M$5:$M$428,0))),1)&gt;=DATE(YEAR(A40),MONTH(A40),1),FALSE)*'Client DB &amp; Bed Mgmt'!$J$5:$J$428),0),"")</f>
        <v/>
      </c>
      <c r="Z40" s="192">
        <f>IF(AND(EDATE($B$4,8)&lt;=EOMONTH($B$5,0),SUMPRODUCT(('Client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Mgmt'!$M$5:$M$428,0))),1)&gt;=DATE(YEAR(A40),MONTH(A40),1),FALSE))&gt;0),IFERROR(SUMPRODUCT(('Client DB &amp; Bed Mgmt'!$A$5:$A$428=B40)*('Client DB &amp; Bed Mgmt'!$D$5:$D$428&lt;&gt;"")*--IFERROR(DATE(YEAR('Client DB &amp; Bed Mgmt'!$M$5:$M$428),MONTH('Client DB &amp; Bed Mgmt'!$M$5:$M$428),1)&lt;=DATE(YEAR(A40),MONTH(A40),1),FALSE)*--IFERROR(DATE(YEAR(IF(ISNUMBER('Client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Mgmt'!$M$5:$M$428,0))),1)&gt;=DATE(YEAR(A40),MONTH(A40),1),FALSE)*'Client DB &amp; Bed Mgmt'!$K$5:$K$428),0),"")</f>
        <v/>
      </c>
      <c r="AA40" s="82" t="n"/>
      <c r="AB40" s="82" t="n"/>
    </row>
    <row r="41" ht="14.25" customHeight="1" s="83">
      <c r="A41" s="177">
        <f>IF(EDATE($B$4,9)&lt;=EOMONTH($B$5,0),EDATE($B$4,9),"")</f>
        <v/>
      </c>
      <c r="B41" s="103">
        <f>IF(EDATE($B$4,9)&lt;=EOMONTH($B$5,0),"Dorm 1","")</f>
        <v/>
      </c>
      <c r="C41" s="17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Mgmt'!$M$5:$M$428,0))),1)&gt;=DATE(YEAR(A41),MONTH(A41),1),FALSE))&gt;0),IFERROR(_xlfn.XLOOKUP(B41,DormRegistry[Dorm Name],DormRegistry[Ownership Type]),""),"")</f>
        <v/>
      </c>
      <c r="D41" s="17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Mgmt'!$M$5:$M$428,0))),1)&gt;=DATE(YEAR(A41),MONTH(A41),1),FALSE))&gt;0),IFERROR(_xlfn.XLOOKUP(B41,DormRegistry[Dorm Name],DormRegistry[Bed Capacity]),0),"")</f>
        <v/>
      </c>
      <c r="E41" s="13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Mgmt'!$M$5:$M$428,0))),1)&gt;=DATE(YEAR(A41),MONTH(A41),1),FALSE))&gt;0),$B$7*(1+$B$9)^(YEAR(A41)-YEAR($B$4)),"")</f>
        <v/>
      </c>
      <c r="F41" s="105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Mgmt'!$M$5:$M$428,0))),1)&gt;=DATE(YEAR(A41),MONTH(A41),1),FALSE))&gt;0),$B$8,"")</f>
        <v/>
      </c>
      <c r="G41" s="105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Mgmt'!$M$5:$M$428,0))),1)&gt;=DATE(YEAR(A41),MONTH(A41),1),FALSE))&gt;0),$B$9,"")</f>
        <v/>
      </c>
      <c r="H41" s="13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Mgmt'!$M$5:$M$428,0))),1)&gt;=DATE(YEAR(A41),MONTH(A41),1),FALSE))&gt;0),D41*E41,"")</f>
        <v/>
      </c>
      <c r="I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Mgmt'!$M$5:$M$428,0))),1)&gt;=DATE(YEAR(A41),MONTH(A41),1),FALSE))&gt;0),SUM(X41:Z41),"")</f>
        <v/>
      </c>
      <c r="J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Mgmt'!$M$5:$M$428,0))),1)&gt;=DATE(YEAR(A41),MONTH(A41),1),FALSE))&gt;0),D41*F41*E41,"")</f>
        <v/>
      </c>
      <c r="K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Mgmt'!$M$5:$M$428,0))),1)&gt;=DATE(YEAR(A41),MONTH(A41),1),FALSE))&gt;0),75,"")</f>
        <v/>
      </c>
      <c r="L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Mgmt'!$M$5:$M$428,0))),1)&gt;=DATE(YEAR(A41),MONTH(A41),1),FALSE))&gt;0),50,"")</f>
        <v/>
      </c>
      <c r="M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Mgmt'!$M$5:$M$428,0))),1)&gt;=DATE(YEAR(A41),MONTH(A41),1),FALSE))&gt;0),150,"")</f>
        <v/>
      </c>
      <c r="N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Mgmt'!$M$5:$M$428,0))),1)&gt;=DATE(YEAR(A41),MONTH(A41),1),FALSE))&gt;0),125,"")</f>
        <v/>
      </c>
      <c r="O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Mgmt'!$M$5:$M$428,0))),1)&gt;=DATE(YEAR(A41),MONTH(A41),1),FALSE))&gt;0),60,"")</f>
        <v/>
      </c>
      <c r="P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Mgmt'!$M$5:$M$428,0))),1)&gt;=DATE(YEAR(A41),MONTH(A41),1),FALSE))&gt;0),80,"")</f>
        <v/>
      </c>
      <c r="Q41" s="190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Mgmt'!$M$5:$M$428,0))),1)&gt;=DATE(YEAR(A41),MONTH(A41),1),FALSE))&gt;0),40,"")</f>
        <v/>
      </c>
      <c r="R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Mgmt'!$M$5:$M$428,0))),1)&gt;=DATE(YEAR(A41),MONTH(A41),1),FALSE))&gt;0),IF(C41="Owned",0,2500),"")</f>
        <v/>
      </c>
      <c r="S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Mgmt'!$M$5:$M$428,0))),1)&gt;=DATE(YEAR(A41),MONTH(A41),1),FALSE))&gt;0),SUM(K41:R41),"")</f>
        <v/>
      </c>
      <c r="T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Mgmt'!$M$5:$M$428,0))),1)&gt;=DATE(YEAR(A41),MONTH(A41),1),FALSE))&gt;0),I41-S41,"")</f>
        <v/>
      </c>
      <c r="U41" s="105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Mgmt'!$M$5:$M$428,0))),1)&gt;=DATE(YEAR(A41),MONTH(A41),1),FALSE))&gt;0),IFERROR(T41/I41,0),"")</f>
        <v/>
      </c>
      <c r="V41" s="191">
        <f>IF(EDATE($B$4,9)&lt;=EOMONTH($B$5,0),SUMPRODUCT(('Client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Mgmt'!$M$5:$M$428,0))),1)&gt;=DATE(YEAR(A41),MONTH(A41),1),FALSE)),"")</f>
        <v/>
      </c>
      <c r="W41" s="181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Mgmt'!$M$5:$M$428,0))),1)&gt;=DATE(YEAR(A41),MONTH(A41),1),FALSE)),"")</f>
        <v/>
      </c>
      <c r="X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Mgmt'!$M$5:$M$428,0))),1)&gt;=DATE(YEAR(A41),MONTH(A41),1),FALSE))&gt;0),IFERROR(SUMPRODUCT(('Client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Mgmt'!$M$5:$M$428,0))),1)&gt;=DATE(YEAR(A41),MONTH(A41),1),FALSE)*'Client DB &amp; Bed Mgmt'!$I$5:$I$428),0),"")</f>
        <v/>
      </c>
      <c r="Y41" s="189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Mgmt'!$M$5:$M$428,0))),1)&gt;=DATE(YEAR(A41),MONTH(A41),1),FALSE))&gt;0),IFERROR(SUMPRODUCT(('Client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Mgmt'!$M$5:$M$428,0))),1)&gt;=DATE(YEAR(A41),MONTH(A41),1),FALSE)*'Client DB &amp; Bed Mgmt'!$J$5:$J$428),0),"")</f>
        <v/>
      </c>
      <c r="Z41" s="192">
        <f>IF(AND(EDATE($B$4,9)&lt;=EOMONTH($B$5,0),SUMPRODUCT(('Client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Mgmt'!$M$5:$M$428,0))),1)&gt;=DATE(YEAR(A41),MONTH(A41),1),FALSE))&gt;0),IFERROR(SUMPRODUCT(('Client DB &amp; Bed Mgmt'!$A$5:$A$428=B41)*('Client DB &amp; Bed Mgmt'!$D$5:$D$428&lt;&gt;"")*--IFERROR(DATE(YEAR('Client DB &amp; Bed Mgmt'!$M$5:$M$428),MONTH('Client DB &amp; Bed Mgmt'!$M$5:$M$428),1)&lt;=DATE(YEAR(A41),MONTH(A41),1),FALSE)*--IFERROR(DATE(YEAR(IF(ISNUMBER('Client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Mgmt'!$M$5:$M$428,0))),1)&gt;=DATE(YEAR(A41),MONTH(A41),1),FALSE)*'Client DB &amp; Bed Mgmt'!$K$5:$K$428),0),"")</f>
        <v/>
      </c>
      <c r="AA41" s="82" t="n"/>
      <c r="AB41" s="82" t="n"/>
    </row>
    <row r="42" hidden="1" ht="14.25" customHeight="1" s="83">
      <c r="A42" s="177">
        <f>IF(EDATE($B$4,9)&lt;=EOMONTH($B$5,0),EDATE($B$4,9),"")</f>
        <v/>
      </c>
      <c r="B42" s="103">
        <f>IF(EDATE($B$4,9)&lt;=EOMONTH($B$5,0),"Dorm 2","")</f>
        <v/>
      </c>
      <c r="C42" s="17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Mgmt'!$M$5:$M$428,0))),1)&gt;=DATE(YEAR(A42),MONTH(A42),1),FALSE))&gt;0),IFERROR(_xlfn.XLOOKUP(B42,DormRegistry[Dorm Name],DormRegistry[Ownership Type]),""),"")</f>
        <v/>
      </c>
      <c r="D42" s="17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Mgmt'!$M$5:$M$428,0))),1)&gt;=DATE(YEAR(A42),MONTH(A42),1),FALSE))&gt;0),IFERROR(_xlfn.XLOOKUP(B42,DormRegistry[Dorm Name],DormRegistry[Bed Capacity]),0),"")</f>
        <v/>
      </c>
      <c r="E42" s="13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Mgmt'!$M$5:$M$428,0))),1)&gt;=DATE(YEAR(A42),MONTH(A42),1),FALSE))&gt;0),$B$7*(1+$B$9)^(YEAR(A42)-YEAR($B$4)),"")</f>
        <v/>
      </c>
      <c r="F42" s="105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Mgmt'!$M$5:$M$428,0))),1)&gt;=DATE(YEAR(A42),MONTH(A42),1),FALSE))&gt;0),$B$8,"")</f>
        <v/>
      </c>
      <c r="G42" s="105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Mgmt'!$M$5:$M$428,0))),1)&gt;=DATE(YEAR(A42),MONTH(A42),1),FALSE))&gt;0),$B$9,"")</f>
        <v/>
      </c>
      <c r="H42" s="13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Mgmt'!$M$5:$M$428,0))),1)&gt;=DATE(YEAR(A42),MONTH(A42),1),FALSE))&gt;0),D42*E42,"")</f>
        <v/>
      </c>
      <c r="I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Mgmt'!$M$5:$M$428,0))),1)&gt;=DATE(YEAR(A42),MONTH(A42),1),FALSE))&gt;0),SUM(X42:Z42),"")</f>
        <v/>
      </c>
      <c r="J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Mgmt'!$M$5:$M$428,0))),1)&gt;=DATE(YEAR(A42),MONTH(A42),1),FALSE))&gt;0),D42*F42*E42,"")</f>
        <v/>
      </c>
      <c r="K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Mgmt'!$M$5:$M$428,0))),1)&gt;=DATE(YEAR(A42),MONTH(A42),1),FALSE))&gt;0),75,"")</f>
        <v/>
      </c>
      <c r="L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Mgmt'!$M$5:$M$428,0))),1)&gt;=DATE(YEAR(A42),MONTH(A42),1),FALSE))&gt;0),50,"")</f>
        <v/>
      </c>
      <c r="M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Mgmt'!$M$5:$M$428,0))),1)&gt;=DATE(YEAR(A42),MONTH(A42),1),FALSE))&gt;0),150,"")</f>
        <v/>
      </c>
      <c r="N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Mgmt'!$M$5:$M$428,0))),1)&gt;=DATE(YEAR(A42),MONTH(A42),1),FALSE))&gt;0),125,"")</f>
        <v/>
      </c>
      <c r="O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Mgmt'!$M$5:$M$428,0))),1)&gt;=DATE(YEAR(A42),MONTH(A42),1),FALSE))&gt;0),60,"")</f>
        <v/>
      </c>
      <c r="P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Mgmt'!$M$5:$M$428,0))),1)&gt;=DATE(YEAR(A42),MONTH(A42),1),FALSE))&gt;0),80,"")</f>
        <v/>
      </c>
      <c r="Q42" s="190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Mgmt'!$M$5:$M$428,0))),1)&gt;=DATE(YEAR(A42),MONTH(A42),1),FALSE))&gt;0),40,"")</f>
        <v/>
      </c>
      <c r="R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Mgmt'!$M$5:$M$428,0))),1)&gt;=DATE(YEAR(A42),MONTH(A42),1),FALSE))&gt;0),IF(C42="Owned",0,2500),"")</f>
        <v/>
      </c>
      <c r="S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Mgmt'!$M$5:$M$428,0))),1)&gt;=DATE(YEAR(A42),MONTH(A42),1),FALSE))&gt;0),SUM(K42:R42),"")</f>
        <v/>
      </c>
      <c r="T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Mgmt'!$M$5:$M$428,0))),1)&gt;=DATE(YEAR(A42),MONTH(A42),1),FALSE))&gt;0),I42-S42,"")</f>
        <v/>
      </c>
      <c r="U42" s="105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Mgmt'!$M$5:$M$428,0))),1)&gt;=DATE(YEAR(A42),MONTH(A42),1),FALSE))&gt;0),IFERROR(T42/I42,0),"")</f>
        <v/>
      </c>
      <c r="V42" s="191">
        <f>IF(EDATE($B$4,9)&lt;=EOMONTH($B$5,0),SUMPRODUCT(('Client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Mgmt'!$M$5:$M$428,0))),1)&gt;=DATE(YEAR(A42),MONTH(A42),1),FALSE)),"")</f>
        <v/>
      </c>
      <c r="W42" s="181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Mgmt'!$M$5:$M$428,0))),1)&gt;=DATE(YEAR(A42),MONTH(A42),1),FALSE)),"")</f>
        <v/>
      </c>
      <c r="X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Mgmt'!$M$5:$M$428,0))),1)&gt;=DATE(YEAR(A42),MONTH(A42),1),FALSE))&gt;0),IFERROR(SUMPRODUCT(('Client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Mgmt'!$M$5:$M$428,0))),1)&gt;=DATE(YEAR(A42),MONTH(A42),1),FALSE)*'Client DB &amp; Bed Mgmt'!$I$5:$I$428),0),"")</f>
        <v/>
      </c>
      <c r="Y42" s="189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Mgmt'!$M$5:$M$428,0))),1)&gt;=DATE(YEAR(A42),MONTH(A42),1),FALSE))&gt;0),IFERROR(SUMPRODUCT(('Client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Mgmt'!$M$5:$M$428,0))),1)&gt;=DATE(YEAR(A42),MONTH(A42),1),FALSE)*'Client DB &amp; Bed Mgmt'!$J$5:$J$428),0),"")</f>
        <v/>
      </c>
      <c r="Z42" s="192">
        <f>IF(AND(EDATE($B$4,9)&lt;=EOMONTH($B$5,0),SUMPRODUCT(('Client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Mgmt'!$M$5:$M$428,0))),1)&gt;=DATE(YEAR(A42),MONTH(A42),1),FALSE))&gt;0),IFERROR(SUMPRODUCT(('Client DB &amp; Bed Mgmt'!$A$5:$A$428=B42)*('Client DB &amp; Bed Mgmt'!$D$5:$D$428&lt;&gt;"")*--IFERROR(DATE(YEAR('Client DB &amp; Bed Mgmt'!$M$5:$M$428),MONTH('Client DB &amp; Bed Mgmt'!$M$5:$M$428),1)&lt;=DATE(YEAR(A42),MONTH(A42),1),FALSE)*--IFERROR(DATE(YEAR(IF(ISNUMBER('Client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Mgmt'!$M$5:$M$428,0))),1)&gt;=DATE(YEAR(A42),MONTH(A42),1),FALSE)*'Client DB &amp; Bed Mgmt'!$K$5:$K$428),0),"")</f>
        <v/>
      </c>
      <c r="AA42" s="82" t="n"/>
      <c r="AB42" s="82" t="n"/>
    </row>
    <row r="43" hidden="1" ht="14.25" customHeight="1" s="83">
      <c r="A43" s="177">
        <f>IF(EDATE($B$4,9)&lt;=EOMONTH($B$5,0),EDATE($B$4,9),"")</f>
        <v/>
      </c>
      <c r="B43" s="103">
        <f>IF(EDATE($B$4,9)&lt;=EOMONTH($B$5,0),"Dorm 3","")</f>
        <v/>
      </c>
      <c r="C43" s="17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Mgmt'!$M$5:$M$428,0))),1)&gt;=DATE(YEAR(A43),MONTH(A43),1),FALSE))&gt;0),IFERROR(_xlfn.XLOOKUP(B43,DormRegistry[Dorm Name],DormRegistry[Ownership Type]),""),"")</f>
        <v/>
      </c>
      <c r="D43" s="17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Mgmt'!$M$5:$M$428,0))),1)&gt;=DATE(YEAR(A43),MONTH(A43),1),FALSE))&gt;0),IFERROR(_xlfn.XLOOKUP(B43,DormRegistry[Dorm Name],DormRegistry[Bed Capacity]),0),"")</f>
        <v/>
      </c>
      <c r="E43" s="13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Mgmt'!$M$5:$M$428,0))),1)&gt;=DATE(YEAR(A43),MONTH(A43),1),FALSE))&gt;0),$B$7*(1+$B$9)^(YEAR(A43)-YEAR($B$4)),"")</f>
        <v/>
      </c>
      <c r="F43" s="105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Mgmt'!$M$5:$M$428,0))),1)&gt;=DATE(YEAR(A43),MONTH(A43),1),FALSE))&gt;0),$B$8,"")</f>
        <v/>
      </c>
      <c r="G43" s="105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Mgmt'!$M$5:$M$428,0))),1)&gt;=DATE(YEAR(A43),MONTH(A43),1),FALSE))&gt;0),$B$9,"")</f>
        <v/>
      </c>
      <c r="H43" s="13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Mgmt'!$M$5:$M$428,0))),1)&gt;=DATE(YEAR(A43),MONTH(A43),1),FALSE))&gt;0),D43*E43,"")</f>
        <v/>
      </c>
      <c r="I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Mgmt'!$M$5:$M$428,0))),1)&gt;=DATE(YEAR(A43),MONTH(A43),1),FALSE))&gt;0),SUM(X43:Z43),"")</f>
        <v/>
      </c>
      <c r="J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Mgmt'!$M$5:$M$428,0))),1)&gt;=DATE(YEAR(A43),MONTH(A43),1),FALSE))&gt;0),D43*F43*E43,"")</f>
        <v/>
      </c>
      <c r="K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Mgmt'!$M$5:$M$428,0))),1)&gt;=DATE(YEAR(A43),MONTH(A43),1),FALSE))&gt;0),75,"")</f>
        <v/>
      </c>
      <c r="L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Mgmt'!$M$5:$M$428,0))),1)&gt;=DATE(YEAR(A43),MONTH(A43),1),FALSE))&gt;0),50,"")</f>
        <v/>
      </c>
      <c r="M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Mgmt'!$M$5:$M$428,0))),1)&gt;=DATE(YEAR(A43),MONTH(A43),1),FALSE))&gt;0),150,"")</f>
        <v/>
      </c>
      <c r="N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Mgmt'!$M$5:$M$428,0))),1)&gt;=DATE(YEAR(A43),MONTH(A43),1),FALSE))&gt;0),125,"")</f>
        <v/>
      </c>
      <c r="O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Mgmt'!$M$5:$M$428,0))),1)&gt;=DATE(YEAR(A43),MONTH(A43),1),FALSE))&gt;0),60,"")</f>
        <v/>
      </c>
      <c r="P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Mgmt'!$M$5:$M$428,0))),1)&gt;=DATE(YEAR(A43),MONTH(A43),1),FALSE))&gt;0),80,"")</f>
        <v/>
      </c>
      <c r="Q43" s="190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Mgmt'!$M$5:$M$428,0))),1)&gt;=DATE(YEAR(A43),MONTH(A43),1),FALSE))&gt;0),40,"")</f>
        <v/>
      </c>
      <c r="R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Mgmt'!$M$5:$M$428,0))),1)&gt;=DATE(YEAR(A43),MONTH(A43),1),FALSE))&gt;0),IF(C43="Owned",0,2500),"")</f>
        <v/>
      </c>
      <c r="S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Mgmt'!$M$5:$M$428,0))),1)&gt;=DATE(YEAR(A43),MONTH(A43),1),FALSE))&gt;0),SUM(K43:R43),"")</f>
        <v/>
      </c>
      <c r="T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Mgmt'!$M$5:$M$428,0))),1)&gt;=DATE(YEAR(A43),MONTH(A43),1),FALSE))&gt;0),I43-S43,"")</f>
        <v/>
      </c>
      <c r="U43" s="105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Mgmt'!$M$5:$M$428,0))),1)&gt;=DATE(YEAR(A43),MONTH(A43),1),FALSE))&gt;0),IFERROR(T43/I43,0),"")</f>
        <v/>
      </c>
      <c r="V43" s="191">
        <f>IF(EDATE($B$4,9)&lt;=EOMONTH($B$5,0),SUMPRODUCT(('Client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Mgmt'!$M$5:$M$428,0))),1)&gt;=DATE(YEAR(A43),MONTH(A43),1),FALSE)),"")</f>
        <v/>
      </c>
      <c r="W43" s="181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Mgmt'!$M$5:$M$428,0))),1)&gt;=DATE(YEAR(A43),MONTH(A43),1),FALSE)),"")</f>
        <v/>
      </c>
      <c r="X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Mgmt'!$M$5:$M$428,0))),1)&gt;=DATE(YEAR(A43),MONTH(A43),1),FALSE))&gt;0),IFERROR(SUMPRODUCT(('Client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Mgmt'!$M$5:$M$428,0))),1)&gt;=DATE(YEAR(A43),MONTH(A43),1),FALSE)*'Client DB &amp; Bed Mgmt'!$I$5:$I$428),0),"")</f>
        <v/>
      </c>
      <c r="Y43" s="189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Mgmt'!$M$5:$M$428,0))),1)&gt;=DATE(YEAR(A43),MONTH(A43),1),FALSE))&gt;0),IFERROR(SUMPRODUCT(('Client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Mgmt'!$M$5:$M$428,0))),1)&gt;=DATE(YEAR(A43),MONTH(A43),1),FALSE)*'Client DB &amp; Bed Mgmt'!$J$5:$J$428),0),"")</f>
        <v/>
      </c>
      <c r="Z43" s="192">
        <f>IF(AND(EDATE($B$4,9)&lt;=EOMONTH($B$5,0),SUMPRODUCT(('Client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Mgmt'!$M$5:$M$428,0))),1)&gt;=DATE(YEAR(A43),MONTH(A43),1),FALSE))&gt;0),IFERROR(SUMPRODUCT(('Client DB &amp; Bed Mgmt'!$A$5:$A$428=B43)*('Client DB &amp; Bed Mgmt'!$D$5:$D$428&lt;&gt;"")*--IFERROR(DATE(YEAR('Client DB &amp; Bed Mgmt'!$M$5:$M$428),MONTH('Client DB &amp; Bed Mgmt'!$M$5:$M$428),1)&lt;=DATE(YEAR(A43),MONTH(A43),1),FALSE)*--IFERROR(DATE(YEAR(IF(ISNUMBER('Client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Mgmt'!$M$5:$M$428,0))),1)&gt;=DATE(YEAR(A43),MONTH(A43),1),FALSE)*'Client DB &amp; Bed Mgmt'!$K$5:$K$428),0),"")</f>
        <v/>
      </c>
      <c r="AA43" s="82" t="n"/>
      <c r="AB43" s="82" t="n"/>
    </row>
    <row r="44" ht="14.25" customHeight="1" s="83">
      <c r="A44" s="177">
        <f>IF(EDATE($B$4,10)&lt;=EOMONTH($B$5,0),EDATE($B$4,10),"")</f>
        <v/>
      </c>
      <c r="B44" s="103">
        <f>IF(EDATE($B$4,10)&lt;=EOMONTH($B$5,0),"Dorm 1","")</f>
        <v/>
      </c>
      <c r="C44" s="17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Mgmt'!$M$5:$M$428,0))),1)&gt;=DATE(YEAR(A44),MONTH(A44),1),FALSE))&gt;0),IFERROR(_xlfn.XLOOKUP(B44,DormRegistry[Dorm Name],DormRegistry[Ownership Type]),""),"")</f>
        <v/>
      </c>
      <c r="D44" s="17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Mgmt'!$M$5:$M$428,0))),1)&gt;=DATE(YEAR(A44),MONTH(A44),1),FALSE))&gt;0),IFERROR(_xlfn.XLOOKUP(B44,DormRegistry[Dorm Name],DormRegistry[Bed Capacity]),0),"")</f>
        <v/>
      </c>
      <c r="E44" s="13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Mgmt'!$M$5:$M$428,0))),1)&gt;=DATE(YEAR(A44),MONTH(A44),1),FALSE))&gt;0),$B$7*(1+$B$9)^(YEAR(A44)-YEAR($B$4)),"")</f>
        <v/>
      </c>
      <c r="F44" s="105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Mgmt'!$M$5:$M$428,0))),1)&gt;=DATE(YEAR(A44),MONTH(A44),1),FALSE))&gt;0),$B$8,"")</f>
        <v/>
      </c>
      <c r="G44" s="105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Mgmt'!$M$5:$M$428,0))),1)&gt;=DATE(YEAR(A44),MONTH(A44),1),FALSE))&gt;0),$B$9,"")</f>
        <v/>
      </c>
      <c r="H44" s="13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Mgmt'!$M$5:$M$428,0))),1)&gt;=DATE(YEAR(A44),MONTH(A44),1),FALSE))&gt;0),D44*E44,"")</f>
        <v/>
      </c>
      <c r="I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Mgmt'!$M$5:$M$428,0))),1)&gt;=DATE(YEAR(A44),MONTH(A44),1),FALSE))&gt;0),SUM(X44:Z44),"")</f>
        <v/>
      </c>
      <c r="J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Mgmt'!$M$5:$M$428,0))),1)&gt;=DATE(YEAR(A44),MONTH(A44),1),FALSE))&gt;0),D44*F44*E44,"")</f>
        <v/>
      </c>
      <c r="K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Mgmt'!$M$5:$M$428,0))),1)&gt;=DATE(YEAR(A44),MONTH(A44),1),FALSE))&gt;0),75,"")</f>
        <v/>
      </c>
      <c r="L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Mgmt'!$M$5:$M$428,0))),1)&gt;=DATE(YEAR(A44),MONTH(A44),1),FALSE))&gt;0),50,"")</f>
        <v/>
      </c>
      <c r="M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Mgmt'!$M$5:$M$428,0))),1)&gt;=DATE(YEAR(A44),MONTH(A44),1),FALSE))&gt;0),150,"")</f>
        <v/>
      </c>
      <c r="N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Mgmt'!$M$5:$M$428,0))),1)&gt;=DATE(YEAR(A44),MONTH(A44),1),FALSE))&gt;0),125,"")</f>
        <v/>
      </c>
      <c r="O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Mgmt'!$M$5:$M$428,0))),1)&gt;=DATE(YEAR(A44),MONTH(A44),1),FALSE))&gt;0),60,"")</f>
        <v/>
      </c>
      <c r="P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Mgmt'!$M$5:$M$428,0))),1)&gt;=DATE(YEAR(A44),MONTH(A44),1),FALSE))&gt;0),80,"")</f>
        <v/>
      </c>
      <c r="Q44" s="190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Mgmt'!$M$5:$M$428,0))),1)&gt;=DATE(YEAR(A44),MONTH(A44),1),FALSE))&gt;0),40,"")</f>
        <v/>
      </c>
      <c r="R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Mgmt'!$M$5:$M$428,0))),1)&gt;=DATE(YEAR(A44),MONTH(A44),1),FALSE))&gt;0),IF(C44="Owned",0,2500),"")</f>
        <v/>
      </c>
      <c r="S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Mgmt'!$M$5:$M$428,0))),1)&gt;=DATE(YEAR(A44),MONTH(A44),1),FALSE))&gt;0),SUM(K44:R44),"")</f>
        <v/>
      </c>
      <c r="T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Mgmt'!$M$5:$M$428,0))),1)&gt;=DATE(YEAR(A44),MONTH(A44),1),FALSE))&gt;0),I44-S44,"")</f>
        <v/>
      </c>
      <c r="U44" s="105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Mgmt'!$M$5:$M$428,0))),1)&gt;=DATE(YEAR(A44),MONTH(A44),1),FALSE))&gt;0),IFERROR(T44/I44,0),"")</f>
        <v/>
      </c>
      <c r="V44" s="191">
        <f>IF(EDATE($B$4,10)&lt;=EOMONTH($B$5,0),SUMPRODUCT(('Client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Mgmt'!$M$5:$M$428,0))),1)&gt;=DATE(YEAR(A44),MONTH(A44),1),FALSE)),"")</f>
        <v/>
      </c>
      <c r="W44" s="181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Mgmt'!$M$5:$M$428,0))),1)&gt;=DATE(YEAR(A44),MONTH(A44),1),FALSE)),"")</f>
        <v/>
      </c>
      <c r="X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Mgmt'!$M$5:$M$428,0))),1)&gt;=DATE(YEAR(A44),MONTH(A44),1),FALSE))&gt;0),IFERROR(SUMPRODUCT(('Client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Mgmt'!$M$5:$M$428,0))),1)&gt;=DATE(YEAR(A44),MONTH(A44),1),FALSE)*'Client DB &amp; Bed Mgmt'!$I$5:$I$428),0),"")</f>
        <v/>
      </c>
      <c r="Y44" s="189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Mgmt'!$M$5:$M$428,0))),1)&gt;=DATE(YEAR(A44),MONTH(A44),1),FALSE))&gt;0),IFERROR(SUMPRODUCT(('Client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Mgmt'!$M$5:$M$428,0))),1)&gt;=DATE(YEAR(A44),MONTH(A44),1),FALSE)*'Client DB &amp; Bed Mgmt'!$J$5:$J$428),0),"")</f>
        <v/>
      </c>
      <c r="Z44" s="192">
        <f>IF(AND(EDATE($B$4,10)&lt;=EOMONTH($B$5,0),SUMPRODUCT(('Client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Mgmt'!$M$5:$M$428,0))),1)&gt;=DATE(YEAR(A44),MONTH(A44),1),FALSE))&gt;0),IFERROR(SUMPRODUCT(('Client DB &amp; Bed Mgmt'!$A$5:$A$428=B44)*('Client DB &amp; Bed Mgmt'!$D$5:$D$428&lt;&gt;"")*--IFERROR(DATE(YEAR('Client DB &amp; Bed Mgmt'!$M$5:$M$428),MONTH('Client DB &amp; Bed Mgmt'!$M$5:$M$428),1)&lt;=DATE(YEAR(A44),MONTH(A44),1),FALSE)*--IFERROR(DATE(YEAR(IF(ISNUMBER('Client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Mgmt'!$M$5:$M$428,0))),1)&gt;=DATE(YEAR(A44),MONTH(A44),1),FALSE)*'Client DB &amp; Bed Mgmt'!$K$5:$K$428),0),"")</f>
        <v/>
      </c>
      <c r="AA44" s="82" t="n"/>
      <c r="AB44" s="82" t="n"/>
    </row>
    <row r="45" hidden="1" ht="14.25" customHeight="1" s="83">
      <c r="A45" s="177">
        <f>IF(EDATE($B$4,10)&lt;=EOMONTH($B$5,0),EDATE($B$4,10),"")</f>
        <v/>
      </c>
      <c r="B45" s="103">
        <f>IF(EDATE($B$4,10)&lt;=EOMONTH($B$5,0),"Dorm 2","")</f>
        <v/>
      </c>
      <c r="C45" s="17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Mgmt'!$M$5:$M$428,0))),1)&gt;=DATE(YEAR(A45),MONTH(A45),1),FALSE))&gt;0),IFERROR(_xlfn.XLOOKUP(B45,DormRegistry[Dorm Name],DormRegistry[Ownership Type]),""),"")</f>
        <v/>
      </c>
      <c r="D45" s="17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Mgmt'!$M$5:$M$428,0))),1)&gt;=DATE(YEAR(A45),MONTH(A45),1),FALSE))&gt;0),IFERROR(_xlfn.XLOOKUP(B45,DormRegistry[Dorm Name],DormRegistry[Bed Capacity]),0),"")</f>
        <v/>
      </c>
      <c r="E45" s="13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Mgmt'!$M$5:$M$428,0))),1)&gt;=DATE(YEAR(A45),MONTH(A45),1),FALSE))&gt;0),$B$7*(1+$B$9)^(YEAR(A45)-YEAR($B$4)),"")</f>
        <v/>
      </c>
      <c r="F45" s="105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Mgmt'!$M$5:$M$428,0))),1)&gt;=DATE(YEAR(A45),MONTH(A45),1),FALSE))&gt;0),$B$8,"")</f>
        <v/>
      </c>
      <c r="G45" s="105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Mgmt'!$M$5:$M$428,0))),1)&gt;=DATE(YEAR(A45),MONTH(A45),1),FALSE))&gt;0),$B$9,"")</f>
        <v/>
      </c>
      <c r="H45" s="13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Mgmt'!$M$5:$M$428,0))),1)&gt;=DATE(YEAR(A45),MONTH(A45),1),FALSE))&gt;0),D45*E45,"")</f>
        <v/>
      </c>
      <c r="I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Mgmt'!$M$5:$M$428,0))),1)&gt;=DATE(YEAR(A45),MONTH(A45),1),FALSE))&gt;0),SUM(X45:Z45),"")</f>
        <v/>
      </c>
      <c r="J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Mgmt'!$M$5:$M$428,0))),1)&gt;=DATE(YEAR(A45),MONTH(A45),1),FALSE))&gt;0),D45*F45*E45,"")</f>
        <v/>
      </c>
      <c r="K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Mgmt'!$M$5:$M$428,0))),1)&gt;=DATE(YEAR(A45),MONTH(A45),1),FALSE))&gt;0),75,"")</f>
        <v/>
      </c>
      <c r="L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Mgmt'!$M$5:$M$428,0))),1)&gt;=DATE(YEAR(A45),MONTH(A45),1),FALSE))&gt;0),50,"")</f>
        <v/>
      </c>
      <c r="M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Mgmt'!$M$5:$M$428,0))),1)&gt;=DATE(YEAR(A45),MONTH(A45),1),FALSE))&gt;0),150,"")</f>
        <v/>
      </c>
      <c r="N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Mgmt'!$M$5:$M$428,0))),1)&gt;=DATE(YEAR(A45),MONTH(A45),1),FALSE))&gt;0),125,"")</f>
        <v/>
      </c>
      <c r="O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Mgmt'!$M$5:$M$428,0))),1)&gt;=DATE(YEAR(A45),MONTH(A45),1),FALSE))&gt;0),60,"")</f>
        <v/>
      </c>
      <c r="P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Mgmt'!$M$5:$M$428,0))),1)&gt;=DATE(YEAR(A45),MONTH(A45),1),FALSE))&gt;0),80,"")</f>
        <v/>
      </c>
      <c r="Q45" s="190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Mgmt'!$M$5:$M$428,0))),1)&gt;=DATE(YEAR(A45),MONTH(A45),1),FALSE))&gt;0),40,"")</f>
        <v/>
      </c>
      <c r="R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Mgmt'!$M$5:$M$428,0))),1)&gt;=DATE(YEAR(A45),MONTH(A45),1),FALSE))&gt;0),IF(C45="Owned",0,2500),"")</f>
        <v/>
      </c>
      <c r="S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Mgmt'!$M$5:$M$428,0))),1)&gt;=DATE(YEAR(A45),MONTH(A45),1),FALSE))&gt;0),SUM(K45:R45),"")</f>
        <v/>
      </c>
      <c r="T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Mgmt'!$M$5:$M$428,0))),1)&gt;=DATE(YEAR(A45),MONTH(A45),1),FALSE))&gt;0),I45-S45,"")</f>
        <v/>
      </c>
      <c r="U45" s="105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Mgmt'!$M$5:$M$428,0))),1)&gt;=DATE(YEAR(A45),MONTH(A45),1),FALSE))&gt;0),IFERROR(T45/I45,0),"")</f>
        <v/>
      </c>
      <c r="V45" s="191">
        <f>IF(EDATE($B$4,10)&lt;=EOMONTH($B$5,0),SUMPRODUCT(('Client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Mgmt'!$M$5:$M$428,0))),1)&gt;=DATE(YEAR(A45),MONTH(A45),1),FALSE)),"")</f>
        <v/>
      </c>
      <c r="W45" s="181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Mgmt'!$M$5:$M$428,0))),1)&gt;=DATE(YEAR(A45),MONTH(A45),1),FALSE)),"")</f>
        <v/>
      </c>
      <c r="X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Mgmt'!$M$5:$M$428,0))),1)&gt;=DATE(YEAR(A45),MONTH(A45),1),FALSE))&gt;0),IFERROR(SUMPRODUCT(('Client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Mgmt'!$M$5:$M$428,0))),1)&gt;=DATE(YEAR(A45),MONTH(A45),1),FALSE)*'Client DB &amp; Bed Mgmt'!$I$5:$I$428),0),"")</f>
        <v/>
      </c>
      <c r="Y45" s="189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Mgmt'!$M$5:$M$428,0))),1)&gt;=DATE(YEAR(A45),MONTH(A45),1),FALSE))&gt;0),IFERROR(SUMPRODUCT(('Client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Mgmt'!$M$5:$M$428,0))),1)&gt;=DATE(YEAR(A45),MONTH(A45),1),FALSE)*'Client DB &amp; Bed Mgmt'!$J$5:$J$428),0),"")</f>
        <v/>
      </c>
      <c r="Z45" s="192">
        <f>IF(AND(EDATE($B$4,10)&lt;=EOMONTH($B$5,0),SUMPRODUCT(('Client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Mgmt'!$M$5:$M$428,0))),1)&gt;=DATE(YEAR(A45),MONTH(A45),1),FALSE))&gt;0),IFERROR(SUMPRODUCT(('Client DB &amp; Bed Mgmt'!$A$5:$A$428=B45)*('Client DB &amp; Bed Mgmt'!$D$5:$D$428&lt;&gt;"")*--IFERROR(DATE(YEAR('Client DB &amp; Bed Mgmt'!$M$5:$M$428),MONTH('Client DB &amp; Bed Mgmt'!$M$5:$M$428),1)&lt;=DATE(YEAR(A45),MONTH(A45),1),FALSE)*--IFERROR(DATE(YEAR(IF(ISNUMBER('Client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Mgmt'!$M$5:$M$428,0))),1)&gt;=DATE(YEAR(A45),MONTH(A45),1),FALSE)*'Client DB &amp; Bed Mgmt'!$K$5:$K$428),0),"")</f>
        <v/>
      </c>
      <c r="AA45" s="82" t="n"/>
      <c r="AB45" s="82" t="n"/>
    </row>
    <row r="46" hidden="1" ht="14.25" customHeight="1" s="83">
      <c r="A46" s="177">
        <f>IF(EDATE($B$4,10)&lt;=EOMONTH($B$5,0),EDATE($B$4,10),"")</f>
        <v/>
      </c>
      <c r="B46" s="103">
        <f>IF(EDATE($B$4,10)&lt;=EOMONTH($B$5,0),"Dorm 3","")</f>
        <v/>
      </c>
      <c r="C46" s="17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Mgmt'!$M$5:$M$428,0))),1)&gt;=DATE(YEAR(A46),MONTH(A46),1),FALSE))&gt;0),IFERROR(_xlfn.XLOOKUP(B46,DormRegistry[Dorm Name],DormRegistry[Ownership Type]),""),"")</f>
        <v/>
      </c>
      <c r="D46" s="17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Mgmt'!$M$5:$M$428,0))),1)&gt;=DATE(YEAR(A46),MONTH(A46),1),FALSE))&gt;0),IFERROR(_xlfn.XLOOKUP(B46,DormRegistry[Dorm Name],DormRegistry[Bed Capacity]),0),"")</f>
        <v/>
      </c>
      <c r="E46" s="13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Mgmt'!$M$5:$M$428,0))),1)&gt;=DATE(YEAR(A46),MONTH(A46),1),FALSE))&gt;0),$B$7*(1+$B$9)^(YEAR(A46)-YEAR($B$4)),"")</f>
        <v/>
      </c>
      <c r="F46" s="105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Mgmt'!$M$5:$M$428,0))),1)&gt;=DATE(YEAR(A46),MONTH(A46),1),FALSE))&gt;0),$B$8,"")</f>
        <v/>
      </c>
      <c r="G46" s="105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Mgmt'!$M$5:$M$428,0))),1)&gt;=DATE(YEAR(A46),MONTH(A46),1),FALSE))&gt;0),$B$9,"")</f>
        <v/>
      </c>
      <c r="H46" s="13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Mgmt'!$M$5:$M$428,0))),1)&gt;=DATE(YEAR(A46),MONTH(A46),1),FALSE))&gt;0),D46*E46,"")</f>
        <v/>
      </c>
      <c r="I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Mgmt'!$M$5:$M$428,0))),1)&gt;=DATE(YEAR(A46),MONTH(A46),1),FALSE))&gt;0),SUM(X46:Z46),"")</f>
        <v/>
      </c>
      <c r="J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Mgmt'!$M$5:$M$428,0))),1)&gt;=DATE(YEAR(A46),MONTH(A46),1),FALSE))&gt;0),D46*F46*E46,"")</f>
        <v/>
      </c>
      <c r="K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Mgmt'!$M$5:$M$428,0))),1)&gt;=DATE(YEAR(A46),MONTH(A46),1),FALSE))&gt;0),75,"")</f>
        <v/>
      </c>
      <c r="L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Mgmt'!$M$5:$M$428,0))),1)&gt;=DATE(YEAR(A46),MONTH(A46),1),FALSE))&gt;0),50,"")</f>
        <v/>
      </c>
      <c r="M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Mgmt'!$M$5:$M$428,0))),1)&gt;=DATE(YEAR(A46),MONTH(A46),1),FALSE))&gt;0),150,"")</f>
        <v/>
      </c>
      <c r="N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Mgmt'!$M$5:$M$428,0))),1)&gt;=DATE(YEAR(A46),MONTH(A46),1),FALSE))&gt;0),125,"")</f>
        <v/>
      </c>
      <c r="O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Mgmt'!$M$5:$M$428,0))),1)&gt;=DATE(YEAR(A46),MONTH(A46),1),FALSE))&gt;0),60,"")</f>
        <v/>
      </c>
      <c r="P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Mgmt'!$M$5:$M$428,0))),1)&gt;=DATE(YEAR(A46),MONTH(A46),1),FALSE))&gt;0),80,"")</f>
        <v/>
      </c>
      <c r="Q46" s="190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Mgmt'!$M$5:$M$428,0))),1)&gt;=DATE(YEAR(A46),MONTH(A46),1),FALSE))&gt;0),40,"")</f>
        <v/>
      </c>
      <c r="R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Mgmt'!$M$5:$M$428,0))),1)&gt;=DATE(YEAR(A46),MONTH(A46),1),FALSE))&gt;0),IF(C46="Owned",0,2500),"")</f>
        <v/>
      </c>
      <c r="S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Mgmt'!$M$5:$M$428,0))),1)&gt;=DATE(YEAR(A46),MONTH(A46),1),FALSE))&gt;0),SUM(K46:R46),"")</f>
        <v/>
      </c>
      <c r="T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Mgmt'!$M$5:$M$428,0))),1)&gt;=DATE(YEAR(A46),MONTH(A46),1),FALSE))&gt;0),I46-S46,"")</f>
        <v/>
      </c>
      <c r="U46" s="105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Mgmt'!$M$5:$M$428,0))),1)&gt;=DATE(YEAR(A46),MONTH(A46),1),FALSE))&gt;0),IFERROR(T46/I46,0),"")</f>
        <v/>
      </c>
      <c r="V46" s="191">
        <f>IF(EDATE($B$4,10)&lt;=EOMONTH($B$5,0),SUMPRODUCT(('Client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Mgmt'!$M$5:$M$428,0))),1)&gt;=DATE(YEAR(A46),MONTH(A46),1),FALSE)),"")</f>
        <v/>
      </c>
      <c r="W46" s="181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Mgmt'!$M$5:$M$428,0))),1)&gt;=DATE(YEAR(A46),MONTH(A46),1),FALSE)),"")</f>
        <v/>
      </c>
      <c r="X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Mgmt'!$M$5:$M$428,0))),1)&gt;=DATE(YEAR(A46),MONTH(A46),1),FALSE))&gt;0),IFERROR(SUMPRODUCT(('Client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Mgmt'!$M$5:$M$428,0))),1)&gt;=DATE(YEAR(A46),MONTH(A46),1),FALSE)*'Client DB &amp; Bed Mgmt'!$I$5:$I$428),0),"")</f>
        <v/>
      </c>
      <c r="Y46" s="189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Mgmt'!$M$5:$M$428,0))),1)&gt;=DATE(YEAR(A46),MONTH(A46),1),FALSE))&gt;0),IFERROR(SUMPRODUCT(('Client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Mgmt'!$M$5:$M$428,0))),1)&gt;=DATE(YEAR(A46),MONTH(A46),1),FALSE)*'Client DB &amp; Bed Mgmt'!$J$5:$J$428),0),"")</f>
        <v/>
      </c>
      <c r="Z46" s="192">
        <f>IF(AND(EDATE($B$4,10)&lt;=EOMONTH($B$5,0),SUMPRODUCT(('Client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Mgmt'!$M$5:$M$428,0))),1)&gt;=DATE(YEAR(A46),MONTH(A46),1),FALSE))&gt;0),IFERROR(SUMPRODUCT(('Client DB &amp; Bed Mgmt'!$A$5:$A$428=B46)*('Client DB &amp; Bed Mgmt'!$D$5:$D$428&lt;&gt;"")*--IFERROR(DATE(YEAR('Client DB &amp; Bed Mgmt'!$M$5:$M$428),MONTH('Client DB &amp; Bed Mgmt'!$M$5:$M$428),1)&lt;=DATE(YEAR(A46),MONTH(A46),1),FALSE)*--IFERROR(DATE(YEAR(IF(ISNUMBER('Client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Mgmt'!$M$5:$M$428,0))),1)&gt;=DATE(YEAR(A46),MONTH(A46),1),FALSE)*'Client DB &amp; Bed Mgmt'!$K$5:$K$428),0),"")</f>
        <v/>
      </c>
      <c r="AA46" s="82" t="n"/>
      <c r="AB46" s="82" t="n"/>
    </row>
    <row r="47" ht="14.25" customHeight="1" s="83">
      <c r="A47" s="177">
        <f>IF(EDATE($B$4,11)&lt;=EOMONTH($B$5,0),EDATE($B$4,11),"")</f>
        <v/>
      </c>
      <c r="B47" s="103">
        <f>IF(EDATE($B$4,11)&lt;=EOMONTH($B$5,0),"Dorm 1","")</f>
        <v/>
      </c>
      <c r="C47" s="17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Mgmt'!$M$5:$M$428,0))),1)&gt;=DATE(YEAR(A47),MONTH(A47),1),FALSE))&gt;0),IFERROR(_xlfn.XLOOKUP(B47,DormRegistry[Dorm Name],DormRegistry[Ownership Type]),""),"")</f>
        <v/>
      </c>
      <c r="D47" s="17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Mgmt'!$M$5:$M$428,0))),1)&gt;=DATE(YEAR(A47),MONTH(A47),1),FALSE))&gt;0),IFERROR(_xlfn.XLOOKUP(B47,DormRegistry[Dorm Name],DormRegistry[Bed Capacity]),0),"")</f>
        <v/>
      </c>
      <c r="E47" s="13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Mgmt'!$M$5:$M$428,0))),1)&gt;=DATE(YEAR(A47),MONTH(A47),1),FALSE))&gt;0),$B$7*(1+$B$9)^(YEAR(A47)-YEAR($B$4)),"")</f>
        <v/>
      </c>
      <c r="F47" s="105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Mgmt'!$M$5:$M$428,0))),1)&gt;=DATE(YEAR(A47),MONTH(A47),1),FALSE))&gt;0),$B$8,"")</f>
        <v/>
      </c>
      <c r="G47" s="105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Mgmt'!$M$5:$M$428,0))),1)&gt;=DATE(YEAR(A47),MONTH(A47),1),FALSE))&gt;0),$B$9,"")</f>
        <v/>
      </c>
      <c r="H47" s="13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Mgmt'!$M$5:$M$428,0))),1)&gt;=DATE(YEAR(A47),MONTH(A47),1),FALSE))&gt;0),D47*E47,"")</f>
        <v/>
      </c>
      <c r="I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Mgmt'!$M$5:$M$428,0))),1)&gt;=DATE(YEAR(A47),MONTH(A47),1),FALSE))&gt;0),SUM(X47:Z47),"")</f>
        <v/>
      </c>
      <c r="J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Mgmt'!$M$5:$M$428,0))),1)&gt;=DATE(YEAR(A47),MONTH(A47),1),FALSE))&gt;0),D47*F47*E47,"")</f>
        <v/>
      </c>
      <c r="K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Mgmt'!$M$5:$M$428,0))),1)&gt;=DATE(YEAR(A47),MONTH(A47),1),FALSE))&gt;0),75,"")</f>
        <v/>
      </c>
      <c r="L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Mgmt'!$M$5:$M$428,0))),1)&gt;=DATE(YEAR(A47),MONTH(A47),1),FALSE))&gt;0),50,"")</f>
        <v/>
      </c>
      <c r="M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Mgmt'!$M$5:$M$428,0))),1)&gt;=DATE(YEAR(A47),MONTH(A47),1),FALSE))&gt;0),150,"")</f>
        <v/>
      </c>
      <c r="N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Mgmt'!$M$5:$M$428,0))),1)&gt;=DATE(YEAR(A47),MONTH(A47),1),FALSE))&gt;0),125,"")</f>
        <v/>
      </c>
      <c r="O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Mgmt'!$M$5:$M$428,0))),1)&gt;=DATE(YEAR(A47),MONTH(A47),1),FALSE))&gt;0),60,"")</f>
        <v/>
      </c>
      <c r="P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Mgmt'!$M$5:$M$428,0))),1)&gt;=DATE(YEAR(A47),MONTH(A47),1),FALSE))&gt;0),80,"")</f>
        <v/>
      </c>
      <c r="Q47" s="190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Mgmt'!$M$5:$M$428,0))),1)&gt;=DATE(YEAR(A47),MONTH(A47),1),FALSE))&gt;0),40,"")</f>
        <v/>
      </c>
      <c r="R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Mgmt'!$M$5:$M$428,0))),1)&gt;=DATE(YEAR(A47),MONTH(A47),1),FALSE))&gt;0),IF(C47="Owned",0,2500),"")</f>
        <v/>
      </c>
      <c r="S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Mgmt'!$M$5:$M$428,0))),1)&gt;=DATE(YEAR(A47),MONTH(A47),1),FALSE))&gt;0),SUM(K47:R47),"")</f>
        <v/>
      </c>
      <c r="T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Mgmt'!$M$5:$M$428,0))),1)&gt;=DATE(YEAR(A47),MONTH(A47),1),FALSE))&gt;0),I47-S47,"")</f>
        <v/>
      </c>
      <c r="U47" s="105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Mgmt'!$M$5:$M$428,0))),1)&gt;=DATE(YEAR(A47),MONTH(A47),1),FALSE))&gt;0),IFERROR(T47/I47,0),"")</f>
        <v/>
      </c>
      <c r="V47" s="191">
        <f>IF(EDATE($B$4,11)&lt;=EOMONTH($B$5,0),SUMPRODUCT(('Client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Mgmt'!$M$5:$M$428,0))),1)&gt;=DATE(YEAR(A47),MONTH(A47),1),FALSE)),"")</f>
        <v/>
      </c>
      <c r="W47" s="181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Mgmt'!$M$5:$M$428,0))),1)&gt;=DATE(YEAR(A47),MONTH(A47),1),FALSE)),"")</f>
        <v/>
      </c>
      <c r="X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Mgmt'!$M$5:$M$428,0))),1)&gt;=DATE(YEAR(A47),MONTH(A47),1),FALSE))&gt;0),IFERROR(SUMPRODUCT(('Client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Mgmt'!$M$5:$M$428,0))),1)&gt;=DATE(YEAR(A47),MONTH(A47),1),FALSE)*'Client DB &amp; Bed Mgmt'!$I$5:$I$428),0),"")</f>
        <v/>
      </c>
      <c r="Y47" s="189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Mgmt'!$M$5:$M$428,0))),1)&gt;=DATE(YEAR(A47),MONTH(A47),1),FALSE))&gt;0),IFERROR(SUMPRODUCT(('Client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Mgmt'!$M$5:$M$428,0))),1)&gt;=DATE(YEAR(A47),MONTH(A47),1),FALSE)*'Client DB &amp; Bed Mgmt'!$J$5:$J$428),0),"")</f>
        <v/>
      </c>
      <c r="Z47" s="192">
        <f>IF(AND(EDATE($B$4,11)&lt;=EOMONTH($B$5,0),SUMPRODUCT(('Client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Mgmt'!$M$5:$M$428,0))),1)&gt;=DATE(YEAR(A47),MONTH(A47),1),FALSE))&gt;0),IFERROR(SUMPRODUCT(('Client DB &amp; Bed Mgmt'!$A$5:$A$428=B47)*('Client DB &amp; Bed Mgmt'!$D$5:$D$428&lt;&gt;"")*--IFERROR(DATE(YEAR('Client DB &amp; Bed Mgmt'!$M$5:$M$428),MONTH('Client DB &amp; Bed Mgmt'!$M$5:$M$428),1)&lt;=DATE(YEAR(A47),MONTH(A47),1),FALSE)*--IFERROR(DATE(YEAR(IF(ISNUMBER('Client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Mgmt'!$M$5:$M$428,0))),1)&gt;=DATE(YEAR(A47),MONTH(A47),1),FALSE)*'Client DB &amp; Bed Mgmt'!$K$5:$K$428),0),"")</f>
        <v/>
      </c>
      <c r="AA47" s="82" t="n"/>
      <c r="AB47" s="82" t="n"/>
    </row>
    <row r="48" hidden="1" ht="14.25" customHeight="1" s="83">
      <c r="A48" s="177">
        <f>IF(EDATE($B$4,11)&lt;=EOMONTH($B$5,0),EDATE($B$4,11),"")</f>
        <v/>
      </c>
      <c r="B48" s="103">
        <f>IF(EDATE($B$4,11)&lt;=EOMONTH($B$5,0),"Dorm 2","")</f>
        <v/>
      </c>
      <c r="C48" s="17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Mgmt'!$M$5:$M$428,0))),1)&gt;=DATE(YEAR(A48),MONTH(A48),1),FALSE))&gt;0),IFERROR(_xlfn.XLOOKUP(B48,DormRegistry[Dorm Name],DormRegistry[Ownership Type]),""),"")</f>
        <v/>
      </c>
      <c r="D48" s="17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Mgmt'!$M$5:$M$428,0))),1)&gt;=DATE(YEAR(A48),MONTH(A48),1),FALSE))&gt;0),IFERROR(_xlfn.XLOOKUP(B48,DormRegistry[Dorm Name],DormRegistry[Bed Capacity]),0),"")</f>
        <v/>
      </c>
      <c r="E48" s="13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Mgmt'!$M$5:$M$428,0))),1)&gt;=DATE(YEAR(A48),MONTH(A48),1),FALSE))&gt;0),$B$7*(1+$B$9)^(YEAR(A48)-YEAR($B$4)),"")</f>
        <v/>
      </c>
      <c r="F48" s="105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Mgmt'!$M$5:$M$428,0))),1)&gt;=DATE(YEAR(A48),MONTH(A48),1),FALSE))&gt;0),$B$8,"")</f>
        <v/>
      </c>
      <c r="G48" s="105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Mgmt'!$M$5:$M$428,0))),1)&gt;=DATE(YEAR(A48),MONTH(A48),1),FALSE))&gt;0),$B$9,"")</f>
        <v/>
      </c>
      <c r="H48" s="13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Mgmt'!$M$5:$M$428,0))),1)&gt;=DATE(YEAR(A48),MONTH(A48),1),FALSE))&gt;0),D48*E48,"")</f>
        <v/>
      </c>
      <c r="I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Mgmt'!$M$5:$M$428,0))),1)&gt;=DATE(YEAR(A48),MONTH(A48),1),FALSE))&gt;0),SUM(X48:Z48),"")</f>
        <v/>
      </c>
      <c r="J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Mgmt'!$M$5:$M$428,0))),1)&gt;=DATE(YEAR(A48),MONTH(A48),1),FALSE))&gt;0),D48*F48*E48,"")</f>
        <v/>
      </c>
      <c r="K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Mgmt'!$M$5:$M$428,0))),1)&gt;=DATE(YEAR(A48),MONTH(A48),1),FALSE))&gt;0),75,"")</f>
        <v/>
      </c>
      <c r="L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Mgmt'!$M$5:$M$428,0))),1)&gt;=DATE(YEAR(A48),MONTH(A48),1),FALSE))&gt;0),50,"")</f>
        <v/>
      </c>
      <c r="M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Mgmt'!$M$5:$M$428,0))),1)&gt;=DATE(YEAR(A48),MONTH(A48),1),FALSE))&gt;0),150,"")</f>
        <v/>
      </c>
      <c r="N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Mgmt'!$M$5:$M$428,0))),1)&gt;=DATE(YEAR(A48),MONTH(A48),1),FALSE))&gt;0),125,"")</f>
        <v/>
      </c>
      <c r="O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Mgmt'!$M$5:$M$428,0))),1)&gt;=DATE(YEAR(A48),MONTH(A48),1),FALSE))&gt;0),60,"")</f>
        <v/>
      </c>
      <c r="P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Mgmt'!$M$5:$M$428,0))),1)&gt;=DATE(YEAR(A48),MONTH(A48),1),FALSE))&gt;0),80,"")</f>
        <v/>
      </c>
      <c r="Q48" s="190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Mgmt'!$M$5:$M$428,0))),1)&gt;=DATE(YEAR(A48),MONTH(A48),1),FALSE))&gt;0),40,"")</f>
        <v/>
      </c>
      <c r="R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Mgmt'!$M$5:$M$428,0))),1)&gt;=DATE(YEAR(A48),MONTH(A48),1),FALSE))&gt;0),IF(C48="Owned",0,2500),"")</f>
        <v/>
      </c>
      <c r="S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Mgmt'!$M$5:$M$428,0))),1)&gt;=DATE(YEAR(A48),MONTH(A48),1),FALSE))&gt;0),SUM(K48:R48),"")</f>
        <v/>
      </c>
      <c r="T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Mgmt'!$M$5:$M$428,0))),1)&gt;=DATE(YEAR(A48),MONTH(A48),1),FALSE))&gt;0),I48-S48,"")</f>
        <v/>
      </c>
      <c r="U48" s="105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Mgmt'!$M$5:$M$428,0))),1)&gt;=DATE(YEAR(A48),MONTH(A48),1),FALSE))&gt;0),IFERROR(T48/I48,0),"")</f>
        <v/>
      </c>
      <c r="V48" s="191">
        <f>IF(EDATE($B$4,11)&lt;=EOMONTH($B$5,0),SUMPRODUCT(('Client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Mgmt'!$M$5:$M$428,0))),1)&gt;=DATE(YEAR(A48),MONTH(A48),1),FALSE)),"")</f>
        <v/>
      </c>
      <c r="W48" s="181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Mgmt'!$M$5:$M$428,0))),1)&gt;=DATE(YEAR(A48),MONTH(A48),1),FALSE)),"")</f>
        <v/>
      </c>
      <c r="X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Mgmt'!$M$5:$M$428,0))),1)&gt;=DATE(YEAR(A48),MONTH(A48),1),FALSE))&gt;0),IFERROR(SUMPRODUCT(('Client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Mgmt'!$M$5:$M$428,0))),1)&gt;=DATE(YEAR(A48),MONTH(A48),1),FALSE)*'Client DB &amp; Bed Mgmt'!$I$5:$I$428),0),"")</f>
        <v/>
      </c>
      <c r="Y48" s="189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Mgmt'!$M$5:$M$428,0))),1)&gt;=DATE(YEAR(A48),MONTH(A48),1),FALSE))&gt;0),IFERROR(SUMPRODUCT(('Client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Mgmt'!$M$5:$M$428,0))),1)&gt;=DATE(YEAR(A48),MONTH(A48),1),FALSE)*'Client DB &amp; Bed Mgmt'!$J$5:$J$428),0),"")</f>
        <v/>
      </c>
      <c r="Z48" s="192">
        <f>IF(AND(EDATE($B$4,11)&lt;=EOMONTH($B$5,0),SUMPRODUCT(('Client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Mgmt'!$M$5:$M$428,0))),1)&gt;=DATE(YEAR(A48),MONTH(A48),1),FALSE))&gt;0),IFERROR(SUMPRODUCT(('Client DB &amp; Bed Mgmt'!$A$5:$A$428=B48)*('Client DB &amp; Bed Mgmt'!$D$5:$D$428&lt;&gt;"")*--IFERROR(DATE(YEAR('Client DB &amp; Bed Mgmt'!$M$5:$M$428),MONTH('Client DB &amp; Bed Mgmt'!$M$5:$M$428),1)&lt;=DATE(YEAR(A48),MONTH(A48),1),FALSE)*--IFERROR(DATE(YEAR(IF(ISNUMBER('Client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Mgmt'!$M$5:$M$428,0))),1)&gt;=DATE(YEAR(A48),MONTH(A48),1),FALSE)*'Client DB &amp; Bed Mgmt'!$K$5:$K$428),0),"")</f>
        <v/>
      </c>
      <c r="AA48" s="82" t="n"/>
      <c r="AB48" s="82" t="n"/>
    </row>
    <row r="49" hidden="1" ht="14.25" customHeight="1" s="83">
      <c r="A49" s="177">
        <f>IF(EDATE($B$4,11)&lt;=EOMONTH($B$5,0),EDATE($B$4,11),"")</f>
        <v/>
      </c>
      <c r="B49" s="103">
        <f>IF(EDATE($B$4,11)&lt;=EOMONTH($B$5,0),"Dorm 3","")</f>
        <v/>
      </c>
      <c r="C49" s="17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Mgmt'!$M$5:$M$428,0))),1)&gt;=DATE(YEAR(A49),MONTH(A49),1),FALSE))&gt;0),IFERROR(_xlfn.XLOOKUP(B49,DormRegistry[Dorm Name],DormRegistry[Ownership Type]),""),"")</f>
        <v/>
      </c>
      <c r="D49" s="17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Mgmt'!$M$5:$M$428,0))),1)&gt;=DATE(YEAR(A49),MONTH(A49),1),FALSE))&gt;0),IFERROR(_xlfn.XLOOKUP(B49,DormRegistry[Dorm Name],DormRegistry[Bed Capacity]),0),"")</f>
        <v/>
      </c>
      <c r="E49" s="13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Mgmt'!$M$5:$M$428,0))),1)&gt;=DATE(YEAR(A49),MONTH(A49),1),FALSE))&gt;0),$B$7*(1+$B$9)^(YEAR(A49)-YEAR($B$4)),"")</f>
        <v/>
      </c>
      <c r="F49" s="105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Mgmt'!$M$5:$M$428,0))),1)&gt;=DATE(YEAR(A49),MONTH(A49),1),FALSE))&gt;0),$B$8,"")</f>
        <v/>
      </c>
      <c r="G49" s="105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Mgmt'!$M$5:$M$428,0))),1)&gt;=DATE(YEAR(A49),MONTH(A49),1),FALSE))&gt;0),$B$9,"")</f>
        <v/>
      </c>
      <c r="H49" s="13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Mgmt'!$M$5:$M$428,0))),1)&gt;=DATE(YEAR(A49),MONTH(A49),1),FALSE))&gt;0),D49*E49,"")</f>
        <v/>
      </c>
      <c r="I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Mgmt'!$M$5:$M$428,0))),1)&gt;=DATE(YEAR(A49),MONTH(A49),1),FALSE))&gt;0),SUM(X49:Z49),"")</f>
        <v/>
      </c>
      <c r="J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Mgmt'!$M$5:$M$428,0))),1)&gt;=DATE(YEAR(A49),MONTH(A49),1),FALSE))&gt;0),D49*F49*E49,"")</f>
        <v/>
      </c>
      <c r="K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Mgmt'!$M$5:$M$428,0))),1)&gt;=DATE(YEAR(A49),MONTH(A49),1),FALSE))&gt;0),75,"")</f>
        <v/>
      </c>
      <c r="L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Mgmt'!$M$5:$M$428,0))),1)&gt;=DATE(YEAR(A49),MONTH(A49),1),FALSE))&gt;0),50,"")</f>
        <v/>
      </c>
      <c r="M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Mgmt'!$M$5:$M$428,0))),1)&gt;=DATE(YEAR(A49),MONTH(A49),1),FALSE))&gt;0),150,"")</f>
        <v/>
      </c>
      <c r="N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Mgmt'!$M$5:$M$428,0))),1)&gt;=DATE(YEAR(A49),MONTH(A49),1),FALSE))&gt;0),125,"")</f>
        <v/>
      </c>
      <c r="O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Mgmt'!$M$5:$M$428,0))),1)&gt;=DATE(YEAR(A49),MONTH(A49),1),FALSE))&gt;0),60,"")</f>
        <v/>
      </c>
      <c r="P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Mgmt'!$M$5:$M$428,0))),1)&gt;=DATE(YEAR(A49),MONTH(A49),1),FALSE))&gt;0),80,"")</f>
        <v/>
      </c>
      <c r="Q49" s="190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Mgmt'!$M$5:$M$428,0))),1)&gt;=DATE(YEAR(A49),MONTH(A49),1),FALSE))&gt;0),40,"")</f>
        <v/>
      </c>
      <c r="R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Mgmt'!$M$5:$M$428,0))),1)&gt;=DATE(YEAR(A49),MONTH(A49),1),FALSE))&gt;0),IF(C49="Owned",0,2500),"")</f>
        <v/>
      </c>
      <c r="S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Mgmt'!$M$5:$M$428,0))),1)&gt;=DATE(YEAR(A49),MONTH(A49),1),FALSE))&gt;0),SUM(K49:R49),"")</f>
        <v/>
      </c>
      <c r="T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Mgmt'!$M$5:$M$428,0))),1)&gt;=DATE(YEAR(A49),MONTH(A49),1),FALSE))&gt;0),I49-S49,"")</f>
        <v/>
      </c>
      <c r="U49" s="105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Mgmt'!$M$5:$M$428,0))),1)&gt;=DATE(YEAR(A49),MONTH(A49),1),FALSE))&gt;0),IFERROR(T49/I49,0),"")</f>
        <v/>
      </c>
      <c r="V49" s="191">
        <f>IF(EDATE($B$4,11)&lt;=EOMONTH($B$5,0),SUMPRODUCT(('Client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Mgmt'!$M$5:$M$428,0))),1)&gt;=DATE(YEAR(A49),MONTH(A49),1),FALSE)),"")</f>
        <v/>
      </c>
      <c r="W49" s="181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Mgmt'!$M$5:$M$428,0))),1)&gt;=DATE(YEAR(A49),MONTH(A49),1),FALSE)),"")</f>
        <v/>
      </c>
      <c r="X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Mgmt'!$M$5:$M$428,0))),1)&gt;=DATE(YEAR(A49),MONTH(A49),1),FALSE))&gt;0),IFERROR(SUMPRODUCT(('Client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Mgmt'!$M$5:$M$428,0))),1)&gt;=DATE(YEAR(A49),MONTH(A49),1),FALSE)*'Client DB &amp; Bed Mgmt'!$I$5:$I$428),0),"")</f>
        <v/>
      </c>
      <c r="Y49" s="189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Mgmt'!$M$5:$M$428,0))),1)&gt;=DATE(YEAR(A49),MONTH(A49),1),FALSE))&gt;0),IFERROR(SUMPRODUCT(('Client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Mgmt'!$M$5:$M$428,0))),1)&gt;=DATE(YEAR(A49),MONTH(A49),1),FALSE)*'Client DB &amp; Bed Mgmt'!$J$5:$J$428),0),"")</f>
        <v/>
      </c>
      <c r="Z49" s="192">
        <f>IF(AND(EDATE($B$4,11)&lt;=EOMONTH($B$5,0),SUMPRODUCT(('Client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Mgmt'!$M$5:$M$428,0))),1)&gt;=DATE(YEAR(A49),MONTH(A49),1),FALSE))&gt;0),IFERROR(SUMPRODUCT(('Client DB &amp; Bed Mgmt'!$A$5:$A$428=B49)*('Client DB &amp; Bed Mgmt'!$D$5:$D$428&lt;&gt;"")*--IFERROR(DATE(YEAR('Client DB &amp; Bed Mgmt'!$M$5:$M$428),MONTH('Client DB &amp; Bed Mgmt'!$M$5:$M$428),1)&lt;=DATE(YEAR(A49),MONTH(A49),1),FALSE)*--IFERROR(DATE(YEAR(IF(ISNUMBER('Client DB &amp; Bed Mgmt'!$N$5:$N$428),'Client DB &amp; Bed Mgmt'!$N$5:$N$428,EOMONTH('Client DB &amp; Bed Mgmt'!$M$5:$M$428,0))),MONTH(IF(ISNUMBER('Client DB &amp; Bed Mgmt'!$N$5:$N$428),'Client DB &amp; Bed Mgmt'!$N$5:$N$428,EOMONTH('Client DB &amp; Bed Mgmt'!$M$5:$M$428,0))),1)&gt;=DATE(YEAR(A49),MONTH(A49),1),FALSE)*'Client DB &amp; Bed Mgmt'!$K$5:$K$428),0),"")</f>
        <v/>
      </c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2026-06-27T15:39:12Z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