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1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4" customWidth="1" style="83" min="22" max="22"/>
    <col width="14" customWidth="1" style="83" min="23" max="23"/>
    <col width="22" customWidth="1" style="83" min="24" max="24"/>
    <col width="24" customWidth="1" style="83" min="25" max="25"/>
    <col width="22" customWidth="1" style="83" min="26" max="26"/>
    <col width="24" customWidth="1" style="83" min="27" max="27"/>
    <col hidden="1" width="3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Dorm</t>
        </is>
      </c>
      <c r="W5" s="124" t="inlineStr">
        <is>
          <t>Room</t>
        </is>
      </c>
      <c r="X5" s="124" t="inlineStr">
        <is>
          <t>Prorata Occupied Beds</t>
        </is>
      </c>
      <c r="Y5" s="124" t="inlineStr">
        <is>
          <t>Room Elec Prorata / Person</t>
        </is>
      </c>
      <c r="Z5" s="124" t="inlineStr">
        <is>
          <t>Area Prorata Occupied Beds</t>
        </is>
      </c>
      <c r="AA5" s="124" t="inlineStr">
        <is>
          <t>Area Elec Prorata / Person</t>
        </is>
      </c>
      <c r="AB5" s="124" t="n"/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 t="inlineStr">
        <is>
          <t>Dorm 1</t>
        </is>
      </c>
      <c r="W6" s="170" t="inlineStr">
        <is>
          <t>Room 1-1</t>
        </is>
      </c>
      <c r="X6" s="127">
        <f>SUMPRODUCT(('Client DB &amp; Bed Mgmt'!$A$5:$A$428=V6)*('Client DB &amp; Bed Mgmt'!$B$5:$B$428=W6)*('Client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6" s="130">
        <f>IFERROR(SUMIFS($I:$I,$A:$A,V6,$B:$B,$U6,$C:$C,W6)/X6,0)</f>
        <v/>
      </c>
      <c r="Z6" s="127">
        <f>SUMPRODUCT(('Client DB &amp; Bed Mgmt'!$A$5:$A$428=V6)*('Client DB &amp; Bed Mgmt'!$B$5:$B$428=W6)*('Client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6" s="130">
        <f>IFERROR(SUMIFS($S:$S,$K:$K,V6,$B:$B,$U6,$L:$L,W6)/Z6,0)</f>
        <v/>
      </c>
      <c r="AB6" s="176" t="n"/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>
        <f>'Invoice Generator'!$C$7</f>
        <v/>
      </c>
      <c r="V7" s="170" t="inlineStr">
        <is>
          <t>Dorm 1</t>
        </is>
      </c>
      <c r="W7" s="170" t="inlineStr">
        <is>
          <t>Room 1-2</t>
        </is>
      </c>
      <c r="X7" s="127">
        <f>SUMPRODUCT(('Client DB &amp; Bed Mgmt'!$A$5:$A$428=V7)*('Client DB &amp; Bed Mgmt'!$B$5:$B$428=W7)*('Client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7" s="130">
        <f>IFERROR(SUMIFS($I:$I,$A:$A,V7,$B:$B,$U7,$C:$C,W7)/X7,0)</f>
        <v/>
      </c>
      <c r="Z7" s="127">
        <f>SUMPRODUCT(('Client DB &amp; Bed Mgmt'!$A$5:$A$428=V7)*('Client DB &amp; Bed Mgmt'!$B$5:$B$428=W7)*('Client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7" s="130">
        <f>IFERROR(SUMIFS($S:$S,$K:$K,V7,$B:$B,$U7,$L:$L,W7)/Z7,0)</f>
        <v/>
      </c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>
        <f>'Invoice Generator'!$C$7</f>
        <v/>
      </c>
      <c r="V8" s="170" t="inlineStr">
        <is>
          <t>Dorm 1</t>
        </is>
      </c>
      <c r="W8" s="170" t="inlineStr">
        <is>
          <t>Room 1-3</t>
        </is>
      </c>
      <c r="X8" s="127">
        <f>SUMPRODUCT(('Client DB &amp; Bed Mgmt'!$A$5:$A$428=V8)*('Client DB &amp; Bed Mgmt'!$B$5:$B$428=W8)*('Client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8" s="130">
        <f>IFERROR(SUMIFS($I:$I,$A:$A,V8,$B:$B,$U8,$C:$C,W8)/X8,0)</f>
        <v/>
      </c>
      <c r="Z8" s="127">
        <f>SUMPRODUCT(('Client DB &amp; Bed Mgmt'!$A$5:$A$428=V8)*('Client DB &amp; Bed Mgmt'!$B$5:$B$428=W8)*('Client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8" s="130">
        <f>IFERROR(SUMIFS($S:$S,$K:$K,V8,$B:$B,$U8,$L:$L,W8)/Z8,0)</f>
        <v/>
      </c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>
        <f>'Invoice Generator'!$C$7</f>
        <v/>
      </c>
      <c r="V9" s="170" t="inlineStr">
        <is>
          <t>Dorm 1</t>
        </is>
      </c>
      <c r="W9" s="170" t="inlineStr">
        <is>
          <t>Room 1-4</t>
        </is>
      </c>
      <c r="X9" s="127">
        <f>SUMPRODUCT(('Client DB &amp; Bed Mgmt'!$A$5:$A$428=V9)*('Client DB &amp; Bed Mgmt'!$B$5:$B$428=W9)*('Client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9" s="130">
        <f>IFERROR(SUMIFS($I:$I,$A:$A,V9,$B:$B,$U9,$C:$C,W9)/X9,0)</f>
        <v/>
      </c>
      <c r="Z9" s="127">
        <f>SUMPRODUCT(('Client DB &amp; Bed Mgmt'!$A$5:$A$428=V9)*('Client DB &amp; Bed Mgmt'!$B$5:$B$428=W9)*('Client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9" s="130">
        <f>IFERROR(SUMIFS($S:$S,$K:$K,V9,$B:$B,$U9,$L:$L,W9)/Z9,0)</f>
        <v/>
      </c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>
        <f>'Invoice Generator'!$C$7</f>
        <v/>
      </c>
      <c r="V10" s="170" t="inlineStr">
        <is>
          <t>Dorm 1</t>
        </is>
      </c>
      <c r="W10" s="170" t="inlineStr">
        <is>
          <t>Room 1-5</t>
        </is>
      </c>
      <c r="X10" s="127">
        <f>SUMPRODUCT(('Client DB &amp; Bed Mgmt'!$A$5:$A$428=V10)*('Client DB &amp; Bed Mgmt'!$B$5:$B$428=W10)*('Client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0" s="130">
        <f>IFERROR(SUMIFS($I:$I,$A:$A,V10,$B:$B,$U10,$C:$C,W10)/X10,0)</f>
        <v/>
      </c>
      <c r="Z10" s="127">
        <f>SUMPRODUCT(('Client DB &amp; Bed Mgmt'!$A$5:$A$428=V10)*('Client DB &amp; Bed Mgmt'!$B$5:$B$428=W10)*('Client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0" s="130">
        <f>IFERROR(SUMIFS($S:$S,$K:$K,V10,$B:$B,$U10,$L:$L,W10)/Z10,0)</f>
        <v/>
      </c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>
        <f>'Invoice Generator'!$C$7</f>
        <v/>
      </c>
      <c r="V11" s="170" t="inlineStr">
        <is>
          <t>Dorm 1</t>
        </is>
      </c>
      <c r="W11" s="170" t="inlineStr">
        <is>
          <t>Room 1-6</t>
        </is>
      </c>
      <c r="X11" s="127">
        <f>SUMPRODUCT(('Client DB &amp; Bed Mgmt'!$A$5:$A$428=V11)*('Client DB &amp; Bed Mgmt'!$B$5:$B$428=W11)*('Client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1" s="130">
        <f>IFERROR(SUMIFS($I:$I,$A:$A,V11,$B:$B,$U11,$C:$C,W11)/X11,0)</f>
        <v/>
      </c>
      <c r="Z11" s="127">
        <f>SUMPRODUCT(('Client DB &amp; Bed Mgmt'!$A$5:$A$428=V11)*('Client DB &amp; Bed Mgmt'!$B$5:$B$428=W11)*('Client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1" s="130">
        <f>IFERROR(SUMIFS($S:$S,$K:$K,V11,$B:$B,$U11,$L:$L,W11)/Z11,0)</f>
        <v/>
      </c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>
        <f>'Invoice Generator'!$C$7</f>
        <v/>
      </c>
      <c r="V12" s="170" t="inlineStr">
        <is>
          <t>Dorm 2</t>
        </is>
      </c>
      <c r="W12" s="170" t="inlineStr">
        <is>
          <t>Room 2-1</t>
        </is>
      </c>
      <c r="X12" s="127">
        <f>SUMPRODUCT(('Client DB &amp; Bed Mgmt'!$A$5:$A$428=V12)*('Client DB &amp; Bed Mgmt'!$B$5:$B$428=W12)*('Client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2" s="130">
        <f>IFERROR(SUMIFS($I:$I,$A:$A,V12,$B:$B,$U12,$C:$C,W12)/X12,0)</f>
        <v/>
      </c>
      <c r="Z12" s="127">
        <f>SUMPRODUCT(('Client DB &amp; Bed Mgmt'!$A$5:$A$428=V12)*('Client DB &amp; Bed Mgmt'!$B$5:$B$428=W12)*('Client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2" s="130">
        <f>IFERROR(SUMIFS($S:$S,$K:$K,V12,$B:$B,$U12,$L:$L,W12)/Z12,0)</f>
        <v/>
      </c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>
        <f>'Invoice Generator'!$C$7</f>
        <v/>
      </c>
      <c r="V13" s="170" t="inlineStr">
        <is>
          <t>Dorm 2</t>
        </is>
      </c>
      <c r="W13" s="170" t="inlineStr">
        <is>
          <t>Room 2-2</t>
        </is>
      </c>
      <c r="X13" s="127">
        <f>SUMPRODUCT(('Client DB &amp; Bed Mgmt'!$A$5:$A$428=V13)*('Client DB &amp; Bed Mgmt'!$B$5:$B$428=W13)*('Client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3" s="130">
        <f>IFERROR(SUMIFS($I:$I,$A:$A,V13,$B:$B,$U13,$C:$C,W13)/X13,0)</f>
        <v/>
      </c>
      <c r="Z13" s="127">
        <f>SUMPRODUCT(('Client DB &amp; Bed Mgmt'!$A$5:$A$428=V13)*('Client DB &amp; Bed Mgmt'!$B$5:$B$428=W13)*('Client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3" s="130">
        <f>IFERROR(SUMIFS($S:$S,$K:$K,V13,$B:$B,$U13,$L:$L,W13)/Z13,0)</f>
        <v/>
      </c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>
        <f>'Invoice Generator'!$C$7</f>
        <v/>
      </c>
      <c r="V14" s="170" t="inlineStr">
        <is>
          <t>Dorm 2</t>
        </is>
      </c>
      <c r="W14" s="170" t="inlineStr">
        <is>
          <t>Room 2-3</t>
        </is>
      </c>
      <c r="X14" s="127">
        <f>SUMPRODUCT(('Client DB &amp; Bed Mgmt'!$A$5:$A$428=V14)*('Client DB &amp; Bed Mgmt'!$B$5:$B$428=W14)*('Client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4" s="130">
        <f>IFERROR(SUMIFS($I:$I,$A:$A,V14,$B:$B,$U14,$C:$C,W14)/X14,0)</f>
        <v/>
      </c>
      <c r="Z14" s="127">
        <f>SUMPRODUCT(('Client DB &amp; Bed Mgmt'!$A$5:$A$428=V14)*('Client DB &amp; Bed Mgmt'!$B$5:$B$428=W14)*('Client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4" s="130">
        <f>IFERROR(SUMIFS($S:$S,$K:$K,V14,$B:$B,$U14,$L:$L,W14)/Z14,0)</f>
        <v/>
      </c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>
        <f>'Invoice Generator'!$C$7</f>
        <v/>
      </c>
      <c r="V15" s="170" t="inlineStr">
        <is>
          <t>Dorm 2</t>
        </is>
      </c>
      <c r="W15" s="170" t="inlineStr">
        <is>
          <t>Room 2-4</t>
        </is>
      </c>
      <c r="X15" s="127">
        <f>SUMPRODUCT(('Client DB &amp; Bed Mgmt'!$A$5:$A$428=V15)*('Client DB &amp; Bed Mgmt'!$B$5:$B$428=W15)*('Client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5" s="130">
        <f>IFERROR(SUMIFS($I:$I,$A:$A,V15,$B:$B,$U15,$C:$C,W15)/X15,0)</f>
        <v/>
      </c>
      <c r="Z15" s="127">
        <f>SUMPRODUCT(('Client DB &amp; Bed Mgmt'!$A$5:$A$428=V15)*('Client DB &amp; Bed Mgmt'!$B$5:$B$428=W15)*('Client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5" s="130">
        <f>IFERROR(SUMIFS($S:$S,$K:$K,V15,$B:$B,$U15,$L:$L,W15)/Z15,0)</f>
        <v/>
      </c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>
        <f>'Invoice Generator'!$C$7</f>
        <v/>
      </c>
      <c r="V16" s="170" t="inlineStr">
        <is>
          <t>Dorm 2</t>
        </is>
      </c>
      <c r="W16" s="170" t="inlineStr">
        <is>
          <t>Room 2-5</t>
        </is>
      </c>
      <c r="X16" s="127">
        <f>SUMPRODUCT(('Client DB &amp; Bed Mgmt'!$A$5:$A$428=V16)*('Client DB &amp; Bed Mgmt'!$B$5:$B$428=W16)*('Client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6" s="130">
        <f>IFERROR(SUMIFS($I:$I,$A:$A,V16,$B:$B,$U16,$C:$C,W16)/X16,0)</f>
        <v/>
      </c>
      <c r="Z16" s="127">
        <f>SUMPRODUCT(('Client DB &amp; Bed Mgmt'!$A$5:$A$428=V16)*('Client DB &amp; Bed Mgmt'!$B$5:$B$428=W16)*('Client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6" s="130">
        <f>IFERROR(SUMIFS($S:$S,$K:$K,V16,$B:$B,$U16,$L:$L,W16)/Z16,0)</f>
        <v/>
      </c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>
        <f>'Invoice Generator'!$C$7</f>
        <v/>
      </c>
      <c r="V17" s="170" t="inlineStr">
        <is>
          <t>Dorm 2</t>
        </is>
      </c>
      <c r="W17" s="170" t="inlineStr">
        <is>
          <t>Room 2-6</t>
        </is>
      </c>
      <c r="X17" s="127">
        <f>SUMPRODUCT(('Client DB &amp; Bed Mgmt'!$A$5:$A$428=V17)*('Client DB &amp; Bed Mgmt'!$B$5:$B$428=W17)*('Client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7" s="130">
        <f>IFERROR(SUMIFS($I:$I,$A:$A,V17,$B:$B,$U17,$C:$C,W17)/X17,0)</f>
        <v/>
      </c>
      <c r="Z17" s="127">
        <f>SUMPRODUCT(('Client DB &amp; Bed Mgmt'!$A$5:$A$428=V17)*('Client DB &amp; Bed Mgmt'!$B$5:$B$428=W17)*('Client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7" s="130">
        <f>IFERROR(SUMIFS($S:$S,$K:$K,V17,$B:$B,$U17,$L:$L,W17)/Z17,0)</f>
        <v/>
      </c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>
        <f>'Invoice Generator'!$C$7</f>
        <v/>
      </c>
      <c r="V18" s="170" t="inlineStr">
        <is>
          <t>Dorm 3</t>
        </is>
      </c>
      <c r="W18" s="170" t="inlineStr">
        <is>
          <t>Room 3-1</t>
        </is>
      </c>
      <c r="X18" s="127">
        <f>SUMPRODUCT(('Client DB &amp; Bed Mgmt'!$A$5:$A$428=V18)*('Client DB &amp; Bed Mgmt'!$B$5:$B$428=W18)*('Client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8" s="130">
        <f>IFERROR(SUMIFS($I:$I,$A:$A,V18,$B:$B,$U18,$C:$C,W18)/X18,0)</f>
        <v/>
      </c>
      <c r="Z18" s="127">
        <f>SUMPRODUCT(('Client DB &amp; Bed Mgmt'!$A$5:$A$428=V18)*('Client DB &amp; Bed Mgmt'!$B$5:$B$428=W18)*('Client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8" s="130">
        <f>IFERROR(SUMIFS($S:$S,$K:$K,V18,$B:$B,$U18,$L:$L,W18)/Z18,0)</f>
        <v/>
      </c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>
        <f>'Invoice Generator'!$C$7</f>
        <v/>
      </c>
      <c r="V19" s="170" t="inlineStr">
        <is>
          <t>Dorm 3</t>
        </is>
      </c>
      <c r="W19" s="170" t="inlineStr">
        <is>
          <t>Room 3-2</t>
        </is>
      </c>
      <c r="X19" s="127">
        <f>SUMPRODUCT(('Client DB &amp; Bed Mgmt'!$A$5:$A$428=V19)*('Client DB &amp; Bed Mgmt'!$B$5:$B$428=W19)*('Client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19" s="130">
        <f>IFERROR(SUMIFS($I:$I,$A:$A,V19,$B:$B,$U19,$C:$C,W19)/X19,0)</f>
        <v/>
      </c>
      <c r="Z19" s="127">
        <f>SUMPRODUCT(('Client DB &amp; Bed Mgmt'!$A$5:$A$428=V19)*('Client DB &amp; Bed Mgmt'!$B$5:$B$428=W19)*('Client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19" s="130">
        <f>IFERROR(SUMIFS($S:$S,$K:$K,V19,$B:$B,$U19,$L:$L,W19)/Z19,0)</f>
        <v/>
      </c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>
        <f>'Invoice Generator'!$C$7</f>
        <v/>
      </c>
      <c r="V20" s="170" t="inlineStr">
        <is>
          <t>Dorm 3</t>
        </is>
      </c>
      <c r="W20" s="170" t="inlineStr">
        <is>
          <t>Room 3-3</t>
        </is>
      </c>
      <c r="X20" s="127">
        <f>SUMPRODUCT(('Client DB &amp; Bed Mgmt'!$A$5:$A$428=V20)*('Client DB &amp; Bed Mgmt'!$B$5:$B$428=W20)*('Client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20" s="130">
        <f>IFERROR(SUMIFS($I:$I,$A:$A,V20,$B:$B,$U20,$C:$C,W20)/X20,0)</f>
        <v/>
      </c>
      <c r="Z20" s="127">
        <f>SUMPRODUCT(('Client DB &amp; Bed Mgmt'!$A$5:$A$428=V20)*('Client DB &amp; Bed Mgmt'!$B$5:$B$428=W20)*('Client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20" s="130">
        <f>IFERROR(SUMIFS($S:$S,$K:$K,V20,$B:$B,$U20,$L:$L,W20)/Z20,0)</f>
        <v/>
      </c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>
        <f>'Invoice Generator'!$C$7</f>
        <v/>
      </c>
      <c r="V21" s="170" t="inlineStr">
        <is>
          <t>Dorm 3</t>
        </is>
      </c>
      <c r="W21" s="170" t="inlineStr">
        <is>
          <t>Room 3-4</t>
        </is>
      </c>
      <c r="X21" s="127">
        <f>SUMPRODUCT(('Client DB &amp; Bed Mgmt'!$A$5:$A$428=V21)*('Client DB &amp; Bed Mgmt'!$B$5:$B$428=W21)*('Client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21" s="130">
        <f>IFERROR(SUMIFS($I:$I,$A:$A,V21,$B:$B,$U21,$C:$C,W21)/X21,0)</f>
        <v/>
      </c>
      <c r="Z21" s="127">
        <f>SUMPRODUCT(('Client DB &amp; Bed Mgmt'!$A$5:$A$428=V21)*('Client DB &amp; Bed Mgmt'!$B$5:$B$428=W21)*('Client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21" s="130">
        <f>IFERROR(SUMIFS($S:$S,$K:$K,V21,$B:$B,$U21,$L:$L,W21)/Z21,0)</f>
        <v/>
      </c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>
        <f>'Invoice Generator'!$C$7</f>
        <v/>
      </c>
      <c r="V22" s="170" t="inlineStr">
        <is>
          <t>Dorm 3</t>
        </is>
      </c>
      <c r="W22" s="170" t="inlineStr">
        <is>
          <t>Room 3-5</t>
        </is>
      </c>
      <c r="X22" s="127">
        <f>SUMPRODUCT(('Client DB &amp; Bed Mgmt'!$A$5:$A$428=V22)*('Client DB &amp; Bed Mgmt'!$B$5:$B$428=W22)*('Client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22" s="130">
        <f>IFERROR(SUMIFS($I:$I,$A:$A,V22,$B:$B,$U22,$C:$C,W22)/X22,0)</f>
        <v/>
      </c>
      <c r="Z22" s="127">
        <f>SUMPRODUCT(('Client DB &amp; Bed Mgmt'!$A$5:$A$428=V22)*('Client DB &amp; Bed Mgmt'!$B$5:$B$428=W22)*('Client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22" s="130">
        <f>IFERROR(SUMIFS($S:$S,$K:$K,V22,$B:$B,$U22,$L:$L,W22)/Z22,0)</f>
        <v/>
      </c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>
        <f>'Invoice Generator'!$C$7</f>
        <v/>
      </c>
      <c r="V23" s="170" t="inlineStr">
        <is>
          <t>Dorm 3</t>
        </is>
      </c>
      <c r="W23" s="170" t="inlineStr">
        <is>
          <t>Room 3-6</t>
        </is>
      </c>
      <c r="X23" s="127">
        <f>SUMPRODUCT(('Client DB &amp; Bed Mgmt'!$A$5:$A$428=V23)*('Client DB &amp; Bed Mgmt'!$B$5:$B$428=W23)*('Client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Y23" s="130">
        <f>IFERROR(SUMIFS($I:$I,$A:$A,V23,$B:$B,$U23,$C:$C,W23)/X23,0)</f>
        <v/>
      </c>
      <c r="Z23" s="127">
        <f>SUMPRODUCT(('Client DB &amp; Bed Mgmt'!$A$5:$A$428=V23)*('Client DB &amp; Bed Mgmt'!$B$5:$B$428=W23)*('Client DB &amp; Bed Mgmt'!$D$5:$D$428&lt;&gt;"")*--IFERROR((('Client DB &amp; Bed Mgmt'!$M$5:$M$428&lt;=EOMONTH('Invoice Generator'!$C$7,0))+('Client DB &amp; Bed Mgmt'!$M$5:$M$428=""))&gt;0,TRUE)*--IFERROR((('Client DB &amp; Bed Mgmt'!$N$5:$N$428&gt;=DATE(YEAR('Invoice Generator'!$C$7),MONTH('Invoice Generator'!$C$7),1))+('Client DB &amp; Bed Mgmt'!$N$5:$N$428=""))&gt;0,TRUE)*((IF('Client DB &amp; Bed Mgmt'!$N$5:$N$428="",EOMONTH('Invoice Generator'!$C$7,0),IFERROR(IF('Client DB &amp; Bed Mgmt'!$N$5:$N$428&lt;EOMONTH('Invoice Generator'!$C$7,0),'Client DB &amp; Bed Mgmt'!$N$5:$N$428,EOMONTH('Invoice Generator'!$C$7,0)),EOMONTH('Invoice Generator'!$C$7,0))))-(IF('Client DB &amp; Bed Mgmt'!$M$5:$M$428="",DATE(YEAR('Invoice Generator'!$C$7),MONTH('Invoice Generator'!$C$7),1),IFERROR(IF('Client DB &amp; Bed Mgmt'!$M$5:$M$428&gt;DATE(YEAR('Invoice Generator'!$C$7),MONTH('Invoice Generator'!$C$7),1),'Client DB &amp; Bed Mgmt'!$M$5:$M$428,DATE(YEAR('Invoice Generator'!$C$7),MONTH('Invoice Generator'!$C$7),1)),DATE(YEAR('Invoice Generator'!$C$7),MONTH('Invoice Generator'!$C$7),1))))+1)/DAY(EOMONTH('Invoice Generator'!$C$7,0)))</f>
        <v/>
      </c>
      <c r="AA23" s="130">
        <f>IFERROR(SUMIFS($S:$S,$K:$K,V23,$B:$B,$U23,$L:$L,W23)/Z23,0)</f>
        <v/>
      </c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  <row r="801"/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IFERROR(SUMIFS('Electricity Management'!$Y:$Y,'Electricity Management'!$V:$V,$C$11,'Electricity Management'!$U:$U,DATE(YEAR($C$7),MONTH($C$7),1),'Electricity Management'!$W:$W,$C$12)*$H$24,0)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IFERROR(SUMIFS('Electricity Management'!$AA:$AA,'Electricity Management'!$V:$V,$C$11,'Electricity Management'!$U:$U,DATE(YEAR($C$7),MONTH($C$7),1),'Electricity Management'!$W:$W,$C$12)*$H$24,0)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2026-06-27T11:59:15Z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