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1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  <numFmt numFmtId="172" formatCode="yyyy-mm-dd h:mm:ss"/>
    <numFmt numFmtId="173" formatCode="mm/dd/yyyy"/>
    <numFmt numFmtId="174" formatCode="$#,##0.00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  <xf numFmtId="168" fontId="0" fillId="0" borderId="0" pivotButton="0" quotePrefix="0" xfId="0"/>
    <xf numFmtId="172" fontId="0" fillId="6" borderId="1" applyAlignment="1" applyProtection="1" pivotButton="0" quotePrefix="0" xfId="0">
      <alignment horizontal="general" vertical="center" wrapText="1"/>
      <protection locked="0" hidden="0"/>
    </xf>
    <xf numFmtId="173" fontId="0" fillId="5" borderId="1" applyAlignment="1" applyProtection="1" pivotButton="0" quotePrefix="0" xfId="0">
      <alignment horizontal="general" vertical="center" wrapText="1"/>
      <protection locked="0" hidden="0"/>
    </xf>
    <xf numFmtId="173" fontId="0" fillId="6" borderId="1" applyAlignment="1" applyProtection="1" pivotButton="0" quotePrefix="0" xfId="0">
      <alignment horizontal="general" vertical="center" wrapText="1"/>
      <protection locked="0" hidden="0"/>
    </xf>
    <xf numFmtId="174" fontId="0" fillId="5" borderId="1" applyAlignment="1" applyProtection="1" pivotButton="0" quotePrefix="0" xfId="0">
      <alignment horizontal="general" vertical="center" wrapText="1"/>
      <protection locked="0" hidden="0"/>
    </xf>
    <xf numFmtId="174" fontId="0" fillId="0" borderId="0" applyAlignment="1" applyProtection="1" pivotButton="0" quotePrefix="0" xfId="0">
      <alignment horizontal="general" vertical="center" wrapText="1"/>
      <protection locked="0" hidden="0"/>
    </xf>
    <xf numFmtId="174" fontId="0" fillId="6" borderId="0" applyAlignment="1" applyProtection="1" pivotButton="0" quotePrefix="0" xfId="0">
      <alignment horizontal="general" vertical="center" wrapText="1"/>
      <protection locked="0" hidden="0"/>
    </xf>
    <xf numFmtId="174" fontId="0" fillId="5" borderId="0" applyAlignment="1" applyProtection="1" pivotButton="0" quotePrefix="0" xfId="0">
      <alignment horizontal="general" vertical="center" wrapText="1"/>
      <protection locked="0" hidden="0"/>
    </xf>
    <xf numFmtId="1" fontId="0" fillId="0" borderId="0" applyAlignment="1" pivotButton="0" quotePrefix="0" xfId="0">
      <alignment horizontal="general" vertical="bottom"/>
    </xf>
    <xf numFmtId="174" fontId="0" fillId="0" borderId="0" applyAlignment="1" pivotButton="0" quotePrefix="0" xfId="0">
      <alignment horizontal="general" vertical="bottom"/>
    </xf>
    <xf numFmtId="171" fontId="0" fillId="5" borderId="1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general" vertical="center" wrapText="1"/>
      <protection locked="0" hidden="0"/>
    </xf>
    <xf numFmtId="171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Z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V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  <col hidden="1" width="13" customWidth="1" style="83" min="21" max="21"/>
    <col hidden="1" width="13" customWidth="1" style="83" min="22" max="22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  <c r="U4" s="113" t="inlineStr">
        <is>
          <t>Move-in Month</t>
        </is>
      </c>
      <c r="V4" s="113" t="inlineStr">
        <is>
          <t>Move-out Month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  <c r="U5" s="195">
        <f>IF($D5="","",IF(ISNUMBER($M5),DATE(YEAR($M5),MONTH($M5),1),""))</f>
        <v/>
      </c>
      <c r="V5" s="195">
        <f>IF($D5="","",IF(ISNUMBER($N5),DATE(YEAR($N5),MONTH($N5),1),IF(ISNUMBER($M5),DATE(YEAR($M5),MONTH($M5),1),"")))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118" t="n">
        <v>46356</v>
      </c>
      <c r="O6" s="117" t="n"/>
      <c r="P6" s="116" t="n"/>
      <c r="Q6" s="116" t="n"/>
      <c r="R6" s="116" t="n"/>
      <c r="S6" s="119" t="n"/>
      <c r="T6" s="120">
        <f>IF(F6="Yes",A6&amp;"-"&amp;B6,C6)</f>
        <v/>
      </c>
      <c r="U6" s="195">
        <f>IF($D6="","",IF(ISNUMBER($M6),DATE(YEAR($M6),MONTH($M6),1),""))</f>
        <v/>
      </c>
      <c r="V6" s="195">
        <f>IF($D6="","",IF(ISNUMBER($N6),DATE(YEAR($N6),MONTH($N6),1),IF(ISNUMBER($M6),DATE(YEAR($M6),MONTH($M6),1),"")))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N7" s="183" t="n">
        <v>46325</v>
      </c>
      <c r="O7" s="117" t="n"/>
      <c r="P7" s="116" t="n"/>
      <c r="Q7" s="116" t="n"/>
      <c r="R7" s="116" t="n"/>
      <c r="S7" s="119" t="n"/>
      <c r="T7" s="120">
        <f>IF(F7="Yes",A7&amp;"-"&amp;B7,C7)</f>
        <v/>
      </c>
      <c r="U7" s="195">
        <f>IF($D7="","",IF(ISNUMBER($M7),DATE(YEAR($M7),MONTH($M7),1),""))</f>
        <v/>
      </c>
      <c r="V7" s="195">
        <f>IF($D7="","",IF(ISNUMBER($N7),DATE(YEAR($N7),MONTH($N7),1),IF(ISNUMBER($M7),DATE(YEAR($M7),MONTH($M7),1),"")))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  <c r="U8" s="195">
        <f>IF($D8="","",IF(ISNUMBER($M8),DATE(YEAR($M8),MONTH($M8),1),""))</f>
        <v/>
      </c>
      <c r="V8" s="195">
        <f>IF($D8="","",IF(ISNUMBER($N8),DATE(YEAR($N8),MONTH($N8),1),IF(ISNUMBER($M8),DATE(YEAR($M8),MONTH($M8),1),"")))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  <c r="U9" s="195">
        <f>IF($D9="","",IF(ISNUMBER($M9),DATE(YEAR($M9),MONTH($M9),1),""))</f>
        <v/>
      </c>
      <c r="V9" s="195">
        <f>IF($D9="","",IF(ISNUMBER($N9),DATE(YEAR($N9),MONTH($N9),1),IF(ISNUMBER($M9),DATE(YEAR($M9),MONTH($M9),1),"")))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  <c r="U10" s="195">
        <f>IF($D10="","",IF(ISNUMBER($M10),DATE(YEAR($M10),MONTH($M10),1),""))</f>
        <v/>
      </c>
      <c r="V10" s="195">
        <f>IF($D10="","",IF(ISNUMBER($N10),DATE(YEAR($N10),MONTH($N10),1),IF(ISNUMBER($M10),DATE(YEAR($M10),MONTH($M10),1),"")))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  <c r="U11" s="195">
        <f>IF($D11="","",IF(ISNUMBER($M11),DATE(YEAR($M11),MONTH($M11),1),""))</f>
        <v/>
      </c>
      <c r="V11" s="195">
        <f>IF($D11="","",IF(ISNUMBER($N11),DATE(YEAR($N11),MONTH($N11),1),IF(ISNUMBER($M11),DATE(YEAR($M11),MONTH($M11),1),"")))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  <c r="U12" s="195">
        <f>IF($D12="","",IF(ISNUMBER($M12),DATE(YEAR($M12),MONTH($M12),1),""))</f>
        <v/>
      </c>
      <c r="V12" s="195">
        <f>IF($D12="","",IF(ISNUMBER($N12),DATE(YEAR($N12),MONTH($N12),1),IF(ISNUMBER($M12),DATE(YEAR($M12),MONTH($M12),1),"")))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  <c r="U13" s="195">
        <f>IF($D13="","",IF(ISNUMBER($M13),DATE(YEAR($M13),MONTH($M13),1),""))</f>
        <v/>
      </c>
      <c r="V13" s="195">
        <f>IF($D13="","",IF(ISNUMBER($N13),DATE(YEAR($N13),MONTH($N13),1),IF(ISNUMBER($M13),DATE(YEAR($M13),MONTH($M13),1),"")))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  <c r="U14" s="195">
        <f>IF($D14="","",IF(ISNUMBER($M14),DATE(YEAR($M14),MONTH($M14),1),""))</f>
        <v/>
      </c>
      <c r="V14" s="195">
        <f>IF($D14="","",IF(ISNUMBER($N14),DATE(YEAR($N14),MONTH($N14),1),IF(ISNUMBER($M14),DATE(YEAR($M14),MONTH($M14),1),"")))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  <c r="U15" s="195">
        <f>IF($D15="","",IF(ISNUMBER($M15),DATE(YEAR($M15),MONTH($M15),1),""))</f>
        <v/>
      </c>
      <c r="V15" s="195">
        <f>IF($D15="","",IF(ISNUMBER($N15),DATE(YEAR($N15),MONTH($N15),1),IF(ISNUMBER($M15),DATE(YEAR($M15),MONTH($M15),1),"")))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  <c r="U16" s="195">
        <f>IF($D16="","",IF(ISNUMBER($M16),DATE(YEAR($M16),MONTH($M16),1),""))</f>
        <v/>
      </c>
      <c r="V16" s="195">
        <f>IF($D16="","",IF(ISNUMBER($N16),DATE(YEAR($N16),MONTH($N16),1),IF(ISNUMBER($M16),DATE(YEAR($M16),MONTH($M16),1),"")))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  <c r="U17" s="195">
        <f>IF($D17="","",IF(ISNUMBER($M17),DATE(YEAR($M17),MONTH($M17),1),""))</f>
        <v/>
      </c>
      <c r="V17" s="195">
        <f>IF($D17="","",IF(ISNUMBER($N17),DATE(YEAR($N17),MONTH($N17),1),IF(ISNUMBER($M17),DATE(YEAR($M17),MONTH($M17),1),"")))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  <c r="U18" s="195">
        <f>IF($D18="","",IF(ISNUMBER($M18),DATE(YEAR($M18),MONTH($M18),1),""))</f>
        <v/>
      </c>
      <c r="V18" s="195">
        <f>IF($D18="","",IF(ISNUMBER($N18),DATE(YEAR($N18),MONTH($N18),1),IF(ISNUMBER($M18),DATE(YEAR($M18),MONTH($M18),1),"")))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  <c r="U19" s="195">
        <f>IF($D19="","",IF(ISNUMBER($M19),DATE(YEAR($M19),MONTH($M19),1),""))</f>
        <v/>
      </c>
      <c r="V19" s="195">
        <f>IF($D19="","",IF(ISNUMBER($N19),DATE(YEAR($N19),MONTH($N19),1),IF(ISNUMBER($M19),DATE(YEAR($M19),MONTH($M19),1),"")))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  <c r="U20" s="195">
        <f>IF($D20="","",IF(ISNUMBER($M20),DATE(YEAR($M20),MONTH($M20),1),""))</f>
        <v/>
      </c>
      <c r="V20" s="195">
        <f>IF($D20="","",IF(ISNUMBER($N20),DATE(YEAR($N20),MONTH($N20),1),IF(ISNUMBER($M20),DATE(YEAR($M20),MONTH($M20),1),"")))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  <c r="U21" s="195">
        <f>IF($D21="","",IF(ISNUMBER($M21),DATE(YEAR($M21),MONTH($M21),1),""))</f>
        <v/>
      </c>
      <c r="V21" s="195">
        <f>IF($D21="","",IF(ISNUMBER($N21),DATE(YEAR($N21),MONTH($N21),1),IF(ISNUMBER($M21),DATE(YEAR($M21),MONTH($M21),1),"")))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  <c r="U22" s="195">
        <f>IF($D22="","",IF(ISNUMBER($M22),DATE(YEAR($M22),MONTH($M22),1),""))</f>
        <v/>
      </c>
      <c r="V22" s="195">
        <f>IF($D22="","",IF(ISNUMBER($N22),DATE(YEAR($N22),MONTH($N22),1),IF(ISNUMBER($M22),DATE(YEAR($M22),MONTH($M22),1),"")))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  <c r="U23" s="195">
        <f>IF($D23="","",IF(ISNUMBER($M23),DATE(YEAR($M23),MONTH($M23),1),""))</f>
        <v/>
      </c>
      <c r="V23" s="195">
        <f>IF($D23="","",IF(ISNUMBER($N23),DATE(YEAR($N23),MONTH($N23),1),IF(ISNUMBER($M23),DATE(YEAR($M23),MONTH($M23),1),"")))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  <c r="U24" s="195">
        <f>IF($D24="","",IF(ISNUMBER($M24),DATE(YEAR($M24),MONTH($M24),1),""))</f>
        <v/>
      </c>
      <c r="V24" s="195">
        <f>IF($D24="","",IF(ISNUMBER($N24),DATE(YEAR($N24),MONTH($N24),1),IF(ISNUMBER($M24),DATE(YEAR($M24),MONTH($M24),1),"")))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  <c r="U25" s="195">
        <f>IF($D25="","",IF(ISNUMBER($M25),DATE(YEAR($M25),MONTH($M25),1),""))</f>
        <v/>
      </c>
      <c r="V25" s="195">
        <f>IF($D25="","",IF(ISNUMBER($N25),DATE(YEAR($N25),MONTH($N25),1),IF(ISNUMBER($M25),DATE(YEAR($M25),MONTH($M25),1),"")))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  <c r="U26" s="195">
        <f>IF($D26="","",IF(ISNUMBER($M26),DATE(YEAR($M26),MONTH($M26),1),""))</f>
        <v/>
      </c>
      <c r="V26" s="195">
        <f>IF($D26="","",IF(ISNUMBER($N26),DATE(YEAR($N26),MONTH($N26),1),IF(ISNUMBER($M26),DATE(YEAR($M26),MONTH($M26),1),"")))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  <c r="U27" s="195">
        <f>IF($D27="","",IF(ISNUMBER($M27),DATE(YEAR($M27),MONTH($M27),1),""))</f>
        <v/>
      </c>
      <c r="V27" s="195">
        <f>IF($D27="","",IF(ISNUMBER($N27),DATE(YEAR($N27),MONTH($N27),1),IF(ISNUMBER($M27),DATE(YEAR($M27),MONTH($M27),1),"")))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  <c r="U28" s="195">
        <f>IF($D28="","",IF(ISNUMBER($M28),DATE(YEAR($M28),MONTH($M28),1),""))</f>
        <v/>
      </c>
      <c r="V28" s="195">
        <f>IF($D28="","",IF(ISNUMBER($N28),DATE(YEAR($N28),MONTH($N28),1),IF(ISNUMBER($M28),DATE(YEAR($M28),MONTH($M28),1),"")))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  <c r="U29" s="195">
        <f>IF($D29="","",IF(ISNUMBER($M29),DATE(YEAR($M29),MONTH($M29),1),""))</f>
        <v/>
      </c>
      <c r="V29" s="195">
        <f>IF($D29="","",IF(ISNUMBER($N29),DATE(YEAR($N29),MONTH($N29),1),IF(ISNUMBER($M29),DATE(YEAR($M29),MONTH($M29),1),"")))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  <c r="U30" s="195">
        <f>IF($D30="","",IF(ISNUMBER($M30),DATE(YEAR($M30),MONTH($M30),1),""))</f>
        <v/>
      </c>
      <c r="V30" s="195">
        <f>IF($D30="","",IF(ISNUMBER($N30),DATE(YEAR($N30),MONTH($N30),1),IF(ISNUMBER($M30),DATE(YEAR($M30),MONTH($M30),1),"")))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  <c r="U31" s="195">
        <f>IF($D31="","",IF(ISNUMBER($M31),DATE(YEAR($M31),MONTH($M31),1),""))</f>
        <v/>
      </c>
      <c r="V31" s="195">
        <f>IF($D31="","",IF(ISNUMBER($N31),DATE(YEAR($N31),MONTH($N31),1),IF(ISNUMBER($M31),DATE(YEAR($M31),MONTH($M31),1),"")))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  <c r="U32" s="195">
        <f>IF($D32="","",IF(ISNUMBER($M32),DATE(YEAR($M32),MONTH($M32),1),""))</f>
        <v/>
      </c>
      <c r="V32" s="195">
        <f>IF($D32="","",IF(ISNUMBER($N32),DATE(YEAR($N32),MONTH($N32),1),IF(ISNUMBER($M32),DATE(YEAR($M32),MONTH($M32),1),"")))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  <c r="U33" s="195">
        <f>IF($D33="","",IF(ISNUMBER($M33),DATE(YEAR($M33),MONTH($M33),1),""))</f>
        <v/>
      </c>
      <c r="V33" s="195">
        <f>IF($D33="","",IF(ISNUMBER($N33),DATE(YEAR($N33),MONTH($N33),1),IF(ISNUMBER($M33),DATE(YEAR($M33),MONTH($M33),1),"")))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  <c r="U34" s="195">
        <f>IF($D34="","",IF(ISNUMBER($M34),DATE(YEAR($M34),MONTH($M34),1),""))</f>
        <v/>
      </c>
      <c r="V34" s="195">
        <f>IF($D34="","",IF(ISNUMBER($N34),DATE(YEAR($N34),MONTH($N34),1),IF(ISNUMBER($M34),DATE(YEAR($M34),MONTH($M34),1),"")))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  <c r="U35" s="195">
        <f>IF($D35="","",IF(ISNUMBER($M35),DATE(YEAR($M35),MONTH($M35),1),""))</f>
        <v/>
      </c>
      <c r="V35" s="195">
        <f>IF($D35="","",IF(ISNUMBER($N35),DATE(YEAR($N35),MONTH($N35),1),IF(ISNUMBER($M35),DATE(YEAR($M35),MONTH($M35),1),"")))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  <c r="U36" s="195">
        <f>IF($D36="","",IF(ISNUMBER($M36),DATE(YEAR($M36),MONTH($M36),1),""))</f>
        <v/>
      </c>
      <c r="V36" s="195">
        <f>IF($D36="","",IF(ISNUMBER($N36),DATE(YEAR($N36),MONTH($N36),1),IF(ISNUMBER($M36),DATE(YEAR($M36),MONTH($M36),1),"")))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  <c r="U37" s="195">
        <f>IF($D37="","",IF(ISNUMBER($M37),DATE(YEAR($M37),MONTH($M37),1),""))</f>
        <v/>
      </c>
      <c r="V37" s="195">
        <f>IF($D37="","",IF(ISNUMBER($N37),DATE(YEAR($N37),MONTH($N37),1),IF(ISNUMBER($M37),DATE(YEAR($M37),MONTH($M37),1),"")))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  <c r="U38" s="195">
        <f>IF($D38="","",IF(ISNUMBER($M38),DATE(YEAR($M38),MONTH($M38),1),""))</f>
        <v/>
      </c>
      <c r="V38" s="195">
        <f>IF($D38="","",IF(ISNUMBER($N38),DATE(YEAR($N38),MONTH($N38),1),IF(ISNUMBER($M38),DATE(YEAR($M38),MONTH($M38),1),"")))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  <c r="U39" s="195">
        <f>IF($D39="","",IF(ISNUMBER($M39),DATE(YEAR($M39),MONTH($M39),1),""))</f>
        <v/>
      </c>
      <c r="V39" s="195">
        <f>IF($D39="","",IF(ISNUMBER($N39),DATE(YEAR($N39),MONTH($N39),1),IF(ISNUMBER($M39),DATE(YEAR($M39),MONTH($M39),1),"")))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  <c r="U40" s="195">
        <f>IF($D40="","",IF(ISNUMBER($M40),DATE(YEAR($M40),MONTH($M40),1),""))</f>
        <v/>
      </c>
      <c r="V40" s="195">
        <f>IF($D40="","",IF(ISNUMBER($N40),DATE(YEAR($N40),MONTH($N40),1),IF(ISNUMBER($M40),DATE(YEAR($M40),MONTH($M40),1),"")))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  <c r="U41" s="195">
        <f>IF($D41="","",IF(ISNUMBER($M41),DATE(YEAR($M41),MONTH($M41),1),""))</f>
        <v/>
      </c>
      <c r="V41" s="195">
        <f>IF($D41="","",IF(ISNUMBER($N41),DATE(YEAR($N41),MONTH($N41),1),IF(ISNUMBER($M41),DATE(YEAR($M41),MONTH($M41),1),"")))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  <c r="U42" s="195">
        <f>IF($D42="","",IF(ISNUMBER($M42),DATE(YEAR($M42),MONTH($M42),1),""))</f>
        <v/>
      </c>
      <c r="V42" s="195">
        <f>IF($D42="","",IF(ISNUMBER($N42),DATE(YEAR($N42),MONTH($N42),1),IF(ISNUMBER($M42),DATE(YEAR($M42),MONTH($M42),1),"")))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  <c r="U43" s="195">
        <f>IF($D43="","",IF(ISNUMBER($M43),DATE(YEAR($M43),MONTH($M43),1),""))</f>
        <v/>
      </c>
      <c r="V43" s="195">
        <f>IF($D43="","",IF(ISNUMBER($N43),DATE(YEAR($N43),MONTH($N43),1),IF(ISNUMBER($M43),DATE(YEAR($M43),MONTH($M43),1),"")))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  <c r="U44" s="195">
        <f>IF($D44="","",IF(ISNUMBER($M44),DATE(YEAR($M44),MONTH($M44),1),""))</f>
        <v/>
      </c>
      <c r="V44" s="195">
        <f>IF($D44="","",IF(ISNUMBER($N44),DATE(YEAR($N44),MONTH($N44),1),IF(ISNUMBER($M44),DATE(YEAR($M44),MONTH($M44),1),"")))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  <c r="U45" s="195">
        <f>IF($D45="","",IF(ISNUMBER($M45),DATE(YEAR($M45),MONTH($M45),1),""))</f>
        <v/>
      </c>
      <c r="V45" s="195">
        <f>IF($D45="","",IF(ISNUMBER($N45),DATE(YEAR($N45),MONTH($N45),1),IF(ISNUMBER($M45),DATE(YEAR($M45),MONTH($M45),1),"")))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  <c r="U46" s="195">
        <f>IF($D46="","",IF(ISNUMBER($M46),DATE(YEAR($M46),MONTH($M46),1),""))</f>
        <v/>
      </c>
      <c r="V46" s="195">
        <f>IF($D46="","",IF(ISNUMBER($N46),DATE(YEAR($N46),MONTH($N46),1),IF(ISNUMBER($M46),DATE(YEAR($M46),MONTH($M46),1),"")))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  <c r="U47" s="195">
        <f>IF($D47="","",IF(ISNUMBER($M47),DATE(YEAR($M47),MONTH($M47),1),""))</f>
        <v/>
      </c>
      <c r="V47" s="195">
        <f>IF($D47="","",IF(ISNUMBER($N47),DATE(YEAR($N47),MONTH($N47),1),IF(ISNUMBER($M47),DATE(YEAR($M47),MONTH($M47),1),"")))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  <c r="U48" s="195">
        <f>IF($D48="","",IF(ISNUMBER($M48),DATE(YEAR($M48),MONTH($M48),1),""))</f>
        <v/>
      </c>
      <c r="V48" s="195">
        <f>IF($D48="","",IF(ISNUMBER($N48),DATE(YEAR($N48),MONTH($N48),1),IF(ISNUMBER($M48),DATE(YEAR($M48),MONTH($M48),1),"")))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  <c r="U49" s="195">
        <f>IF($D49="","",IF(ISNUMBER($M49),DATE(YEAR($M49),MONTH($M49),1),""))</f>
        <v/>
      </c>
      <c r="V49" s="195">
        <f>IF($D49="","",IF(ISNUMBER($N49),DATE(YEAR($N49),MONTH($N49),1),IF(ISNUMBER($M49),DATE(YEAR($M49),MONTH($M49),1),"")))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  <c r="U50" s="195">
        <f>IF($D50="","",IF(ISNUMBER($M50),DATE(YEAR($M50),MONTH($M50),1),""))</f>
        <v/>
      </c>
      <c r="V50" s="195">
        <f>IF($D50="","",IF(ISNUMBER($N50),DATE(YEAR($N50),MONTH($N50),1),IF(ISNUMBER($M50),DATE(YEAR($M50),MONTH($M50),1),"")))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  <c r="U51" s="195">
        <f>IF($D51="","",IF(ISNUMBER($M51),DATE(YEAR($M51),MONTH($M51),1),""))</f>
        <v/>
      </c>
      <c r="V51" s="195">
        <f>IF($D51="","",IF(ISNUMBER($N51),DATE(YEAR($N51),MONTH($N51),1),IF(ISNUMBER($M51),DATE(YEAR($M51),MONTH($M51),1),"")))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  <c r="U52" s="195">
        <f>IF($D52="","",IF(ISNUMBER($M52),DATE(YEAR($M52),MONTH($M52),1),""))</f>
        <v/>
      </c>
      <c r="V52" s="195">
        <f>IF($D52="","",IF(ISNUMBER($N52),DATE(YEAR($N52),MONTH($N52),1),IF(ISNUMBER($M52),DATE(YEAR($M52),MONTH($M52),1),"")))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  <c r="U53" s="195">
        <f>IF($D53="","",IF(ISNUMBER($M53),DATE(YEAR($M53),MONTH($M53),1),""))</f>
        <v/>
      </c>
      <c r="V53" s="195">
        <f>IF($D53="","",IF(ISNUMBER($N53),DATE(YEAR($N53),MONTH($N53),1),IF(ISNUMBER($M53),DATE(YEAR($M53),MONTH($M53),1),"")))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  <c r="U54" s="195">
        <f>IF($D54="","",IF(ISNUMBER($M54),DATE(YEAR($M54),MONTH($M54),1),""))</f>
        <v/>
      </c>
      <c r="V54" s="195">
        <f>IF($D54="","",IF(ISNUMBER($N54),DATE(YEAR($N54),MONTH($N54),1),IF(ISNUMBER($M54),DATE(YEAR($M54),MONTH($M54),1),"")))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  <c r="U55" s="195">
        <f>IF($D55="","",IF(ISNUMBER($M55),DATE(YEAR($M55),MONTH($M55),1),""))</f>
        <v/>
      </c>
      <c r="V55" s="195">
        <f>IF($D55="","",IF(ISNUMBER($N55),DATE(YEAR($N55),MONTH($N55),1),IF(ISNUMBER($M55),DATE(YEAR($M55),MONTH($M55),1),"")))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  <c r="U56" s="195">
        <f>IF($D56="","",IF(ISNUMBER($M56),DATE(YEAR($M56),MONTH($M56),1),""))</f>
        <v/>
      </c>
      <c r="V56" s="195">
        <f>IF($D56="","",IF(ISNUMBER($N56),DATE(YEAR($N56),MONTH($N56),1),IF(ISNUMBER($M56),DATE(YEAR($M56),MONTH($M56),1),"")))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  <c r="U57" s="195">
        <f>IF($D57="","",IF(ISNUMBER($M57),DATE(YEAR($M57),MONTH($M57),1),""))</f>
        <v/>
      </c>
      <c r="V57" s="195">
        <f>IF($D57="","",IF(ISNUMBER($N57),DATE(YEAR($N57),MONTH($N57),1),IF(ISNUMBER($M57),DATE(YEAR($M57),MONTH($M57),1),"")))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  <c r="U58" s="195">
        <f>IF($D58="","",IF(ISNUMBER($M58),DATE(YEAR($M58),MONTH($M58),1),""))</f>
        <v/>
      </c>
      <c r="V58" s="195">
        <f>IF($D58="","",IF(ISNUMBER($N58),DATE(YEAR($N58),MONTH($N58),1),IF(ISNUMBER($M58),DATE(YEAR($M58),MONTH($M58),1),"")))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  <c r="U59" s="195">
        <f>IF($D59="","",IF(ISNUMBER($M59),DATE(YEAR($M59),MONTH($M59),1),""))</f>
        <v/>
      </c>
      <c r="V59" s="195">
        <f>IF($D59="","",IF(ISNUMBER($N59),DATE(YEAR($N59),MONTH($N59),1),IF(ISNUMBER($M59),DATE(YEAR($M59),MONTH($M59),1),"")))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  <c r="U60" s="195">
        <f>IF($D60="","",IF(ISNUMBER($M60),DATE(YEAR($M60),MONTH($M60),1),""))</f>
        <v/>
      </c>
      <c r="V60" s="195">
        <f>IF($D60="","",IF(ISNUMBER($N60),DATE(YEAR($N60),MONTH($N60),1),IF(ISNUMBER($M60),DATE(YEAR($M60),MONTH($M60),1),"")))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  <c r="U61" s="195">
        <f>IF($D61="","",IF(ISNUMBER($M61),DATE(YEAR($M61),MONTH($M61),1),""))</f>
        <v/>
      </c>
      <c r="V61" s="195">
        <f>IF($D61="","",IF(ISNUMBER($N61),DATE(YEAR($N61),MONTH($N61),1),IF(ISNUMBER($M61),DATE(YEAR($M61),MONTH($M61),1),"")))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  <c r="U62" s="195">
        <f>IF($D62="","",IF(ISNUMBER($M62),DATE(YEAR($M62),MONTH($M62),1),""))</f>
        <v/>
      </c>
      <c r="V62" s="195">
        <f>IF($D62="","",IF(ISNUMBER($N62),DATE(YEAR($N62),MONTH($N62),1),IF(ISNUMBER($M62),DATE(YEAR($M62),MONTH($M62),1),"")))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  <c r="U63" s="195">
        <f>IF($D63="","",IF(ISNUMBER($M63),DATE(YEAR($M63),MONTH($M63),1),""))</f>
        <v/>
      </c>
      <c r="V63" s="195">
        <f>IF($D63="","",IF(ISNUMBER($N63),DATE(YEAR($N63),MONTH($N63),1),IF(ISNUMBER($M63),DATE(YEAR($M63),MONTH($M63),1),"")))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  <c r="U64" s="195">
        <f>IF($D64="","",IF(ISNUMBER($M64),DATE(YEAR($M64),MONTH($M64),1),""))</f>
        <v/>
      </c>
      <c r="V64" s="195">
        <f>IF($D64="","",IF(ISNUMBER($N64),DATE(YEAR($N64),MONTH($N64),1),IF(ISNUMBER($M64),DATE(YEAR($M64),MONTH($M64),1),"")))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  <c r="U65" s="195">
        <f>IF($D65="","",IF(ISNUMBER($M65),DATE(YEAR($M65),MONTH($M65),1),""))</f>
        <v/>
      </c>
      <c r="V65" s="195">
        <f>IF($D65="","",IF(ISNUMBER($N65),DATE(YEAR($N65),MONTH($N65),1),IF(ISNUMBER($M65),DATE(YEAR($M65),MONTH($M65),1),"")))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  <c r="U66" s="195">
        <f>IF($D66="","",IF(ISNUMBER($M66),DATE(YEAR($M66),MONTH($M66),1),""))</f>
        <v/>
      </c>
      <c r="V66" s="195">
        <f>IF($D66="","",IF(ISNUMBER($N66),DATE(YEAR($N66),MONTH($N66),1),IF(ISNUMBER($M66),DATE(YEAR($M66),MONTH($M66),1),"")))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  <c r="U67" s="195">
        <f>IF($D67="","",IF(ISNUMBER($M67),DATE(YEAR($M67),MONTH($M67),1),""))</f>
        <v/>
      </c>
      <c r="V67" s="195">
        <f>IF($D67="","",IF(ISNUMBER($N67),DATE(YEAR($N67),MONTH($N67),1),IF(ISNUMBER($M67),DATE(YEAR($M67),MONTH($M67),1),"")))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  <c r="U68" s="195">
        <f>IF($D68="","",IF(ISNUMBER($M68),DATE(YEAR($M68),MONTH($M68),1),""))</f>
        <v/>
      </c>
      <c r="V68" s="195">
        <f>IF($D68="","",IF(ISNUMBER($N68),DATE(YEAR($N68),MONTH($N68),1),IF(ISNUMBER($M68),DATE(YEAR($M68),MONTH($M68),1),"")))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  <c r="U69" s="195">
        <f>IF($D69="","",IF(ISNUMBER($M69),DATE(YEAR($M69),MONTH($M69),1),""))</f>
        <v/>
      </c>
      <c r="V69" s="195">
        <f>IF($D69="","",IF(ISNUMBER($N69),DATE(YEAR($N69),MONTH($N69),1),IF(ISNUMBER($M69),DATE(YEAR($M69),MONTH($M69),1),"")))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  <c r="U70" s="195">
        <f>IF($D70="","",IF(ISNUMBER($M70),DATE(YEAR($M70),MONTH($M70),1),""))</f>
        <v/>
      </c>
      <c r="V70" s="195">
        <f>IF($D70="","",IF(ISNUMBER($N70),DATE(YEAR($N70),MONTH($N70),1),IF(ISNUMBER($M70),DATE(YEAR($M70),MONTH($M70),1),"")))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  <c r="U71" s="195">
        <f>IF($D71="","",IF(ISNUMBER($M71),DATE(YEAR($M71),MONTH($M71),1),""))</f>
        <v/>
      </c>
      <c r="V71" s="195">
        <f>IF($D71="","",IF(ISNUMBER($N71),DATE(YEAR($N71),MONTH($N71),1),IF(ISNUMBER($M71),DATE(YEAR($M71),MONTH($M71),1),"")))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  <c r="U72" s="195">
        <f>IF($D72="","",IF(ISNUMBER($M72),DATE(YEAR($M72),MONTH($M72),1),""))</f>
        <v/>
      </c>
      <c r="V72" s="195">
        <f>IF($D72="","",IF(ISNUMBER($N72),DATE(YEAR($N72),MONTH($N72),1),IF(ISNUMBER($M72),DATE(YEAR($M72),MONTH($M72),1),"")))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  <c r="U73" s="195">
        <f>IF($D73="","",IF(ISNUMBER($M73),DATE(YEAR($M73),MONTH($M73),1),""))</f>
        <v/>
      </c>
      <c r="V73" s="195">
        <f>IF($D73="","",IF(ISNUMBER($N73),DATE(YEAR($N73),MONTH($N73),1),IF(ISNUMBER($M73),DATE(YEAR($M73),MONTH($M73),1),"")))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  <c r="U74" s="195">
        <f>IF($D74="","",IF(ISNUMBER($M74),DATE(YEAR($M74),MONTH($M74),1),""))</f>
        <v/>
      </c>
      <c r="V74" s="195">
        <f>IF($D74="","",IF(ISNUMBER($N74),DATE(YEAR($N74),MONTH($N74),1),IF(ISNUMBER($M74),DATE(YEAR($M74),MONTH($M74),1),"")))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  <c r="U75" s="195">
        <f>IF($D75="","",IF(ISNUMBER($M75),DATE(YEAR($M75),MONTH($M75),1),""))</f>
        <v/>
      </c>
      <c r="V75" s="195">
        <f>IF($D75="","",IF(ISNUMBER($N75),DATE(YEAR($N75),MONTH($N75),1),IF(ISNUMBER($M75),DATE(YEAR($M75),MONTH($M75),1),"")))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  <c r="U76" s="195">
        <f>IF($D76="","",IF(ISNUMBER($M76),DATE(YEAR($M76),MONTH($M76),1),""))</f>
        <v/>
      </c>
      <c r="V76" s="195">
        <f>IF($D76="","",IF(ISNUMBER($N76),DATE(YEAR($N76),MONTH($N76),1),IF(ISNUMBER($M76),DATE(YEAR($M76),MONTH($M76),1),"")))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  <c r="U77" s="195">
        <f>IF($D77="","",IF(ISNUMBER($M77),DATE(YEAR($M77),MONTH($M77),1),""))</f>
        <v/>
      </c>
      <c r="V77" s="195">
        <f>IF($D77="","",IF(ISNUMBER($N77),DATE(YEAR($N77),MONTH($N77),1),IF(ISNUMBER($M77),DATE(YEAR($M77),MONTH($M77),1),"")))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  <c r="U78" s="195">
        <f>IF($D78="","",IF(ISNUMBER($M78),DATE(YEAR($M78),MONTH($M78),1),""))</f>
        <v/>
      </c>
      <c r="V78" s="195">
        <f>IF($D78="","",IF(ISNUMBER($N78),DATE(YEAR($N78),MONTH($N78),1),IF(ISNUMBER($M78),DATE(YEAR($M78),MONTH($M78),1),"")))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  <c r="U79" s="195">
        <f>IF($D79="","",IF(ISNUMBER($M79),DATE(YEAR($M79),MONTH($M79),1),""))</f>
        <v/>
      </c>
      <c r="V79" s="195">
        <f>IF($D79="","",IF(ISNUMBER($N79),DATE(YEAR($N79),MONTH($N79),1),IF(ISNUMBER($M79),DATE(YEAR($M79),MONTH($M79),1),"")))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  <c r="U80" s="195">
        <f>IF($D80="","",IF(ISNUMBER($M80),DATE(YEAR($M80),MONTH($M80),1),""))</f>
        <v/>
      </c>
      <c r="V80" s="195">
        <f>IF($D80="","",IF(ISNUMBER($N80),DATE(YEAR($N80),MONTH($N80),1),IF(ISNUMBER($M80),DATE(YEAR($M80),MONTH($M80),1),"")))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  <c r="U81" s="195">
        <f>IF($D81="","",IF(ISNUMBER($M81),DATE(YEAR($M81),MONTH($M81),1),""))</f>
        <v/>
      </c>
      <c r="V81" s="195">
        <f>IF($D81="","",IF(ISNUMBER($N81),DATE(YEAR($N81),MONTH($N81),1),IF(ISNUMBER($M81),DATE(YEAR($M81),MONTH($M81),1),"")))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  <c r="U82" s="195">
        <f>IF($D82="","",IF(ISNUMBER($M82),DATE(YEAR($M82),MONTH($M82),1),""))</f>
        <v/>
      </c>
      <c r="V82" s="195">
        <f>IF($D82="","",IF(ISNUMBER($N82),DATE(YEAR($N82),MONTH($N82),1),IF(ISNUMBER($M82),DATE(YEAR($M82),MONTH($M82),1),"")))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  <c r="U83" s="195">
        <f>IF($D83="","",IF(ISNUMBER($M83),DATE(YEAR($M83),MONTH($M83),1),""))</f>
        <v/>
      </c>
      <c r="V83" s="195">
        <f>IF($D83="","",IF(ISNUMBER($N83),DATE(YEAR($N83),MONTH($N83),1),IF(ISNUMBER($M83),DATE(YEAR($M83),MONTH($M83),1),"")))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  <c r="U84" s="195">
        <f>IF($D84="","",IF(ISNUMBER($M84),DATE(YEAR($M84),MONTH($M84),1),""))</f>
        <v/>
      </c>
      <c r="V84" s="195">
        <f>IF($D84="","",IF(ISNUMBER($N84),DATE(YEAR($N84),MONTH($N84),1),IF(ISNUMBER($M84),DATE(YEAR($M84),MONTH($M84),1),"")))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  <c r="U85" s="195">
        <f>IF($D85="","",IF(ISNUMBER($M85),DATE(YEAR($M85),MONTH($M85),1),""))</f>
        <v/>
      </c>
      <c r="V85" s="195">
        <f>IF($D85="","",IF(ISNUMBER($N85),DATE(YEAR($N85),MONTH($N85),1),IF(ISNUMBER($M85),DATE(YEAR($M85),MONTH($M85),1),"")))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  <c r="U86" s="195">
        <f>IF($D86="","",IF(ISNUMBER($M86),DATE(YEAR($M86),MONTH($M86),1),""))</f>
        <v/>
      </c>
      <c r="V86" s="195">
        <f>IF($D86="","",IF(ISNUMBER($N86),DATE(YEAR($N86),MONTH($N86),1),IF(ISNUMBER($M86),DATE(YEAR($M86),MONTH($M86),1),"")))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  <c r="U87" s="195">
        <f>IF($D87="","",IF(ISNUMBER($M87),DATE(YEAR($M87),MONTH($M87),1),""))</f>
        <v/>
      </c>
      <c r="V87" s="195">
        <f>IF($D87="","",IF(ISNUMBER($N87),DATE(YEAR($N87),MONTH($N87),1),IF(ISNUMBER($M87),DATE(YEAR($M87),MONTH($M87),1),"")))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  <c r="U88" s="195">
        <f>IF($D88="","",IF(ISNUMBER($M88),DATE(YEAR($M88),MONTH($M88),1),""))</f>
        <v/>
      </c>
      <c r="V88" s="195">
        <f>IF($D88="","",IF(ISNUMBER($N88),DATE(YEAR($N88),MONTH($N88),1),IF(ISNUMBER($M88),DATE(YEAR($M88),MONTH($M88),1),"")))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  <c r="U89" s="195">
        <f>IF($D89="","",IF(ISNUMBER($M89),DATE(YEAR($M89),MONTH($M89),1),""))</f>
        <v/>
      </c>
      <c r="V89" s="195">
        <f>IF($D89="","",IF(ISNUMBER($N89),DATE(YEAR($N89),MONTH($N89),1),IF(ISNUMBER($M89),DATE(YEAR($M89),MONTH($M89),1),"")))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  <c r="U90" s="195">
        <f>IF($D90="","",IF(ISNUMBER($M90),DATE(YEAR($M90),MONTH($M90),1),""))</f>
        <v/>
      </c>
      <c r="V90" s="195">
        <f>IF($D90="","",IF(ISNUMBER($N90),DATE(YEAR($N90),MONTH($N90),1),IF(ISNUMBER($M90),DATE(YEAR($M90),MONTH($M90),1),"")))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  <c r="U91" s="195">
        <f>IF($D91="","",IF(ISNUMBER($M91),DATE(YEAR($M91),MONTH($M91),1),""))</f>
        <v/>
      </c>
      <c r="V91" s="195">
        <f>IF($D91="","",IF(ISNUMBER($N91),DATE(YEAR($N91),MONTH($N91),1),IF(ISNUMBER($M91),DATE(YEAR($M91),MONTH($M91),1),"")))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  <c r="U92" s="195">
        <f>IF($D92="","",IF(ISNUMBER($M92),DATE(YEAR($M92),MONTH($M92),1),""))</f>
        <v/>
      </c>
      <c r="V92" s="195">
        <f>IF($D92="","",IF(ISNUMBER($N92),DATE(YEAR($N92),MONTH($N92),1),IF(ISNUMBER($M92),DATE(YEAR($M92),MONTH($M92),1),"")))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  <c r="U93" s="195">
        <f>IF($D93="","",IF(ISNUMBER($M93),DATE(YEAR($M93),MONTH($M93),1),""))</f>
        <v/>
      </c>
      <c r="V93" s="195">
        <f>IF($D93="","",IF(ISNUMBER($N93),DATE(YEAR($N93),MONTH($N93),1),IF(ISNUMBER($M93),DATE(YEAR($M93),MONTH($M93),1),"")))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  <c r="U94" s="195">
        <f>IF($D94="","",IF(ISNUMBER($M94),DATE(YEAR($M94),MONTH($M94),1),""))</f>
        <v/>
      </c>
      <c r="V94" s="195">
        <f>IF($D94="","",IF(ISNUMBER($N94),DATE(YEAR($N94),MONTH($N94),1),IF(ISNUMBER($M94),DATE(YEAR($M94),MONTH($M94),1),"")))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  <c r="U95" s="195">
        <f>IF($D95="","",IF(ISNUMBER($M95),DATE(YEAR($M95),MONTH($M95),1),""))</f>
        <v/>
      </c>
      <c r="V95" s="195">
        <f>IF($D95="","",IF(ISNUMBER($N95),DATE(YEAR($N95),MONTH($N95),1),IF(ISNUMBER($M95),DATE(YEAR($M95),MONTH($M95),1),"")))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  <c r="U96" s="195">
        <f>IF($D96="","",IF(ISNUMBER($M96),DATE(YEAR($M96),MONTH($M96),1),""))</f>
        <v/>
      </c>
      <c r="V96" s="195">
        <f>IF($D96="","",IF(ISNUMBER($N96),DATE(YEAR($N96),MONTH($N96),1),IF(ISNUMBER($M96),DATE(YEAR($M96),MONTH($M96),1),"")))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  <c r="U97" s="195">
        <f>IF($D97="","",IF(ISNUMBER($M97),DATE(YEAR($M97),MONTH($M97),1),""))</f>
        <v/>
      </c>
      <c r="V97" s="195">
        <f>IF($D97="","",IF(ISNUMBER($N97),DATE(YEAR($N97),MONTH($N97),1),IF(ISNUMBER($M97),DATE(YEAR($M97),MONTH($M97),1),"")))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  <c r="U98" s="195">
        <f>IF($D98="","",IF(ISNUMBER($M98),DATE(YEAR($M98),MONTH($M98),1),""))</f>
        <v/>
      </c>
      <c r="V98" s="195">
        <f>IF($D98="","",IF(ISNUMBER($N98),DATE(YEAR($N98),MONTH($N98),1),IF(ISNUMBER($M98),DATE(YEAR($M98),MONTH($M98),1),"")))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  <c r="U99" s="195">
        <f>IF($D99="","",IF(ISNUMBER($M99),DATE(YEAR($M99),MONTH($M99),1),""))</f>
        <v/>
      </c>
      <c r="V99" s="195">
        <f>IF($D99="","",IF(ISNUMBER($N99),DATE(YEAR($N99),MONTH($N99),1),IF(ISNUMBER($M99),DATE(YEAR($M99),MONTH($M99),1),"")))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  <c r="U100" s="195">
        <f>IF($D100="","",IF(ISNUMBER($M100),DATE(YEAR($M100),MONTH($M100),1),""))</f>
        <v/>
      </c>
      <c r="V100" s="195">
        <f>IF($D100="","",IF(ISNUMBER($N100),DATE(YEAR($N100),MONTH($N100),1),IF(ISNUMBER($M100),DATE(YEAR($M100),MONTH($M100),1),"")))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  <c r="U101" s="195">
        <f>IF($D101="","",IF(ISNUMBER($M101),DATE(YEAR($M101),MONTH($M101),1),""))</f>
        <v/>
      </c>
      <c r="V101" s="195">
        <f>IF($D101="","",IF(ISNUMBER($N101),DATE(YEAR($N101),MONTH($N101),1),IF(ISNUMBER($M101),DATE(YEAR($M101),MONTH($M101),1),"")))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  <c r="U102" s="195">
        <f>IF($D102="","",IF(ISNUMBER($M102),DATE(YEAR($M102),MONTH($M102),1),""))</f>
        <v/>
      </c>
      <c r="V102" s="195">
        <f>IF($D102="","",IF(ISNUMBER($N102),DATE(YEAR($N102),MONTH($N102),1),IF(ISNUMBER($M102),DATE(YEAR($M102),MONTH($M102),1),"")))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  <c r="U103" s="195">
        <f>IF($D103="","",IF(ISNUMBER($M103),DATE(YEAR($M103),MONTH($M103),1),""))</f>
        <v/>
      </c>
      <c r="V103" s="195">
        <f>IF($D103="","",IF(ISNUMBER($N103),DATE(YEAR($N103),MONTH($N103),1),IF(ISNUMBER($M103),DATE(YEAR($M103),MONTH($M103),1),"")))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  <c r="U104" s="195">
        <f>IF($D104="","",IF(ISNUMBER($M104),DATE(YEAR($M104),MONTH($M104),1),""))</f>
        <v/>
      </c>
      <c r="V104" s="195">
        <f>IF($D104="","",IF(ISNUMBER($N104),DATE(YEAR($N104),MONTH($N104),1),IF(ISNUMBER($M104),DATE(YEAR($M104),MONTH($M104),1),"")))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  <c r="U105" s="195">
        <f>IF($D105="","",IF(ISNUMBER($M105),DATE(YEAR($M105),MONTH($M105),1),""))</f>
        <v/>
      </c>
      <c r="V105" s="195">
        <f>IF($D105="","",IF(ISNUMBER($N105),DATE(YEAR($N105),MONTH($N105),1),IF(ISNUMBER($M105),DATE(YEAR($M105),MONTH($M105),1),"")))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  <c r="U106" s="195">
        <f>IF($D106="","",IF(ISNUMBER($M106),DATE(YEAR($M106),MONTH($M106),1),""))</f>
        <v/>
      </c>
      <c r="V106" s="195">
        <f>IF($D106="","",IF(ISNUMBER($N106),DATE(YEAR($N106),MONTH($N106),1),IF(ISNUMBER($M106),DATE(YEAR($M106),MONTH($M106),1),"")))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  <c r="U107" s="195">
        <f>IF($D107="","",IF(ISNUMBER($M107),DATE(YEAR($M107),MONTH($M107),1),""))</f>
        <v/>
      </c>
      <c r="V107" s="195">
        <f>IF($D107="","",IF(ISNUMBER($N107),DATE(YEAR($N107),MONTH($N107),1),IF(ISNUMBER($M107),DATE(YEAR($M107),MONTH($M107),1),"")))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  <c r="U108" s="195">
        <f>IF($D108="","",IF(ISNUMBER($M108),DATE(YEAR($M108),MONTH($M108),1),""))</f>
        <v/>
      </c>
      <c r="V108" s="195">
        <f>IF($D108="","",IF(ISNUMBER($N108),DATE(YEAR($N108),MONTH($N108),1),IF(ISNUMBER($M108),DATE(YEAR($M108),MONTH($M108),1),"")))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  <c r="U109" s="195">
        <f>IF($D109="","",IF(ISNUMBER($M109),DATE(YEAR($M109),MONTH($M109),1),""))</f>
        <v/>
      </c>
      <c r="V109" s="195">
        <f>IF($D109="","",IF(ISNUMBER($N109),DATE(YEAR($N109),MONTH($N109),1),IF(ISNUMBER($M109),DATE(YEAR($M109),MONTH($M109),1),"")))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  <c r="U110" s="195">
        <f>IF($D110="","",IF(ISNUMBER($M110),DATE(YEAR($M110),MONTH($M110),1),""))</f>
        <v/>
      </c>
      <c r="V110" s="195">
        <f>IF($D110="","",IF(ISNUMBER($N110),DATE(YEAR($N110),MONTH($N110),1),IF(ISNUMBER($M110),DATE(YEAR($M110),MONTH($M110),1),"")))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  <c r="U111" s="195">
        <f>IF($D111="","",IF(ISNUMBER($M111),DATE(YEAR($M111),MONTH($M111),1),""))</f>
        <v/>
      </c>
      <c r="V111" s="195">
        <f>IF($D111="","",IF(ISNUMBER($N111),DATE(YEAR($N111),MONTH($N111),1),IF(ISNUMBER($M111),DATE(YEAR($M111),MONTH($M111),1),"")))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  <c r="U112" s="195">
        <f>IF($D112="","",IF(ISNUMBER($M112),DATE(YEAR($M112),MONTH($M112),1),""))</f>
        <v/>
      </c>
      <c r="V112" s="195">
        <f>IF($D112="","",IF(ISNUMBER($N112),DATE(YEAR($N112),MONTH($N112),1),IF(ISNUMBER($M112),DATE(YEAR($M112),MONTH($M112),1),"")))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  <c r="U113" s="195">
        <f>IF($D113="","",IF(ISNUMBER($M113),DATE(YEAR($M113),MONTH($M113),1),""))</f>
        <v/>
      </c>
      <c r="V113" s="195">
        <f>IF($D113="","",IF(ISNUMBER($N113),DATE(YEAR($N113),MONTH($N113),1),IF(ISNUMBER($M113),DATE(YEAR($M113),MONTH($M113),1),"")))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  <c r="U114" s="195">
        <f>IF($D114="","",IF(ISNUMBER($M114),DATE(YEAR($M114),MONTH($M114),1),""))</f>
        <v/>
      </c>
      <c r="V114" s="195">
        <f>IF($D114="","",IF(ISNUMBER($N114),DATE(YEAR($N114),MONTH($N114),1),IF(ISNUMBER($M114),DATE(YEAR($M114),MONTH($M114),1),"")))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  <c r="U115" s="195">
        <f>IF($D115="","",IF(ISNUMBER($M115),DATE(YEAR($M115),MONTH($M115),1),""))</f>
        <v/>
      </c>
      <c r="V115" s="195">
        <f>IF($D115="","",IF(ISNUMBER($N115),DATE(YEAR($N115),MONTH($N115),1),IF(ISNUMBER($M115),DATE(YEAR($M115),MONTH($M115),1),"")))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  <c r="U116" s="195">
        <f>IF($D116="","",IF(ISNUMBER($M116),DATE(YEAR($M116),MONTH($M116),1),""))</f>
        <v/>
      </c>
      <c r="V116" s="195">
        <f>IF($D116="","",IF(ISNUMBER($N116),DATE(YEAR($N116),MONTH($N116),1),IF(ISNUMBER($M116),DATE(YEAR($M116),MONTH($M116),1),"")))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  <c r="U117" s="195">
        <f>IF($D117="","",IF(ISNUMBER($M117),DATE(YEAR($M117),MONTH($M117),1),""))</f>
        <v/>
      </c>
      <c r="V117" s="195">
        <f>IF($D117="","",IF(ISNUMBER($N117),DATE(YEAR($N117),MONTH($N117),1),IF(ISNUMBER($M117),DATE(YEAR($M117),MONTH($M117),1),"")))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  <c r="U118" s="195">
        <f>IF($D118="","",IF(ISNUMBER($M118),DATE(YEAR($M118),MONTH($M118),1),""))</f>
        <v/>
      </c>
      <c r="V118" s="195">
        <f>IF($D118="","",IF(ISNUMBER($N118),DATE(YEAR($N118),MONTH($N118),1),IF(ISNUMBER($M118),DATE(YEAR($M118),MONTH($M118),1),"")))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  <c r="U119" s="195">
        <f>IF($D119="","",IF(ISNUMBER($M119),DATE(YEAR($M119),MONTH($M119),1),""))</f>
        <v/>
      </c>
      <c r="V119" s="195">
        <f>IF($D119="","",IF(ISNUMBER($N119),DATE(YEAR($N119),MONTH($N119),1),IF(ISNUMBER($M119),DATE(YEAR($M119),MONTH($M119),1),"")))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  <c r="U120" s="195">
        <f>IF($D120="","",IF(ISNUMBER($M120),DATE(YEAR($M120),MONTH($M120),1),""))</f>
        <v/>
      </c>
      <c r="V120" s="195">
        <f>IF($D120="","",IF(ISNUMBER($N120),DATE(YEAR($N120),MONTH($N120),1),IF(ISNUMBER($M120),DATE(YEAR($M120),MONTH($M120),1),"")))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  <c r="U121" s="195">
        <f>IF($D121="","",IF(ISNUMBER($M121),DATE(YEAR($M121),MONTH($M121),1),""))</f>
        <v/>
      </c>
      <c r="V121" s="195">
        <f>IF($D121="","",IF(ISNUMBER($N121),DATE(YEAR($N121),MONTH($N121),1),IF(ISNUMBER($M121),DATE(YEAR($M121),MONTH($M121),1),"")))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  <c r="U122" s="195">
        <f>IF($D122="","",IF(ISNUMBER($M122),DATE(YEAR($M122),MONTH($M122),1),""))</f>
        <v/>
      </c>
      <c r="V122" s="195">
        <f>IF($D122="","",IF(ISNUMBER($N122),DATE(YEAR($N122),MONTH($N122),1),IF(ISNUMBER($M122),DATE(YEAR($M122),MONTH($M122),1),"")))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  <c r="U123" s="195">
        <f>IF($D123="","",IF(ISNUMBER($M123),DATE(YEAR($M123),MONTH($M123),1),""))</f>
        <v/>
      </c>
      <c r="V123" s="195">
        <f>IF($D123="","",IF(ISNUMBER($N123),DATE(YEAR($N123),MONTH($N123),1),IF(ISNUMBER($M123),DATE(YEAR($M123),MONTH($M123),1),"")))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  <c r="U124" s="195">
        <f>IF($D124="","",IF(ISNUMBER($M124),DATE(YEAR($M124),MONTH($M124),1),""))</f>
        <v/>
      </c>
      <c r="V124" s="195">
        <f>IF($D124="","",IF(ISNUMBER($N124),DATE(YEAR($N124),MONTH($N124),1),IF(ISNUMBER($M124),DATE(YEAR($M124),MONTH($M124),1),"")))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  <c r="U125" s="195">
        <f>IF($D125="","",IF(ISNUMBER($M125),DATE(YEAR($M125),MONTH($M125),1),""))</f>
        <v/>
      </c>
      <c r="V125" s="195">
        <f>IF($D125="","",IF(ISNUMBER($N125),DATE(YEAR($N125),MONTH($N125),1),IF(ISNUMBER($M125),DATE(YEAR($M125),MONTH($M125),1),"")))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  <c r="U126" s="195">
        <f>IF($D126="","",IF(ISNUMBER($M126),DATE(YEAR($M126),MONTH($M126),1),""))</f>
        <v/>
      </c>
      <c r="V126" s="195">
        <f>IF($D126="","",IF(ISNUMBER($N126),DATE(YEAR($N126),MONTH($N126),1),IF(ISNUMBER($M126),DATE(YEAR($M126),MONTH($M126),1),"")))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  <c r="U127" s="195">
        <f>IF($D127="","",IF(ISNUMBER($M127),DATE(YEAR($M127),MONTH($M127),1),""))</f>
        <v/>
      </c>
      <c r="V127" s="195">
        <f>IF($D127="","",IF(ISNUMBER($N127),DATE(YEAR($N127),MONTH($N127),1),IF(ISNUMBER($M127),DATE(YEAR($M127),MONTH($M127),1),"")))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  <c r="U128" s="195">
        <f>IF($D128="","",IF(ISNUMBER($M128),DATE(YEAR($M128),MONTH($M128),1),""))</f>
        <v/>
      </c>
      <c r="V128" s="195">
        <f>IF($D128="","",IF(ISNUMBER($N128),DATE(YEAR($N128),MONTH($N128),1),IF(ISNUMBER($M128),DATE(YEAR($M128),MONTH($M128),1),"")))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  <c r="U129" s="195">
        <f>IF($D129="","",IF(ISNUMBER($M129),DATE(YEAR($M129),MONTH($M129),1),""))</f>
        <v/>
      </c>
      <c r="V129" s="195">
        <f>IF($D129="","",IF(ISNUMBER($N129),DATE(YEAR($N129),MONTH($N129),1),IF(ISNUMBER($M129),DATE(YEAR($M129),MONTH($M129),1),"")))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  <c r="U130" s="195">
        <f>IF($D130="","",IF(ISNUMBER($M130),DATE(YEAR($M130),MONTH($M130),1),""))</f>
        <v/>
      </c>
      <c r="V130" s="195">
        <f>IF($D130="","",IF(ISNUMBER($N130),DATE(YEAR($N130),MONTH($N130),1),IF(ISNUMBER($M130),DATE(YEAR($M130),MONTH($M130),1),"")))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  <c r="U131" s="195">
        <f>IF($D131="","",IF(ISNUMBER($M131),DATE(YEAR($M131),MONTH($M131),1),""))</f>
        <v/>
      </c>
      <c r="V131" s="195">
        <f>IF($D131="","",IF(ISNUMBER($N131),DATE(YEAR($N131),MONTH($N131),1),IF(ISNUMBER($M131),DATE(YEAR($M131),MONTH($M131),1),"")))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  <c r="U132" s="195">
        <f>IF($D132="","",IF(ISNUMBER($M132),DATE(YEAR($M132),MONTH($M132),1),""))</f>
        <v/>
      </c>
      <c r="V132" s="195">
        <f>IF($D132="","",IF(ISNUMBER($N132),DATE(YEAR($N132),MONTH($N132),1),IF(ISNUMBER($M132),DATE(YEAR($M132),MONTH($M132),1),"")))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  <c r="U133" s="195">
        <f>IF($D133="","",IF(ISNUMBER($M133),DATE(YEAR($M133),MONTH($M133),1),""))</f>
        <v/>
      </c>
      <c r="V133" s="195">
        <f>IF($D133="","",IF(ISNUMBER($N133),DATE(YEAR($N133),MONTH($N133),1),IF(ISNUMBER($M133),DATE(YEAR($M133),MONTH($M133),1),"")))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  <c r="U134" s="195">
        <f>IF($D134="","",IF(ISNUMBER($M134),DATE(YEAR($M134),MONTH($M134),1),""))</f>
        <v/>
      </c>
      <c r="V134" s="195">
        <f>IF($D134="","",IF(ISNUMBER($N134),DATE(YEAR($N134),MONTH($N134),1),IF(ISNUMBER($M134),DATE(YEAR($M134),MONTH($M134),1),"")))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  <c r="U135" s="195">
        <f>IF($D135="","",IF(ISNUMBER($M135),DATE(YEAR($M135),MONTH($M135),1),""))</f>
        <v/>
      </c>
      <c r="V135" s="195">
        <f>IF($D135="","",IF(ISNUMBER($N135),DATE(YEAR($N135),MONTH($N135),1),IF(ISNUMBER($M135),DATE(YEAR($M135),MONTH($M135),1),"")))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  <c r="U136" s="195">
        <f>IF($D136="","",IF(ISNUMBER($M136),DATE(YEAR($M136),MONTH($M136),1),""))</f>
        <v/>
      </c>
      <c r="V136" s="195">
        <f>IF($D136="","",IF(ISNUMBER($N136),DATE(YEAR($N136),MONTH($N136),1),IF(ISNUMBER($M136),DATE(YEAR($M136),MONTH($M136),1),"")))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  <c r="U137" s="195">
        <f>IF($D137="","",IF(ISNUMBER($M137),DATE(YEAR($M137),MONTH($M137),1),""))</f>
        <v/>
      </c>
      <c r="V137" s="195">
        <f>IF($D137="","",IF(ISNUMBER($N137),DATE(YEAR($N137),MONTH($N137),1),IF(ISNUMBER($M137),DATE(YEAR($M137),MONTH($M137),1),"")))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  <c r="U138" s="195">
        <f>IF($D138="","",IF(ISNUMBER($M138),DATE(YEAR($M138),MONTH($M138),1),""))</f>
        <v/>
      </c>
      <c r="V138" s="195">
        <f>IF($D138="","",IF(ISNUMBER($N138),DATE(YEAR($N138),MONTH($N138),1),IF(ISNUMBER($M138),DATE(YEAR($M138),MONTH($M138),1),"")))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  <c r="U139" s="195">
        <f>IF($D139="","",IF(ISNUMBER($M139),DATE(YEAR($M139),MONTH($M139),1),""))</f>
        <v/>
      </c>
      <c r="V139" s="195">
        <f>IF($D139="","",IF(ISNUMBER($N139),DATE(YEAR($N139),MONTH($N139),1),IF(ISNUMBER($M139),DATE(YEAR($M139),MONTH($M139),1),"")))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  <c r="U140" s="195">
        <f>IF($D140="","",IF(ISNUMBER($M140),DATE(YEAR($M140),MONTH($M140),1),""))</f>
        <v/>
      </c>
      <c r="V140" s="195">
        <f>IF($D140="","",IF(ISNUMBER($N140),DATE(YEAR($N140),MONTH($N140),1),IF(ISNUMBER($M140),DATE(YEAR($M140),MONTH($M140),1),"")))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  <c r="U141" s="195">
        <f>IF($D141="","",IF(ISNUMBER($M141),DATE(YEAR($M141),MONTH($M141),1),""))</f>
        <v/>
      </c>
      <c r="V141" s="195">
        <f>IF($D141="","",IF(ISNUMBER($N141),DATE(YEAR($N141),MONTH($N141),1),IF(ISNUMBER($M141),DATE(YEAR($M141),MONTH($M141),1),"")))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  <c r="U142" s="195">
        <f>IF($D142="","",IF(ISNUMBER($M142),DATE(YEAR($M142),MONTH($M142),1),""))</f>
        <v/>
      </c>
      <c r="V142" s="195">
        <f>IF($D142="","",IF(ISNUMBER($N142),DATE(YEAR($N142),MONTH($N142),1),IF(ISNUMBER($M142),DATE(YEAR($M142),MONTH($M142),1),"")))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  <c r="U143" s="195">
        <f>IF($D143="","",IF(ISNUMBER($M143),DATE(YEAR($M143),MONTH($M143),1),""))</f>
        <v/>
      </c>
      <c r="V143" s="195">
        <f>IF($D143="","",IF(ISNUMBER($N143),DATE(YEAR($N143),MONTH($N143),1),IF(ISNUMBER($M143),DATE(YEAR($M143),MONTH($M143),1),"")))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  <c r="U144" s="195">
        <f>IF($D144="","",IF(ISNUMBER($M144),DATE(YEAR($M144),MONTH($M144),1),""))</f>
        <v/>
      </c>
      <c r="V144" s="195">
        <f>IF($D144="","",IF(ISNUMBER($N144),DATE(YEAR($N144),MONTH($N144),1),IF(ISNUMBER($M144),DATE(YEAR($M144),MONTH($M144),1),"")))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  <c r="U145" s="195">
        <f>IF($D145="","",IF(ISNUMBER($M145),DATE(YEAR($M145),MONTH($M145),1),""))</f>
        <v/>
      </c>
      <c r="V145" s="195">
        <f>IF($D145="","",IF(ISNUMBER($N145),DATE(YEAR($N145),MONTH($N145),1),IF(ISNUMBER($M145),DATE(YEAR($M145),MONTH($M145),1),"")))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  <c r="U146" s="195">
        <f>IF($D146="","",IF(ISNUMBER($M146),DATE(YEAR($M146),MONTH($M146),1),""))</f>
        <v/>
      </c>
      <c r="V146" s="195">
        <f>IF($D146="","",IF(ISNUMBER($N146),DATE(YEAR($N146),MONTH($N146),1),IF(ISNUMBER($M146),DATE(YEAR($M146),MONTH($M146),1),"")))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  <c r="U147" s="195">
        <f>IF($D147="","",IF(ISNUMBER($M147),DATE(YEAR($M147),MONTH($M147),1),""))</f>
        <v/>
      </c>
      <c r="V147" s="195">
        <f>IF($D147="","",IF(ISNUMBER($N147),DATE(YEAR($N147),MONTH($N147),1),IF(ISNUMBER($M147),DATE(YEAR($M147),MONTH($M147),1),"")))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  <c r="U148" s="195">
        <f>IF($D148="","",IF(ISNUMBER($M148),DATE(YEAR($M148),MONTH($M148),1),""))</f>
        <v/>
      </c>
      <c r="V148" s="195">
        <f>IF($D148="","",IF(ISNUMBER($N148),DATE(YEAR($N148),MONTH($N148),1),IF(ISNUMBER($M148),DATE(YEAR($M148),MONTH($M148),1),"")))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  <c r="U149" s="195">
        <f>IF($D149="","",IF(ISNUMBER($M149),DATE(YEAR($M149),MONTH($M149),1),""))</f>
        <v/>
      </c>
      <c r="V149" s="195">
        <f>IF($D149="","",IF(ISNUMBER($N149),DATE(YEAR($N149),MONTH($N149),1),IF(ISNUMBER($M149),DATE(YEAR($M149),MONTH($M149),1),"")))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  <c r="U150" s="195">
        <f>IF($D150="","",IF(ISNUMBER($M150),DATE(YEAR($M150),MONTH($M150),1),""))</f>
        <v/>
      </c>
      <c r="V150" s="195">
        <f>IF($D150="","",IF(ISNUMBER($N150),DATE(YEAR($N150),MONTH($N150),1),IF(ISNUMBER($M150),DATE(YEAR($M150),MONTH($M150),1),"")))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  <c r="U151" s="195">
        <f>IF($D151="","",IF(ISNUMBER($M151),DATE(YEAR($M151),MONTH($M151),1),""))</f>
        <v/>
      </c>
      <c r="V151" s="195">
        <f>IF($D151="","",IF(ISNUMBER($N151),DATE(YEAR($N151),MONTH($N151),1),IF(ISNUMBER($M151),DATE(YEAR($M151),MONTH($M151),1),"")))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  <c r="U152" s="195">
        <f>IF($D152="","",IF(ISNUMBER($M152),DATE(YEAR($M152),MONTH($M152),1),""))</f>
        <v/>
      </c>
      <c r="V152" s="195">
        <f>IF($D152="","",IF(ISNUMBER($N152),DATE(YEAR($N152),MONTH($N152),1),IF(ISNUMBER($M152),DATE(YEAR($M152),MONTH($M152),1),"")))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  <c r="U153" s="195">
        <f>IF($D153="","",IF(ISNUMBER($M153),DATE(YEAR($M153),MONTH($M153),1),""))</f>
        <v/>
      </c>
      <c r="V153" s="195">
        <f>IF($D153="","",IF(ISNUMBER($N153),DATE(YEAR($N153),MONTH($N153),1),IF(ISNUMBER($M153),DATE(YEAR($M153),MONTH($M153),1),"")))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  <c r="U154" s="195">
        <f>IF($D154="","",IF(ISNUMBER($M154),DATE(YEAR($M154),MONTH($M154),1),""))</f>
        <v/>
      </c>
      <c r="V154" s="195">
        <f>IF($D154="","",IF(ISNUMBER($N154),DATE(YEAR($N154),MONTH($N154),1),IF(ISNUMBER($M154),DATE(YEAR($M154),MONTH($M154),1),"")))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  <c r="U155" s="195">
        <f>IF($D155="","",IF(ISNUMBER($M155),DATE(YEAR($M155),MONTH($M155),1),""))</f>
        <v/>
      </c>
      <c r="V155" s="195">
        <f>IF($D155="","",IF(ISNUMBER($N155),DATE(YEAR($N155),MONTH($N155),1),IF(ISNUMBER($M155),DATE(YEAR($M155),MONTH($M155),1),"")))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  <c r="U156" s="195">
        <f>IF($D156="","",IF(ISNUMBER($M156),DATE(YEAR($M156),MONTH($M156),1),""))</f>
        <v/>
      </c>
      <c r="V156" s="195">
        <f>IF($D156="","",IF(ISNUMBER($N156),DATE(YEAR($N156),MONTH($N156),1),IF(ISNUMBER($M156),DATE(YEAR($M156),MONTH($M156),1),"")))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  <c r="U157" s="195">
        <f>IF($D157="","",IF(ISNUMBER($M157),DATE(YEAR($M157),MONTH($M157),1),""))</f>
        <v/>
      </c>
      <c r="V157" s="195">
        <f>IF($D157="","",IF(ISNUMBER($N157),DATE(YEAR($N157),MONTH($N157),1),IF(ISNUMBER($M157),DATE(YEAR($M157),MONTH($M157),1),"")))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  <c r="U158" s="195">
        <f>IF($D158="","",IF(ISNUMBER($M158),DATE(YEAR($M158),MONTH($M158),1),""))</f>
        <v/>
      </c>
      <c r="V158" s="195">
        <f>IF($D158="","",IF(ISNUMBER($N158),DATE(YEAR($N158),MONTH($N158),1),IF(ISNUMBER($M158),DATE(YEAR($M158),MONTH($M158),1),"")))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  <c r="U159" s="195">
        <f>IF($D159="","",IF(ISNUMBER($M159),DATE(YEAR($M159),MONTH($M159),1),""))</f>
        <v/>
      </c>
      <c r="V159" s="195">
        <f>IF($D159="","",IF(ISNUMBER($N159),DATE(YEAR($N159),MONTH($N159),1),IF(ISNUMBER($M159),DATE(YEAR($M159),MONTH($M159),1),"")))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  <c r="U160" s="195">
        <f>IF($D160="","",IF(ISNUMBER($M160),DATE(YEAR($M160),MONTH($M160),1),""))</f>
        <v/>
      </c>
      <c r="V160" s="195">
        <f>IF($D160="","",IF(ISNUMBER($N160),DATE(YEAR($N160),MONTH($N160),1),IF(ISNUMBER($M160),DATE(YEAR($M160),MONTH($M160),1),"")))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  <c r="U161" s="195">
        <f>IF($D161="","",IF(ISNUMBER($M161),DATE(YEAR($M161),MONTH($M161),1),""))</f>
        <v/>
      </c>
      <c r="V161" s="195">
        <f>IF($D161="","",IF(ISNUMBER($N161),DATE(YEAR($N161),MONTH($N161),1),IF(ISNUMBER($M161),DATE(YEAR($M161),MONTH($M161),1),"")))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  <c r="U162" s="195">
        <f>IF($D162="","",IF(ISNUMBER($M162),DATE(YEAR($M162),MONTH($M162),1),""))</f>
        <v/>
      </c>
      <c r="V162" s="195">
        <f>IF($D162="","",IF(ISNUMBER($N162),DATE(YEAR($N162),MONTH($N162),1),IF(ISNUMBER($M162),DATE(YEAR($M162),MONTH($M162),1),"")))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  <c r="U163" s="195">
        <f>IF($D163="","",IF(ISNUMBER($M163),DATE(YEAR($M163),MONTH($M163),1),""))</f>
        <v/>
      </c>
      <c r="V163" s="195">
        <f>IF($D163="","",IF(ISNUMBER($N163),DATE(YEAR($N163),MONTH($N163),1),IF(ISNUMBER($M163),DATE(YEAR($M163),MONTH($M163),1),"")))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  <c r="U164" s="195">
        <f>IF($D164="","",IF(ISNUMBER($M164),DATE(YEAR($M164),MONTH($M164),1),""))</f>
        <v/>
      </c>
      <c r="V164" s="195">
        <f>IF($D164="","",IF(ISNUMBER($N164),DATE(YEAR($N164),MONTH($N164),1),IF(ISNUMBER($M164),DATE(YEAR($M164),MONTH($M164),1),"")))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  <c r="U165" s="195">
        <f>IF($D165="","",IF(ISNUMBER($M165),DATE(YEAR($M165),MONTH($M165),1),""))</f>
        <v/>
      </c>
      <c r="V165" s="195">
        <f>IF($D165="","",IF(ISNUMBER($N165),DATE(YEAR($N165),MONTH($N165),1),IF(ISNUMBER($M165),DATE(YEAR($M165),MONTH($M165),1),"")))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  <c r="U166" s="195">
        <f>IF($D166="","",IF(ISNUMBER($M166),DATE(YEAR($M166),MONTH($M166),1),""))</f>
        <v/>
      </c>
      <c r="V166" s="195">
        <f>IF($D166="","",IF(ISNUMBER($N166),DATE(YEAR($N166),MONTH($N166),1),IF(ISNUMBER($M166),DATE(YEAR($M166),MONTH($M166),1),"")))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  <c r="U167" s="195">
        <f>IF($D167="","",IF(ISNUMBER($M167),DATE(YEAR($M167),MONTH($M167),1),""))</f>
        <v/>
      </c>
      <c r="V167" s="195">
        <f>IF($D167="","",IF(ISNUMBER($N167),DATE(YEAR($N167),MONTH($N167),1),IF(ISNUMBER($M167),DATE(YEAR($M167),MONTH($M167),1),"")))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  <c r="U168" s="195">
        <f>IF($D168="","",IF(ISNUMBER($M168),DATE(YEAR($M168),MONTH($M168),1),""))</f>
        <v/>
      </c>
      <c r="V168" s="195">
        <f>IF($D168="","",IF(ISNUMBER($N168),DATE(YEAR($N168),MONTH($N168),1),IF(ISNUMBER($M168),DATE(YEAR($M168),MONTH($M168),1),"")))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  <c r="U169" s="195">
        <f>IF($D169="","",IF(ISNUMBER($M169),DATE(YEAR($M169),MONTH($M169),1),""))</f>
        <v/>
      </c>
      <c r="V169" s="195">
        <f>IF($D169="","",IF(ISNUMBER($N169),DATE(YEAR($N169),MONTH($N169),1),IF(ISNUMBER($M169),DATE(YEAR($M169),MONTH($M169),1),"")))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  <c r="U170" s="195">
        <f>IF($D170="","",IF(ISNUMBER($M170),DATE(YEAR($M170),MONTH($M170),1),""))</f>
        <v/>
      </c>
      <c r="V170" s="195">
        <f>IF($D170="","",IF(ISNUMBER($N170),DATE(YEAR($N170),MONTH($N170),1),IF(ISNUMBER($M170),DATE(YEAR($M170),MONTH($M170),1),"")))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  <c r="U171" s="195">
        <f>IF($D171="","",IF(ISNUMBER($M171),DATE(YEAR($M171),MONTH($M171),1),""))</f>
        <v/>
      </c>
      <c r="V171" s="195">
        <f>IF($D171="","",IF(ISNUMBER($N171),DATE(YEAR($N171),MONTH($N171),1),IF(ISNUMBER($M171),DATE(YEAR($M171),MONTH($M171),1),"")))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  <c r="U172" s="195">
        <f>IF($D172="","",IF(ISNUMBER($M172),DATE(YEAR($M172),MONTH($M172),1),""))</f>
        <v/>
      </c>
      <c r="V172" s="195">
        <f>IF($D172="","",IF(ISNUMBER($N172),DATE(YEAR($N172),MONTH($N172),1),IF(ISNUMBER($M172),DATE(YEAR($M172),MONTH($M172),1),"")))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  <c r="U173" s="195">
        <f>IF($D173="","",IF(ISNUMBER($M173),DATE(YEAR($M173),MONTH($M173),1),""))</f>
        <v/>
      </c>
      <c r="V173" s="195">
        <f>IF($D173="","",IF(ISNUMBER($N173),DATE(YEAR($N173),MONTH($N173),1),IF(ISNUMBER($M173),DATE(YEAR($M173),MONTH($M173),1),"")))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  <c r="U174" s="195">
        <f>IF($D174="","",IF(ISNUMBER($M174),DATE(YEAR($M174),MONTH($M174),1),""))</f>
        <v/>
      </c>
      <c r="V174" s="195">
        <f>IF($D174="","",IF(ISNUMBER($N174),DATE(YEAR($N174),MONTH($N174),1),IF(ISNUMBER($M174),DATE(YEAR($M174),MONTH($M174),1),"")))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  <c r="U175" s="195">
        <f>IF($D175="","",IF(ISNUMBER($M175),DATE(YEAR($M175),MONTH($M175),1),""))</f>
        <v/>
      </c>
      <c r="V175" s="195">
        <f>IF($D175="","",IF(ISNUMBER($N175),DATE(YEAR($N175),MONTH($N175),1),IF(ISNUMBER($M175),DATE(YEAR($M175),MONTH($M175),1),"")))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  <c r="U176" s="195">
        <f>IF($D176="","",IF(ISNUMBER($M176),DATE(YEAR($M176),MONTH($M176),1),""))</f>
        <v/>
      </c>
      <c r="V176" s="195">
        <f>IF($D176="","",IF(ISNUMBER($N176),DATE(YEAR($N176),MONTH($N176),1),IF(ISNUMBER($M176),DATE(YEAR($M176),MONTH($M176),1),"")))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  <c r="U177" s="195">
        <f>IF($D177="","",IF(ISNUMBER($M177),DATE(YEAR($M177),MONTH($M177),1),""))</f>
        <v/>
      </c>
      <c r="V177" s="195">
        <f>IF($D177="","",IF(ISNUMBER($N177),DATE(YEAR($N177),MONTH($N177),1),IF(ISNUMBER($M177),DATE(YEAR($M177),MONTH($M177),1),"")))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  <c r="U178" s="195">
        <f>IF($D178="","",IF(ISNUMBER($M178),DATE(YEAR($M178),MONTH($M178),1),""))</f>
        <v/>
      </c>
      <c r="V178" s="195">
        <f>IF($D178="","",IF(ISNUMBER($N178),DATE(YEAR($N178),MONTH($N178),1),IF(ISNUMBER($M178),DATE(YEAR($M178),MONTH($M178),1),"")))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  <c r="U179" s="195">
        <f>IF($D179="","",IF(ISNUMBER($M179),DATE(YEAR($M179),MONTH($M179),1),""))</f>
        <v/>
      </c>
      <c r="V179" s="195">
        <f>IF($D179="","",IF(ISNUMBER($N179),DATE(YEAR($N179),MONTH($N179),1),IF(ISNUMBER($M179),DATE(YEAR($M179),MONTH($M179),1),"")))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  <c r="U180" s="195">
        <f>IF($D180="","",IF(ISNUMBER($M180),DATE(YEAR($M180),MONTH($M180),1),""))</f>
        <v/>
      </c>
      <c r="V180" s="195">
        <f>IF($D180="","",IF(ISNUMBER($N180),DATE(YEAR($N180),MONTH($N180),1),IF(ISNUMBER($M180),DATE(YEAR($M180),MONTH($M180),1),"")))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  <c r="U181" s="195">
        <f>IF($D181="","",IF(ISNUMBER($M181),DATE(YEAR($M181),MONTH($M181),1),""))</f>
        <v/>
      </c>
      <c r="V181" s="195">
        <f>IF($D181="","",IF(ISNUMBER($N181),DATE(YEAR($N181),MONTH($N181),1),IF(ISNUMBER($M181),DATE(YEAR($M181),MONTH($M181),1),"")))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  <c r="U182" s="195">
        <f>IF($D182="","",IF(ISNUMBER($M182),DATE(YEAR($M182),MONTH($M182),1),""))</f>
        <v/>
      </c>
      <c r="V182" s="195">
        <f>IF($D182="","",IF(ISNUMBER($N182),DATE(YEAR($N182),MONTH($N182),1),IF(ISNUMBER($M182),DATE(YEAR($M182),MONTH($M182),1),"")))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  <c r="U183" s="195">
        <f>IF($D183="","",IF(ISNUMBER($M183),DATE(YEAR($M183),MONTH($M183),1),""))</f>
        <v/>
      </c>
      <c r="V183" s="195">
        <f>IF($D183="","",IF(ISNUMBER($N183),DATE(YEAR($N183),MONTH($N183),1),IF(ISNUMBER($M183),DATE(YEAR($M183),MONTH($M183),1),"")))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  <c r="U184" s="195">
        <f>IF($D184="","",IF(ISNUMBER($M184),DATE(YEAR($M184),MONTH($M184),1),""))</f>
        <v/>
      </c>
      <c r="V184" s="195">
        <f>IF($D184="","",IF(ISNUMBER($N184),DATE(YEAR($N184),MONTH($N184),1),IF(ISNUMBER($M184),DATE(YEAR($M184),MONTH($M184),1),"")))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  <c r="U185" s="195">
        <f>IF($D185="","",IF(ISNUMBER($M185),DATE(YEAR($M185),MONTH($M185),1),""))</f>
        <v/>
      </c>
      <c r="V185" s="195">
        <f>IF($D185="","",IF(ISNUMBER($N185),DATE(YEAR($N185),MONTH($N185),1),IF(ISNUMBER($M185),DATE(YEAR($M185),MONTH($M185),1),"")))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  <c r="U186" s="195">
        <f>IF($D186="","",IF(ISNUMBER($M186),DATE(YEAR($M186),MONTH($M186),1),""))</f>
        <v/>
      </c>
      <c r="V186" s="195">
        <f>IF($D186="","",IF(ISNUMBER($N186),DATE(YEAR($N186),MONTH($N186),1),IF(ISNUMBER($M186),DATE(YEAR($M186),MONTH($M186),1),"")))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  <c r="U187" s="195">
        <f>IF($D187="","",IF(ISNUMBER($M187),DATE(YEAR($M187),MONTH($M187),1),""))</f>
        <v/>
      </c>
      <c r="V187" s="195">
        <f>IF($D187="","",IF(ISNUMBER($N187),DATE(YEAR($N187),MONTH($N187),1),IF(ISNUMBER($M187),DATE(YEAR($M187),MONTH($M187),1),"")))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  <c r="U188" s="195">
        <f>IF($D188="","",IF(ISNUMBER($M188),DATE(YEAR($M188),MONTH($M188),1),""))</f>
        <v/>
      </c>
      <c r="V188" s="195">
        <f>IF($D188="","",IF(ISNUMBER($N188),DATE(YEAR($N188),MONTH($N188),1),IF(ISNUMBER($M188),DATE(YEAR($M188),MONTH($M188),1),"")))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  <c r="U189" s="195">
        <f>IF($D189="","",IF(ISNUMBER($M189),DATE(YEAR($M189),MONTH($M189),1),""))</f>
        <v/>
      </c>
      <c r="V189" s="195">
        <f>IF($D189="","",IF(ISNUMBER($N189),DATE(YEAR($N189),MONTH($N189),1),IF(ISNUMBER($M189),DATE(YEAR($M189),MONTH($M189),1),"")))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  <c r="U190" s="195">
        <f>IF($D190="","",IF(ISNUMBER($M190),DATE(YEAR($M190),MONTH($M190),1),""))</f>
        <v/>
      </c>
      <c r="V190" s="195">
        <f>IF($D190="","",IF(ISNUMBER($N190),DATE(YEAR($N190),MONTH($N190),1),IF(ISNUMBER($M190),DATE(YEAR($M190),MONTH($M190),1),"")))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  <c r="U191" s="195">
        <f>IF($D191="","",IF(ISNUMBER($M191),DATE(YEAR($M191),MONTH($M191),1),""))</f>
        <v/>
      </c>
      <c r="V191" s="195">
        <f>IF($D191="","",IF(ISNUMBER($N191),DATE(YEAR($N191),MONTH($N191),1),IF(ISNUMBER($M191),DATE(YEAR($M191),MONTH($M191),1),"")))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  <c r="U192" s="195">
        <f>IF($D192="","",IF(ISNUMBER($M192),DATE(YEAR($M192),MONTH($M192),1),""))</f>
        <v/>
      </c>
      <c r="V192" s="195">
        <f>IF($D192="","",IF(ISNUMBER($N192),DATE(YEAR($N192),MONTH($N192),1),IF(ISNUMBER($M192),DATE(YEAR($M192),MONTH($M192),1),"")))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  <c r="U193" s="195">
        <f>IF($D193="","",IF(ISNUMBER($M193),DATE(YEAR($M193),MONTH($M193),1),""))</f>
        <v/>
      </c>
      <c r="V193" s="195">
        <f>IF($D193="","",IF(ISNUMBER($N193),DATE(YEAR($N193),MONTH($N193),1),IF(ISNUMBER($M193),DATE(YEAR($M193),MONTH($M193),1),"")))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  <c r="U194" s="195">
        <f>IF($D194="","",IF(ISNUMBER($M194),DATE(YEAR($M194),MONTH($M194),1),""))</f>
        <v/>
      </c>
      <c r="V194" s="195">
        <f>IF($D194="","",IF(ISNUMBER($N194),DATE(YEAR($N194),MONTH($N194),1),IF(ISNUMBER($M194),DATE(YEAR($M194),MONTH($M194),1),"")))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  <c r="U195" s="195">
        <f>IF($D195="","",IF(ISNUMBER($M195),DATE(YEAR($M195),MONTH($M195),1),""))</f>
        <v/>
      </c>
      <c r="V195" s="195">
        <f>IF($D195="","",IF(ISNUMBER($N195),DATE(YEAR($N195),MONTH($N195),1),IF(ISNUMBER($M195),DATE(YEAR($M195),MONTH($M195),1),"")))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  <c r="U196" s="195">
        <f>IF($D196="","",IF(ISNUMBER($M196),DATE(YEAR($M196),MONTH($M196),1),""))</f>
        <v/>
      </c>
      <c r="V196" s="195">
        <f>IF($D196="","",IF(ISNUMBER($N196),DATE(YEAR($N196),MONTH($N196),1),IF(ISNUMBER($M196),DATE(YEAR($M196),MONTH($M196),1),"")))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  <c r="U197" s="195">
        <f>IF($D197="","",IF(ISNUMBER($M197),DATE(YEAR($M197),MONTH($M197),1),""))</f>
        <v/>
      </c>
      <c r="V197" s="195">
        <f>IF($D197="","",IF(ISNUMBER($N197),DATE(YEAR($N197),MONTH($N197),1),IF(ISNUMBER($M197),DATE(YEAR($M197),MONTH($M197),1),"")))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  <c r="U198" s="195">
        <f>IF($D198="","",IF(ISNUMBER($M198),DATE(YEAR($M198),MONTH($M198),1),""))</f>
        <v/>
      </c>
      <c r="V198" s="195">
        <f>IF($D198="","",IF(ISNUMBER($N198),DATE(YEAR($N198),MONTH($N198),1),IF(ISNUMBER($M198),DATE(YEAR($M198),MONTH($M198),1),"")))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  <c r="U199" s="195">
        <f>IF($D199="","",IF(ISNUMBER($M199),DATE(YEAR($M199),MONTH($M199),1),""))</f>
        <v/>
      </c>
      <c r="V199" s="195">
        <f>IF($D199="","",IF(ISNUMBER($N199),DATE(YEAR($N199),MONTH($N199),1),IF(ISNUMBER($M199),DATE(YEAR($M199),MONTH($M199),1),"")))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  <c r="U200" s="195">
        <f>IF($D200="","",IF(ISNUMBER($M200),DATE(YEAR($M200),MONTH($M200),1),""))</f>
        <v/>
      </c>
      <c r="V200" s="195">
        <f>IF($D200="","",IF(ISNUMBER($N200),DATE(YEAR($N200),MONTH($N200),1),IF(ISNUMBER($M200),DATE(YEAR($M200),MONTH($M200),1),"")))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  <c r="U201" s="195">
        <f>IF($D201="","",IF(ISNUMBER($M201),DATE(YEAR($M201),MONTH($M201),1),""))</f>
        <v/>
      </c>
      <c r="V201" s="195">
        <f>IF($D201="","",IF(ISNUMBER($N201),DATE(YEAR($N201),MONTH($N201),1),IF(ISNUMBER($M201),DATE(YEAR($M201),MONTH($M201),1),"")))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  <c r="U202" s="195">
        <f>IF($D202="","",IF(ISNUMBER($M202),DATE(YEAR($M202),MONTH($M202),1),""))</f>
        <v/>
      </c>
      <c r="V202" s="195">
        <f>IF($D202="","",IF(ISNUMBER($N202),DATE(YEAR($N202),MONTH($N202),1),IF(ISNUMBER($M202),DATE(YEAR($M202),MONTH($M202),1),"")))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  <c r="U203" s="195">
        <f>IF($D203="","",IF(ISNUMBER($M203),DATE(YEAR($M203),MONTH($M203),1),""))</f>
        <v/>
      </c>
      <c r="V203" s="195">
        <f>IF($D203="","",IF(ISNUMBER($N203),DATE(YEAR($N203),MONTH($N203),1),IF(ISNUMBER($M203),DATE(YEAR($M203),MONTH($M203),1),"")))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  <c r="U204" s="195">
        <f>IF($D204="","",IF(ISNUMBER($M204),DATE(YEAR($M204),MONTH($M204),1),""))</f>
        <v/>
      </c>
      <c r="V204" s="195">
        <f>IF($D204="","",IF(ISNUMBER($N204),DATE(YEAR($N204),MONTH($N204),1),IF(ISNUMBER($M204),DATE(YEAR($M204),MONTH($M204),1),"")))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  <c r="U205" s="195">
        <f>IF($D205="","",IF(ISNUMBER($M205),DATE(YEAR($M205),MONTH($M205),1),""))</f>
        <v/>
      </c>
      <c r="V205" s="195">
        <f>IF($D205="","",IF(ISNUMBER($N205),DATE(YEAR($N205),MONTH($N205),1),IF(ISNUMBER($M205),DATE(YEAR($M205),MONTH($M205),1),"")))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  <c r="U206" s="195">
        <f>IF($D206="","",IF(ISNUMBER($M206),DATE(YEAR($M206),MONTH($M206),1),""))</f>
        <v/>
      </c>
      <c r="V206" s="195">
        <f>IF($D206="","",IF(ISNUMBER($N206),DATE(YEAR($N206),MONTH($N206),1),IF(ISNUMBER($M206),DATE(YEAR($M206),MONTH($M206),1),"")))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  <c r="U207" s="195">
        <f>IF($D207="","",IF(ISNUMBER($M207),DATE(YEAR($M207),MONTH($M207),1),""))</f>
        <v/>
      </c>
      <c r="V207" s="195">
        <f>IF($D207="","",IF(ISNUMBER($N207),DATE(YEAR($N207),MONTH($N207),1),IF(ISNUMBER($M207),DATE(YEAR($M207),MONTH($M207),1),"")))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  <c r="U208" s="195">
        <f>IF($D208="","",IF(ISNUMBER($M208),DATE(YEAR($M208),MONTH($M208),1),""))</f>
        <v/>
      </c>
      <c r="V208" s="195">
        <f>IF($D208="","",IF(ISNUMBER($N208),DATE(YEAR($N208),MONTH($N208),1),IF(ISNUMBER($M208),DATE(YEAR($M208),MONTH($M208),1),"")))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  <c r="U209" s="195">
        <f>IF($D209="","",IF(ISNUMBER($M209),DATE(YEAR($M209),MONTH($M209),1),""))</f>
        <v/>
      </c>
      <c r="V209" s="195">
        <f>IF($D209="","",IF(ISNUMBER($N209),DATE(YEAR($N209),MONTH($N209),1),IF(ISNUMBER($M209),DATE(YEAR($M209),MONTH($M209),1),"")))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  <c r="U210" s="195">
        <f>IF($D210="","",IF(ISNUMBER($M210),DATE(YEAR($M210),MONTH($M210),1),""))</f>
        <v/>
      </c>
      <c r="V210" s="195">
        <f>IF($D210="","",IF(ISNUMBER($N210),DATE(YEAR($N210),MONTH($N210),1),IF(ISNUMBER($M210),DATE(YEAR($M210),MONTH($M210),1),"")))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  <c r="U211" s="195">
        <f>IF($D211="","",IF(ISNUMBER($M211),DATE(YEAR($M211),MONTH($M211),1),""))</f>
        <v/>
      </c>
      <c r="V211" s="195">
        <f>IF($D211="","",IF(ISNUMBER($N211),DATE(YEAR($N211),MONTH($N211),1),IF(ISNUMBER($M211),DATE(YEAR($M211),MONTH($M211),1),"")))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  <c r="U212" s="195">
        <f>IF($D212="","",IF(ISNUMBER($M212),DATE(YEAR($M212),MONTH($M212),1),""))</f>
        <v/>
      </c>
      <c r="V212" s="195">
        <f>IF($D212="","",IF(ISNUMBER($N212),DATE(YEAR($N212),MONTH($N212),1),IF(ISNUMBER($M212),DATE(YEAR($M212),MONTH($M212),1),"")))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  <c r="U213" s="195">
        <f>IF($D213="","",IF(ISNUMBER($M213),DATE(YEAR($M213),MONTH($M213),1),""))</f>
        <v/>
      </c>
      <c r="V213" s="195">
        <f>IF($D213="","",IF(ISNUMBER($N213),DATE(YEAR($N213),MONTH($N213),1),IF(ISNUMBER($M213),DATE(YEAR($M213),MONTH($M213),1),"")))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  <c r="U214" s="195">
        <f>IF($D214="","",IF(ISNUMBER($M214),DATE(YEAR($M214),MONTH($M214),1),""))</f>
        <v/>
      </c>
      <c r="V214" s="195">
        <f>IF($D214="","",IF(ISNUMBER($N214),DATE(YEAR($N214),MONTH($N214),1),IF(ISNUMBER($M214),DATE(YEAR($M214),MONTH($M214),1),"")))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  <c r="U215" s="195">
        <f>IF($D215="","",IF(ISNUMBER($M215),DATE(YEAR($M215),MONTH($M215),1),""))</f>
        <v/>
      </c>
      <c r="V215" s="195">
        <f>IF($D215="","",IF(ISNUMBER($N215),DATE(YEAR($N215),MONTH($N215),1),IF(ISNUMBER($M215),DATE(YEAR($M215),MONTH($M215),1),"")))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  <c r="U216" s="195">
        <f>IF($D216="","",IF(ISNUMBER($M216),DATE(YEAR($M216),MONTH($M216),1),""))</f>
        <v/>
      </c>
      <c r="V216" s="195">
        <f>IF($D216="","",IF(ISNUMBER($N216),DATE(YEAR($N216),MONTH($N216),1),IF(ISNUMBER($M216),DATE(YEAR($M216),MONTH($M216),1),"")))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  <c r="U217" s="195">
        <f>IF($D217="","",IF(ISNUMBER($M217),DATE(YEAR($M217),MONTH($M217),1),""))</f>
        <v/>
      </c>
      <c r="V217" s="195">
        <f>IF($D217="","",IF(ISNUMBER($N217),DATE(YEAR($N217),MONTH($N217),1),IF(ISNUMBER($M217),DATE(YEAR($M217),MONTH($M217),1),"")))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  <c r="U218" s="195">
        <f>IF($D218="","",IF(ISNUMBER($M218),DATE(YEAR($M218),MONTH($M218),1),""))</f>
        <v/>
      </c>
      <c r="V218" s="195">
        <f>IF($D218="","",IF(ISNUMBER($N218),DATE(YEAR($N218),MONTH($N218),1),IF(ISNUMBER($M218),DATE(YEAR($M218),MONTH($M218),1),"")))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  <c r="U219" s="195">
        <f>IF($D219="","",IF(ISNUMBER($M219),DATE(YEAR($M219),MONTH($M219),1),""))</f>
        <v/>
      </c>
      <c r="V219" s="195">
        <f>IF($D219="","",IF(ISNUMBER($N219),DATE(YEAR($N219),MONTH($N219),1),IF(ISNUMBER($M219),DATE(YEAR($M219),MONTH($M219),1),"")))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  <c r="U220" s="195">
        <f>IF($D220="","",IF(ISNUMBER($M220),DATE(YEAR($M220),MONTH($M220),1),""))</f>
        <v/>
      </c>
      <c r="V220" s="195">
        <f>IF($D220="","",IF(ISNUMBER($N220),DATE(YEAR($N220),MONTH($N220),1),IF(ISNUMBER($M220),DATE(YEAR($M220),MONTH($M220),1),"")))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  <c r="U221" s="195">
        <f>IF($D221="","",IF(ISNUMBER($M221),DATE(YEAR($M221),MONTH($M221),1),""))</f>
        <v/>
      </c>
      <c r="V221" s="195">
        <f>IF($D221="","",IF(ISNUMBER($N221),DATE(YEAR($N221),MONTH($N221),1),IF(ISNUMBER($M221),DATE(YEAR($M221),MONTH($M221),1),"")))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  <c r="U222" s="195">
        <f>IF($D222="","",IF(ISNUMBER($M222),DATE(YEAR($M222),MONTH($M222),1),""))</f>
        <v/>
      </c>
      <c r="V222" s="195">
        <f>IF($D222="","",IF(ISNUMBER($N222),DATE(YEAR($N222),MONTH($N222),1),IF(ISNUMBER($M222),DATE(YEAR($M222),MONTH($M222),1),"")))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  <c r="U223" s="195">
        <f>IF($D223="","",IF(ISNUMBER($M223),DATE(YEAR($M223),MONTH($M223),1),""))</f>
        <v/>
      </c>
      <c r="V223" s="195">
        <f>IF($D223="","",IF(ISNUMBER($N223),DATE(YEAR($N223),MONTH($N223),1),IF(ISNUMBER($M223),DATE(YEAR($M223),MONTH($M223),1),"")))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  <c r="U224" s="195">
        <f>IF($D224="","",IF(ISNUMBER($M224),DATE(YEAR($M224),MONTH($M224),1),""))</f>
        <v/>
      </c>
      <c r="V224" s="195">
        <f>IF($D224="","",IF(ISNUMBER($N224),DATE(YEAR($N224),MONTH($N224),1),IF(ISNUMBER($M224),DATE(YEAR($M224),MONTH($M224),1),"")))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  <c r="U225" s="195">
        <f>IF($D225="","",IF(ISNUMBER($M225),DATE(YEAR($M225),MONTH($M225),1),""))</f>
        <v/>
      </c>
      <c r="V225" s="195">
        <f>IF($D225="","",IF(ISNUMBER($N225),DATE(YEAR($N225),MONTH($N225),1),IF(ISNUMBER($M225),DATE(YEAR($M225),MONTH($M225),1),"")))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  <c r="U226" s="195">
        <f>IF($D226="","",IF(ISNUMBER($M226),DATE(YEAR($M226),MONTH($M226),1),""))</f>
        <v/>
      </c>
      <c r="V226" s="195">
        <f>IF($D226="","",IF(ISNUMBER($N226),DATE(YEAR($N226),MONTH($N226),1),IF(ISNUMBER($M226),DATE(YEAR($M226),MONTH($M226),1),"")))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  <c r="U227" s="195">
        <f>IF($D227="","",IF(ISNUMBER($M227),DATE(YEAR($M227),MONTH($M227),1),""))</f>
        <v/>
      </c>
      <c r="V227" s="195">
        <f>IF($D227="","",IF(ISNUMBER($N227),DATE(YEAR($N227),MONTH($N227),1),IF(ISNUMBER($M227),DATE(YEAR($M227),MONTH($M227),1),"")))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  <c r="U228" s="195">
        <f>IF($D228="","",IF(ISNUMBER($M228),DATE(YEAR($M228),MONTH($M228),1),""))</f>
        <v/>
      </c>
      <c r="V228" s="195">
        <f>IF($D228="","",IF(ISNUMBER($N228),DATE(YEAR($N228),MONTH($N228),1),IF(ISNUMBER($M228),DATE(YEAR($M228),MONTH($M228),1),"")))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  <c r="U229" s="195">
        <f>IF($D229="","",IF(ISNUMBER($M229),DATE(YEAR($M229),MONTH($M229),1),""))</f>
        <v/>
      </c>
      <c r="V229" s="195">
        <f>IF($D229="","",IF(ISNUMBER($N229),DATE(YEAR($N229),MONTH($N229),1),IF(ISNUMBER($M229),DATE(YEAR($M229),MONTH($M229),1),"")))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  <c r="U230" s="195">
        <f>IF($D230="","",IF(ISNUMBER($M230),DATE(YEAR($M230),MONTH($M230),1),""))</f>
        <v/>
      </c>
      <c r="V230" s="195">
        <f>IF($D230="","",IF(ISNUMBER($N230),DATE(YEAR($N230),MONTH($N230),1),IF(ISNUMBER($M230),DATE(YEAR($M230),MONTH($M230),1),"")))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  <c r="U231" s="195">
        <f>IF($D231="","",IF(ISNUMBER($M231),DATE(YEAR($M231),MONTH($M231),1),""))</f>
        <v/>
      </c>
      <c r="V231" s="195">
        <f>IF($D231="","",IF(ISNUMBER($N231),DATE(YEAR($N231),MONTH($N231),1),IF(ISNUMBER($M231),DATE(YEAR($M231),MONTH($M231),1),"")))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  <c r="U232" s="195">
        <f>IF($D232="","",IF(ISNUMBER($M232),DATE(YEAR($M232),MONTH($M232),1),""))</f>
        <v/>
      </c>
      <c r="V232" s="195">
        <f>IF($D232="","",IF(ISNUMBER($N232),DATE(YEAR($N232),MONTH($N232),1),IF(ISNUMBER($M232),DATE(YEAR($M232),MONTH($M232),1),"")))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  <c r="U233" s="195">
        <f>IF($D233="","",IF(ISNUMBER($M233),DATE(YEAR($M233),MONTH($M233),1),""))</f>
        <v/>
      </c>
      <c r="V233" s="195">
        <f>IF($D233="","",IF(ISNUMBER($N233),DATE(YEAR($N233),MONTH($N233),1),IF(ISNUMBER($M233),DATE(YEAR($M233),MONTH($M233),1),"")))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  <c r="U234" s="195">
        <f>IF($D234="","",IF(ISNUMBER($M234),DATE(YEAR($M234),MONTH($M234),1),""))</f>
        <v/>
      </c>
      <c r="V234" s="195">
        <f>IF($D234="","",IF(ISNUMBER($N234),DATE(YEAR($N234),MONTH($N234),1),IF(ISNUMBER($M234),DATE(YEAR($M234),MONTH($M234),1),"")))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  <c r="U235" s="195">
        <f>IF($D235="","",IF(ISNUMBER($M235),DATE(YEAR($M235),MONTH($M235),1),""))</f>
        <v/>
      </c>
      <c r="V235" s="195">
        <f>IF($D235="","",IF(ISNUMBER($N235),DATE(YEAR($N235),MONTH($N235),1),IF(ISNUMBER($M235),DATE(YEAR($M235),MONTH($M235),1),"")))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  <c r="U236" s="195">
        <f>IF($D236="","",IF(ISNUMBER($M236),DATE(YEAR($M236),MONTH($M236),1),""))</f>
        <v/>
      </c>
      <c r="V236" s="195">
        <f>IF($D236="","",IF(ISNUMBER($N236),DATE(YEAR($N236),MONTH($N236),1),IF(ISNUMBER($M236),DATE(YEAR($M236),MONTH($M236),1),"")))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  <c r="U237" s="195">
        <f>IF($D237="","",IF(ISNUMBER($M237),DATE(YEAR($M237),MONTH($M237),1),""))</f>
        <v/>
      </c>
      <c r="V237" s="195">
        <f>IF($D237="","",IF(ISNUMBER($N237),DATE(YEAR($N237),MONTH($N237),1),IF(ISNUMBER($M237),DATE(YEAR($M237),MONTH($M237),1),"")))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  <c r="U238" s="195">
        <f>IF($D238="","",IF(ISNUMBER($M238),DATE(YEAR($M238),MONTH($M238),1),""))</f>
        <v/>
      </c>
      <c r="V238" s="195">
        <f>IF($D238="","",IF(ISNUMBER($N238),DATE(YEAR($N238),MONTH($N238),1),IF(ISNUMBER($M238),DATE(YEAR($M238),MONTH($M238),1),"")))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  <c r="U239" s="195">
        <f>IF($D239="","",IF(ISNUMBER($M239),DATE(YEAR($M239),MONTH($M239),1),""))</f>
        <v/>
      </c>
      <c r="V239" s="195">
        <f>IF($D239="","",IF(ISNUMBER($N239),DATE(YEAR($N239),MONTH($N239),1),IF(ISNUMBER($M239),DATE(YEAR($M239),MONTH($M239),1),"")))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  <c r="U240" s="195">
        <f>IF($D240="","",IF(ISNUMBER($M240),DATE(YEAR($M240),MONTH($M240),1),""))</f>
        <v/>
      </c>
      <c r="V240" s="195">
        <f>IF($D240="","",IF(ISNUMBER($N240),DATE(YEAR($N240),MONTH($N240),1),IF(ISNUMBER($M240),DATE(YEAR($M240),MONTH($M240),1),"")))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  <c r="U241" s="195">
        <f>IF($D241="","",IF(ISNUMBER($M241),DATE(YEAR($M241),MONTH($M241),1),""))</f>
        <v/>
      </c>
      <c r="V241" s="195">
        <f>IF($D241="","",IF(ISNUMBER($N241),DATE(YEAR($N241),MONTH($N241),1),IF(ISNUMBER($M241),DATE(YEAR($M241),MONTH($M241),1),"")))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  <c r="U242" s="195">
        <f>IF($D242="","",IF(ISNUMBER($M242),DATE(YEAR($M242),MONTH($M242),1),""))</f>
        <v/>
      </c>
      <c r="V242" s="195">
        <f>IF($D242="","",IF(ISNUMBER($N242),DATE(YEAR($N242),MONTH($N242),1),IF(ISNUMBER($M242),DATE(YEAR($M242),MONTH($M242),1),"")))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  <c r="U243" s="195">
        <f>IF($D243="","",IF(ISNUMBER($M243),DATE(YEAR($M243),MONTH($M243),1),""))</f>
        <v/>
      </c>
      <c r="V243" s="195">
        <f>IF($D243="","",IF(ISNUMBER($N243),DATE(YEAR($N243),MONTH($N243),1),IF(ISNUMBER($M243),DATE(YEAR($M243),MONTH($M243),1),"")))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  <c r="U244" s="195">
        <f>IF($D244="","",IF(ISNUMBER($M244),DATE(YEAR($M244),MONTH($M244),1),""))</f>
        <v/>
      </c>
      <c r="V244" s="195">
        <f>IF($D244="","",IF(ISNUMBER($N244),DATE(YEAR($N244),MONTH($N244),1),IF(ISNUMBER($M244),DATE(YEAR($M244),MONTH($M244),1),"")))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  <c r="U245" s="195">
        <f>IF($D245="","",IF(ISNUMBER($M245),DATE(YEAR($M245),MONTH($M245),1),""))</f>
        <v/>
      </c>
      <c r="V245" s="195">
        <f>IF($D245="","",IF(ISNUMBER($N245),DATE(YEAR($N245),MONTH($N245),1),IF(ISNUMBER($M245),DATE(YEAR($M245),MONTH($M245),1),"")))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  <c r="U246" s="195">
        <f>IF($D246="","",IF(ISNUMBER($M246),DATE(YEAR($M246),MONTH($M246),1),""))</f>
        <v/>
      </c>
      <c r="V246" s="195">
        <f>IF($D246="","",IF(ISNUMBER($N246),DATE(YEAR($N246),MONTH($N246),1),IF(ISNUMBER($M246),DATE(YEAR($M246),MONTH($M246),1),"")))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  <c r="U247" s="195">
        <f>IF($D247="","",IF(ISNUMBER($M247),DATE(YEAR($M247),MONTH($M247),1),""))</f>
        <v/>
      </c>
      <c r="V247" s="195">
        <f>IF($D247="","",IF(ISNUMBER($N247),DATE(YEAR($N247),MONTH($N247),1),IF(ISNUMBER($M247),DATE(YEAR($M247),MONTH($M247),1),"")))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  <c r="U248" s="195">
        <f>IF($D248="","",IF(ISNUMBER($M248),DATE(YEAR($M248),MONTH($M248),1),""))</f>
        <v/>
      </c>
      <c r="V248" s="195">
        <f>IF($D248="","",IF(ISNUMBER($N248),DATE(YEAR($N248),MONTH($N248),1),IF(ISNUMBER($M248),DATE(YEAR($M248),MONTH($M248),1),"")))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  <c r="U249" s="195">
        <f>IF($D249="","",IF(ISNUMBER($M249),DATE(YEAR($M249),MONTH($M249),1),""))</f>
        <v/>
      </c>
      <c r="V249" s="195">
        <f>IF($D249="","",IF(ISNUMBER($N249),DATE(YEAR($N249),MONTH($N249),1),IF(ISNUMBER($M249),DATE(YEAR($M249),MONTH($M249),1),"")))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  <c r="U250" s="195">
        <f>IF($D250="","",IF(ISNUMBER($M250),DATE(YEAR($M250),MONTH($M250),1),""))</f>
        <v/>
      </c>
      <c r="V250" s="195">
        <f>IF($D250="","",IF(ISNUMBER($N250),DATE(YEAR($N250),MONTH($N250),1),IF(ISNUMBER($M250),DATE(YEAR($M250),MONTH($M250),1),"")))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  <c r="U251" s="195">
        <f>IF($D251="","",IF(ISNUMBER($M251),DATE(YEAR($M251),MONTH($M251),1),""))</f>
        <v/>
      </c>
      <c r="V251" s="195">
        <f>IF($D251="","",IF(ISNUMBER($N251),DATE(YEAR($N251),MONTH($N251),1),IF(ISNUMBER($M251),DATE(YEAR($M251),MONTH($M251),1),"")))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  <c r="U252" s="195">
        <f>IF($D252="","",IF(ISNUMBER($M252),DATE(YEAR($M252),MONTH($M252),1),""))</f>
        <v/>
      </c>
      <c r="V252" s="195">
        <f>IF($D252="","",IF(ISNUMBER($N252),DATE(YEAR($N252),MONTH($N252),1),IF(ISNUMBER($M252),DATE(YEAR($M252),MONTH($M252),1),"")))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  <c r="U253" s="195">
        <f>IF($D253="","",IF(ISNUMBER($M253),DATE(YEAR($M253),MONTH($M253),1),""))</f>
        <v/>
      </c>
      <c r="V253" s="195">
        <f>IF($D253="","",IF(ISNUMBER($N253),DATE(YEAR($N253),MONTH($N253),1),IF(ISNUMBER($M253),DATE(YEAR($M253),MONTH($M253),1),"")))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  <c r="U254" s="195">
        <f>IF($D254="","",IF(ISNUMBER($M254),DATE(YEAR($M254),MONTH($M254),1),""))</f>
        <v/>
      </c>
      <c r="V254" s="195">
        <f>IF($D254="","",IF(ISNUMBER($N254),DATE(YEAR($N254),MONTH($N254),1),IF(ISNUMBER($M254),DATE(YEAR($M254),MONTH($M254),1),"")))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  <c r="U255" s="195">
        <f>IF($D255="","",IF(ISNUMBER($M255),DATE(YEAR($M255),MONTH($M255),1),""))</f>
        <v/>
      </c>
      <c r="V255" s="195">
        <f>IF($D255="","",IF(ISNUMBER($N255),DATE(YEAR($N255),MONTH($N255),1),IF(ISNUMBER($M255),DATE(YEAR($M255),MONTH($M255),1),"")))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  <c r="U256" s="195">
        <f>IF($D256="","",IF(ISNUMBER($M256),DATE(YEAR($M256),MONTH($M256),1),""))</f>
        <v/>
      </c>
      <c r="V256" s="195">
        <f>IF($D256="","",IF(ISNUMBER($N256),DATE(YEAR($N256),MONTH($N256),1),IF(ISNUMBER($M256),DATE(YEAR($M256),MONTH($M256),1),"")))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  <c r="U257" s="195">
        <f>IF($D257="","",IF(ISNUMBER($M257),DATE(YEAR($M257),MONTH($M257),1),""))</f>
        <v/>
      </c>
      <c r="V257" s="195">
        <f>IF($D257="","",IF(ISNUMBER($N257),DATE(YEAR($N257),MONTH($N257),1),IF(ISNUMBER($M257),DATE(YEAR($M257),MONTH($M257),1),"")))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  <c r="U258" s="195">
        <f>IF($D258="","",IF(ISNUMBER($M258),DATE(YEAR($M258),MONTH($M258),1),""))</f>
        <v/>
      </c>
      <c r="V258" s="195">
        <f>IF($D258="","",IF(ISNUMBER($N258),DATE(YEAR($N258),MONTH($N258),1),IF(ISNUMBER($M258),DATE(YEAR($M258),MONTH($M258),1),"")))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  <c r="U259" s="195">
        <f>IF($D259="","",IF(ISNUMBER($M259),DATE(YEAR($M259),MONTH($M259),1),""))</f>
        <v/>
      </c>
      <c r="V259" s="195">
        <f>IF($D259="","",IF(ISNUMBER($N259),DATE(YEAR($N259),MONTH($N259),1),IF(ISNUMBER($M259),DATE(YEAR($M259),MONTH($M259),1),"")))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  <c r="U260" s="195">
        <f>IF($D260="","",IF(ISNUMBER($M260),DATE(YEAR($M260),MONTH($M260),1),""))</f>
        <v/>
      </c>
      <c r="V260" s="195">
        <f>IF($D260="","",IF(ISNUMBER($N260),DATE(YEAR($N260),MONTH($N260),1),IF(ISNUMBER($M260),DATE(YEAR($M260),MONTH($M260),1),"")))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  <c r="U261" s="195">
        <f>IF($D261="","",IF(ISNUMBER($M261),DATE(YEAR($M261),MONTH($M261),1),""))</f>
        <v/>
      </c>
      <c r="V261" s="195">
        <f>IF($D261="","",IF(ISNUMBER($N261),DATE(YEAR($N261),MONTH($N261),1),IF(ISNUMBER($M261),DATE(YEAR($M261),MONTH($M261),1),"")))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  <c r="U262" s="195">
        <f>IF($D262="","",IF(ISNUMBER($M262),DATE(YEAR($M262),MONTH($M262),1),""))</f>
        <v/>
      </c>
      <c r="V262" s="195">
        <f>IF($D262="","",IF(ISNUMBER($N262),DATE(YEAR($N262),MONTH($N262),1),IF(ISNUMBER($M262),DATE(YEAR($M262),MONTH($M262),1),"")))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  <c r="U263" s="195">
        <f>IF($D263="","",IF(ISNUMBER($M263),DATE(YEAR($M263),MONTH($M263),1),""))</f>
        <v/>
      </c>
      <c r="V263" s="195">
        <f>IF($D263="","",IF(ISNUMBER($N263),DATE(YEAR($N263),MONTH($N263),1),IF(ISNUMBER($M263),DATE(YEAR($M263),MONTH($M263),1),"")))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  <c r="U264" s="195">
        <f>IF($D264="","",IF(ISNUMBER($M264),DATE(YEAR($M264),MONTH($M264),1),""))</f>
        <v/>
      </c>
      <c r="V264" s="195">
        <f>IF($D264="","",IF(ISNUMBER($N264),DATE(YEAR($N264),MONTH($N264),1),IF(ISNUMBER($M264),DATE(YEAR($M264),MONTH($M264),1),"")))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  <c r="U265" s="195">
        <f>IF($D265="","",IF(ISNUMBER($M265),DATE(YEAR($M265),MONTH($M265),1),""))</f>
        <v/>
      </c>
      <c r="V265" s="195">
        <f>IF($D265="","",IF(ISNUMBER($N265),DATE(YEAR($N265),MONTH($N265),1),IF(ISNUMBER($M265),DATE(YEAR($M265),MONTH($M265),1),"")))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  <c r="U266" s="195">
        <f>IF($D266="","",IF(ISNUMBER($M266),DATE(YEAR($M266),MONTH($M266),1),""))</f>
        <v/>
      </c>
      <c r="V266" s="195">
        <f>IF($D266="","",IF(ISNUMBER($N266),DATE(YEAR($N266),MONTH($N266),1),IF(ISNUMBER($M266),DATE(YEAR($M266),MONTH($M266),1),"")))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  <c r="U267" s="195">
        <f>IF($D267="","",IF(ISNUMBER($M267),DATE(YEAR($M267),MONTH($M267),1),""))</f>
        <v/>
      </c>
      <c r="V267" s="195">
        <f>IF($D267="","",IF(ISNUMBER($N267),DATE(YEAR($N267),MONTH($N267),1),IF(ISNUMBER($M267),DATE(YEAR($M267),MONTH($M267),1),"")))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  <c r="U268" s="195">
        <f>IF($D268="","",IF(ISNUMBER($M268),DATE(YEAR($M268),MONTH($M268),1),""))</f>
        <v/>
      </c>
      <c r="V268" s="195">
        <f>IF($D268="","",IF(ISNUMBER($N268),DATE(YEAR($N268),MONTH($N268),1),IF(ISNUMBER($M268),DATE(YEAR($M268),MONTH($M268),1),"")))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  <c r="U269" s="195">
        <f>IF($D269="","",IF(ISNUMBER($M269),DATE(YEAR($M269),MONTH($M269),1),""))</f>
        <v/>
      </c>
      <c r="V269" s="195">
        <f>IF($D269="","",IF(ISNUMBER($N269),DATE(YEAR($N269),MONTH($N269),1),IF(ISNUMBER($M269),DATE(YEAR($M269),MONTH($M269),1),"")))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  <c r="U270" s="195">
        <f>IF($D270="","",IF(ISNUMBER($M270),DATE(YEAR($M270),MONTH($M270),1),""))</f>
        <v/>
      </c>
      <c r="V270" s="195">
        <f>IF($D270="","",IF(ISNUMBER($N270),DATE(YEAR($N270),MONTH($N270),1),IF(ISNUMBER($M270),DATE(YEAR($M270),MONTH($M270),1),"")))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  <c r="U271" s="195">
        <f>IF($D271="","",IF(ISNUMBER($M271),DATE(YEAR($M271),MONTH($M271),1),""))</f>
        <v/>
      </c>
      <c r="V271" s="195">
        <f>IF($D271="","",IF(ISNUMBER($N271),DATE(YEAR($N271),MONTH($N271),1),IF(ISNUMBER($M271),DATE(YEAR($M271),MONTH($M271),1),"")))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  <c r="U272" s="195">
        <f>IF($D272="","",IF(ISNUMBER($M272),DATE(YEAR($M272),MONTH($M272),1),""))</f>
        <v/>
      </c>
      <c r="V272" s="195">
        <f>IF($D272="","",IF(ISNUMBER($N272),DATE(YEAR($N272),MONTH($N272),1),IF(ISNUMBER($M272),DATE(YEAR($M272),MONTH($M272),1),"")))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  <c r="U273" s="195">
        <f>IF($D273="","",IF(ISNUMBER($M273),DATE(YEAR($M273),MONTH($M273),1),""))</f>
        <v/>
      </c>
      <c r="V273" s="195">
        <f>IF($D273="","",IF(ISNUMBER($N273),DATE(YEAR($N273),MONTH($N273),1),IF(ISNUMBER($M273),DATE(YEAR($M273),MONTH($M273),1),"")))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  <c r="U274" s="195">
        <f>IF($D274="","",IF(ISNUMBER($M274),DATE(YEAR($M274),MONTH($M274),1),""))</f>
        <v/>
      </c>
      <c r="V274" s="195">
        <f>IF($D274="","",IF(ISNUMBER($N274),DATE(YEAR($N274),MONTH($N274),1),IF(ISNUMBER($M274),DATE(YEAR($M274),MONTH($M274),1),"")))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  <c r="U275" s="195">
        <f>IF($D275="","",IF(ISNUMBER($M275),DATE(YEAR($M275),MONTH($M275),1),""))</f>
        <v/>
      </c>
      <c r="V275" s="195">
        <f>IF($D275="","",IF(ISNUMBER($N275),DATE(YEAR($N275),MONTH($N275),1),IF(ISNUMBER($M275),DATE(YEAR($M275),MONTH($M275),1),"")))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  <c r="U276" s="195">
        <f>IF($D276="","",IF(ISNUMBER($M276),DATE(YEAR($M276),MONTH($M276),1),""))</f>
        <v/>
      </c>
      <c r="V276" s="195">
        <f>IF($D276="","",IF(ISNUMBER($N276),DATE(YEAR($N276),MONTH($N276),1),IF(ISNUMBER($M276),DATE(YEAR($M276),MONTH($M276),1),"")))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  <c r="U277" s="195">
        <f>IF($D277="","",IF(ISNUMBER($M277),DATE(YEAR($M277),MONTH($M277),1),""))</f>
        <v/>
      </c>
      <c r="V277" s="195">
        <f>IF($D277="","",IF(ISNUMBER($N277),DATE(YEAR($N277),MONTH($N277),1),IF(ISNUMBER($M277),DATE(YEAR($M277),MONTH($M277),1),"")))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  <c r="U278" s="195">
        <f>IF($D278="","",IF(ISNUMBER($M278),DATE(YEAR($M278),MONTH($M278),1),""))</f>
        <v/>
      </c>
      <c r="V278" s="195">
        <f>IF($D278="","",IF(ISNUMBER($N278),DATE(YEAR($N278),MONTH($N278),1),IF(ISNUMBER($M278),DATE(YEAR($M278),MONTH($M278),1),"")))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  <c r="U279" s="195">
        <f>IF($D279="","",IF(ISNUMBER($M279),DATE(YEAR($M279),MONTH($M279),1),""))</f>
        <v/>
      </c>
      <c r="V279" s="195">
        <f>IF($D279="","",IF(ISNUMBER($N279),DATE(YEAR($N279),MONTH($N279),1),IF(ISNUMBER($M279),DATE(YEAR($M279),MONTH($M279),1),"")))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  <c r="U280" s="195">
        <f>IF($D280="","",IF(ISNUMBER($M280),DATE(YEAR($M280),MONTH($M280),1),""))</f>
        <v/>
      </c>
      <c r="V280" s="195">
        <f>IF($D280="","",IF(ISNUMBER($N280),DATE(YEAR($N280),MONTH($N280),1),IF(ISNUMBER($M280),DATE(YEAR($M280),MONTH($M280),1),"")))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  <c r="U281" s="195">
        <f>IF($D281="","",IF(ISNUMBER($M281),DATE(YEAR($M281),MONTH($M281),1),""))</f>
        <v/>
      </c>
      <c r="V281" s="195">
        <f>IF($D281="","",IF(ISNUMBER($N281),DATE(YEAR($N281),MONTH($N281),1),IF(ISNUMBER($M281),DATE(YEAR($M281),MONTH($M281),1),"")))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  <c r="U282" s="195">
        <f>IF($D282="","",IF(ISNUMBER($M282),DATE(YEAR($M282),MONTH($M282),1),""))</f>
        <v/>
      </c>
      <c r="V282" s="195">
        <f>IF($D282="","",IF(ISNUMBER($N282),DATE(YEAR($N282),MONTH($N282),1),IF(ISNUMBER($M282),DATE(YEAR($M282),MONTH($M282),1),"")))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  <c r="U283" s="195">
        <f>IF($D283="","",IF(ISNUMBER($M283),DATE(YEAR($M283),MONTH($M283),1),""))</f>
        <v/>
      </c>
      <c r="V283" s="195">
        <f>IF($D283="","",IF(ISNUMBER($N283),DATE(YEAR($N283),MONTH($N283),1),IF(ISNUMBER($M283),DATE(YEAR($M283),MONTH($M283),1),"")))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  <c r="U284" s="195">
        <f>IF($D284="","",IF(ISNUMBER($M284),DATE(YEAR($M284),MONTH($M284),1),""))</f>
        <v/>
      </c>
      <c r="V284" s="195">
        <f>IF($D284="","",IF(ISNUMBER($N284),DATE(YEAR($N284),MONTH($N284),1),IF(ISNUMBER($M284),DATE(YEAR($M284),MONTH($M284),1),"")))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  <c r="U285" s="195">
        <f>IF($D285="","",IF(ISNUMBER($M285),DATE(YEAR($M285),MONTH($M285),1),""))</f>
        <v/>
      </c>
      <c r="V285" s="195">
        <f>IF($D285="","",IF(ISNUMBER($N285),DATE(YEAR($N285),MONTH($N285),1),IF(ISNUMBER($M285),DATE(YEAR($M285),MONTH($M285),1),"")))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  <c r="U286" s="195">
        <f>IF($D286="","",IF(ISNUMBER($M286),DATE(YEAR($M286),MONTH($M286),1),""))</f>
        <v/>
      </c>
      <c r="V286" s="195">
        <f>IF($D286="","",IF(ISNUMBER($N286),DATE(YEAR($N286),MONTH($N286),1),IF(ISNUMBER($M286),DATE(YEAR($M286),MONTH($M286),1),"")))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  <c r="U287" s="195">
        <f>IF($D287="","",IF(ISNUMBER($M287),DATE(YEAR($M287),MONTH($M287),1),""))</f>
        <v/>
      </c>
      <c r="V287" s="195">
        <f>IF($D287="","",IF(ISNUMBER($N287),DATE(YEAR($N287),MONTH($N287),1),IF(ISNUMBER($M287),DATE(YEAR($M287),MONTH($M287),1),"")))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  <c r="U288" s="195">
        <f>IF($D288="","",IF(ISNUMBER($M288),DATE(YEAR($M288),MONTH($M288),1),""))</f>
        <v/>
      </c>
      <c r="V288" s="195">
        <f>IF($D288="","",IF(ISNUMBER($N288),DATE(YEAR($N288),MONTH($N288),1),IF(ISNUMBER($M288),DATE(YEAR($M288),MONTH($M288),1),"")))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  <c r="U289" s="195">
        <f>IF($D289="","",IF(ISNUMBER($M289),DATE(YEAR($M289),MONTH($M289),1),""))</f>
        <v/>
      </c>
      <c r="V289" s="195">
        <f>IF($D289="","",IF(ISNUMBER($N289),DATE(YEAR($N289),MONTH($N289),1),IF(ISNUMBER($M289),DATE(YEAR($M289),MONTH($M289),1),"")))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  <c r="U290" s="195">
        <f>IF($D290="","",IF(ISNUMBER($M290),DATE(YEAR($M290),MONTH($M290),1),""))</f>
        <v/>
      </c>
      <c r="V290" s="195">
        <f>IF($D290="","",IF(ISNUMBER($N290),DATE(YEAR($N290),MONTH($N290),1),IF(ISNUMBER($M290),DATE(YEAR($M290),MONTH($M290),1),"")))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  <c r="U291" s="195">
        <f>IF($D291="","",IF(ISNUMBER($M291),DATE(YEAR($M291),MONTH($M291),1),""))</f>
        <v/>
      </c>
      <c r="V291" s="195">
        <f>IF($D291="","",IF(ISNUMBER($N291),DATE(YEAR($N291),MONTH($N291),1),IF(ISNUMBER($M291),DATE(YEAR($M291),MONTH($M291),1),"")))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  <c r="U292" s="195">
        <f>IF($D292="","",IF(ISNUMBER($M292),DATE(YEAR($M292),MONTH($M292),1),""))</f>
        <v/>
      </c>
      <c r="V292" s="195">
        <f>IF($D292="","",IF(ISNUMBER($N292),DATE(YEAR($N292),MONTH($N292),1),IF(ISNUMBER($M292),DATE(YEAR($M292),MONTH($M292),1),"")))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  <c r="U293" s="195">
        <f>IF($D293="","",IF(ISNUMBER($M293),DATE(YEAR($M293),MONTH($M293),1),""))</f>
        <v/>
      </c>
      <c r="V293" s="195">
        <f>IF($D293="","",IF(ISNUMBER($N293),DATE(YEAR($N293),MONTH($N293),1),IF(ISNUMBER($M293),DATE(YEAR($M293),MONTH($M293),1),"")))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  <c r="U294" s="195">
        <f>IF($D294="","",IF(ISNUMBER($M294),DATE(YEAR($M294),MONTH($M294),1),""))</f>
        <v/>
      </c>
      <c r="V294" s="195">
        <f>IF($D294="","",IF(ISNUMBER($N294),DATE(YEAR($N294),MONTH($N294),1),IF(ISNUMBER($M294),DATE(YEAR($M294),MONTH($M294),1),"")))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  <c r="U295" s="195">
        <f>IF($D295="","",IF(ISNUMBER($M295),DATE(YEAR($M295),MONTH($M295),1),""))</f>
        <v/>
      </c>
      <c r="V295" s="195">
        <f>IF($D295="","",IF(ISNUMBER($N295),DATE(YEAR($N295),MONTH($N295),1),IF(ISNUMBER($M295),DATE(YEAR($M295),MONTH($M295),1),"")))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  <c r="U296" s="195">
        <f>IF($D296="","",IF(ISNUMBER($M296),DATE(YEAR($M296),MONTH($M296),1),""))</f>
        <v/>
      </c>
      <c r="V296" s="195">
        <f>IF($D296="","",IF(ISNUMBER($N296),DATE(YEAR($N296),MONTH($N296),1),IF(ISNUMBER($M296),DATE(YEAR($M296),MONTH($M296),1),"")))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  <c r="U297" s="195">
        <f>IF($D297="","",IF(ISNUMBER($M297),DATE(YEAR($M297),MONTH($M297),1),""))</f>
        <v/>
      </c>
      <c r="V297" s="195">
        <f>IF($D297="","",IF(ISNUMBER($N297),DATE(YEAR($N297),MONTH($N297),1),IF(ISNUMBER($M297),DATE(YEAR($M297),MONTH($M297),1),"")))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  <c r="U298" s="195">
        <f>IF($D298="","",IF(ISNUMBER($M298),DATE(YEAR($M298),MONTH($M298),1),""))</f>
        <v/>
      </c>
      <c r="V298" s="195">
        <f>IF($D298="","",IF(ISNUMBER($N298),DATE(YEAR($N298),MONTH($N298),1),IF(ISNUMBER($M298),DATE(YEAR($M298),MONTH($M298),1),"")))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  <c r="U299" s="195">
        <f>IF($D299="","",IF(ISNUMBER($M299),DATE(YEAR($M299),MONTH($M299),1),""))</f>
        <v/>
      </c>
      <c r="V299" s="195">
        <f>IF($D299="","",IF(ISNUMBER($N299),DATE(YEAR($N299),MONTH($N299),1),IF(ISNUMBER($M299),DATE(YEAR($M299),MONTH($M299),1),"")))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  <c r="U300" s="195">
        <f>IF($D300="","",IF(ISNUMBER($M300),DATE(YEAR($M300),MONTH($M300),1),""))</f>
        <v/>
      </c>
      <c r="V300" s="195">
        <f>IF($D300="","",IF(ISNUMBER($N300),DATE(YEAR($N300),MONTH($N300),1),IF(ISNUMBER($M300),DATE(YEAR($M300),MONTH($M300),1),"")))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  <c r="U301" s="195">
        <f>IF($D301="","",IF(ISNUMBER($M301),DATE(YEAR($M301),MONTH($M301),1),""))</f>
        <v/>
      </c>
      <c r="V301" s="195">
        <f>IF($D301="","",IF(ISNUMBER($N301),DATE(YEAR($N301),MONTH($N301),1),IF(ISNUMBER($M301),DATE(YEAR($M301),MONTH($M301),1),"")))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  <c r="U302" s="195">
        <f>IF($D302="","",IF(ISNUMBER($M302),DATE(YEAR($M302),MONTH($M302),1),""))</f>
        <v/>
      </c>
      <c r="V302" s="195">
        <f>IF($D302="","",IF(ISNUMBER($N302),DATE(YEAR($N302),MONTH($N302),1),IF(ISNUMBER($M302),DATE(YEAR($M302),MONTH($M302),1),"")))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  <c r="U303" s="195">
        <f>IF($D303="","",IF(ISNUMBER($M303),DATE(YEAR($M303),MONTH($M303),1),""))</f>
        <v/>
      </c>
      <c r="V303" s="195">
        <f>IF($D303="","",IF(ISNUMBER($N303),DATE(YEAR($N303),MONTH($N303),1),IF(ISNUMBER($M303),DATE(YEAR($M303),MONTH($M303),1),"")))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  <c r="U304" s="195">
        <f>IF($D304="","",IF(ISNUMBER($M304),DATE(YEAR($M304),MONTH($M304),1),""))</f>
        <v/>
      </c>
      <c r="V304" s="195">
        <f>IF($D304="","",IF(ISNUMBER($N304),DATE(YEAR($N304),MONTH($N304),1),IF(ISNUMBER($M304),DATE(YEAR($M304),MONTH($M304),1),"")))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  <c r="U305" s="195">
        <f>IF($D305="","",IF(ISNUMBER($M305),DATE(YEAR($M305),MONTH($M305),1),""))</f>
        <v/>
      </c>
      <c r="V305" s="195">
        <f>IF($D305="","",IF(ISNUMBER($N305),DATE(YEAR($N305),MONTH($N305),1),IF(ISNUMBER($M305),DATE(YEAR($M305),MONTH($M305),1),"")))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  <c r="U306" s="195">
        <f>IF($D306="","",IF(ISNUMBER($M306),DATE(YEAR($M306),MONTH($M306),1),""))</f>
        <v/>
      </c>
      <c r="V306" s="195">
        <f>IF($D306="","",IF(ISNUMBER($N306),DATE(YEAR($N306),MONTH($N306),1),IF(ISNUMBER($M306),DATE(YEAR($M306),MONTH($M306),1),"")))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  <c r="U307" s="195">
        <f>IF($D307="","",IF(ISNUMBER($M307),DATE(YEAR($M307),MONTH($M307),1),""))</f>
        <v/>
      </c>
      <c r="V307" s="195">
        <f>IF($D307="","",IF(ISNUMBER($N307),DATE(YEAR($N307),MONTH($N307),1),IF(ISNUMBER($M307),DATE(YEAR($M307),MONTH($M307),1),"")))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  <c r="U308" s="195">
        <f>IF($D308="","",IF(ISNUMBER($M308),DATE(YEAR($M308),MONTH($M308),1),""))</f>
        <v/>
      </c>
      <c r="V308" s="195">
        <f>IF($D308="","",IF(ISNUMBER($N308),DATE(YEAR($N308),MONTH($N308),1),IF(ISNUMBER($M308),DATE(YEAR($M308),MONTH($M308),1),"")))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  <c r="U309" s="195">
        <f>IF($D309="","",IF(ISNUMBER($M309),DATE(YEAR($M309),MONTH($M309),1),""))</f>
        <v/>
      </c>
      <c r="V309" s="195">
        <f>IF($D309="","",IF(ISNUMBER($N309),DATE(YEAR($N309),MONTH($N309),1),IF(ISNUMBER($M309),DATE(YEAR($M309),MONTH($M309),1),"")))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  <c r="U310" s="195">
        <f>IF($D310="","",IF(ISNUMBER($M310),DATE(YEAR($M310),MONTH($M310),1),""))</f>
        <v/>
      </c>
      <c r="V310" s="195">
        <f>IF($D310="","",IF(ISNUMBER($N310),DATE(YEAR($N310),MONTH($N310),1),IF(ISNUMBER($M310),DATE(YEAR($M310),MONTH($M310),1),"")))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  <c r="U311" s="195">
        <f>IF($D311="","",IF(ISNUMBER($M311),DATE(YEAR($M311),MONTH($M311),1),""))</f>
        <v/>
      </c>
      <c r="V311" s="195">
        <f>IF($D311="","",IF(ISNUMBER($N311),DATE(YEAR($N311),MONTH($N311),1),IF(ISNUMBER($M311),DATE(YEAR($M311),MONTH($M311),1),"")))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  <c r="U312" s="195">
        <f>IF($D312="","",IF(ISNUMBER($M312),DATE(YEAR($M312),MONTH($M312),1),""))</f>
        <v/>
      </c>
      <c r="V312" s="195">
        <f>IF($D312="","",IF(ISNUMBER($N312),DATE(YEAR($N312),MONTH($N312),1),IF(ISNUMBER($M312),DATE(YEAR($M312),MONTH($M312),1),"")))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  <c r="U313" s="195">
        <f>IF($D313="","",IF(ISNUMBER($M313),DATE(YEAR($M313),MONTH($M313),1),""))</f>
        <v/>
      </c>
      <c r="V313" s="195">
        <f>IF($D313="","",IF(ISNUMBER($N313),DATE(YEAR($N313),MONTH($N313),1),IF(ISNUMBER($M313),DATE(YEAR($M313),MONTH($M313),1),"")))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  <c r="U314" s="195">
        <f>IF($D314="","",IF(ISNUMBER($M314),DATE(YEAR($M314),MONTH($M314),1),""))</f>
        <v/>
      </c>
      <c r="V314" s="195">
        <f>IF($D314="","",IF(ISNUMBER($N314),DATE(YEAR($N314),MONTH($N314),1),IF(ISNUMBER($M314),DATE(YEAR($M314),MONTH($M314),1),"")))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  <c r="U315" s="195">
        <f>IF($D315="","",IF(ISNUMBER($M315),DATE(YEAR($M315),MONTH($M315),1),""))</f>
        <v/>
      </c>
      <c r="V315" s="195">
        <f>IF($D315="","",IF(ISNUMBER($N315),DATE(YEAR($N315),MONTH($N315),1),IF(ISNUMBER($M315),DATE(YEAR($M315),MONTH($M315),1),"")))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  <c r="U316" s="195">
        <f>IF($D316="","",IF(ISNUMBER($M316),DATE(YEAR($M316),MONTH($M316),1),""))</f>
        <v/>
      </c>
      <c r="V316" s="195">
        <f>IF($D316="","",IF(ISNUMBER($N316),DATE(YEAR($N316),MONTH($N316),1),IF(ISNUMBER($M316),DATE(YEAR($M316),MONTH($M316),1),"")))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  <c r="U317" s="195">
        <f>IF($D317="","",IF(ISNUMBER($M317),DATE(YEAR($M317),MONTH($M317),1),""))</f>
        <v/>
      </c>
      <c r="V317" s="195">
        <f>IF($D317="","",IF(ISNUMBER($N317),DATE(YEAR($N317),MONTH($N317),1),IF(ISNUMBER($M317),DATE(YEAR($M317),MONTH($M317),1),"")))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  <c r="U318" s="195">
        <f>IF($D318="","",IF(ISNUMBER($M318),DATE(YEAR($M318),MONTH($M318),1),""))</f>
        <v/>
      </c>
      <c r="V318" s="195">
        <f>IF($D318="","",IF(ISNUMBER($N318),DATE(YEAR($N318),MONTH($N318),1),IF(ISNUMBER($M318),DATE(YEAR($M318),MONTH($M318),1),"")))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  <c r="U319" s="195">
        <f>IF($D319="","",IF(ISNUMBER($M319),DATE(YEAR($M319),MONTH($M319),1),""))</f>
        <v/>
      </c>
      <c r="V319" s="195">
        <f>IF($D319="","",IF(ISNUMBER($N319),DATE(YEAR($N319),MONTH($N319),1),IF(ISNUMBER($M319),DATE(YEAR($M319),MONTH($M319),1),"")))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  <c r="U320" s="195">
        <f>IF($D320="","",IF(ISNUMBER($M320),DATE(YEAR($M320),MONTH($M320),1),""))</f>
        <v/>
      </c>
      <c r="V320" s="195">
        <f>IF($D320="","",IF(ISNUMBER($N320),DATE(YEAR($N320),MONTH($N320),1),IF(ISNUMBER($M320),DATE(YEAR($M320),MONTH($M320),1),"")))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  <c r="U321" s="195">
        <f>IF($D321="","",IF(ISNUMBER($M321),DATE(YEAR($M321),MONTH($M321),1),""))</f>
        <v/>
      </c>
      <c r="V321" s="195">
        <f>IF($D321="","",IF(ISNUMBER($N321),DATE(YEAR($N321),MONTH($N321),1),IF(ISNUMBER($M321),DATE(YEAR($M321),MONTH($M321),1),"")))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  <c r="U322" s="195">
        <f>IF($D322="","",IF(ISNUMBER($M322),DATE(YEAR($M322),MONTH($M322),1),""))</f>
        <v/>
      </c>
      <c r="V322" s="195">
        <f>IF($D322="","",IF(ISNUMBER($N322),DATE(YEAR($N322),MONTH($N322),1),IF(ISNUMBER($M322),DATE(YEAR($M322),MONTH($M322),1),"")))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  <c r="U323" s="195">
        <f>IF($D323="","",IF(ISNUMBER($M323),DATE(YEAR($M323),MONTH($M323),1),""))</f>
        <v/>
      </c>
      <c r="V323" s="195">
        <f>IF($D323="","",IF(ISNUMBER($N323),DATE(YEAR($N323),MONTH($N323),1),IF(ISNUMBER($M323),DATE(YEAR($M323),MONTH($M323),1),"")))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  <c r="U324" s="195">
        <f>IF($D324="","",IF(ISNUMBER($M324),DATE(YEAR($M324),MONTH($M324),1),""))</f>
        <v/>
      </c>
      <c r="V324" s="195">
        <f>IF($D324="","",IF(ISNUMBER($N324),DATE(YEAR($N324),MONTH($N324),1),IF(ISNUMBER($M324),DATE(YEAR($M324),MONTH($M324),1),"")))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  <c r="U325" s="195">
        <f>IF($D325="","",IF(ISNUMBER($M325),DATE(YEAR($M325),MONTH($M325),1),""))</f>
        <v/>
      </c>
      <c r="V325" s="195">
        <f>IF($D325="","",IF(ISNUMBER($N325),DATE(YEAR($N325),MONTH($N325),1),IF(ISNUMBER($M325),DATE(YEAR($M325),MONTH($M325),1),"")))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  <c r="U326" s="195">
        <f>IF($D326="","",IF(ISNUMBER($M326),DATE(YEAR($M326),MONTH($M326),1),""))</f>
        <v/>
      </c>
      <c r="V326" s="195">
        <f>IF($D326="","",IF(ISNUMBER($N326),DATE(YEAR($N326),MONTH($N326),1),IF(ISNUMBER($M326),DATE(YEAR($M326),MONTH($M326),1),"")))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  <c r="U327" s="195">
        <f>IF($D327="","",IF(ISNUMBER($M327),DATE(YEAR($M327),MONTH($M327),1),""))</f>
        <v/>
      </c>
      <c r="V327" s="195">
        <f>IF($D327="","",IF(ISNUMBER($N327),DATE(YEAR($N327),MONTH($N327),1),IF(ISNUMBER($M327),DATE(YEAR($M327),MONTH($M327),1),"")))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  <c r="U328" s="195">
        <f>IF($D328="","",IF(ISNUMBER($M328),DATE(YEAR($M328),MONTH($M328),1),""))</f>
        <v/>
      </c>
      <c r="V328" s="195">
        <f>IF($D328="","",IF(ISNUMBER($N328),DATE(YEAR($N328),MONTH($N328),1),IF(ISNUMBER($M328),DATE(YEAR($M328),MONTH($M328),1),"")))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  <c r="U329" s="195">
        <f>IF($D329="","",IF(ISNUMBER($M329),DATE(YEAR($M329),MONTH($M329),1),""))</f>
        <v/>
      </c>
      <c r="V329" s="195">
        <f>IF($D329="","",IF(ISNUMBER($N329),DATE(YEAR($N329),MONTH($N329),1),IF(ISNUMBER($M329),DATE(YEAR($M329),MONTH($M329),1),"")))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  <c r="U330" s="195">
        <f>IF($D330="","",IF(ISNUMBER($M330),DATE(YEAR($M330),MONTH($M330),1),""))</f>
        <v/>
      </c>
      <c r="V330" s="195">
        <f>IF($D330="","",IF(ISNUMBER($N330),DATE(YEAR($N330),MONTH($N330),1),IF(ISNUMBER($M330),DATE(YEAR($M330),MONTH($M330),1),"")))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  <c r="U331" s="195">
        <f>IF($D331="","",IF(ISNUMBER($M331),DATE(YEAR($M331),MONTH($M331),1),""))</f>
        <v/>
      </c>
      <c r="V331" s="195">
        <f>IF($D331="","",IF(ISNUMBER($N331),DATE(YEAR($N331),MONTH($N331),1),IF(ISNUMBER($M331),DATE(YEAR($M331),MONTH($M331),1),"")))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  <c r="U332" s="195">
        <f>IF($D332="","",IF(ISNUMBER($M332),DATE(YEAR($M332),MONTH($M332),1),""))</f>
        <v/>
      </c>
      <c r="V332" s="195">
        <f>IF($D332="","",IF(ISNUMBER($N332),DATE(YEAR($N332),MONTH($N332),1),IF(ISNUMBER($M332),DATE(YEAR($M332),MONTH($M332),1),"")))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  <c r="U333" s="195">
        <f>IF($D333="","",IF(ISNUMBER($M333),DATE(YEAR($M333),MONTH($M333),1),""))</f>
        <v/>
      </c>
      <c r="V333" s="195">
        <f>IF($D333="","",IF(ISNUMBER($N333),DATE(YEAR($N333),MONTH($N333),1),IF(ISNUMBER($M333),DATE(YEAR($M333),MONTH($M333),1),"")))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  <c r="U334" s="195">
        <f>IF($D334="","",IF(ISNUMBER($M334),DATE(YEAR($M334),MONTH($M334),1),""))</f>
        <v/>
      </c>
      <c r="V334" s="195">
        <f>IF($D334="","",IF(ISNUMBER($N334),DATE(YEAR($N334),MONTH($N334),1),IF(ISNUMBER($M334),DATE(YEAR($M334),MONTH($M334),1),"")))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  <c r="U335" s="195">
        <f>IF($D335="","",IF(ISNUMBER($M335),DATE(YEAR($M335),MONTH($M335),1),""))</f>
        <v/>
      </c>
      <c r="V335" s="195">
        <f>IF($D335="","",IF(ISNUMBER($N335),DATE(YEAR($N335),MONTH($N335),1),IF(ISNUMBER($M335),DATE(YEAR($M335),MONTH($M335),1),"")))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  <c r="U336" s="195">
        <f>IF($D336="","",IF(ISNUMBER($M336),DATE(YEAR($M336),MONTH($M336),1),""))</f>
        <v/>
      </c>
      <c r="V336" s="195">
        <f>IF($D336="","",IF(ISNUMBER($N336),DATE(YEAR($N336),MONTH($N336),1),IF(ISNUMBER($M336),DATE(YEAR($M336),MONTH($M336),1),"")))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  <c r="U337" s="195">
        <f>IF($D337="","",IF(ISNUMBER($M337),DATE(YEAR($M337),MONTH($M337),1),""))</f>
        <v/>
      </c>
      <c r="V337" s="195">
        <f>IF($D337="","",IF(ISNUMBER($N337),DATE(YEAR($N337),MONTH($N337),1),IF(ISNUMBER($M337),DATE(YEAR($M337),MONTH($M337),1),"")))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  <c r="U338" s="195">
        <f>IF($D338="","",IF(ISNUMBER($M338),DATE(YEAR($M338),MONTH($M338),1),""))</f>
        <v/>
      </c>
      <c r="V338" s="195">
        <f>IF($D338="","",IF(ISNUMBER($N338),DATE(YEAR($N338),MONTH($N338),1),IF(ISNUMBER($M338),DATE(YEAR($M338),MONTH($M338),1),"")))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  <c r="U339" s="195">
        <f>IF($D339="","",IF(ISNUMBER($M339),DATE(YEAR($M339),MONTH($M339),1),""))</f>
        <v/>
      </c>
      <c r="V339" s="195">
        <f>IF($D339="","",IF(ISNUMBER($N339),DATE(YEAR($N339),MONTH($N339),1),IF(ISNUMBER($M339),DATE(YEAR($M339),MONTH($M339),1),"")))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  <c r="U340" s="195">
        <f>IF($D340="","",IF(ISNUMBER($M340),DATE(YEAR($M340),MONTH($M340),1),""))</f>
        <v/>
      </c>
      <c r="V340" s="195">
        <f>IF($D340="","",IF(ISNUMBER($N340),DATE(YEAR($N340),MONTH($N340),1),IF(ISNUMBER($M340),DATE(YEAR($M340),MONTH($M340),1),"")))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  <c r="U341" s="195">
        <f>IF($D341="","",IF(ISNUMBER($M341),DATE(YEAR($M341),MONTH($M341),1),""))</f>
        <v/>
      </c>
      <c r="V341" s="195">
        <f>IF($D341="","",IF(ISNUMBER($N341),DATE(YEAR($N341),MONTH($N341),1),IF(ISNUMBER($M341),DATE(YEAR($M341),MONTH($M341),1),"")))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  <c r="U342" s="195">
        <f>IF($D342="","",IF(ISNUMBER($M342),DATE(YEAR($M342),MONTH($M342),1),""))</f>
        <v/>
      </c>
      <c r="V342" s="195">
        <f>IF($D342="","",IF(ISNUMBER($N342),DATE(YEAR($N342),MONTH($N342),1),IF(ISNUMBER($M342),DATE(YEAR($M342),MONTH($M342),1),"")))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  <c r="U343" s="195">
        <f>IF($D343="","",IF(ISNUMBER($M343),DATE(YEAR($M343),MONTH($M343),1),""))</f>
        <v/>
      </c>
      <c r="V343" s="195">
        <f>IF($D343="","",IF(ISNUMBER($N343),DATE(YEAR($N343),MONTH($N343),1),IF(ISNUMBER($M343),DATE(YEAR($M343),MONTH($M343),1),"")))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  <c r="U344" s="195">
        <f>IF($D344="","",IF(ISNUMBER($M344),DATE(YEAR($M344),MONTH($M344),1),""))</f>
        <v/>
      </c>
      <c r="V344" s="195">
        <f>IF($D344="","",IF(ISNUMBER($N344),DATE(YEAR($N344),MONTH($N344),1),IF(ISNUMBER($M344),DATE(YEAR($M344),MONTH($M344),1),"")))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  <c r="U345" s="195">
        <f>IF($D345="","",IF(ISNUMBER($M345),DATE(YEAR($M345),MONTH($M345),1),""))</f>
        <v/>
      </c>
      <c r="V345" s="195">
        <f>IF($D345="","",IF(ISNUMBER($N345),DATE(YEAR($N345),MONTH($N345),1),IF(ISNUMBER($M345),DATE(YEAR($M345),MONTH($M345),1),"")))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  <c r="U346" s="195">
        <f>IF($D346="","",IF(ISNUMBER($M346),DATE(YEAR($M346),MONTH($M346),1),""))</f>
        <v/>
      </c>
      <c r="V346" s="195">
        <f>IF($D346="","",IF(ISNUMBER($N346),DATE(YEAR($N346),MONTH($N346),1),IF(ISNUMBER($M346),DATE(YEAR($M346),MONTH($M346),1),"")))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  <c r="U347" s="195">
        <f>IF($D347="","",IF(ISNUMBER($M347),DATE(YEAR($M347),MONTH($M347),1),""))</f>
        <v/>
      </c>
      <c r="V347" s="195">
        <f>IF($D347="","",IF(ISNUMBER($N347),DATE(YEAR($N347),MONTH($N347),1),IF(ISNUMBER($M347),DATE(YEAR($M347),MONTH($M347),1),"")))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  <c r="U348" s="195">
        <f>IF($D348="","",IF(ISNUMBER($M348),DATE(YEAR($M348),MONTH($M348),1),""))</f>
        <v/>
      </c>
      <c r="V348" s="195">
        <f>IF($D348="","",IF(ISNUMBER($N348),DATE(YEAR($N348),MONTH($N348),1),IF(ISNUMBER($M348),DATE(YEAR($M348),MONTH($M348),1),"")))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  <c r="U349" s="195">
        <f>IF($D349="","",IF(ISNUMBER($M349),DATE(YEAR($M349),MONTH($M349),1),""))</f>
        <v/>
      </c>
      <c r="V349" s="195">
        <f>IF($D349="","",IF(ISNUMBER($N349),DATE(YEAR($N349),MONTH($N349),1),IF(ISNUMBER($M349),DATE(YEAR($M349),MONTH($M349),1),"")))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  <c r="U350" s="195">
        <f>IF($D350="","",IF(ISNUMBER($M350),DATE(YEAR($M350),MONTH($M350),1),""))</f>
        <v/>
      </c>
      <c r="V350" s="195">
        <f>IF($D350="","",IF(ISNUMBER($N350),DATE(YEAR($N350),MONTH($N350),1),IF(ISNUMBER($M350),DATE(YEAR($M350),MONTH($M350),1),"")))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  <c r="U351" s="195">
        <f>IF($D351="","",IF(ISNUMBER($M351),DATE(YEAR($M351),MONTH($M351),1),""))</f>
        <v/>
      </c>
      <c r="V351" s="195">
        <f>IF($D351="","",IF(ISNUMBER($N351),DATE(YEAR($N351),MONTH($N351),1),IF(ISNUMBER($M351),DATE(YEAR($M351),MONTH($M351),1),"")))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  <c r="U352" s="195">
        <f>IF($D352="","",IF(ISNUMBER($M352),DATE(YEAR($M352),MONTH($M352),1),""))</f>
        <v/>
      </c>
      <c r="V352" s="195">
        <f>IF($D352="","",IF(ISNUMBER($N352),DATE(YEAR($N352),MONTH($N352),1),IF(ISNUMBER($M352),DATE(YEAR($M352),MONTH($M352),1),"")))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  <c r="U353" s="195">
        <f>IF($D353="","",IF(ISNUMBER($M353),DATE(YEAR($M353),MONTH($M353),1),""))</f>
        <v/>
      </c>
      <c r="V353" s="195">
        <f>IF($D353="","",IF(ISNUMBER($N353),DATE(YEAR($N353),MONTH($N353),1),IF(ISNUMBER($M353),DATE(YEAR($M353),MONTH($M353),1),"")))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  <c r="U354" s="195">
        <f>IF($D354="","",IF(ISNUMBER($M354),DATE(YEAR($M354),MONTH($M354),1),""))</f>
        <v/>
      </c>
      <c r="V354" s="195">
        <f>IF($D354="","",IF(ISNUMBER($N354),DATE(YEAR($N354),MONTH($N354),1),IF(ISNUMBER($M354),DATE(YEAR($M354),MONTH($M354),1),"")))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  <c r="U355" s="195">
        <f>IF($D355="","",IF(ISNUMBER($M355),DATE(YEAR($M355),MONTH($M355),1),""))</f>
        <v/>
      </c>
      <c r="V355" s="195">
        <f>IF($D355="","",IF(ISNUMBER($N355),DATE(YEAR($N355),MONTH($N355),1),IF(ISNUMBER($M355),DATE(YEAR($M355),MONTH($M355),1),"")))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  <c r="U356" s="195">
        <f>IF($D356="","",IF(ISNUMBER($M356),DATE(YEAR($M356),MONTH($M356),1),""))</f>
        <v/>
      </c>
      <c r="V356" s="195">
        <f>IF($D356="","",IF(ISNUMBER($N356),DATE(YEAR($N356),MONTH($N356),1),IF(ISNUMBER($M356),DATE(YEAR($M356),MONTH($M356),1),"")))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  <c r="U357" s="195">
        <f>IF($D357="","",IF(ISNUMBER($M357),DATE(YEAR($M357),MONTH($M357),1),""))</f>
        <v/>
      </c>
      <c r="V357" s="195">
        <f>IF($D357="","",IF(ISNUMBER($N357),DATE(YEAR($N357),MONTH($N357),1),IF(ISNUMBER($M357),DATE(YEAR($M357),MONTH($M357),1),"")))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  <c r="U358" s="195">
        <f>IF($D358="","",IF(ISNUMBER($M358),DATE(YEAR($M358),MONTH($M358),1),""))</f>
        <v/>
      </c>
      <c r="V358" s="195">
        <f>IF($D358="","",IF(ISNUMBER($N358),DATE(YEAR($N358),MONTH($N358),1),IF(ISNUMBER($M358),DATE(YEAR($M358),MONTH($M358),1),"")))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  <c r="U359" s="195">
        <f>IF($D359="","",IF(ISNUMBER($M359),DATE(YEAR($M359),MONTH($M359),1),""))</f>
        <v/>
      </c>
      <c r="V359" s="195">
        <f>IF($D359="","",IF(ISNUMBER($N359),DATE(YEAR($N359),MONTH($N359),1),IF(ISNUMBER($M359),DATE(YEAR($M359),MONTH($M359),1),"")))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  <c r="U360" s="195">
        <f>IF($D360="","",IF(ISNUMBER($M360),DATE(YEAR($M360),MONTH($M360),1),""))</f>
        <v/>
      </c>
      <c r="V360" s="195">
        <f>IF($D360="","",IF(ISNUMBER($N360),DATE(YEAR($N360),MONTH($N360),1),IF(ISNUMBER($M360),DATE(YEAR($M360),MONTH($M360),1),"")))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  <c r="U361" s="195">
        <f>IF($D361="","",IF(ISNUMBER($M361),DATE(YEAR($M361),MONTH($M361),1),""))</f>
        <v/>
      </c>
      <c r="V361" s="195">
        <f>IF($D361="","",IF(ISNUMBER($N361),DATE(YEAR($N361),MONTH($N361),1),IF(ISNUMBER($M361),DATE(YEAR($M361),MONTH($M361),1),"")))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  <c r="U362" s="195">
        <f>IF($D362="","",IF(ISNUMBER($M362),DATE(YEAR($M362),MONTH($M362),1),""))</f>
        <v/>
      </c>
      <c r="V362" s="195">
        <f>IF($D362="","",IF(ISNUMBER($N362),DATE(YEAR($N362),MONTH($N362),1),IF(ISNUMBER($M362),DATE(YEAR($M362),MONTH($M362),1),"")))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  <c r="U363" s="195">
        <f>IF($D363="","",IF(ISNUMBER($M363),DATE(YEAR($M363),MONTH($M363),1),""))</f>
        <v/>
      </c>
      <c r="V363" s="195">
        <f>IF($D363="","",IF(ISNUMBER($N363),DATE(YEAR($N363),MONTH($N363),1),IF(ISNUMBER($M363),DATE(YEAR($M363),MONTH($M363),1),"")))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  <c r="U364" s="195">
        <f>IF($D364="","",IF(ISNUMBER($M364),DATE(YEAR($M364),MONTH($M364),1),""))</f>
        <v/>
      </c>
      <c r="V364" s="195">
        <f>IF($D364="","",IF(ISNUMBER($N364),DATE(YEAR($N364),MONTH($N364),1),IF(ISNUMBER($M364),DATE(YEAR($M364),MONTH($M364),1),"")))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  <c r="U365" s="195">
        <f>IF($D365="","",IF(ISNUMBER($M365),DATE(YEAR($M365),MONTH($M365),1),""))</f>
        <v/>
      </c>
      <c r="V365" s="195">
        <f>IF($D365="","",IF(ISNUMBER($N365),DATE(YEAR($N365),MONTH($N365),1),IF(ISNUMBER($M365),DATE(YEAR($M365),MONTH($M365),1),"")))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  <c r="U366" s="195">
        <f>IF($D366="","",IF(ISNUMBER($M366),DATE(YEAR($M366),MONTH($M366),1),""))</f>
        <v/>
      </c>
      <c r="V366" s="195">
        <f>IF($D366="","",IF(ISNUMBER($N366),DATE(YEAR($N366),MONTH($N366),1),IF(ISNUMBER($M366),DATE(YEAR($M366),MONTH($M366),1),"")))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  <c r="U367" s="195">
        <f>IF($D367="","",IF(ISNUMBER($M367),DATE(YEAR($M367),MONTH($M367),1),""))</f>
        <v/>
      </c>
      <c r="V367" s="195">
        <f>IF($D367="","",IF(ISNUMBER($N367),DATE(YEAR($N367),MONTH($N367),1),IF(ISNUMBER($M367),DATE(YEAR($M367),MONTH($M367),1),"")))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  <c r="U368" s="195">
        <f>IF($D368="","",IF(ISNUMBER($M368),DATE(YEAR($M368),MONTH($M368),1),""))</f>
        <v/>
      </c>
      <c r="V368" s="195">
        <f>IF($D368="","",IF(ISNUMBER($N368),DATE(YEAR($N368),MONTH($N368),1),IF(ISNUMBER($M368),DATE(YEAR($M368),MONTH($M368),1),"")))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  <c r="U369" s="195">
        <f>IF($D369="","",IF(ISNUMBER($M369),DATE(YEAR($M369),MONTH($M369),1),""))</f>
        <v/>
      </c>
      <c r="V369" s="195">
        <f>IF($D369="","",IF(ISNUMBER($N369),DATE(YEAR($N369),MONTH($N369),1),IF(ISNUMBER($M369),DATE(YEAR($M369),MONTH($M369),1),"")))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  <c r="U370" s="195">
        <f>IF($D370="","",IF(ISNUMBER($M370),DATE(YEAR($M370),MONTH($M370),1),""))</f>
        <v/>
      </c>
      <c r="V370" s="195">
        <f>IF($D370="","",IF(ISNUMBER($N370),DATE(YEAR($N370),MONTH($N370),1),IF(ISNUMBER($M370),DATE(YEAR($M370),MONTH($M370),1),"")))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  <c r="U371" s="195">
        <f>IF($D371="","",IF(ISNUMBER($M371),DATE(YEAR($M371),MONTH($M371),1),""))</f>
        <v/>
      </c>
      <c r="V371" s="195">
        <f>IF($D371="","",IF(ISNUMBER($N371),DATE(YEAR($N371),MONTH($N371),1),IF(ISNUMBER($M371),DATE(YEAR($M371),MONTH($M371),1),"")))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  <c r="U372" s="195">
        <f>IF($D372="","",IF(ISNUMBER($M372),DATE(YEAR($M372),MONTH($M372),1),""))</f>
        <v/>
      </c>
      <c r="V372" s="195">
        <f>IF($D372="","",IF(ISNUMBER($N372),DATE(YEAR($N372),MONTH($N372),1),IF(ISNUMBER($M372),DATE(YEAR($M372),MONTH($M372),1),"")))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  <c r="U373" s="195">
        <f>IF($D373="","",IF(ISNUMBER($M373),DATE(YEAR($M373),MONTH($M373),1),""))</f>
        <v/>
      </c>
      <c r="V373" s="195">
        <f>IF($D373="","",IF(ISNUMBER($N373),DATE(YEAR($N373),MONTH($N373),1),IF(ISNUMBER($M373),DATE(YEAR($M373),MONTH($M373),1),"")))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  <c r="U374" s="195">
        <f>IF($D374="","",IF(ISNUMBER($M374),DATE(YEAR($M374),MONTH($M374),1),""))</f>
        <v/>
      </c>
      <c r="V374" s="195">
        <f>IF($D374="","",IF(ISNUMBER($N374),DATE(YEAR($N374),MONTH($N374),1),IF(ISNUMBER($M374),DATE(YEAR($M374),MONTH($M374),1),"")))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  <c r="U375" s="195">
        <f>IF($D375="","",IF(ISNUMBER($M375),DATE(YEAR($M375),MONTH($M375),1),""))</f>
        <v/>
      </c>
      <c r="V375" s="195">
        <f>IF($D375="","",IF(ISNUMBER($N375),DATE(YEAR($N375),MONTH($N375),1),IF(ISNUMBER($M375),DATE(YEAR($M375),MONTH($M375),1),"")))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  <c r="U376" s="195">
        <f>IF($D376="","",IF(ISNUMBER($M376),DATE(YEAR($M376),MONTH($M376),1),""))</f>
        <v/>
      </c>
      <c r="V376" s="195">
        <f>IF($D376="","",IF(ISNUMBER($N376),DATE(YEAR($N376),MONTH($N376),1),IF(ISNUMBER($M376),DATE(YEAR($M376),MONTH($M376),1),"")))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  <c r="U377" s="195">
        <f>IF($D377="","",IF(ISNUMBER($M377),DATE(YEAR($M377),MONTH($M377),1),""))</f>
        <v/>
      </c>
      <c r="V377" s="195">
        <f>IF($D377="","",IF(ISNUMBER($N377),DATE(YEAR($N377),MONTH($N377),1),IF(ISNUMBER($M377),DATE(YEAR($M377),MONTH($M377),1),"")))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  <c r="U378" s="195">
        <f>IF($D378="","",IF(ISNUMBER($M378),DATE(YEAR($M378),MONTH($M378),1),""))</f>
        <v/>
      </c>
      <c r="V378" s="195">
        <f>IF($D378="","",IF(ISNUMBER($N378),DATE(YEAR($N378),MONTH($N378),1),IF(ISNUMBER($M378),DATE(YEAR($M378),MONTH($M378),1),"")))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  <c r="U379" s="195">
        <f>IF($D379="","",IF(ISNUMBER($M379),DATE(YEAR($M379),MONTH($M379),1),""))</f>
        <v/>
      </c>
      <c r="V379" s="195">
        <f>IF($D379="","",IF(ISNUMBER($N379),DATE(YEAR($N379),MONTH($N379),1),IF(ISNUMBER($M379),DATE(YEAR($M379),MONTH($M379),1),"")))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  <c r="U380" s="195">
        <f>IF($D380="","",IF(ISNUMBER($M380),DATE(YEAR($M380),MONTH($M380),1),""))</f>
        <v/>
      </c>
      <c r="V380" s="195">
        <f>IF($D380="","",IF(ISNUMBER($N380),DATE(YEAR($N380),MONTH($N380),1),IF(ISNUMBER($M380),DATE(YEAR($M380),MONTH($M380),1),"")))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  <c r="U381" s="195">
        <f>IF($D381="","",IF(ISNUMBER($M381),DATE(YEAR($M381),MONTH($M381),1),""))</f>
        <v/>
      </c>
      <c r="V381" s="195">
        <f>IF($D381="","",IF(ISNUMBER($N381),DATE(YEAR($N381),MONTH($N381),1),IF(ISNUMBER($M381),DATE(YEAR($M381),MONTH($M381),1),"")))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  <c r="U382" s="195">
        <f>IF($D382="","",IF(ISNUMBER($M382),DATE(YEAR($M382),MONTH($M382),1),""))</f>
        <v/>
      </c>
      <c r="V382" s="195">
        <f>IF($D382="","",IF(ISNUMBER($N382),DATE(YEAR($N382),MONTH($N382),1),IF(ISNUMBER($M382),DATE(YEAR($M382),MONTH($M382),1),"")))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  <c r="U383" s="195">
        <f>IF($D383="","",IF(ISNUMBER($M383),DATE(YEAR($M383),MONTH($M383),1),""))</f>
        <v/>
      </c>
      <c r="V383" s="195">
        <f>IF($D383="","",IF(ISNUMBER($N383),DATE(YEAR($N383),MONTH($N383),1),IF(ISNUMBER($M383),DATE(YEAR($M383),MONTH($M383),1),"")))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  <c r="U384" s="195">
        <f>IF($D384="","",IF(ISNUMBER($M384),DATE(YEAR($M384),MONTH($M384),1),""))</f>
        <v/>
      </c>
      <c r="V384" s="195">
        <f>IF($D384="","",IF(ISNUMBER($N384),DATE(YEAR($N384),MONTH($N384),1),IF(ISNUMBER($M384),DATE(YEAR($M384),MONTH($M384),1),"")))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  <c r="U385" s="195">
        <f>IF($D385="","",IF(ISNUMBER($M385),DATE(YEAR($M385),MONTH($M385),1),""))</f>
        <v/>
      </c>
      <c r="V385" s="195">
        <f>IF($D385="","",IF(ISNUMBER($N385),DATE(YEAR($N385),MONTH($N385),1),IF(ISNUMBER($M385),DATE(YEAR($M385),MONTH($M385),1),"")))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  <c r="U386" s="195">
        <f>IF($D386="","",IF(ISNUMBER($M386),DATE(YEAR($M386),MONTH($M386),1),""))</f>
        <v/>
      </c>
      <c r="V386" s="195">
        <f>IF($D386="","",IF(ISNUMBER($N386),DATE(YEAR($N386),MONTH($N386),1),IF(ISNUMBER($M386),DATE(YEAR($M386),MONTH($M386),1),"")))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  <c r="U387" s="195">
        <f>IF($D387="","",IF(ISNUMBER($M387),DATE(YEAR($M387),MONTH($M387),1),""))</f>
        <v/>
      </c>
      <c r="V387" s="195">
        <f>IF($D387="","",IF(ISNUMBER($N387),DATE(YEAR($N387),MONTH($N387),1),IF(ISNUMBER($M387),DATE(YEAR($M387),MONTH($M387),1),"")))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  <c r="U388" s="195">
        <f>IF($D388="","",IF(ISNUMBER($M388),DATE(YEAR($M388),MONTH($M388),1),""))</f>
        <v/>
      </c>
      <c r="V388" s="195">
        <f>IF($D388="","",IF(ISNUMBER($N388),DATE(YEAR($N388),MONTH($N388),1),IF(ISNUMBER($M388),DATE(YEAR($M388),MONTH($M388),1),"")))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  <c r="U389" s="195">
        <f>IF($D389="","",IF(ISNUMBER($M389),DATE(YEAR($M389),MONTH($M389),1),""))</f>
        <v/>
      </c>
      <c r="V389" s="195">
        <f>IF($D389="","",IF(ISNUMBER($N389),DATE(YEAR($N389),MONTH($N389),1),IF(ISNUMBER($M389),DATE(YEAR($M389),MONTH($M389),1),"")))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  <c r="U390" s="195">
        <f>IF($D390="","",IF(ISNUMBER($M390),DATE(YEAR($M390),MONTH($M390),1),""))</f>
        <v/>
      </c>
      <c r="V390" s="195">
        <f>IF($D390="","",IF(ISNUMBER($N390),DATE(YEAR($N390),MONTH($N390),1),IF(ISNUMBER($M390),DATE(YEAR($M390),MONTH($M390),1),"")))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  <c r="U391" s="195">
        <f>IF($D391="","",IF(ISNUMBER($M391),DATE(YEAR($M391),MONTH($M391),1),""))</f>
        <v/>
      </c>
      <c r="V391" s="195">
        <f>IF($D391="","",IF(ISNUMBER($N391),DATE(YEAR($N391),MONTH($N391),1),IF(ISNUMBER($M391),DATE(YEAR($M391),MONTH($M391),1),"")))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  <c r="U392" s="195">
        <f>IF($D392="","",IF(ISNUMBER($M392),DATE(YEAR($M392),MONTH($M392),1),""))</f>
        <v/>
      </c>
      <c r="V392" s="195">
        <f>IF($D392="","",IF(ISNUMBER($N392),DATE(YEAR($N392),MONTH($N392),1),IF(ISNUMBER($M392),DATE(YEAR($M392),MONTH($M392),1),"")))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  <c r="U393" s="195">
        <f>IF($D393="","",IF(ISNUMBER($M393),DATE(YEAR($M393),MONTH($M393),1),""))</f>
        <v/>
      </c>
      <c r="V393" s="195">
        <f>IF($D393="","",IF(ISNUMBER($N393),DATE(YEAR($N393),MONTH($N393),1),IF(ISNUMBER($M393),DATE(YEAR($M393),MONTH($M393),1),"")))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  <c r="U394" s="195">
        <f>IF($D394="","",IF(ISNUMBER($M394),DATE(YEAR($M394),MONTH($M394),1),""))</f>
        <v/>
      </c>
      <c r="V394" s="195">
        <f>IF($D394="","",IF(ISNUMBER($N394),DATE(YEAR($N394),MONTH($N394),1),IF(ISNUMBER($M394),DATE(YEAR($M394),MONTH($M394),1),"")))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  <c r="U395" s="195">
        <f>IF($D395="","",IF(ISNUMBER($M395),DATE(YEAR($M395),MONTH($M395),1),""))</f>
        <v/>
      </c>
      <c r="V395" s="195">
        <f>IF($D395="","",IF(ISNUMBER($N395),DATE(YEAR($N395),MONTH($N395),1),IF(ISNUMBER($M395),DATE(YEAR($M395),MONTH($M395),1),"")))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  <c r="U396" s="195">
        <f>IF($D396="","",IF(ISNUMBER($M396),DATE(YEAR($M396),MONTH($M396),1),""))</f>
        <v/>
      </c>
      <c r="V396" s="195">
        <f>IF($D396="","",IF(ISNUMBER($N396),DATE(YEAR($N396),MONTH($N396),1),IF(ISNUMBER($M396),DATE(YEAR($M396),MONTH($M396),1),"")))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  <c r="U397" s="195">
        <f>IF($D397="","",IF(ISNUMBER($M397),DATE(YEAR($M397),MONTH($M397),1),""))</f>
        <v/>
      </c>
      <c r="V397" s="195">
        <f>IF($D397="","",IF(ISNUMBER($N397),DATE(YEAR($N397),MONTH($N397),1),IF(ISNUMBER($M397),DATE(YEAR($M397),MONTH($M397),1),"")))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  <c r="U398" s="195">
        <f>IF($D398="","",IF(ISNUMBER($M398),DATE(YEAR($M398),MONTH($M398),1),""))</f>
        <v/>
      </c>
      <c r="V398" s="195">
        <f>IF($D398="","",IF(ISNUMBER($N398),DATE(YEAR($N398),MONTH($N398),1),IF(ISNUMBER($M398),DATE(YEAR($M398),MONTH($M398),1),"")))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  <c r="U399" s="195">
        <f>IF($D399="","",IF(ISNUMBER($M399),DATE(YEAR($M399),MONTH($M399),1),""))</f>
        <v/>
      </c>
      <c r="V399" s="195">
        <f>IF($D399="","",IF(ISNUMBER($N399),DATE(YEAR($N399),MONTH($N399),1),IF(ISNUMBER($M399),DATE(YEAR($M399),MONTH($M399),1),"")))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  <c r="U400" s="195">
        <f>IF($D400="","",IF(ISNUMBER($M400),DATE(YEAR($M400),MONTH($M400),1),""))</f>
        <v/>
      </c>
      <c r="V400" s="195">
        <f>IF($D400="","",IF(ISNUMBER($N400),DATE(YEAR($N400),MONTH($N400),1),IF(ISNUMBER($M400),DATE(YEAR($M400),MONTH($M400),1),"")))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  <c r="U401" s="195">
        <f>IF($D401="","",IF(ISNUMBER($M401),DATE(YEAR($M401),MONTH($M401),1),""))</f>
        <v/>
      </c>
      <c r="V401" s="195">
        <f>IF($D401="","",IF(ISNUMBER($N401),DATE(YEAR($N401),MONTH($N401),1),IF(ISNUMBER($M401),DATE(YEAR($M401),MONTH($M401),1),"")))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  <c r="U402" s="195">
        <f>IF($D402="","",IF(ISNUMBER($M402),DATE(YEAR($M402),MONTH($M402),1),""))</f>
        <v/>
      </c>
      <c r="V402" s="195">
        <f>IF($D402="","",IF(ISNUMBER($N402),DATE(YEAR($N402),MONTH($N402),1),IF(ISNUMBER($M402),DATE(YEAR($M402),MONTH($M402),1),"")))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  <c r="U403" s="195">
        <f>IF($D403="","",IF(ISNUMBER($M403),DATE(YEAR($M403),MONTH($M403),1),""))</f>
        <v/>
      </c>
      <c r="V403" s="195">
        <f>IF($D403="","",IF(ISNUMBER($N403),DATE(YEAR($N403),MONTH($N403),1),IF(ISNUMBER($M403),DATE(YEAR($M403),MONTH($M403),1),"")))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  <c r="U404" s="195">
        <f>IF($D404="","",IF(ISNUMBER($M404),DATE(YEAR($M404),MONTH($M404),1),""))</f>
        <v/>
      </c>
      <c r="V404" s="195">
        <f>IF($D404="","",IF(ISNUMBER($N404),DATE(YEAR($N404),MONTH($N404),1),IF(ISNUMBER($M404),DATE(YEAR($M404),MONTH($M404),1),"")))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  <c r="U405" s="195">
        <f>IF($D405="","",IF(ISNUMBER($M405),DATE(YEAR($M405),MONTH($M405),1),""))</f>
        <v/>
      </c>
      <c r="V405" s="195">
        <f>IF($D405="","",IF(ISNUMBER($N405),DATE(YEAR($N405),MONTH($N405),1),IF(ISNUMBER($M405),DATE(YEAR($M405),MONTH($M405),1),"")))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  <c r="U406" s="195">
        <f>IF($D406="","",IF(ISNUMBER($M406),DATE(YEAR($M406),MONTH($M406),1),""))</f>
        <v/>
      </c>
      <c r="V406" s="195">
        <f>IF($D406="","",IF(ISNUMBER($N406),DATE(YEAR($N406),MONTH($N406),1),IF(ISNUMBER($M406),DATE(YEAR($M406),MONTH($M406),1),"")))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  <c r="U407" s="195">
        <f>IF($D407="","",IF(ISNUMBER($M407),DATE(YEAR($M407),MONTH($M407),1),""))</f>
        <v/>
      </c>
      <c r="V407" s="195">
        <f>IF($D407="","",IF(ISNUMBER($N407),DATE(YEAR($N407),MONTH($N407),1),IF(ISNUMBER($M407),DATE(YEAR($M407),MONTH($M407),1),"")))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  <c r="U408" s="195">
        <f>IF($D408="","",IF(ISNUMBER($M408),DATE(YEAR($M408),MONTH($M408),1),""))</f>
        <v/>
      </c>
      <c r="V408" s="195">
        <f>IF($D408="","",IF(ISNUMBER($N408),DATE(YEAR($N408),MONTH($N408),1),IF(ISNUMBER($M408),DATE(YEAR($M408),MONTH($M408),1),"")))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  <c r="U409" s="195">
        <f>IF($D409="","",IF(ISNUMBER($M409),DATE(YEAR($M409),MONTH($M409),1),""))</f>
        <v/>
      </c>
      <c r="V409" s="195">
        <f>IF($D409="","",IF(ISNUMBER($N409),DATE(YEAR($N409),MONTH($N409),1),IF(ISNUMBER($M409),DATE(YEAR($M409),MONTH($M409),1),"")))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  <c r="U410" s="195">
        <f>IF($D410="","",IF(ISNUMBER($M410),DATE(YEAR($M410),MONTH($M410),1),""))</f>
        <v/>
      </c>
      <c r="V410" s="195">
        <f>IF($D410="","",IF(ISNUMBER($N410),DATE(YEAR($N410),MONTH($N410),1),IF(ISNUMBER($M410),DATE(YEAR($M410),MONTH($M410),1),"")))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  <c r="U411" s="195">
        <f>IF($D411="","",IF(ISNUMBER($M411),DATE(YEAR($M411),MONTH($M411),1),""))</f>
        <v/>
      </c>
      <c r="V411" s="195">
        <f>IF($D411="","",IF(ISNUMBER($N411),DATE(YEAR($N411),MONTH($N411),1),IF(ISNUMBER($M411),DATE(YEAR($M411),MONTH($M411),1),"")))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  <c r="U412" s="195">
        <f>IF($D412="","",IF(ISNUMBER($M412),DATE(YEAR($M412),MONTH($M412),1),""))</f>
        <v/>
      </c>
      <c r="V412" s="195">
        <f>IF($D412="","",IF(ISNUMBER($N412),DATE(YEAR($N412),MONTH($N412),1),IF(ISNUMBER($M412),DATE(YEAR($M412),MONTH($M412),1),"")))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  <c r="U413" s="195">
        <f>IF($D413="","",IF(ISNUMBER($M413),DATE(YEAR($M413),MONTH($M413),1),""))</f>
        <v/>
      </c>
      <c r="V413" s="195">
        <f>IF($D413="","",IF(ISNUMBER($N413),DATE(YEAR($N413),MONTH($N413),1),IF(ISNUMBER($M413),DATE(YEAR($M413),MONTH($M413),1),"")))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  <c r="U414" s="195">
        <f>IF($D414="","",IF(ISNUMBER($M414),DATE(YEAR($M414),MONTH($M414),1),""))</f>
        <v/>
      </c>
      <c r="V414" s="195">
        <f>IF($D414="","",IF(ISNUMBER($N414),DATE(YEAR($N414),MONTH($N414),1),IF(ISNUMBER($M414),DATE(YEAR($M414),MONTH($M414),1),"")))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  <c r="U415" s="195">
        <f>IF($D415="","",IF(ISNUMBER($M415),DATE(YEAR($M415),MONTH($M415),1),""))</f>
        <v/>
      </c>
      <c r="V415" s="195">
        <f>IF($D415="","",IF(ISNUMBER($N415),DATE(YEAR($N415),MONTH($N415),1),IF(ISNUMBER($M415),DATE(YEAR($M415),MONTH($M415),1),"")))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  <c r="U416" s="195">
        <f>IF($D416="","",IF(ISNUMBER($M416),DATE(YEAR($M416),MONTH($M416),1),""))</f>
        <v/>
      </c>
      <c r="V416" s="195">
        <f>IF($D416="","",IF(ISNUMBER($N416),DATE(YEAR($N416),MONTH($N416),1),IF(ISNUMBER($M416),DATE(YEAR($M416),MONTH($M416),1),"")))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  <c r="U417" s="195">
        <f>IF($D417="","",IF(ISNUMBER($M417),DATE(YEAR($M417),MONTH($M417),1),""))</f>
        <v/>
      </c>
      <c r="V417" s="195">
        <f>IF($D417="","",IF(ISNUMBER($N417),DATE(YEAR($N417),MONTH($N417),1),IF(ISNUMBER($M417),DATE(YEAR($M417),MONTH($M417),1),"")))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  <c r="U418" s="195">
        <f>IF($D418="","",IF(ISNUMBER($M418),DATE(YEAR($M418),MONTH($M418),1),""))</f>
        <v/>
      </c>
      <c r="V418" s="195">
        <f>IF($D418="","",IF(ISNUMBER($N418),DATE(YEAR($N418),MONTH($N418),1),IF(ISNUMBER($M418),DATE(YEAR($M418),MONTH($M418),1),"")))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  <c r="U419" s="195">
        <f>IF($D419="","",IF(ISNUMBER($M419),DATE(YEAR($M419),MONTH($M419),1),""))</f>
        <v/>
      </c>
      <c r="V419" s="195">
        <f>IF($D419="","",IF(ISNUMBER($N419),DATE(YEAR($N419),MONTH($N419),1),IF(ISNUMBER($M419),DATE(YEAR($M419),MONTH($M419),1),"")))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  <c r="U420" s="195">
        <f>IF($D420="","",IF(ISNUMBER($M420),DATE(YEAR($M420),MONTH($M420),1),""))</f>
        <v/>
      </c>
      <c r="V420" s="195">
        <f>IF($D420="","",IF(ISNUMBER($N420),DATE(YEAR($N420),MONTH($N420),1),IF(ISNUMBER($M420),DATE(YEAR($M420),MONTH($M420),1),"")))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  <c r="U421" s="195">
        <f>IF($D421="","",IF(ISNUMBER($M421),DATE(YEAR($M421),MONTH($M421),1),""))</f>
        <v/>
      </c>
      <c r="V421" s="195">
        <f>IF($D421="","",IF(ISNUMBER($N421),DATE(YEAR($N421),MONTH($N421),1),IF(ISNUMBER($M421),DATE(YEAR($M421),MONTH($M421),1),"")))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  <c r="U422" s="195">
        <f>IF($D422="","",IF(ISNUMBER($M422),DATE(YEAR($M422),MONTH($M422),1),""))</f>
        <v/>
      </c>
      <c r="V422" s="195">
        <f>IF($D422="","",IF(ISNUMBER($N422),DATE(YEAR($N422),MONTH($N422),1),IF(ISNUMBER($M422),DATE(YEAR($M422),MONTH($M422),1),"")))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  <c r="U423" s="195">
        <f>IF($D423="","",IF(ISNUMBER($M423),DATE(YEAR($M423),MONTH($M423),1),""))</f>
        <v/>
      </c>
      <c r="V423" s="195">
        <f>IF($D423="","",IF(ISNUMBER($N423),DATE(YEAR($N423),MONTH($N423),1),IF(ISNUMBER($M423),DATE(YEAR($M423),MONTH($M423),1),"")))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  <c r="U424" s="195">
        <f>IF($D424="","",IF(ISNUMBER($M424),DATE(YEAR($M424),MONTH($M424),1),""))</f>
        <v/>
      </c>
      <c r="V424" s="195">
        <f>IF($D424="","",IF(ISNUMBER($N424),DATE(YEAR($N424),MONTH($N424),1),IF(ISNUMBER($M424),DATE(YEAR($M424),MONTH($M424),1),"")))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  <c r="U425" s="195">
        <f>IF($D425="","",IF(ISNUMBER($M425),DATE(YEAR($M425),MONTH($M425),1),""))</f>
        <v/>
      </c>
      <c r="V425" s="195">
        <f>IF($D425="","",IF(ISNUMBER($N425),DATE(YEAR($N425),MONTH($N425),1),IF(ISNUMBER($M425),DATE(YEAR($M425),MONTH($M425),1),"")))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  <c r="U426" s="195">
        <f>IF($D426="","",IF(ISNUMBER($M426),DATE(YEAR($M426),MONTH($M426),1),""))</f>
        <v/>
      </c>
      <c r="V426" s="195">
        <f>IF($D426="","",IF(ISNUMBER($N426),DATE(YEAR($N426),MONTH($N426),1),IF(ISNUMBER($M426),DATE(YEAR($M426),MONTH($M426),1),"")))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  <c r="U427" s="195">
        <f>IF($D427="","",IF(ISNUMBER($M427),DATE(YEAR($M427),MONTH($M427),1),""))</f>
        <v/>
      </c>
      <c r="V427" s="195">
        <f>IF($D427="","",IF(ISNUMBER($N427),DATE(YEAR($N427),MONTH($N427),1),IF(ISNUMBER($M427),DATE(YEAR($M427),MONTH($M427),1),"")))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  <c r="U428" s="195">
        <f>IF($D428="","",IF(ISNUMBER($M428),DATE(YEAR($M428),MONTH($M428),1),""))</f>
        <v/>
      </c>
      <c r="V428" s="195">
        <f>IF($D428="","",IF(ISNUMBER($N428),DATE(YEAR($N428),MONTH($N428),1),IF(ISNUMBER($M428),DATE(YEAR($M428),MONTH($M428),1),"")))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IFERROR(IF(_xlfn.XLOOKUP($C$6,'Client DB &amp; Bed Mgmt'!$D:$D,'Client DB &amp; Bed Mgmt'!$S:$S,"")=0,"",_xlfn.XLOOKUP($C$6,'Client DB &amp; Bed Mgmt'!$D:$D,'Client DB &amp; Bed Mgmt'!$S:$S,"")),"")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IFERROR(IF(_xlfn.XLOOKUP($C$6,'Client DB &amp; Bed Mgmt'!$D:$D,'Client DB &amp; Bed Mgmt'!$M:$M,"")=0,"",_xlfn.XLOOKUP($C$6,'Client DB &amp; Bed Mgmt'!$D:$D,'Client DB &amp; Bed Mgmt'!$M:$M,"")),"")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IFERROR(IF(_xlfn.XLOOKUP($C$6,'Client DB &amp; Bed Mgmt'!$D:$D,'Client DB &amp; Bed Mgmt'!$N:$N,"")=0,"",_xlfn.XLOOKUP($C$6,'Client DB &amp; Bed Mgmt'!$D:$D,'Client DB &amp; Bed Mgmt'!$N:$N,"")),"")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B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8" customWidth="1" style="82" min="1" max="2"/>
    <col width="18" customWidth="1" style="83" min="2" max="2"/>
    <col width="15" customWidth="1" style="82" min="3" max="3"/>
    <col width="22" customWidth="1" style="82" min="4" max="5"/>
    <col width="16" customWidth="1" style="83" min="5" max="5"/>
    <col width="16" customWidth="1" style="82" min="6" max="6"/>
    <col width="18" customWidth="1" style="82" min="7" max="7"/>
    <col width="16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  <col width="18" customWidth="1" style="83" min="22" max="22"/>
    <col width="18" customWidth="1" style="83" min="23" max="23"/>
    <col width="18" customWidth="1" style="83" min="24" max="24"/>
    <col width="18" customWidth="1" style="83" min="25" max="25"/>
    <col width="18" customWidth="1" style="83" min="26" max="26"/>
    <col width="13" customWidth="1" style="83" min="27" max="27"/>
    <col width="13" customWidth="1" style="83" min="28" max="28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Month</t>
        </is>
      </c>
      <c r="B4" s="193" t="n">
        <v>46296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102" t="inlineStr">
        <is>
          <t>Occupied by Dorm</t>
        </is>
      </c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End Month</t>
        </is>
      </c>
      <c r="B5" s="194" t="n">
        <v>46357</v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102" t="inlineStr">
        <is>
          <t>Dorm 1</t>
        </is>
      </c>
      <c r="H5" s="182">
        <f>COUNTIFS('Client DB &amp; Bed Mgmt'!$A:$A,"Dorm 1",'Client DB &amp; Bed Mgmt'!$D:$D,"&lt;&gt;",'Client DB &amp; Bed Mgmt'!$U:$U,"&lt;="&amp;$B$4,'Client DB &amp; Bed Mgmt'!$V:$V,"&gt;="&amp;$B$4)</f>
        <v/>
      </c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Bed Capacity / Dorm</t>
        </is>
      </c>
      <c r="B6" s="182">
        <f>IFERROR(AVERAGE('Settings &amp; Master Config'!$F$21:$F$23),0)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102" t="inlineStr">
        <is>
          <t>Dorm 2</t>
        </is>
      </c>
      <c r="H6" s="182">
        <f>COUNTIFS('Client DB &amp; Bed Mgmt'!$A:$A,"Dorm 2",'Client DB &amp; Bed Mgmt'!$D:$D,"&lt;&gt;",'Client DB &amp; Bed Mgmt'!$U:$U,"&lt;="&amp;$B$4,'Client DB &amp; Bed Mgmt'!$V:$V,"&gt;="&amp;$B$4)</f>
        <v/>
      </c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Default Rent Setting</t>
        </is>
      </c>
      <c r="B7" s="187">
        <f>DefaultRentPerBed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102" t="inlineStr">
        <is>
          <t>Dorm 3</t>
        </is>
      </c>
      <c r="H7" s="182">
        <f>COUNTIFS('Client DB &amp; Bed Mgmt'!$A:$A,"Dorm 3",'Client DB &amp; Bed Mgmt'!$D:$D,"&lt;&gt;",'Client DB &amp; Bed Mgmt'!$U:$U,"&lt;="&amp;$B$4,'Client DB &amp; Bed Mgmt'!$V:$V,"&gt;="&amp;$B$4)</f>
        <v/>
      </c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Target Occupancy %</t>
        </is>
      </c>
      <c r="B8" s="169">
        <f>TargetOccupancy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Inflation %</t>
        </is>
      </c>
      <c r="B9" s="169">
        <f>InflationRate</f>
        <v/>
      </c>
      <c r="C9" s="88" t="n"/>
      <c r="D9" s="102" t="inlineStr">
        <is>
          <t>Model Rows</t>
        </is>
      </c>
      <c r="E9" s="182">
        <f>COUNTIF(FinancialModel[Nb Clients],"&gt;0")</f>
        <v/>
      </c>
      <c r="F9" s="88" t="n"/>
      <c r="G9" s="102" t="inlineStr">
        <is>
          <t>Rent Revenue Total</t>
        </is>
      </c>
      <c r="H9" s="168">
        <f>SUM(FinancialModel[Rent Revenue])</f>
        <v/>
      </c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Generator Rate per kWh</t>
        </is>
      </c>
      <c r="B10" s="187">
        <f>GeneratorRate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102" t="inlineStr">
        <is>
          <t>Room Elec Revenue Total</t>
        </is>
      </c>
      <c r="H10" s="168">
        <f>SUM(FinancialModel[Room Elec Revenue])</f>
        <v/>
      </c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inlineStr">
        <is>
          <t>Government Rate per kWh</t>
        </is>
      </c>
      <c r="B11" s="188">
        <f>GovernmentRate</f>
        <v/>
      </c>
      <c r="C11" s="88" t="n"/>
      <c r="D11" s="88" t="n"/>
      <c r="E11" s="88" t="n"/>
      <c r="F11" s="88" t="n"/>
      <c r="G11" s="102" t="inlineStr">
        <is>
          <t>Area Elec Revenue Total</t>
        </is>
      </c>
      <c r="H11" s="168">
        <f>SUM(FinancialModel[Area Elec Revenue])</f>
        <v/>
      </c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s="124" t="inlineStr">
        <is>
          <t>Nb Clients</t>
        </is>
      </c>
      <c r="W13" s="124" t="inlineStr">
        <is>
          <t>Occupied Beds</t>
        </is>
      </c>
      <c r="X13" s="124" t="inlineStr">
        <is>
          <t>Rent Revenue</t>
        </is>
      </c>
      <c r="Y13" s="124" t="inlineStr">
        <is>
          <t>Room Elec Revenue</t>
        </is>
      </c>
      <c r="Z13" s="124" t="inlineStr">
        <is>
          <t>Area Elec Revenue</t>
        </is>
      </c>
      <c r="AA13" s="82" t="n"/>
      <c r="AB13" s="82" t="n"/>
    </row>
    <row r="14" ht="14.25" customHeight="1" s="83">
      <c r="A14" s="177">
        <f>IF(EDATE($B$4,0)&lt;=EOMONTH($B$5,0),EDATE($B$4,0),"")</f>
        <v/>
      </c>
      <c r="B14" s="103">
        <f>IF(EDATE($B$4,0)&lt;=EOMONTH($B$5,0),"Dorm 1","")</f>
        <v/>
      </c>
      <c r="C14" s="170">
        <f>IF(AND(EDATE($B$4,0)&lt;=EOMONTH($B$5,0),COUNTIFS('Client DB &amp; Bed Mgmt'!$A:$A,B14,'Client DB &amp; Bed Mgmt'!$D:$D,"&lt;&gt;",'Client DB &amp; Bed Mgmt'!$U:$U,"&lt;="&amp;A14,'Client DB &amp; Bed Mgmt'!$V:$V,"&gt;="&amp;A14)&gt;0),IFERROR(INDEX('Settings &amp; Master Config'!$C$21:$C$23,MATCH(B14,'Settings &amp; Master Config'!$A$21:$A$23,0)),""),"")</f>
        <v/>
      </c>
      <c r="D14" s="170">
        <f>IF(AND(EDATE($B$4,0)&lt;=EOMONTH($B$5,0),COUNTIFS('Client DB &amp; Bed Mgmt'!$A:$A,B14,'Client DB &amp; Bed Mgmt'!$D:$D,"&lt;&gt;",'Client DB &amp; Bed Mgmt'!$U:$U,"&lt;="&amp;A14,'Client DB &amp; Bed Mgmt'!$V:$V,"&gt;="&amp;A14)&gt;0),IFERROR(INDEX('Settings &amp; Master Config'!$F$21:$F$23,MATCH(B14,'Settings &amp; Master Config'!$A$21:$A$23,0)),0),"")</f>
        <v/>
      </c>
      <c r="E14" s="130">
        <f>IF(AND(EDATE($B$4,0)&lt;=EOMONTH($B$5,0),COUNTIFS('Client DB &amp; Bed Mgmt'!$A:$A,B14,'Client DB &amp; Bed Mgmt'!$D:$D,"&lt;&gt;",'Client DB &amp; Bed Mgmt'!$U:$U,"&lt;="&amp;A14,'Client DB &amp; Bed Mgmt'!$V:$V,"&gt;="&amp;A14)&gt;0),$B$7*(1+$B$9)^(YEAR(A14)-YEAR($B$4)),"")</f>
        <v/>
      </c>
      <c r="F14" s="105">
        <f>IF(AND(EDATE($B$4,0)&lt;=EOMONTH($B$5,0),COUNTIFS('Client DB &amp; Bed Mgmt'!$A:$A,B14,'Client DB &amp; Bed Mgmt'!$D:$D,"&lt;&gt;",'Client DB &amp; Bed Mgmt'!$U:$U,"&lt;="&amp;A14,'Client DB &amp; Bed Mgmt'!$V:$V,"&gt;="&amp;A14)&gt;0),$B$8,"")</f>
        <v/>
      </c>
      <c r="G14" s="105">
        <f>IF(AND(EDATE($B$4,0)&lt;=EOMONTH($B$5,0),COUNTIFS('Client DB &amp; Bed Mgmt'!$A:$A,B14,'Client DB &amp; Bed Mgmt'!$D:$D,"&lt;&gt;",'Client DB &amp; Bed Mgmt'!$U:$U,"&lt;="&amp;A14,'Client DB &amp; Bed Mgmt'!$V:$V,"&gt;="&amp;A14)&gt;0),$B$9,"")</f>
        <v/>
      </c>
      <c r="H14" s="130">
        <f>IF(AND(EDATE($B$4,0)&lt;=EOMONTH($B$5,0),COUNTIFS('Client DB &amp; Bed Mgmt'!$A:$A,B14,'Client DB &amp; Bed Mgmt'!$D:$D,"&lt;&gt;",'Client DB &amp; Bed Mgmt'!$U:$U,"&lt;="&amp;A14,'Client DB &amp; Bed Mgmt'!$V:$V,"&gt;="&amp;A14)&gt;0),D14*E14,"")</f>
        <v/>
      </c>
      <c r="I14" s="189">
        <f>IF(AND(EDATE($B$4,0)&lt;=EOMONTH($B$5,0),COUNTIFS('Client DB &amp; Bed Mgmt'!$A:$A,B14,'Client DB &amp; Bed Mgmt'!$D:$D,"&lt;&gt;",'Client DB &amp; Bed Mgmt'!$U:$U,"&lt;="&amp;A14,'Client DB &amp; Bed Mgmt'!$V:$V,"&gt;="&amp;A14)&gt;0),SUM(X14:Z14),"")</f>
        <v/>
      </c>
      <c r="J14" s="189">
        <f>IF(AND(EDATE($B$4,0)&lt;=EOMONTH($B$5,0),COUNTIFS('Client DB &amp; Bed Mgmt'!$A:$A,B14,'Client DB &amp; Bed Mgmt'!$D:$D,"&lt;&gt;",'Client DB &amp; Bed Mgmt'!$U:$U,"&lt;="&amp;A14,'Client DB &amp; Bed Mgmt'!$V:$V,"&gt;="&amp;A14)&gt;0),D14*F14*E14,"")</f>
        <v/>
      </c>
      <c r="K14" s="190">
        <f>IF(AND(EDATE($B$4,0)&lt;=EOMONTH($B$5,0),COUNTIFS('Client DB &amp; Bed Mgmt'!$A:$A,B14,'Client DB &amp; Bed Mgmt'!$D:$D,"&lt;&gt;",'Client DB &amp; Bed Mgmt'!$U:$U,"&lt;="&amp;A14,'Client DB &amp; Bed Mgmt'!$V:$V,"&gt;="&amp;A14)&gt;0),75,"")</f>
        <v/>
      </c>
      <c r="L14" s="190">
        <f>IF(AND(EDATE($B$4,0)&lt;=EOMONTH($B$5,0),COUNTIFS('Client DB &amp; Bed Mgmt'!$A:$A,B14,'Client DB &amp; Bed Mgmt'!$D:$D,"&lt;&gt;",'Client DB &amp; Bed Mgmt'!$U:$U,"&lt;="&amp;A14,'Client DB &amp; Bed Mgmt'!$V:$V,"&gt;="&amp;A14)&gt;0),50,"")</f>
        <v/>
      </c>
      <c r="M14" s="190">
        <f>IF(AND(EDATE($B$4,0)&lt;=EOMONTH($B$5,0),COUNTIFS('Client DB &amp; Bed Mgmt'!$A:$A,B14,'Client DB &amp; Bed Mgmt'!$D:$D,"&lt;&gt;",'Client DB &amp; Bed Mgmt'!$U:$U,"&lt;="&amp;A14,'Client DB &amp; Bed Mgmt'!$V:$V,"&gt;="&amp;A14)&gt;0),150,"")</f>
        <v/>
      </c>
      <c r="N14" s="190">
        <f>IF(AND(EDATE($B$4,0)&lt;=EOMONTH($B$5,0),COUNTIFS('Client DB &amp; Bed Mgmt'!$A:$A,B14,'Client DB &amp; Bed Mgmt'!$D:$D,"&lt;&gt;",'Client DB &amp; Bed Mgmt'!$U:$U,"&lt;="&amp;A14,'Client DB &amp; Bed Mgmt'!$V:$V,"&gt;="&amp;A14)&gt;0),125,"")</f>
        <v/>
      </c>
      <c r="O14" s="190">
        <f>IF(AND(EDATE($B$4,0)&lt;=EOMONTH($B$5,0),COUNTIFS('Client DB &amp; Bed Mgmt'!$A:$A,B14,'Client DB &amp; Bed Mgmt'!$D:$D,"&lt;&gt;",'Client DB &amp; Bed Mgmt'!$U:$U,"&lt;="&amp;A14,'Client DB &amp; Bed Mgmt'!$V:$V,"&gt;="&amp;A14)&gt;0),60,"")</f>
        <v/>
      </c>
      <c r="P14" s="190">
        <f>IF(AND(EDATE($B$4,0)&lt;=EOMONTH($B$5,0),COUNTIFS('Client DB &amp; Bed Mgmt'!$A:$A,B14,'Client DB &amp; Bed Mgmt'!$D:$D,"&lt;&gt;",'Client DB &amp; Bed Mgmt'!$U:$U,"&lt;="&amp;A14,'Client DB &amp; Bed Mgmt'!$V:$V,"&gt;="&amp;A14)&gt;0),80,"")</f>
        <v/>
      </c>
      <c r="Q14" s="190">
        <f>IF(AND(EDATE($B$4,0)&lt;=EOMONTH($B$5,0),COUNTIFS('Client DB &amp; Bed Mgmt'!$A:$A,B14,'Client DB &amp; Bed Mgmt'!$D:$D,"&lt;&gt;",'Client DB &amp; Bed Mgmt'!$U:$U,"&lt;="&amp;A14,'Client DB &amp; Bed Mgmt'!$V:$V,"&gt;="&amp;A14)&gt;0),40,"")</f>
        <v/>
      </c>
      <c r="R14" s="189">
        <f>IF(AND(EDATE($B$4,0)&lt;=EOMONTH($B$5,0),COUNTIFS('Client DB &amp; Bed Mgmt'!$A:$A,B14,'Client DB &amp; Bed Mgmt'!$D:$D,"&lt;&gt;",'Client DB &amp; Bed Mgmt'!$U:$U,"&lt;="&amp;A14,'Client DB &amp; Bed Mgmt'!$V:$V,"&gt;="&amp;A14)&gt;0),IF(C14="Owned",0,2500),"")</f>
        <v/>
      </c>
      <c r="S14" s="189">
        <f>IF(AND(EDATE($B$4,0)&lt;=EOMONTH($B$5,0),COUNTIFS('Client DB &amp; Bed Mgmt'!$A:$A,B14,'Client DB &amp; Bed Mgmt'!$D:$D,"&lt;&gt;",'Client DB &amp; Bed Mgmt'!$U:$U,"&lt;="&amp;A14,'Client DB &amp; Bed Mgmt'!$V:$V,"&gt;="&amp;A14)&gt;0),SUM(K14:R14),"")</f>
        <v/>
      </c>
      <c r="T14" s="189">
        <f>IF(AND(EDATE($B$4,0)&lt;=EOMONTH($B$5,0),COUNTIFS('Client DB &amp; Bed Mgmt'!$A:$A,B14,'Client DB &amp; Bed Mgmt'!$D:$D,"&lt;&gt;",'Client DB &amp; Bed Mgmt'!$U:$U,"&lt;="&amp;A14,'Client DB &amp; Bed Mgmt'!$V:$V,"&gt;="&amp;A14)&gt;0),I14-S14,"")</f>
        <v/>
      </c>
      <c r="U14" s="105">
        <f>IF(AND(EDATE($B$4,0)&lt;=EOMONTH($B$5,0),COUNTIFS('Client DB &amp; Bed Mgmt'!$A:$A,B14,'Client DB &amp; Bed Mgmt'!$D:$D,"&lt;&gt;",'Client DB &amp; Bed Mgmt'!$U:$U,"&lt;="&amp;A14,'Client DB &amp; Bed Mgmt'!$V:$V,"&gt;="&amp;A14)&gt;0),IFERROR(T14/I14,0),"")</f>
        <v/>
      </c>
      <c r="V14" s="191">
        <f>IF(EDATE($B$4,0)&lt;=EOMONTH($B$5,0),COUNTIFS('Client DB &amp; Bed Mgmt'!$A:$A,B14,'Client DB &amp; Bed Mgmt'!$D:$D,"&lt;&gt;",'Client DB &amp; Bed Mgmt'!$U:$U,"&lt;="&amp;A14,'Client DB &amp; Bed Mgmt'!$V:$V,"&gt;="&amp;A14),"")</f>
        <v/>
      </c>
      <c r="W14" s="181">
        <f>IF(AND(EDATE($B$4,0)&lt;=EOMONTH($B$5,0),COUNTIFS('Client DB &amp; Bed Mgmt'!$A:$A,B14,'Client DB &amp; Bed Mgmt'!$D:$D,"&lt;&gt;",'Client DB &amp; Bed Mgmt'!$U:$U,"&lt;="&amp;A14,'Client DB &amp; Bed Mgmt'!$V:$V,"&gt;="&amp;A14)&gt;0),V14,"")</f>
        <v/>
      </c>
      <c r="X14" s="189">
        <f>IF(AND(EDATE($B$4,0)&lt;=EOMONTH($B$5,0),COUNTIFS('Client DB &amp; Bed Mgmt'!$A:$A,B14,'Client DB &amp; Bed Mgmt'!$D:$D,"&lt;&gt;",'Client DB &amp; Bed Mgmt'!$U:$U,"&lt;="&amp;A14,'Client DB &amp; Bed Mgmt'!$V:$V,"&gt;="&amp;A14)&gt;0),SUMIFS('Client DB &amp; Bed Mgmt'!$I:$I,'Client DB &amp; Bed Mgmt'!$A:$A,B14,'Client DB &amp; Bed Mgmt'!$D:$D,"&lt;&gt;",'Client DB &amp; Bed Mgmt'!$U:$U,"&lt;="&amp;A14,'Client DB &amp; Bed Mgmt'!$V:$V,"&gt;="&amp;A14),"")</f>
        <v/>
      </c>
      <c r="Y14" s="189">
        <f>IF(AND(EDATE($B$4,0)&lt;=EOMONTH($B$5,0),COUNTIFS('Client DB &amp; Bed Mgmt'!$A:$A,B14,'Client DB &amp; Bed Mgmt'!$D:$D,"&lt;&gt;",'Client DB &amp; Bed Mgmt'!$U:$U,"&lt;="&amp;A14,'Client DB &amp; Bed Mgmt'!$V:$V,"&gt;="&amp;A14)&gt;0),SUMIFS('Client DB &amp; Bed Mgmt'!$J:$J,'Client DB &amp; Bed Mgmt'!$A:$A,B14,'Client DB &amp; Bed Mgmt'!$D:$D,"&lt;&gt;",'Client DB &amp; Bed Mgmt'!$U:$U,"&lt;="&amp;A14,'Client DB &amp; Bed Mgmt'!$V:$V,"&gt;="&amp;A14),"")</f>
        <v/>
      </c>
      <c r="Z14" s="192">
        <f>IF(AND(EDATE($B$4,0)&lt;=EOMONTH($B$5,0),COUNTIFS('Client DB &amp; Bed Mgmt'!$A:$A,B14,'Client DB &amp; Bed Mgmt'!$D:$D,"&lt;&gt;",'Client DB &amp; Bed Mgmt'!$U:$U,"&lt;="&amp;A14,'Client DB &amp; Bed Mgmt'!$V:$V,"&gt;="&amp;A14)&gt;0),SUMIFS('Client DB &amp; Bed Mgmt'!$K:$K,'Client DB &amp; Bed Mgmt'!$A:$A,B14,'Client DB &amp; Bed Mgmt'!$D:$D,"&lt;&gt;",'Client DB &amp; Bed Mgmt'!$U:$U,"&lt;="&amp;A14,'Client DB &amp; Bed Mgmt'!$V:$V,"&gt;="&amp;A14),"")</f>
        <v/>
      </c>
      <c r="AA14" s="82" t="n"/>
      <c r="AB14" s="82" t="n"/>
    </row>
    <row r="15" hidden="1" ht="14.25" customHeight="1" s="83">
      <c r="A15" s="177">
        <f>IF(EDATE($B$4,0)&lt;=EOMONTH($B$5,0),EDATE($B$4,0),"")</f>
        <v/>
      </c>
      <c r="B15" s="103">
        <f>IF(EDATE($B$4,0)&lt;=EOMONTH($B$5,0),"Dorm 2","")</f>
        <v/>
      </c>
      <c r="C15" s="170">
        <f>IF(AND(EDATE($B$4,0)&lt;=EOMONTH($B$5,0),COUNTIFS('Client DB &amp; Bed Mgmt'!$A:$A,B15,'Client DB &amp; Bed Mgmt'!$D:$D,"&lt;&gt;",'Client DB &amp; Bed Mgmt'!$U:$U,"&lt;="&amp;A15,'Client DB &amp; Bed Mgmt'!$V:$V,"&gt;="&amp;A15)&gt;0),IFERROR(INDEX('Settings &amp; Master Config'!$C$21:$C$23,MATCH(B15,'Settings &amp; Master Config'!$A$21:$A$23,0)),""),"")</f>
        <v/>
      </c>
      <c r="D15" s="170">
        <f>IF(AND(EDATE($B$4,0)&lt;=EOMONTH($B$5,0),COUNTIFS('Client DB &amp; Bed Mgmt'!$A:$A,B15,'Client DB &amp; Bed Mgmt'!$D:$D,"&lt;&gt;",'Client DB &amp; Bed Mgmt'!$U:$U,"&lt;="&amp;A15,'Client DB &amp; Bed Mgmt'!$V:$V,"&gt;="&amp;A15)&gt;0),IFERROR(INDEX('Settings &amp; Master Config'!$F$21:$F$23,MATCH(B15,'Settings &amp; Master Config'!$A$21:$A$23,0)),0),"")</f>
        <v/>
      </c>
      <c r="E15" s="130">
        <f>IF(AND(EDATE($B$4,0)&lt;=EOMONTH($B$5,0),COUNTIFS('Client DB &amp; Bed Mgmt'!$A:$A,B15,'Client DB &amp; Bed Mgmt'!$D:$D,"&lt;&gt;",'Client DB &amp; Bed Mgmt'!$U:$U,"&lt;="&amp;A15,'Client DB &amp; Bed Mgmt'!$V:$V,"&gt;="&amp;A15)&gt;0),$B$7*(1+$B$9)^(YEAR(A15)-YEAR($B$4)),"")</f>
        <v/>
      </c>
      <c r="F15" s="105">
        <f>IF(AND(EDATE($B$4,0)&lt;=EOMONTH($B$5,0),COUNTIFS('Client DB &amp; Bed Mgmt'!$A:$A,B15,'Client DB &amp; Bed Mgmt'!$D:$D,"&lt;&gt;",'Client DB &amp; Bed Mgmt'!$U:$U,"&lt;="&amp;A15,'Client DB &amp; Bed Mgmt'!$V:$V,"&gt;="&amp;A15)&gt;0),$B$8,"")</f>
        <v/>
      </c>
      <c r="G15" s="105">
        <f>IF(AND(EDATE($B$4,0)&lt;=EOMONTH($B$5,0),COUNTIFS('Client DB &amp; Bed Mgmt'!$A:$A,B15,'Client DB &amp; Bed Mgmt'!$D:$D,"&lt;&gt;",'Client DB &amp; Bed Mgmt'!$U:$U,"&lt;="&amp;A15,'Client DB &amp; Bed Mgmt'!$V:$V,"&gt;="&amp;A15)&gt;0),$B$9,"")</f>
        <v/>
      </c>
      <c r="H15" s="130">
        <f>IF(AND(EDATE($B$4,0)&lt;=EOMONTH($B$5,0),COUNTIFS('Client DB &amp; Bed Mgmt'!$A:$A,B15,'Client DB &amp; Bed Mgmt'!$D:$D,"&lt;&gt;",'Client DB &amp; Bed Mgmt'!$U:$U,"&lt;="&amp;A15,'Client DB &amp; Bed Mgmt'!$V:$V,"&gt;="&amp;A15)&gt;0),D15*E15,"")</f>
        <v/>
      </c>
      <c r="I15" s="189">
        <f>IF(AND(EDATE($B$4,0)&lt;=EOMONTH($B$5,0),COUNTIFS('Client DB &amp; Bed Mgmt'!$A:$A,B15,'Client DB &amp; Bed Mgmt'!$D:$D,"&lt;&gt;",'Client DB &amp; Bed Mgmt'!$U:$U,"&lt;="&amp;A15,'Client DB &amp; Bed Mgmt'!$V:$V,"&gt;="&amp;A15)&gt;0),SUM(X15:Z15),"")</f>
        <v/>
      </c>
      <c r="J15" s="189">
        <f>IF(AND(EDATE($B$4,0)&lt;=EOMONTH($B$5,0),COUNTIFS('Client DB &amp; Bed Mgmt'!$A:$A,B15,'Client DB &amp; Bed Mgmt'!$D:$D,"&lt;&gt;",'Client DB &amp; Bed Mgmt'!$U:$U,"&lt;="&amp;A15,'Client DB &amp; Bed Mgmt'!$V:$V,"&gt;="&amp;A15)&gt;0),D15*F15*E15,"")</f>
        <v/>
      </c>
      <c r="K15" s="190">
        <f>IF(AND(EDATE($B$4,0)&lt;=EOMONTH($B$5,0),COUNTIFS('Client DB &amp; Bed Mgmt'!$A:$A,B15,'Client DB &amp; Bed Mgmt'!$D:$D,"&lt;&gt;",'Client DB &amp; Bed Mgmt'!$U:$U,"&lt;="&amp;A15,'Client DB &amp; Bed Mgmt'!$V:$V,"&gt;="&amp;A15)&gt;0),75,"")</f>
        <v/>
      </c>
      <c r="L15" s="190">
        <f>IF(AND(EDATE($B$4,0)&lt;=EOMONTH($B$5,0),COUNTIFS('Client DB &amp; Bed Mgmt'!$A:$A,B15,'Client DB &amp; Bed Mgmt'!$D:$D,"&lt;&gt;",'Client DB &amp; Bed Mgmt'!$U:$U,"&lt;="&amp;A15,'Client DB &amp; Bed Mgmt'!$V:$V,"&gt;="&amp;A15)&gt;0),50,"")</f>
        <v/>
      </c>
      <c r="M15" s="190">
        <f>IF(AND(EDATE($B$4,0)&lt;=EOMONTH($B$5,0),COUNTIFS('Client DB &amp; Bed Mgmt'!$A:$A,B15,'Client DB &amp; Bed Mgmt'!$D:$D,"&lt;&gt;",'Client DB &amp; Bed Mgmt'!$U:$U,"&lt;="&amp;A15,'Client DB &amp; Bed Mgmt'!$V:$V,"&gt;="&amp;A15)&gt;0),150,"")</f>
        <v/>
      </c>
      <c r="N15" s="190">
        <f>IF(AND(EDATE($B$4,0)&lt;=EOMONTH($B$5,0),COUNTIFS('Client DB &amp; Bed Mgmt'!$A:$A,B15,'Client DB &amp; Bed Mgmt'!$D:$D,"&lt;&gt;",'Client DB &amp; Bed Mgmt'!$U:$U,"&lt;="&amp;A15,'Client DB &amp; Bed Mgmt'!$V:$V,"&gt;="&amp;A15)&gt;0),125,"")</f>
        <v/>
      </c>
      <c r="O15" s="190">
        <f>IF(AND(EDATE($B$4,0)&lt;=EOMONTH($B$5,0),COUNTIFS('Client DB &amp; Bed Mgmt'!$A:$A,B15,'Client DB &amp; Bed Mgmt'!$D:$D,"&lt;&gt;",'Client DB &amp; Bed Mgmt'!$U:$U,"&lt;="&amp;A15,'Client DB &amp; Bed Mgmt'!$V:$V,"&gt;="&amp;A15)&gt;0),60,"")</f>
        <v/>
      </c>
      <c r="P15" s="190">
        <f>IF(AND(EDATE($B$4,0)&lt;=EOMONTH($B$5,0),COUNTIFS('Client DB &amp; Bed Mgmt'!$A:$A,B15,'Client DB &amp; Bed Mgmt'!$D:$D,"&lt;&gt;",'Client DB &amp; Bed Mgmt'!$U:$U,"&lt;="&amp;A15,'Client DB &amp; Bed Mgmt'!$V:$V,"&gt;="&amp;A15)&gt;0),80,"")</f>
        <v/>
      </c>
      <c r="Q15" s="190">
        <f>IF(AND(EDATE($B$4,0)&lt;=EOMONTH($B$5,0),COUNTIFS('Client DB &amp; Bed Mgmt'!$A:$A,B15,'Client DB &amp; Bed Mgmt'!$D:$D,"&lt;&gt;",'Client DB &amp; Bed Mgmt'!$U:$U,"&lt;="&amp;A15,'Client DB &amp; Bed Mgmt'!$V:$V,"&gt;="&amp;A15)&gt;0),40,"")</f>
        <v/>
      </c>
      <c r="R15" s="189">
        <f>IF(AND(EDATE($B$4,0)&lt;=EOMONTH($B$5,0),COUNTIFS('Client DB &amp; Bed Mgmt'!$A:$A,B15,'Client DB &amp; Bed Mgmt'!$D:$D,"&lt;&gt;",'Client DB &amp; Bed Mgmt'!$U:$U,"&lt;="&amp;A15,'Client DB &amp; Bed Mgmt'!$V:$V,"&gt;="&amp;A15)&gt;0),IF(C15="Owned",0,2500),"")</f>
        <v/>
      </c>
      <c r="S15" s="189">
        <f>IF(AND(EDATE($B$4,0)&lt;=EOMONTH($B$5,0),COUNTIFS('Client DB &amp; Bed Mgmt'!$A:$A,B15,'Client DB &amp; Bed Mgmt'!$D:$D,"&lt;&gt;",'Client DB &amp; Bed Mgmt'!$U:$U,"&lt;="&amp;A15,'Client DB &amp; Bed Mgmt'!$V:$V,"&gt;="&amp;A15)&gt;0),SUM(K15:R15),"")</f>
        <v/>
      </c>
      <c r="T15" s="189">
        <f>IF(AND(EDATE($B$4,0)&lt;=EOMONTH($B$5,0),COUNTIFS('Client DB &amp; Bed Mgmt'!$A:$A,B15,'Client DB &amp; Bed Mgmt'!$D:$D,"&lt;&gt;",'Client DB &amp; Bed Mgmt'!$U:$U,"&lt;="&amp;A15,'Client DB &amp; Bed Mgmt'!$V:$V,"&gt;="&amp;A15)&gt;0),I15-S15,"")</f>
        <v/>
      </c>
      <c r="U15" s="105">
        <f>IF(AND(EDATE($B$4,0)&lt;=EOMONTH($B$5,0),COUNTIFS('Client DB &amp; Bed Mgmt'!$A:$A,B15,'Client DB &amp; Bed Mgmt'!$D:$D,"&lt;&gt;",'Client DB &amp; Bed Mgmt'!$U:$U,"&lt;="&amp;A15,'Client DB &amp; Bed Mgmt'!$V:$V,"&gt;="&amp;A15)&gt;0),IFERROR(T15/I15,0),"")</f>
        <v/>
      </c>
      <c r="V15" s="191">
        <f>IF(EDATE($B$4,0)&lt;=EOMONTH($B$5,0),COUNTIFS('Client DB &amp; Bed Mgmt'!$A:$A,B15,'Client DB &amp; Bed Mgmt'!$D:$D,"&lt;&gt;",'Client DB &amp; Bed Mgmt'!$U:$U,"&lt;="&amp;A15,'Client DB &amp; Bed Mgmt'!$V:$V,"&gt;="&amp;A15),"")</f>
        <v/>
      </c>
      <c r="W15" s="181">
        <f>IF(AND(EDATE($B$4,0)&lt;=EOMONTH($B$5,0),COUNTIFS('Client DB &amp; Bed Mgmt'!$A:$A,B15,'Client DB &amp; Bed Mgmt'!$D:$D,"&lt;&gt;",'Client DB &amp; Bed Mgmt'!$U:$U,"&lt;="&amp;A15,'Client DB &amp; Bed Mgmt'!$V:$V,"&gt;="&amp;A15)&gt;0),V15,"")</f>
        <v/>
      </c>
      <c r="X15" s="189">
        <f>IF(AND(EDATE($B$4,0)&lt;=EOMONTH($B$5,0),COUNTIFS('Client DB &amp; Bed Mgmt'!$A:$A,B15,'Client DB &amp; Bed Mgmt'!$D:$D,"&lt;&gt;",'Client DB &amp; Bed Mgmt'!$U:$U,"&lt;="&amp;A15,'Client DB &amp; Bed Mgmt'!$V:$V,"&gt;="&amp;A15)&gt;0),SUMIFS('Client DB &amp; Bed Mgmt'!$I:$I,'Client DB &amp; Bed Mgmt'!$A:$A,B15,'Client DB &amp; Bed Mgmt'!$D:$D,"&lt;&gt;",'Client DB &amp; Bed Mgmt'!$U:$U,"&lt;="&amp;A15,'Client DB &amp; Bed Mgmt'!$V:$V,"&gt;="&amp;A15),"")</f>
        <v/>
      </c>
      <c r="Y15" s="189">
        <f>IF(AND(EDATE($B$4,0)&lt;=EOMONTH($B$5,0),COUNTIFS('Client DB &amp; Bed Mgmt'!$A:$A,B15,'Client DB &amp; Bed Mgmt'!$D:$D,"&lt;&gt;",'Client DB &amp; Bed Mgmt'!$U:$U,"&lt;="&amp;A15,'Client DB &amp; Bed Mgmt'!$V:$V,"&gt;="&amp;A15)&gt;0),SUMIFS('Client DB &amp; Bed Mgmt'!$J:$J,'Client DB &amp; Bed Mgmt'!$A:$A,B15,'Client DB &amp; Bed Mgmt'!$D:$D,"&lt;&gt;",'Client DB &amp; Bed Mgmt'!$U:$U,"&lt;="&amp;A15,'Client DB &amp; Bed Mgmt'!$V:$V,"&gt;="&amp;A15),"")</f>
        <v/>
      </c>
      <c r="Z15" s="192">
        <f>IF(AND(EDATE($B$4,0)&lt;=EOMONTH($B$5,0),COUNTIFS('Client DB &amp; Bed Mgmt'!$A:$A,B15,'Client DB &amp; Bed Mgmt'!$D:$D,"&lt;&gt;",'Client DB &amp; Bed Mgmt'!$U:$U,"&lt;="&amp;A15,'Client DB &amp; Bed Mgmt'!$V:$V,"&gt;="&amp;A15)&gt;0),SUMIFS('Client DB &amp; Bed Mgmt'!$K:$K,'Client DB &amp; Bed Mgmt'!$A:$A,B15,'Client DB &amp; Bed Mgmt'!$D:$D,"&lt;&gt;",'Client DB &amp; Bed Mgmt'!$U:$U,"&lt;="&amp;A15,'Client DB &amp; Bed Mgmt'!$V:$V,"&gt;="&amp;A15),"")</f>
        <v/>
      </c>
      <c r="AA15" s="82" t="n"/>
      <c r="AB15" s="82" t="n"/>
    </row>
    <row r="16" hidden="1" ht="14.25" customHeight="1" s="83">
      <c r="A16" s="177">
        <f>IF(EDATE($B$4,0)&lt;=EOMONTH($B$5,0),EDATE($B$4,0),"")</f>
        <v/>
      </c>
      <c r="B16" s="103">
        <f>IF(EDATE($B$4,0)&lt;=EOMONTH($B$5,0),"Dorm 3","")</f>
        <v/>
      </c>
      <c r="C16" s="170">
        <f>IF(AND(EDATE($B$4,0)&lt;=EOMONTH($B$5,0),COUNTIFS('Client DB &amp; Bed Mgmt'!$A:$A,B16,'Client DB &amp; Bed Mgmt'!$D:$D,"&lt;&gt;",'Client DB &amp; Bed Mgmt'!$U:$U,"&lt;="&amp;A16,'Client DB &amp; Bed Mgmt'!$V:$V,"&gt;="&amp;A16)&gt;0),IFERROR(INDEX('Settings &amp; Master Config'!$C$21:$C$23,MATCH(B16,'Settings &amp; Master Config'!$A$21:$A$23,0)),""),"")</f>
        <v/>
      </c>
      <c r="D16" s="170">
        <f>IF(AND(EDATE($B$4,0)&lt;=EOMONTH($B$5,0),COUNTIFS('Client DB &amp; Bed Mgmt'!$A:$A,B16,'Client DB &amp; Bed Mgmt'!$D:$D,"&lt;&gt;",'Client DB &amp; Bed Mgmt'!$U:$U,"&lt;="&amp;A16,'Client DB &amp; Bed Mgmt'!$V:$V,"&gt;="&amp;A16)&gt;0),IFERROR(INDEX('Settings &amp; Master Config'!$F$21:$F$23,MATCH(B16,'Settings &amp; Master Config'!$A$21:$A$23,0)),0),"")</f>
        <v/>
      </c>
      <c r="E16" s="130">
        <f>IF(AND(EDATE($B$4,0)&lt;=EOMONTH($B$5,0),COUNTIFS('Client DB &amp; Bed Mgmt'!$A:$A,B16,'Client DB &amp; Bed Mgmt'!$D:$D,"&lt;&gt;",'Client DB &amp; Bed Mgmt'!$U:$U,"&lt;="&amp;A16,'Client DB &amp; Bed Mgmt'!$V:$V,"&gt;="&amp;A16)&gt;0),$B$7*(1+$B$9)^(YEAR(A16)-YEAR($B$4)),"")</f>
        <v/>
      </c>
      <c r="F16" s="105">
        <f>IF(AND(EDATE($B$4,0)&lt;=EOMONTH($B$5,0),COUNTIFS('Client DB &amp; Bed Mgmt'!$A:$A,B16,'Client DB &amp; Bed Mgmt'!$D:$D,"&lt;&gt;",'Client DB &amp; Bed Mgmt'!$U:$U,"&lt;="&amp;A16,'Client DB &amp; Bed Mgmt'!$V:$V,"&gt;="&amp;A16)&gt;0),$B$8,"")</f>
        <v/>
      </c>
      <c r="G16" s="105">
        <f>IF(AND(EDATE($B$4,0)&lt;=EOMONTH($B$5,0),COUNTIFS('Client DB &amp; Bed Mgmt'!$A:$A,B16,'Client DB &amp; Bed Mgmt'!$D:$D,"&lt;&gt;",'Client DB &amp; Bed Mgmt'!$U:$U,"&lt;="&amp;A16,'Client DB &amp; Bed Mgmt'!$V:$V,"&gt;="&amp;A16)&gt;0),$B$9,"")</f>
        <v/>
      </c>
      <c r="H16" s="130">
        <f>IF(AND(EDATE($B$4,0)&lt;=EOMONTH($B$5,0),COUNTIFS('Client DB &amp; Bed Mgmt'!$A:$A,B16,'Client DB &amp; Bed Mgmt'!$D:$D,"&lt;&gt;",'Client DB &amp; Bed Mgmt'!$U:$U,"&lt;="&amp;A16,'Client DB &amp; Bed Mgmt'!$V:$V,"&gt;="&amp;A16)&gt;0),D16*E16,"")</f>
        <v/>
      </c>
      <c r="I16" s="189">
        <f>IF(AND(EDATE($B$4,0)&lt;=EOMONTH($B$5,0),COUNTIFS('Client DB &amp; Bed Mgmt'!$A:$A,B16,'Client DB &amp; Bed Mgmt'!$D:$D,"&lt;&gt;",'Client DB &amp; Bed Mgmt'!$U:$U,"&lt;="&amp;A16,'Client DB &amp; Bed Mgmt'!$V:$V,"&gt;="&amp;A16)&gt;0),SUM(X16:Z16),"")</f>
        <v/>
      </c>
      <c r="J16" s="189">
        <f>IF(AND(EDATE($B$4,0)&lt;=EOMONTH($B$5,0),COUNTIFS('Client DB &amp; Bed Mgmt'!$A:$A,B16,'Client DB &amp; Bed Mgmt'!$D:$D,"&lt;&gt;",'Client DB &amp; Bed Mgmt'!$U:$U,"&lt;="&amp;A16,'Client DB &amp; Bed Mgmt'!$V:$V,"&gt;="&amp;A16)&gt;0),D16*F16*E16,"")</f>
        <v/>
      </c>
      <c r="K16" s="190">
        <f>IF(AND(EDATE($B$4,0)&lt;=EOMONTH($B$5,0),COUNTIFS('Client DB &amp; Bed Mgmt'!$A:$A,B16,'Client DB &amp; Bed Mgmt'!$D:$D,"&lt;&gt;",'Client DB &amp; Bed Mgmt'!$U:$U,"&lt;="&amp;A16,'Client DB &amp; Bed Mgmt'!$V:$V,"&gt;="&amp;A16)&gt;0),75,"")</f>
        <v/>
      </c>
      <c r="L16" s="190">
        <f>IF(AND(EDATE($B$4,0)&lt;=EOMONTH($B$5,0),COUNTIFS('Client DB &amp; Bed Mgmt'!$A:$A,B16,'Client DB &amp; Bed Mgmt'!$D:$D,"&lt;&gt;",'Client DB &amp; Bed Mgmt'!$U:$U,"&lt;="&amp;A16,'Client DB &amp; Bed Mgmt'!$V:$V,"&gt;="&amp;A16)&gt;0),50,"")</f>
        <v/>
      </c>
      <c r="M16" s="190">
        <f>IF(AND(EDATE($B$4,0)&lt;=EOMONTH($B$5,0),COUNTIFS('Client DB &amp; Bed Mgmt'!$A:$A,B16,'Client DB &amp; Bed Mgmt'!$D:$D,"&lt;&gt;",'Client DB &amp; Bed Mgmt'!$U:$U,"&lt;="&amp;A16,'Client DB &amp; Bed Mgmt'!$V:$V,"&gt;="&amp;A16)&gt;0),150,"")</f>
        <v/>
      </c>
      <c r="N16" s="190">
        <f>IF(AND(EDATE($B$4,0)&lt;=EOMONTH($B$5,0),COUNTIFS('Client DB &amp; Bed Mgmt'!$A:$A,B16,'Client DB &amp; Bed Mgmt'!$D:$D,"&lt;&gt;",'Client DB &amp; Bed Mgmt'!$U:$U,"&lt;="&amp;A16,'Client DB &amp; Bed Mgmt'!$V:$V,"&gt;="&amp;A16)&gt;0),125,"")</f>
        <v/>
      </c>
      <c r="O16" s="190">
        <f>IF(AND(EDATE($B$4,0)&lt;=EOMONTH($B$5,0),COUNTIFS('Client DB &amp; Bed Mgmt'!$A:$A,B16,'Client DB &amp; Bed Mgmt'!$D:$D,"&lt;&gt;",'Client DB &amp; Bed Mgmt'!$U:$U,"&lt;="&amp;A16,'Client DB &amp; Bed Mgmt'!$V:$V,"&gt;="&amp;A16)&gt;0),60,"")</f>
        <v/>
      </c>
      <c r="P16" s="190">
        <f>IF(AND(EDATE($B$4,0)&lt;=EOMONTH($B$5,0),COUNTIFS('Client DB &amp; Bed Mgmt'!$A:$A,B16,'Client DB &amp; Bed Mgmt'!$D:$D,"&lt;&gt;",'Client DB &amp; Bed Mgmt'!$U:$U,"&lt;="&amp;A16,'Client DB &amp; Bed Mgmt'!$V:$V,"&gt;="&amp;A16)&gt;0),80,"")</f>
        <v/>
      </c>
      <c r="Q16" s="190">
        <f>IF(AND(EDATE($B$4,0)&lt;=EOMONTH($B$5,0),COUNTIFS('Client DB &amp; Bed Mgmt'!$A:$A,B16,'Client DB &amp; Bed Mgmt'!$D:$D,"&lt;&gt;",'Client DB &amp; Bed Mgmt'!$U:$U,"&lt;="&amp;A16,'Client DB &amp; Bed Mgmt'!$V:$V,"&gt;="&amp;A16)&gt;0),40,"")</f>
        <v/>
      </c>
      <c r="R16" s="189">
        <f>IF(AND(EDATE($B$4,0)&lt;=EOMONTH($B$5,0),COUNTIFS('Client DB &amp; Bed Mgmt'!$A:$A,B16,'Client DB &amp; Bed Mgmt'!$D:$D,"&lt;&gt;",'Client DB &amp; Bed Mgmt'!$U:$U,"&lt;="&amp;A16,'Client DB &amp; Bed Mgmt'!$V:$V,"&gt;="&amp;A16)&gt;0),IF(C16="Owned",0,2500),"")</f>
        <v/>
      </c>
      <c r="S16" s="189">
        <f>IF(AND(EDATE($B$4,0)&lt;=EOMONTH($B$5,0),COUNTIFS('Client DB &amp; Bed Mgmt'!$A:$A,B16,'Client DB &amp; Bed Mgmt'!$D:$D,"&lt;&gt;",'Client DB &amp; Bed Mgmt'!$U:$U,"&lt;="&amp;A16,'Client DB &amp; Bed Mgmt'!$V:$V,"&gt;="&amp;A16)&gt;0),SUM(K16:R16),"")</f>
        <v/>
      </c>
      <c r="T16" s="189">
        <f>IF(AND(EDATE($B$4,0)&lt;=EOMONTH($B$5,0),COUNTIFS('Client DB &amp; Bed Mgmt'!$A:$A,B16,'Client DB &amp; Bed Mgmt'!$D:$D,"&lt;&gt;",'Client DB &amp; Bed Mgmt'!$U:$U,"&lt;="&amp;A16,'Client DB &amp; Bed Mgmt'!$V:$V,"&gt;="&amp;A16)&gt;0),I16-S16,"")</f>
        <v/>
      </c>
      <c r="U16" s="105">
        <f>IF(AND(EDATE($B$4,0)&lt;=EOMONTH($B$5,0),COUNTIFS('Client DB &amp; Bed Mgmt'!$A:$A,B16,'Client DB &amp; Bed Mgmt'!$D:$D,"&lt;&gt;",'Client DB &amp; Bed Mgmt'!$U:$U,"&lt;="&amp;A16,'Client DB &amp; Bed Mgmt'!$V:$V,"&gt;="&amp;A16)&gt;0),IFERROR(T16/I16,0),"")</f>
        <v/>
      </c>
      <c r="V16" s="191">
        <f>IF(EDATE($B$4,0)&lt;=EOMONTH($B$5,0),COUNTIFS('Client DB &amp; Bed Mgmt'!$A:$A,B16,'Client DB &amp; Bed Mgmt'!$D:$D,"&lt;&gt;",'Client DB &amp; Bed Mgmt'!$U:$U,"&lt;="&amp;A16,'Client DB &amp; Bed Mgmt'!$V:$V,"&gt;="&amp;A16),"")</f>
        <v/>
      </c>
      <c r="W16" s="181">
        <f>IF(AND(EDATE($B$4,0)&lt;=EOMONTH($B$5,0),COUNTIFS('Client DB &amp; Bed Mgmt'!$A:$A,B16,'Client DB &amp; Bed Mgmt'!$D:$D,"&lt;&gt;",'Client DB &amp; Bed Mgmt'!$U:$U,"&lt;="&amp;A16,'Client DB &amp; Bed Mgmt'!$V:$V,"&gt;="&amp;A16)&gt;0),V16,"")</f>
        <v/>
      </c>
      <c r="X16" s="189">
        <f>IF(AND(EDATE($B$4,0)&lt;=EOMONTH($B$5,0),COUNTIFS('Client DB &amp; Bed Mgmt'!$A:$A,B16,'Client DB &amp; Bed Mgmt'!$D:$D,"&lt;&gt;",'Client DB &amp; Bed Mgmt'!$U:$U,"&lt;="&amp;A16,'Client DB &amp; Bed Mgmt'!$V:$V,"&gt;="&amp;A16)&gt;0),SUMIFS('Client DB &amp; Bed Mgmt'!$I:$I,'Client DB &amp; Bed Mgmt'!$A:$A,B16,'Client DB &amp; Bed Mgmt'!$D:$D,"&lt;&gt;",'Client DB &amp; Bed Mgmt'!$U:$U,"&lt;="&amp;A16,'Client DB &amp; Bed Mgmt'!$V:$V,"&gt;="&amp;A16),"")</f>
        <v/>
      </c>
      <c r="Y16" s="189">
        <f>IF(AND(EDATE($B$4,0)&lt;=EOMONTH($B$5,0),COUNTIFS('Client DB &amp; Bed Mgmt'!$A:$A,B16,'Client DB &amp; Bed Mgmt'!$D:$D,"&lt;&gt;",'Client DB &amp; Bed Mgmt'!$U:$U,"&lt;="&amp;A16,'Client DB &amp; Bed Mgmt'!$V:$V,"&gt;="&amp;A16)&gt;0),SUMIFS('Client DB &amp; Bed Mgmt'!$J:$J,'Client DB &amp; Bed Mgmt'!$A:$A,B16,'Client DB &amp; Bed Mgmt'!$D:$D,"&lt;&gt;",'Client DB &amp; Bed Mgmt'!$U:$U,"&lt;="&amp;A16,'Client DB &amp; Bed Mgmt'!$V:$V,"&gt;="&amp;A16),"")</f>
        <v/>
      </c>
      <c r="Z16" s="192">
        <f>IF(AND(EDATE($B$4,0)&lt;=EOMONTH($B$5,0),COUNTIFS('Client DB &amp; Bed Mgmt'!$A:$A,B16,'Client DB &amp; Bed Mgmt'!$D:$D,"&lt;&gt;",'Client DB &amp; Bed Mgmt'!$U:$U,"&lt;="&amp;A16,'Client DB &amp; Bed Mgmt'!$V:$V,"&gt;="&amp;A16)&gt;0),SUMIFS('Client DB &amp; Bed Mgmt'!$K:$K,'Client DB &amp; Bed Mgmt'!$A:$A,B16,'Client DB &amp; Bed Mgmt'!$D:$D,"&lt;&gt;",'Client DB &amp; Bed Mgmt'!$U:$U,"&lt;="&amp;A16,'Client DB &amp; Bed Mgmt'!$V:$V,"&gt;="&amp;A16),"")</f>
        <v/>
      </c>
      <c r="AA16" s="82" t="n"/>
      <c r="AB16" s="82" t="n"/>
    </row>
    <row r="17" ht="14.25" customHeight="1" s="83">
      <c r="A17" s="177">
        <f>IF(EDATE($B$4,1)&lt;=EOMONTH($B$5,0),EDATE($B$4,1),"")</f>
        <v/>
      </c>
      <c r="B17" s="103">
        <f>IF(EDATE($B$4,1)&lt;=EOMONTH($B$5,0),"Dorm 1","")</f>
        <v/>
      </c>
      <c r="C17" s="170">
        <f>IF(AND(EDATE($B$4,1)&lt;=EOMONTH($B$5,0),COUNTIFS('Client DB &amp; Bed Mgmt'!$A:$A,B17,'Client DB &amp; Bed Mgmt'!$D:$D,"&lt;&gt;",'Client DB &amp; Bed Mgmt'!$U:$U,"&lt;="&amp;A17,'Client DB &amp; Bed Mgmt'!$V:$V,"&gt;="&amp;A17)&gt;0),IFERROR(INDEX('Settings &amp; Master Config'!$C$21:$C$23,MATCH(B17,'Settings &amp; Master Config'!$A$21:$A$23,0)),""),"")</f>
        <v/>
      </c>
      <c r="D17" s="170">
        <f>IF(AND(EDATE($B$4,1)&lt;=EOMONTH($B$5,0),COUNTIFS('Client DB &amp; Bed Mgmt'!$A:$A,B17,'Client DB &amp; Bed Mgmt'!$D:$D,"&lt;&gt;",'Client DB &amp; Bed Mgmt'!$U:$U,"&lt;="&amp;A17,'Client DB &amp; Bed Mgmt'!$V:$V,"&gt;="&amp;A17)&gt;0),IFERROR(INDEX('Settings &amp; Master Config'!$F$21:$F$23,MATCH(B17,'Settings &amp; Master Config'!$A$21:$A$23,0)),0),"")</f>
        <v/>
      </c>
      <c r="E17" s="130">
        <f>IF(AND(EDATE($B$4,1)&lt;=EOMONTH($B$5,0),COUNTIFS('Client DB &amp; Bed Mgmt'!$A:$A,B17,'Client DB &amp; Bed Mgmt'!$D:$D,"&lt;&gt;",'Client DB &amp; Bed Mgmt'!$U:$U,"&lt;="&amp;A17,'Client DB &amp; Bed Mgmt'!$V:$V,"&gt;="&amp;A17)&gt;0),$B$7*(1+$B$9)^(YEAR(A17)-YEAR($B$4)),"")</f>
        <v/>
      </c>
      <c r="F17" s="105">
        <f>IF(AND(EDATE($B$4,1)&lt;=EOMONTH($B$5,0),COUNTIFS('Client DB &amp; Bed Mgmt'!$A:$A,B17,'Client DB &amp; Bed Mgmt'!$D:$D,"&lt;&gt;",'Client DB &amp; Bed Mgmt'!$U:$U,"&lt;="&amp;A17,'Client DB &amp; Bed Mgmt'!$V:$V,"&gt;="&amp;A17)&gt;0),$B$8,"")</f>
        <v/>
      </c>
      <c r="G17" s="105">
        <f>IF(AND(EDATE($B$4,1)&lt;=EOMONTH($B$5,0),COUNTIFS('Client DB &amp; Bed Mgmt'!$A:$A,B17,'Client DB &amp; Bed Mgmt'!$D:$D,"&lt;&gt;",'Client DB &amp; Bed Mgmt'!$U:$U,"&lt;="&amp;A17,'Client DB &amp; Bed Mgmt'!$V:$V,"&gt;="&amp;A17)&gt;0),$B$9,"")</f>
        <v/>
      </c>
      <c r="H17" s="130">
        <f>IF(AND(EDATE($B$4,1)&lt;=EOMONTH($B$5,0),COUNTIFS('Client DB &amp; Bed Mgmt'!$A:$A,B17,'Client DB &amp; Bed Mgmt'!$D:$D,"&lt;&gt;",'Client DB &amp; Bed Mgmt'!$U:$U,"&lt;="&amp;A17,'Client DB &amp; Bed Mgmt'!$V:$V,"&gt;="&amp;A17)&gt;0),D17*E17,"")</f>
        <v/>
      </c>
      <c r="I17" s="189">
        <f>IF(AND(EDATE($B$4,1)&lt;=EOMONTH($B$5,0),COUNTIFS('Client DB &amp; Bed Mgmt'!$A:$A,B17,'Client DB &amp; Bed Mgmt'!$D:$D,"&lt;&gt;",'Client DB &amp; Bed Mgmt'!$U:$U,"&lt;="&amp;A17,'Client DB &amp; Bed Mgmt'!$V:$V,"&gt;="&amp;A17)&gt;0),SUM(X17:Z17),"")</f>
        <v/>
      </c>
      <c r="J17" s="189">
        <f>IF(AND(EDATE($B$4,1)&lt;=EOMONTH($B$5,0),COUNTIFS('Client DB &amp; Bed Mgmt'!$A:$A,B17,'Client DB &amp; Bed Mgmt'!$D:$D,"&lt;&gt;",'Client DB &amp; Bed Mgmt'!$U:$U,"&lt;="&amp;A17,'Client DB &amp; Bed Mgmt'!$V:$V,"&gt;="&amp;A17)&gt;0),D17*F17*E17,"")</f>
        <v/>
      </c>
      <c r="K17" s="190">
        <f>IF(AND(EDATE($B$4,1)&lt;=EOMONTH($B$5,0),COUNTIFS('Client DB &amp; Bed Mgmt'!$A:$A,B17,'Client DB &amp; Bed Mgmt'!$D:$D,"&lt;&gt;",'Client DB &amp; Bed Mgmt'!$U:$U,"&lt;="&amp;A17,'Client DB &amp; Bed Mgmt'!$V:$V,"&gt;="&amp;A17)&gt;0),75,"")</f>
        <v/>
      </c>
      <c r="L17" s="190">
        <f>IF(AND(EDATE($B$4,1)&lt;=EOMONTH($B$5,0),COUNTIFS('Client DB &amp; Bed Mgmt'!$A:$A,B17,'Client DB &amp; Bed Mgmt'!$D:$D,"&lt;&gt;",'Client DB &amp; Bed Mgmt'!$U:$U,"&lt;="&amp;A17,'Client DB &amp; Bed Mgmt'!$V:$V,"&gt;="&amp;A17)&gt;0),50,"")</f>
        <v/>
      </c>
      <c r="M17" s="190">
        <f>IF(AND(EDATE($B$4,1)&lt;=EOMONTH($B$5,0),COUNTIFS('Client DB &amp; Bed Mgmt'!$A:$A,B17,'Client DB &amp; Bed Mgmt'!$D:$D,"&lt;&gt;",'Client DB &amp; Bed Mgmt'!$U:$U,"&lt;="&amp;A17,'Client DB &amp; Bed Mgmt'!$V:$V,"&gt;="&amp;A17)&gt;0),150,"")</f>
        <v/>
      </c>
      <c r="N17" s="190">
        <f>IF(AND(EDATE($B$4,1)&lt;=EOMONTH($B$5,0),COUNTIFS('Client DB &amp; Bed Mgmt'!$A:$A,B17,'Client DB &amp; Bed Mgmt'!$D:$D,"&lt;&gt;",'Client DB &amp; Bed Mgmt'!$U:$U,"&lt;="&amp;A17,'Client DB &amp; Bed Mgmt'!$V:$V,"&gt;="&amp;A17)&gt;0),125,"")</f>
        <v/>
      </c>
      <c r="O17" s="190">
        <f>IF(AND(EDATE($B$4,1)&lt;=EOMONTH($B$5,0),COUNTIFS('Client DB &amp; Bed Mgmt'!$A:$A,B17,'Client DB &amp; Bed Mgmt'!$D:$D,"&lt;&gt;",'Client DB &amp; Bed Mgmt'!$U:$U,"&lt;="&amp;A17,'Client DB &amp; Bed Mgmt'!$V:$V,"&gt;="&amp;A17)&gt;0),60,"")</f>
        <v/>
      </c>
      <c r="P17" s="190">
        <f>IF(AND(EDATE($B$4,1)&lt;=EOMONTH($B$5,0),COUNTIFS('Client DB &amp; Bed Mgmt'!$A:$A,B17,'Client DB &amp; Bed Mgmt'!$D:$D,"&lt;&gt;",'Client DB &amp; Bed Mgmt'!$U:$U,"&lt;="&amp;A17,'Client DB &amp; Bed Mgmt'!$V:$V,"&gt;="&amp;A17)&gt;0),80,"")</f>
        <v/>
      </c>
      <c r="Q17" s="190">
        <f>IF(AND(EDATE($B$4,1)&lt;=EOMONTH($B$5,0),COUNTIFS('Client DB &amp; Bed Mgmt'!$A:$A,B17,'Client DB &amp; Bed Mgmt'!$D:$D,"&lt;&gt;",'Client DB &amp; Bed Mgmt'!$U:$U,"&lt;="&amp;A17,'Client DB &amp; Bed Mgmt'!$V:$V,"&gt;="&amp;A17)&gt;0),40,"")</f>
        <v/>
      </c>
      <c r="R17" s="189">
        <f>IF(AND(EDATE($B$4,1)&lt;=EOMONTH($B$5,0),COUNTIFS('Client DB &amp; Bed Mgmt'!$A:$A,B17,'Client DB &amp; Bed Mgmt'!$D:$D,"&lt;&gt;",'Client DB &amp; Bed Mgmt'!$U:$U,"&lt;="&amp;A17,'Client DB &amp; Bed Mgmt'!$V:$V,"&gt;="&amp;A17)&gt;0),IF(C17="Owned",0,2500),"")</f>
        <v/>
      </c>
      <c r="S17" s="189">
        <f>IF(AND(EDATE($B$4,1)&lt;=EOMONTH($B$5,0),COUNTIFS('Client DB &amp; Bed Mgmt'!$A:$A,B17,'Client DB &amp; Bed Mgmt'!$D:$D,"&lt;&gt;",'Client DB &amp; Bed Mgmt'!$U:$U,"&lt;="&amp;A17,'Client DB &amp; Bed Mgmt'!$V:$V,"&gt;="&amp;A17)&gt;0),SUM(K17:R17),"")</f>
        <v/>
      </c>
      <c r="T17" s="189">
        <f>IF(AND(EDATE($B$4,1)&lt;=EOMONTH($B$5,0),COUNTIFS('Client DB &amp; Bed Mgmt'!$A:$A,B17,'Client DB &amp; Bed Mgmt'!$D:$D,"&lt;&gt;",'Client DB &amp; Bed Mgmt'!$U:$U,"&lt;="&amp;A17,'Client DB &amp; Bed Mgmt'!$V:$V,"&gt;="&amp;A17)&gt;0),I17-S17,"")</f>
        <v/>
      </c>
      <c r="U17" s="105">
        <f>IF(AND(EDATE($B$4,1)&lt;=EOMONTH($B$5,0),COUNTIFS('Client DB &amp; Bed Mgmt'!$A:$A,B17,'Client DB &amp; Bed Mgmt'!$D:$D,"&lt;&gt;",'Client DB &amp; Bed Mgmt'!$U:$U,"&lt;="&amp;A17,'Client DB &amp; Bed Mgmt'!$V:$V,"&gt;="&amp;A17)&gt;0),IFERROR(T17/I17,0),"")</f>
        <v/>
      </c>
      <c r="V17" s="191">
        <f>IF(EDATE($B$4,1)&lt;=EOMONTH($B$5,0),COUNTIFS('Client DB &amp; Bed Mgmt'!$A:$A,B17,'Client DB &amp; Bed Mgmt'!$D:$D,"&lt;&gt;",'Client DB &amp; Bed Mgmt'!$U:$U,"&lt;="&amp;A17,'Client DB &amp; Bed Mgmt'!$V:$V,"&gt;="&amp;A17),"")</f>
        <v/>
      </c>
      <c r="W17" s="181">
        <f>IF(AND(EDATE($B$4,1)&lt;=EOMONTH($B$5,0),COUNTIFS('Client DB &amp; Bed Mgmt'!$A:$A,B17,'Client DB &amp; Bed Mgmt'!$D:$D,"&lt;&gt;",'Client DB &amp; Bed Mgmt'!$U:$U,"&lt;="&amp;A17,'Client DB &amp; Bed Mgmt'!$V:$V,"&gt;="&amp;A17)&gt;0),V17,"")</f>
        <v/>
      </c>
      <c r="X17" s="189">
        <f>IF(AND(EDATE($B$4,1)&lt;=EOMONTH($B$5,0),COUNTIFS('Client DB &amp; Bed Mgmt'!$A:$A,B17,'Client DB &amp; Bed Mgmt'!$D:$D,"&lt;&gt;",'Client DB &amp; Bed Mgmt'!$U:$U,"&lt;="&amp;A17,'Client DB &amp; Bed Mgmt'!$V:$V,"&gt;="&amp;A17)&gt;0),SUMIFS('Client DB &amp; Bed Mgmt'!$I:$I,'Client DB &amp; Bed Mgmt'!$A:$A,B17,'Client DB &amp; Bed Mgmt'!$D:$D,"&lt;&gt;",'Client DB &amp; Bed Mgmt'!$U:$U,"&lt;="&amp;A17,'Client DB &amp; Bed Mgmt'!$V:$V,"&gt;="&amp;A17),"")</f>
        <v/>
      </c>
      <c r="Y17" s="189">
        <f>IF(AND(EDATE($B$4,1)&lt;=EOMONTH($B$5,0),COUNTIFS('Client DB &amp; Bed Mgmt'!$A:$A,B17,'Client DB &amp; Bed Mgmt'!$D:$D,"&lt;&gt;",'Client DB &amp; Bed Mgmt'!$U:$U,"&lt;="&amp;A17,'Client DB &amp; Bed Mgmt'!$V:$V,"&gt;="&amp;A17)&gt;0),SUMIFS('Client DB &amp; Bed Mgmt'!$J:$J,'Client DB &amp; Bed Mgmt'!$A:$A,B17,'Client DB &amp; Bed Mgmt'!$D:$D,"&lt;&gt;",'Client DB &amp; Bed Mgmt'!$U:$U,"&lt;="&amp;A17,'Client DB &amp; Bed Mgmt'!$V:$V,"&gt;="&amp;A17),"")</f>
        <v/>
      </c>
      <c r="Z17" s="192">
        <f>IF(AND(EDATE($B$4,1)&lt;=EOMONTH($B$5,0),COUNTIFS('Client DB &amp; Bed Mgmt'!$A:$A,B17,'Client DB &amp; Bed Mgmt'!$D:$D,"&lt;&gt;",'Client DB &amp; Bed Mgmt'!$U:$U,"&lt;="&amp;A17,'Client DB &amp; Bed Mgmt'!$V:$V,"&gt;="&amp;A17)&gt;0),SUMIFS('Client DB &amp; Bed Mgmt'!$K:$K,'Client DB &amp; Bed Mgmt'!$A:$A,B17,'Client DB &amp; Bed Mgmt'!$D:$D,"&lt;&gt;",'Client DB &amp; Bed Mgmt'!$U:$U,"&lt;="&amp;A17,'Client DB &amp; Bed Mgmt'!$V:$V,"&gt;="&amp;A17),"")</f>
        <v/>
      </c>
      <c r="AA17" s="82" t="n"/>
      <c r="AB17" s="82" t="n"/>
    </row>
    <row r="18" hidden="1" ht="14.25" customHeight="1" s="83">
      <c r="A18" s="177">
        <f>IF(EDATE($B$4,1)&lt;=EOMONTH($B$5,0),EDATE($B$4,1),"")</f>
        <v/>
      </c>
      <c r="B18" s="103">
        <f>IF(EDATE($B$4,1)&lt;=EOMONTH($B$5,0),"Dorm 2","")</f>
        <v/>
      </c>
      <c r="C18" s="170">
        <f>IF(AND(EDATE($B$4,1)&lt;=EOMONTH($B$5,0),COUNTIFS('Client DB &amp; Bed Mgmt'!$A:$A,B18,'Client DB &amp; Bed Mgmt'!$D:$D,"&lt;&gt;",'Client DB &amp; Bed Mgmt'!$U:$U,"&lt;="&amp;A18,'Client DB &amp; Bed Mgmt'!$V:$V,"&gt;="&amp;A18)&gt;0),IFERROR(INDEX('Settings &amp; Master Config'!$C$21:$C$23,MATCH(B18,'Settings &amp; Master Config'!$A$21:$A$23,0)),""),"")</f>
        <v/>
      </c>
      <c r="D18" s="170">
        <f>IF(AND(EDATE($B$4,1)&lt;=EOMONTH($B$5,0),COUNTIFS('Client DB &amp; Bed Mgmt'!$A:$A,B18,'Client DB &amp; Bed Mgmt'!$D:$D,"&lt;&gt;",'Client DB &amp; Bed Mgmt'!$U:$U,"&lt;="&amp;A18,'Client DB &amp; Bed Mgmt'!$V:$V,"&gt;="&amp;A18)&gt;0),IFERROR(INDEX('Settings &amp; Master Config'!$F$21:$F$23,MATCH(B18,'Settings &amp; Master Config'!$A$21:$A$23,0)),0),"")</f>
        <v/>
      </c>
      <c r="E18" s="130">
        <f>IF(AND(EDATE($B$4,1)&lt;=EOMONTH($B$5,0),COUNTIFS('Client DB &amp; Bed Mgmt'!$A:$A,B18,'Client DB &amp; Bed Mgmt'!$D:$D,"&lt;&gt;",'Client DB &amp; Bed Mgmt'!$U:$U,"&lt;="&amp;A18,'Client DB &amp; Bed Mgmt'!$V:$V,"&gt;="&amp;A18)&gt;0),$B$7*(1+$B$9)^(YEAR(A18)-YEAR($B$4)),"")</f>
        <v/>
      </c>
      <c r="F18" s="105">
        <f>IF(AND(EDATE($B$4,1)&lt;=EOMONTH($B$5,0),COUNTIFS('Client DB &amp; Bed Mgmt'!$A:$A,B18,'Client DB &amp; Bed Mgmt'!$D:$D,"&lt;&gt;",'Client DB &amp; Bed Mgmt'!$U:$U,"&lt;="&amp;A18,'Client DB &amp; Bed Mgmt'!$V:$V,"&gt;="&amp;A18)&gt;0),$B$8,"")</f>
        <v/>
      </c>
      <c r="G18" s="105">
        <f>IF(AND(EDATE($B$4,1)&lt;=EOMONTH($B$5,0),COUNTIFS('Client DB &amp; Bed Mgmt'!$A:$A,B18,'Client DB &amp; Bed Mgmt'!$D:$D,"&lt;&gt;",'Client DB &amp; Bed Mgmt'!$U:$U,"&lt;="&amp;A18,'Client DB &amp; Bed Mgmt'!$V:$V,"&gt;="&amp;A18)&gt;0),$B$9,"")</f>
        <v/>
      </c>
      <c r="H18" s="130">
        <f>IF(AND(EDATE($B$4,1)&lt;=EOMONTH($B$5,0),COUNTIFS('Client DB &amp; Bed Mgmt'!$A:$A,B18,'Client DB &amp; Bed Mgmt'!$D:$D,"&lt;&gt;",'Client DB &amp; Bed Mgmt'!$U:$U,"&lt;="&amp;A18,'Client DB &amp; Bed Mgmt'!$V:$V,"&gt;="&amp;A18)&gt;0),D18*E18,"")</f>
        <v/>
      </c>
      <c r="I18" s="189">
        <f>IF(AND(EDATE($B$4,1)&lt;=EOMONTH($B$5,0),COUNTIFS('Client DB &amp; Bed Mgmt'!$A:$A,B18,'Client DB &amp; Bed Mgmt'!$D:$D,"&lt;&gt;",'Client DB &amp; Bed Mgmt'!$U:$U,"&lt;="&amp;A18,'Client DB &amp; Bed Mgmt'!$V:$V,"&gt;="&amp;A18)&gt;0),SUM(X18:Z18),"")</f>
        <v/>
      </c>
      <c r="J18" s="189">
        <f>IF(AND(EDATE($B$4,1)&lt;=EOMONTH($B$5,0),COUNTIFS('Client DB &amp; Bed Mgmt'!$A:$A,B18,'Client DB &amp; Bed Mgmt'!$D:$D,"&lt;&gt;",'Client DB &amp; Bed Mgmt'!$U:$U,"&lt;="&amp;A18,'Client DB &amp; Bed Mgmt'!$V:$V,"&gt;="&amp;A18)&gt;0),D18*F18*E18,"")</f>
        <v/>
      </c>
      <c r="K18" s="190">
        <f>IF(AND(EDATE($B$4,1)&lt;=EOMONTH($B$5,0),COUNTIFS('Client DB &amp; Bed Mgmt'!$A:$A,B18,'Client DB &amp; Bed Mgmt'!$D:$D,"&lt;&gt;",'Client DB &amp; Bed Mgmt'!$U:$U,"&lt;="&amp;A18,'Client DB &amp; Bed Mgmt'!$V:$V,"&gt;="&amp;A18)&gt;0),75,"")</f>
        <v/>
      </c>
      <c r="L18" s="190">
        <f>IF(AND(EDATE($B$4,1)&lt;=EOMONTH($B$5,0),COUNTIFS('Client DB &amp; Bed Mgmt'!$A:$A,B18,'Client DB &amp; Bed Mgmt'!$D:$D,"&lt;&gt;",'Client DB &amp; Bed Mgmt'!$U:$U,"&lt;="&amp;A18,'Client DB &amp; Bed Mgmt'!$V:$V,"&gt;="&amp;A18)&gt;0),50,"")</f>
        <v/>
      </c>
      <c r="M18" s="190">
        <f>IF(AND(EDATE($B$4,1)&lt;=EOMONTH($B$5,0),COUNTIFS('Client DB &amp; Bed Mgmt'!$A:$A,B18,'Client DB &amp; Bed Mgmt'!$D:$D,"&lt;&gt;",'Client DB &amp; Bed Mgmt'!$U:$U,"&lt;="&amp;A18,'Client DB &amp; Bed Mgmt'!$V:$V,"&gt;="&amp;A18)&gt;0),150,"")</f>
        <v/>
      </c>
      <c r="N18" s="190">
        <f>IF(AND(EDATE($B$4,1)&lt;=EOMONTH($B$5,0),COUNTIFS('Client DB &amp; Bed Mgmt'!$A:$A,B18,'Client DB &amp; Bed Mgmt'!$D:$D,"&lt;&gt;",'Client DB &amp; Bed Mgmt'!$U:$U,"&lt;="&amp;A18,'Client DB &amp; Bed Mgmt'!$V:$V,"&gt;="&amp;A18)&gt;0),125,"")</f>
        <v/>
      </c>
      <c r="O18" s="190">
        <f>IF(AND(EDATE($B$4,1)&lt;=EOMONTH($B$5,0),COUNTIFS('Client DB &amp; Bed Mgmt'!$A:$A,B18,'Client DB &amp; Bed Mgmt'!$D:$D,"&lt;&gt;",'Client DB &amp; Bed Mgmt'!$U:$U,"&lt;="&amp;A18,'Client DB &amp; Bed Mgmt'!$V:$V,"&gt;="&amp;A18)&gt;0),60,"")</f>
        <v/>
      </c>
      <c r="P18" s="190">
        <f>IF(AND(EDATE($B$4,1)&lt;=EOMONTH($B$5,0),COUNTIFS('Client DB &amp; Bed Mgmt'!$A:$A,B18,'Client DB &amp; Bed Mgmt'!$D:$D,"&lt;&gt;",'Client DB &amp; Bed Mgmt'!$U:$U,"&lt;="&amp;A18,'Client DB &amp; Bed Mgmt'!$V:$V,"&gt;="&amp;A18)&gt;0),80,"")</f>
        <v/>
      </c>
      <c r="Q18" s="190">
        <f>IF(AND(EDATE($B$4,1)&lt;=EOMONTH($B$5,0),COUNTIFS('Client DB &amp; Bed Mgmt'!$A:$A,B18,'Client DB &amp; Bed Mgmt'!$D:$D,"&lt;&gt;",'Client DB &amp; Bed Mgmt'!$U:$U,"&lt;="&amp;A18,'Client DB &amp; Bed Mgmt'!$V:$V,"&gt;="&amp;A18)&gt;0),40,"")</f>
        <v/>
      </c>
      <c r="R18" s="189">
        <f>IF(AND(EDATE($B$4,1)&lt;=EOMONTH($B$5,0),COUNTIFS('Client DB &amp; Bed Mgmt'!$A:$A,B18,'Client DB &amp; Bed Mgmt'!$D:$D,"&lt;&gt;",'Client DB &amp; Bed Mgmt'!$U:$U,"&lt;="&amp;A18,'Client DB &amp; Bed Mgmt'!$V:$V,"&gt;="&amp;A18)&gt;0),IF(C18="Owned",0,2500),"")</f>
        <v/>
      </c>
      <c r="S18" s="189">
        <f>IF(AND(EDATE($B$4,1)&lt;=EOMONTH($B$5,0),COUNTIFS('Client DB &amp; Bed Mgmt'!$A:$A,B18,'Client DB &amp; Bed Mgmt'!$D:$D,"&lt;&gt;",'Client DB &amp; Bed Mgmt'!$U:$U,"&lt;="&amp;A18,'Client DB &amp; Bed Mgmt'!$V:$V,"&gt;="&amp;A18)&gt;0),SUM(K18:R18),"")</f>
        <v/>
      </c>
      <c r="T18" s="189">
        <f>IF(AND(EDATE($B$4,1)&lt;=EOMONTH($B$5,0),COUNTIFS('Client DB &amp; Bed Mgmt'!$A:$A,B18,'Client DB &amp; Bed Mgmt'!$D:$D,"&lt;&gt;",'Client DB &amp; Bed Mgmt'!$U:$U,"&lt;="&amp;A18,'Client DB &amp; Bed Mgmt'!$V:$V,"&gt;="&amp;A18)&gt;0),I18-S18,"")</f>
        <v/>
      </c>
      <c r="U18" s="105">
        <f>IF(AND(EDATE($B$4,1)&lt;=EOMONTH($B$5,0),COUNTIFS('Client DB &amp; Bed Mgmt'!$A:$A,B18,'Client DB &amp; Bed Mgmt'!$D:$D,"&lt;&gt;",'Client DB &amp; Bed Mgmt'!$U:$U,"&lt;="&amp;A18,'Client DB &amp; Bed Mgmt'!$V:$V,"&gt;="&amp;A18)&gt;0),IFERROR(T18/I18,0),"")</f>
        <v/>
      </c>
      <c r="V18" s="191">
        <f>IF(EDATE($B$4,1)&lt;=EOMONTH($B$5,0),COUNTIFS('Client DB &amp; Bed Mgmt'!$A:$A,B18,'Client DB &amp; Bed Mgmt'!$D:$D,"&lt;&gt;",'Client DB &amp; Bed Mgmt'!$U:$U,"&lt;="&amp;A18,'Client DB &amp; Bed Mgmt'!$V:$V,"&gt;="&amp;A18),"")</f>
        <v/>
      </c>
      <c r="W18" s="181">
        <f>IF(AND(EDATE($B$4,1)&lt;=EOMONTH($B$5,0),COUNTIFS('Client DB &amp; Bed Mgmt'!$A:$A,B18,'Client DB &amp; Bed Mgmt'!$D:$D,"&lt;&gt;",'Client DB &amp; Bed Mgmt'!$U:$U,"&lt;="&amp;A18,'Client DB &amp; Bed Mgmt'!$V:$V,"&gt;="&amp;A18)&gt;0),V18,"")</f>
        <v/>
      </c>
      <c r="X18" s="189">
        <f>IF(AND(EDATE($B$4,1)&lt;=EOMONTH($B$5,0),COUNTIFS('Client DB &amp; Bed Mgmt'!$A:$A,B18,'Client DB &amp; Bed Mgmt'!$D:$D,"&lt;&gt;",'Client DB &amp; Bed Mgmt'!$U:$U,"&lt;="&amp;A18,'Client DB &amp; Bed Mgmt'!$V:$V,"&gt;="&amp;A18)&gt;0),SUMIFS('Client DB &amp; Bed Mgmt'!$I:$I,'Client DB &amp; Bed Mgmt'!$A:$A,B18,'Client DB &amp; Bed Mgmt'!$D:$D,"&lt;&gt;",'Client DB &amp; Bed Mgmt'!$U:$U,"&lt;="&amp;A18,'Client DB &amp; Bed Mgmt'!$V:$V,"&gt;="&amp;A18),"")</f>
        <v/>
      </c>
      <c r="Y18" s="189">
        <f>IF(AND(EDATE($B$4,1)&lt;=EOMONTH($B$5,0),COUNTIFS('Client DB &amp; Bed Mgmt'!$A:$A,B18,'Client DB &amp; Bed Mgmt'!$D:$D,"&lt;&gt;",'Client DB &amp; Bed Mgmt'!$U:$U,"&lt;="&amp;A18,'Client DB &amp; Bed Mgmt'!$V:$V,"&gt;="&amp;A18)&gt;0),SUMIFS('Client DB &amp; Bed Mgmt'!$J:$J,'Client DB &amp; Bed Mgmt'!$A:$A,B18,'Client DB &amp; Bed Mgmt'!$D:$D,"&lt;&gt;",'Client DB &amp; Bed Mgmt'!$U:$U,"&lt;="&amp;A18,'Client DB &amp; Bed Mgmt'!$V:$V,"&gt;="&amp;A18),"")</f>
        <v/>
      </c>
      <c r="Z18" s="192">
        <f>IF(AND(EDATE($B$4,1)&lt;=EOMONTH($B$5,0),COUNTIFS('Client DB &amp; Bed Mgmt'!$A:$A,B18,'Client DB &amp; Bed Mgmt'!$D:$D,"&lt;&gt;",'Client DB &amp; Bed Mgmt'!$U:$U,"&lt;="&amp;A18,'Client DB &amp; Bed Mgmt'!$V:$V,"&gt;="&amp;A18)&gt;0),SUMIFS('Client DB &amp; Bed Mgmt'!$K:$K,'Client DB &amp; Bed Mgmt'!$A:$A,B18,'Client DB &amp; Bed Mgmt'!$D:$D,"&lt;&gt;",'Client DB &amp; Bed Mgmt'!$U:$U,"&lt;="&amp;A18,'Client DB &amp; Bed Mgmt'!$V:$V,"&gt;="&amp;A18),"")</f>
        <v/>
      </c>
      <c r="AA18" s="82" t="n"/>
      <c r="AB18" s="82" t="n"/>
    </row>
    <row r="19" hidden="1" ht="14.25" customHeight="1" s="83">
      <c r="A19" s="177">
        <f>IF(EDATE($B$4,1)&lt;=EOMONTH($B$5,0),EDATE($B$4,1),"")</f>
        <v/>
      </c>
      <c r="B19" s="103">
        <f>IF(EDATE($B$4,1)&lt;=EOMONTH($B$5,0),"Dorm 3","")</f>
        <v/>
      </c>
      <c r="C19" s="170">
        <f>IF(AND(EDATE($B$4,1)&lt;=EOMONTH($B$5,0),COUNTIFS('Client DB &amp; Bed Mgmt'!$A:$A,B19,'Client DB &amp; Bed Mgmt'!$D:$D,"&lt;&gt;",'Client DB &amp; Bed Mgmt'!$U:$U,"&lt;="&amp;A19,'Client DB &amp; Bed Mgmt'!$V:$V,"&gt;="&amp;A19)&gt;0),IFERROR(INDEX('Settings &amp; Master Config'!$C$21:$C$23,MATCH(B19,'Settings &amp; Master Config'!$A$21:$A$23,0)),""),"")</f>
        <v/>
      </c>
      <c r="D19" s="170">
        <f>IF(AND(EDATE($B$4,1)&lt;=EOMONTH($B$5,0),COUNTIFS('Client DB &amp; Bed Mgmt'!$A:$A,B19,'Client DB &amp; Bed Mgmt'!$D:$D,"&lt;&gt;",'Client DB &amp; Bed Mgmt'!$U:$U,"&lt;="&amp;A19,'Client DB &amp; Bed Mgmt'!$V:$V,"&gt;="&amp;A19)&gt;0),IFERROR(INDEX('Settings &amp; Master Config'!$F$21:$F$23,MATCH(B19,'Settings &amp; Master Config'!$A$21:$A$23,0)),0),"")</f>
        <v/>
      </c>
      <c r="E19" s="130">
        <f>IF(AND(EDATE($B$4,1)&lt;=EOMONTH($B$5,0),COUNTIFS('Client DB &amp; Bed Mgmt'!$A:$A,B19,'Client DB &amp; Bed Mgmt'!$D:$D,"&lt;&gt;",'Client DB &amp; Bed Mgmt'!$U:$U,"&lt;="&amp;A19,'Client DB &amp; Bed Mgmt'!$V:$V,"&gt;="&amp;A19)&gt;0),$B$7*(1+$B$9)^(YEAR(A19)-YEAR($B$4)),"")</f>
        <v/>
      </c>
      <c r="F19" s="105">
        <f>IF(AND(EDATE($B$4,1)&lt;=EOMONTH($B$5,0),COUNTIFS('Client DB &amp; Bed Mgmt'!$A:$A,B19,'Client DB &amp; Bed Mgmt'!$D:$D,"&lt;&gt;",'Client DB &amp; Bed Mgmt'!$U:$U,"&lt;="&amp;A19,'Client DB &amp; Bed Mgmt'!$V:$V,"&gt;="&amp;A19)&gt;0),$B$8,"")</f>
        <v/>
      </c>
      <c r="G19" s="105">
        <f>IF(AND(EDATE($B$4,1)&lt;=EOMONTH($B$5,0),COUNTIFS('Client DB &amp; Bed Mgmt'!$A:$A,B19,'Client DB &amp; Bed Mgmt'!$D:$D,"&lt;&gt;",'Client DB &amp; Bed Mgmt'!$U:$U,"&lt;="&amp;A19,'Client DB &amp; Bed Mgmt'!$V:$V,"&gt;="&amp;A19)&gt;0),$B$9,"")</f>
        <v/>
      </c>
      <c r="H19" s="130">
        <f>IF(AND(EDATE($B$4,1)&lt;=EOMONTH($B$5,0),COUNTIFS('Client DB &amp; Bed Mgmt'!$A:$A,B19,'Client DB &amp; Bed Mgmt'!$D:$D,"&lt;&gt;",'Client DB &amp; Bed Mgmt'!$U:$U,"&lt;="&amp;A19,'Client DB &amp; Bed Mgmt'!$V:$V,"&gt;="&amp;A19)&gt;0),D19*E19,"")</f>
        <v/>
      </c>
      <c r="I19" s="189">
        <f>IF(AND(EDATE($B$4,1)&lt;=EOMONTH($B$5,0),COUNTIFS('Client DB &amp; Bed Mgmt'!$A:$A,B19,'Client DB &amp; Bed Mgmt'!$D:$D,"&lt;&gt;",'Client DB &amp; Bed Mgmt'!$U:$U,"&lt;="&amp;A19,'Client DB &amp; Bed Mgmt'!$V:$V,"&gt;="&amp;A19)&gt;0),SUM(X19:Z19),"")</f>
        <v/>
      </c>
      <c r="J19" s="189">
        <f>IF(AND(EDATE($B$4,1)&lt;=EOMONTH($B$5,0),COUNTIFS('Client DB &amp; Bed Mgmt'!$A:$A,B19,'Client DB &amp; Bed Mgmt'!$D:$D,"&lt;&gt;",'Client DB &amp; Bed Mgmt'!$U:$U,"&lt;="&amp;A19,'Client DB &amp; Bed Mgmt'!$V:$V,"&gt;="&amp;A19)&gt;0),D19*F19*E19,"")</f>
        <v/>
      </c>
      <c r="K19" s="190">
        <f>IF(AND(EDATE($B$4,1)&lt;=EOMONTH($B$5,0),COUNTIFS('Client DB &amp; Bed Mgmt'!$A:$A,B19,'Client DB &amp; Bed Mgmt'!$D:$D,"&lt;&gt;",'Client DB &amp; Bed Mgmt'!$U:$U,"&lt;="&amp;A19,'Client DB &amp; Bed Mgmt'!$V:$V,"&gt;="&amp;A19)&gt;0),75,"")</f>
        <v/>
      </c>
      <c r="L19" s="190">
        <f>IF(AND(EDATE($B$4,1)&lt;=EOMONTH($B$5,0),COUNTIFS('Client DB &amp; Bed Mgmt'!$A:$A,B19,'Client DB &amp; Bed Mgmt'!$D:$D,"&lt;&gt;",'Client DB &amp; Bed Mgmt'!$U:$U,"&lt;="&amp;A19,'Client DB &amp; Bed Mgmt'!$V:$V,"&gt;="&amp;A19)&gt;0),50,"")</f>
        <v/>
      </c>
      <c r="M19" s="190">
        <f>IF(AND(EDATE($B$4,1)&lt;=EOMONTH($B$5,0),COUNTIFS('Client DB &amp; Bed Mgmt'!$A:$A,B19,'Client DB &amp; Bed Mgmt'!$D:$D,"&lt;&gt;",'Client DB &amp; Bed Mgmt'!$U:$U,"&lt;="&amp;A19,'Client DB &amp; Bed Mgmt'!$V:$V,"&gt;="&amp;A19)&gt;0),150,"")</f>
        <v/>
      </c>
      <c r="N19" s="190">
        <f>IF(AND(EDATE($B$4,1)&lt;=EOMONTH($B$5,0),COUNTIFS('Client DB &amp; Bed Mgmt'!$A:$A,B19,'Client DB &amp; Bed Mgmt'!$D:$D,"&lt;&gt;",'Client DB &amp; Bed Mgmt'!$U:$U,"&lt;="&amp;A19,'Client DB &amp; Bed Mgmt'!$V:$V,"&gt;="&amp;A19)&gt;0),125,"")</f>
        <v/>
      </c>
      <c r="O19" s="190">
        <f>IF(AND(EDATE($B$4,1)&lt;=EOMONTH($B$5,0),COUNTIFS('Client DB &amp; Bed Mgmt'!$A:$A,B19,'Client DB &amp; Bed Mgmt'!$D:$D,"&lt;&gt;",'Client DB &amp; Bed Mgmt'!$U:$U,"&lt;="&amp;A19,'Client DB &amp; Bed Mgmt'!$V:$V,"&gt;="&amp;A19)&gt;0),60,"")</f>
        <v/>
      </c>
      <c r="P19" s="190">
        <f>IF(AND(EDATE($B$4,1)&lt;=EOMONTH($B$5,0),COUNTIFS('Client DB &amp; Bed Mgmt'!$A:$A,B19,'Client DB &amp; Bed Mgmt'!$D:$D,"&lt;&gt;",'Client DB &amp; Bed Mgmt'!$U:$U,"&lt;="&amp;A19,'Client DB &amp; Bed Mgmt'!$V:$V,"&gt;="&amp;A19)&gt;0),80,"")</f>
        <v/>
      </c>
      <c r="Q19" s="190">
        <f>IF(AND(EDATE($B$4,1)&lt;=EOMONTH($B$5,0),COUNTIFS('Client DB &amp; Bed Mgmt'!$A:$A,B19,'Client DB &amp; Bed Mgmt'!$D:$D,"&lt;&gt;",'Client DB &amp; Bed Mgmt'!$U:$U,"&lt;="&amp;A19,'Client DB &amp; Bed Mgmt'!$V:$V,"&gt;="&amp;A19)&gt;0),40,"")</f>
        <v/>
      </c>
      <c r="R19" s="189">
        <f>IF(AND(EDATE($B$4,1)&lt;=EOMONTH($B$5,0),COUNTIFS('Client DB &amp; Bed Mgmt'!$A:$A,B19,'Client DB &amp; Bed Mgmt'!$D:$D,"&lt;&gt;",'Client DB &amp; Bed Mgmt'!$U:$U,"&lt;="&amp;A19,'Client DB &amp; Bed Mgmt'!$V:$V,"&gt;="&amp;A19)&gt;0),IF(C19="Owned",0,2500),"")</f>
        <v/>
      </c>
      <c r="S19" s="189">
        <f>IF(AND(EDATE($B$4,1)&lt;=EOMONTH($B$5,0),COUNTIFS('Client DB &amp; Bed Mgmt'!$A:$A,B19,'Client DB &amp; Bed Mgmt'!$D:$D,"&lt;&gt;",'Client DB &amp; Bed Mgmt'!$U:$U,"&lt;="&amp;A19,'Client DB &amp; Bed Mgmt'!$V:$V,"&gt;="&amp;A19)&gt;0),SUM(K19:R19),"")</f>
        <v/>
      </c>
      <c r="T19" s="189">
        <f>IF(AND(EDATE($B$4,1)&lt;=EOMONTH($B$5,0),COUNTIFS('Client DB &amp; Bed Mgmt'!$A:$A,B19,'Client DB &amp; Bed Mgmt'!$D:$D,"&lt;&gt;",'Client DB &amp; Bed Mgmt'!$U:$U,"&lt;="&amp;A19,'Client DB &amp; Bed Mgmt'!$V:$V,"&gt;="&amp;A19)&gt;0),I19-S19,"")</f>
        <v/>
      </c>
      <c r="U19" s="105">
        <f>IF(AND(EDATE($B$4,1)&lt;=EOMONTH($B$5,0),COUNTIFS('Client DB &amp; Bed Mgmt'!$A:$A,B19,'Client DB &amp; Bed Mgmt'!$D:$D,"&lt;&gt;",'Client DB &amp; Bed Mgmt'!$U:$U,"&lt;="&amp;A19,'Client DB &amp; Bed Mgmt'!$V:$V,"&gt;="&amp;A19)&gt;0),IFERROR(T19/I19,0),"")</f>
        <v/>
      </c>
      <c r="V19" s="191">
        <f>IF(EDATE($B$4,1)&lt;=EOMONTH($B$5,0),COUNTIFS('Client DB &amp; Bed Mgmt'!$A:$A,B19,'Client DB &amp; Bed Mgmt'!$D:$D,"&lt;&gt;",'Client DB &amp; Bed Mgmt'!$U:$U,"&lt;="&amp;A19,'Client DB &amp; Bed Mgmt'!$V:$V,"&gt;="&amp;A19),"")</f>
        <v/>
      </c>
      <c r="W19" s="181">
        <f>IF(AND(EDATE($B$4,1)&lt;=EOMONTH($B$5,0),COUNTIFS('Client DB &amp; Bed Mgmt'!$A:$A,B19,'Client DB &amp; Bed Mgmt'!$D:$D,"&lt;&gt;",'Client DB &amp; Bed Mgmt'!$U:$U,"&lt;="&amp;A19,'Client DB &amp; Bed Mgmt'!$V:$V,"&gt;="&amp;A19)&gt;0),V19,"")</f>
        <v/>
      </c>
      <c r="X19" s="189">
        <f>IF(AND(EDATE($B$4,1)&lt;=EOMONTH($B$5,0),COUNTIFS('Client DB &amp; Bed Mgmt'!$A:$A,B19,'Client DB &amp; Bed Mgmt'!$D:$D,"&lt;&gt;",'Client DB &amp; Bed Mgmt'!$U:$U,"&lt;="&amp;A19,'Client DB &amp; Bed Mgmt'!$V:$V,"&gt;="&amp;A19)&gt;0),SUMIFS('Client DB &amp; Bed Mgmt'!$I:$I,'Client DB &amp; Bed Mgmt'!$A:$A,B19,'Client DB &amp; Bed Mgmt'!$D:$D,"&lt;&gt;",'Client DB &amp; Bed Mgmt'!$U:$U,"&lt;="&amp;A19,'Client DB &amp; Bed Mgmt'!$V:$V,"&gt;="&amp;A19),"")</f>
        <v/>
      </c>
      <c r="Y19" s="189">
        <f>IF(AND(EDATE($B$4,1)&lt;=EOMONTH($B$5,0),COUNTIFS('Client DB &amp; Bed Mgmt'!$A:$A,B19,'Client DB &amp; Bed Mgmt'!$D:$D,"&lt;&gt;",'Client DB &amp; Bed Mgmt'!$U:$U,"&lt;="&amp;A19,'Client DB &amp; Bed Mgmt'!$V:$V,"&gt;="&amp;A19)&gt;0),SUMIFS('Client DB &amp; Bed Mgmt'!$J:$J,'Client DB &amp; Bed Mgmt'!$A:$A,B19,'Client DB &amp; Bed Mgmt'!$D:$D,"&lt;&gt;",'Client DB &amp; Bed Mgmt'!$U:$U,"&lt;="&amp;A19,'Client DB &amp; Bed Mgmt'!$V:$V,"&gt;="&amp;A19),"")</f>
        <v/>
      </c>
      <c r="Z19" s="192">
        <f>IF(AND(EDATE($B$4,1)&lt;=EOMONTH($B$5,0),COUNTIFS('Client DB &amp; Bed Mgmt'!$A:$A,B19,'Client DB &amp; Bed Mgmt'!$D:$D,"&lt;&gt;",'Client DB &amp; Bed Mgmt'!$U:$U,"&lt;="&amp;A19,'Client DB &amp; Bed Mgmt'!$V:$V,"&gt;="&amp;A19)&gt;0),SUMIFS('Client DB &amp; Bed Mgmt'!$K:$K,'Client DB &amp; Bed Mgmt'!$A:$A,B19,'Client DB &amp; Bed Mgmt'!$D:$D,"&lt;&gt;",'Client DB &amp; Bed Mgmt'!$U:$U,"&lt;="&amp;A19,'Client DB &amp; Bed Mgmt'!$V:$V,"&gt;="&amp;A19),"")</f>
        <v/>
      </c>
      <c r="AA19" s="82" t="n"/>
      <c r="AB19" s="82" t="n"/>
    </row>
    <row r="20" ht="14.25" customHeight="1" s="83">
      <c r="A20" s="177">
        <f>IF(EDATE($B$4,2)&lt;=EOMONTH($B$5,0),EDATE($B$4,2),"")</f>
        <v/>
      </c>
      <c r="B20" s="103">
        <f>IF(EDATE($B$4,2)&lt;=EOMONTH($B$5,0),"Dorm 1","")</f>
        <v/>
      </c>
      <c r="C20" s="170">
        <f>IF(AND(EDATE($B$4,2)&lt;=EOMONTH($B$5,0),COUNTIFS('Client DB &amp; Bed Mgmt'!$A:$A,B20,'Client DB &amp; Bed Mgmt'!$D:$D,"&lt;&gt;",'Client DB &amp; Bed Mgmt'!$U:$U,"&lt;="&amp;A20,'Client DB &amp; Bed Mgmt'!$V:$V,"&gt;="&amp;A20)&gt;0),IFERROR(INDEX('Settings &amp; Master Config'!$C$21:$C$23,MATCH(B20,'Settings &amp; Master Config'!$A$21:$A$23,0)),""),"")</f>
        <v/>
      </c>
      <c r="D20" s="170">
        <f>IF(AND(EDATE($B$4,2)&lt;=EOMONTH($B$5,0),COUNTIFS('Client DB &amp; Bed Mgmt'!$A:$A,B20,'Client DB &amp; Bed Mgmt'!$D:$D,"&lt;&gt;",'Client DB &amp; Bed Mgmt'!$U:$U,"&lt;="&amp;A20,'Client DB &amp; Bed Mgmt'!$V:$V,"&gt;="&amp;A20)&gt;0),IFERROR(INDEX('Settings &amp; Master Config'!$F$21:$F$23,MATCH(B20,'Settings &amp; Master Config'!$A$21:$A$23,0)),0),"")</f>
        <v/>
      </c>
      <c r="E20" s="130">
        <f>IF(AND(EDATE($B$4,2)&lt;=EOMONTH($B$5,0),COUNTIFS('Client DB &amp; Bed Mgmt'!$A:$A,B20,'Client DB &amp; Bed Mgmt'!$D:$D,"&lt;&gt;",'Client DB &amp; Bed Mgmt'!$U:$U,"&lt;="&amp;A20,'Client DB &amp; Bed Mgmt'!$V:$V,"&gt;="&amp;A20)&gt;0),$B$7*(1+$B$9)^(YEAR(A20)-YEAR($B$4)),"")</f>
        <v/>
      </c>
      <c r="F20" s="105">
        <f>IF(AND(EDATE($B$4,2)&lt;=EOMONTH($B$5,0),COUNTIFS('Client DB &amp; Bed Mgmt'!$A:$A,B20,'Client DB &amp; Bed Mgmt'!$D:$D,"&lt;&gt;",'Client DB &amp; Bed Mgmt'!$U:$U,"&lt;="&amp;A20,'Client DB &amp; Bed Mgmt'!$V:$V,"&gt;="&amp;A20)&gt;0),$B$8,"")</f>
        <v/>
      </c>
      <c r="G20" s="105">
        <f>IF(AND(EDATE($B$4,2)&lt;=EOMONTH($B$5,0),COUNTIFS('Client DB &amp; Bed Mgmt'!$A:$A,B20,'Client DB &amp; Bed Mgmt'!$D:$D,"&lt;&gt;",'Client DB &amp; Bed Mgmt'!$U:$U,"&lt;="&amp;A20,'Client DB &amp; Bed Mgmt'!$V:$V,"&gt;="&amp;A20)&gt;0),$B$9,"")</f>
        <v/>
      </c>
      <c r="H20" s="130">
        <f>IF(AND(EDATE($B$4,2)&lt;=EOMONTH($B$5,0),COUNTIFS('Client DB &amp; Bed Mgmt'!$A:$A,B20,'Client DB &amp; Bed Mgmt'!$D:$D,"&lt;&gt;",'Client DB &amp; Bed Mgmt'!$U:$U,"&lt;="&amp;A20,'Client DB &amp; Bed Mgmt'!$V:$V,"&gt;="&amp;A20)&gt;0),D20*E20,"")</f>
        <v/>
      </c>
      <c r="I20" s="189">
        <f>IF(AND(EDATE($B$4,2)&lt;=EOMONTH($B$5,0),COUNTIFS('Client DB &amp; Bed Mgmt'!$A:$A,B20,'Client DB &amp; Bed Mgmt'!$D:$D,"&lt;&gt;",'Client DB &amp; Bed Mgmt'!$U:$U,"&lt;="&amp;A20,'Client DB &amp; Bed Mgmt'!$V:$V,"&gt;="&amp;A20)&gt;0),SUM(X20:Z20),"")</f>
        <v/>
      </c>
      <c r="J20" s="189">
        <f>IF(AND(EDATE($B$4,2)&lt;=EOMONTH($B$5,0),COUNTIFS('Client DB &amp; Bed Mgmt'!$A:$A,B20,'Client DB &amp; Bed Mgmt'!$D:$D,"&lt;&gt;",'Client DB &amp; Bed Mgmt'!$U:$U,"&lt;="&amp;A20,'Client DB &amp; Bed Mgmt'!$V:$V,"&gt;="&amp;A20)&gt;0),D20*F20*E20,"")</f>
        <v/>
      </c>
      <c r="K20" s="190">
        <f>IF(AND(EDATE($B$4,2)&lt;=EOMONTH($B$5,0),COUNTIFS('Client DB &amp; Bed Mgmt'!$A:$A,B20,'Client DB &amp; Bed Mgmt'!$D:$D,"&lt;&gt;",'Client DB &amp; Bed Mgmt'!$U:$U,"&lt;="&amp;A20,'Client DB &amp; Bed Mgmt'!$V:$V,"&gt;="&amp;A20)&gt;0),75,"")</f>
        <v/>
      </c>
      <c r="L20" s="190">
        <f>IF(AND(EDATE($B$4,2)&lt;=EOMONTH($B$5,0),COUNTIFS('Client DB &amp; Bed Mgmt'!$A:$A,B20,'Client DB &amp; Bed Mgmt'!$D:$D,"&lt;&gt;",'Client DB &amp; Bed Mgmt'!$U:$U,"&lt;="&amp;A20,'Client DB &amp; Bed Mgmt'!$V:$V,"&gt;="&amp;A20)&gt;0),50,"")</f>
        <v/>
      </c>
      <c r="M20" s="190">
        <f>IF(AND(EDATE($B$4,2)&lt;=EOMONTH($B$5,0),COUNTIFS('Client DB &amp; Bed Mgmt'!$A:$A,B20,'Client DB &amp; Bed Mgmt'!$D:$D,"&lt;&gt;",'Client DB &amp; Bed Mgmt'!$U:$U,"&lt;="&amp;A20,'Client DB &amp; Bed Mgmt'!$V:$V,"&gt;="&amp;A20)&gt;0),150,"")</f>
        <v/>
      </c>
      <c r="N20" s="190">
        <f>IF(AND(EDATE($B$4,2)&lt;=EOMONTH($B$5,0),COUNTIFS('Client DB &amp; Bed Mgmt'!$A:$A,B20,'Client DB &amp; Bed Mgmt'!$D:$D,"&lt;&gt;",'Client DB &amp; Bed Mgmt'!$U:$U,"&lt;="&amp;A20,'Client DB &amp; Bed Mgmt'!$V:$V,"&gt;="&amp;A20)&gt;0),125,"")</f>
        <v/>
      </c>
      <c r="O20" s="190">
        <f>IF(AND(EDATE($B$4,2)&lt;=EOMONTH($B$5,0),COUNTIFS('Client DB &amp; Bed Mgmt'!$A:$A,B20,'Client DB &amp; Bed Mgmt'!$D:$D,"&lt;&gt;",'Client DB &amp; Bed Mgmt'!$U:$U,"&lt;="&amp;A20,'Client DB &amp; Bed Mgmt'!$V:$V,"&gt;="&amp;A20)&gt;0),60,"")</f>
        <v/>
      </c>
      <c r="P20" s="190">
        <f>IF(AND(EDATE($B$4,2)&lt;=EOMONTH($B$5,0),COUNTIFS('Client DB &amp; Bed Mgmt'!$A:$A,B20,'Client DB &amp; Bed Mgmt'!$D:$D,"&lt;&gt;",'Client DB &amp; Bed Mgmt'!$U:$U,"&lt;="&amp;A20,'Client DB &amp; Bed Mgmt'!$V:$V,"&gt;="&amp;A20)&gt;0),80,"")</f>
        <v/>
      </c>
      <c r="Q20" s="190">
        <f>IF(AND(EDATE($B$4,2)&lt;=EOMONTH($B$5,0),COUNTIFS('Client DB &amp; Bed Mgmt'!$A:$A,B20,'Client DB &amp; Bed Mgmt'!$D:$D,"&lt;&gt;",'Client DB &amp; Bed Mgmt'!$U:$U,"&lt;="&amp;A20,'Client DB &amp; Bed Mgmt'!$V:$V,"&gt;="&amp;A20)&gt;0),40,"")</f>
        <v/>
      </c>
      <c r="R20" s="189">
        <f>IF(AND(EDATE($B$4,2)&lt;=EOMONTH($B$5,0),COUNTIFS('Client DB &amp; Bed Mgmt'!$A:$A,B20,'Client DB &amp; Bed Mgmt'!$D:$D,"&lt;&gt;",'Client DB &amp; Bed Mgmt'!$U:$U,"&lt;="&amp;A20,'Client DB &amp; Bed Mgmt'!$V:$V,"&gt;="&amp;A20)&gt;0),IF(C20="Owned",0,2500),"")</f>
        <v/>
      </c>
      <c r="S20" s="189">
        <f>IF(AND(EDATE($B$4,2)&lt;=EOMONTH($B$5,0),COUNTIFS('Client DB &amp; Bed Mgmt'!$A:$A,B20,'Client DB &amp; Bed Mgmt'!$D:$D,"&lt;&gt;",'Client DB &amp; Bed Mgmt'!$U:$U,"&lt;="&amp;A20,'Client DB &amp; Bed Mgmt'!$V:$V,"&gt;="&amp;A20)&gt;0),SUM(K20:R20),"")</f>
        <v/>
      </c>
      <c r="T20" s="189">
        <f>IF(AND(EDATE($B$4,2)&lt;=EOMONTH($B$5,0),COUNTIFS('Client DB &amp; Bed Mgmt'!$A:$A,B20,'Client DB &amp; Bed Mgmt'!$D:$D,"&lt;&gt;",'Client DB &amp; Bed Mgmt'!$U:$U,"&lt;="&amp;A20,'Client DB &amp; Bed Mgmt'!$V:$V,"&gt;="&amp;A20)&gt;0),I20-S20,"")</f>
        <v/>
      </c>
      <c r="U20" s="105">
        <f>IF(AND(EDATE($B$4,2)&lt;=EOMONTH($B$5,0),COUNTIFS('Client DB &amp; Bed Mgmt'!$A:$A,B20,'Client DB &amp; Bed Mgmt'!$D:$D,"&lt;&gt;",'Client DB &amp; Bed Mgmt'!$U:$U,"&lt;="&amp;A20,'Client DB &amp; Bed Mgmt'!$V:$V,"&gt;="&amp;A20)&gt;0),IFERROR(T20/I20,0),"")</f>
        <v/>
      </c>
      <c r="V20" s="191">
        <f>IF(EDATE($B$4,2)&lt;=EOMONTH($B$5,0),COUNTIFS('Client DB &amp; Bed Mgmt'!$A:$A,B20,'Client DB &amp; Bed Mgmt'!$D:$D,"&lt;&gt;",'Client DB &amp; Bed Mgmt'!$U:$U,"&lt;="&amp;A20,'Client DB &amp; Bed Mgmt'!$V:$V,"&gt;="&amp;A20),"")</f>
        <v/>
      </c>
      <c r="W20" s="181">
        <f>IF(AND(EDATE($B$4,2)&lt;=EOMONTH($B$5,0),COUNTIFS('Client DB &amp; Bed Mgmt'!$A:$A,B20,'Client DB &amp; Bed Mgmt'!$D:$D,"&lt;&gt;",'Client DB &amp; Bed Mgmt'!$U:$U,"&lt;="&amp;A20,'Client DB &amp; Bed Mgmt'!$V:$V,"&gt;="&amp;A20)&gt;0),V20,"")</f>
        <v/>
      </c>
      <c r="X20" s="189">
        <f>IF(AND(EDATE($B$4,2)&lt;=EOMONTH($B$5,0),COUNTIFS('Client DB &amp; Bed Mgmt'!$A:$A,B20,'Client DB &amp; Bed Mgmt'!$D:$D,"&lt;&gt;",'Client DB &amp; Bed Mgmt'!$U:$U,"&lt;="&amp;A20,'Client DB &amp; Bed Mgmt'!$V:$V,"&gt;="&amp;A20)&gt;0),SUMIFS('Client DB &amp; Bed Mgmt'!$I:$I,'Client DB &amp; Bed Mgmt'!$A:$A,B20,'Client DB &amp; Bed Mgmt'!$D:$D,"&lt;&gt;",'Client DB &amp; Bed Mgmt'!$U:$U,"&lt;="&amp;A20,'Client DB &amp; Bed Mgmt'!$V:$V,"&gt;="&amp;A20),"")</f>
        <v/>
      </c>
      <c r="Y20" s="189">
        <f>IF(AND(EDATE($B$4,2)&lt;=EOMONTH($B$5,0),COUNTIFS('Client DB &amp; Bed Mgmt'!$A:$A,B20,'Client DB &amp; Bed Mgmt'!$D:$D,"&lt;&gt;",'Client DB &amp; Bed Mgmt'!$U:$U,"&lt;="&amp;A20,'Client DB &amp; Bed Mgmt'!$V:$V,"&gt;="&amp;A20)&gt;0),SUMIFS('Client DB &amp; Bed Mgmt'!$J:$J,'Client DB &amp; Bed Mgmt'!$A:$A,B20,'Client DB &amp; Bed Mgmt'!$D:$D,"&lt;&gt;",'Client DB &amp; Bed Mgmt'!$U:$U,"&lt;="&amp;A20,'Client DB &amp; Bed Mgmt'!$V:$V,"&gt;="&amp;A20),"")</f>
        <v/>
      </c>
      <c r="Z20" s="192">
        <f>IF(AND(EDATE($B$4,2)&lt;=EOMONTH($B$5,0),COUNTIFS('Client DB &amp; Bed Mgmt'!$A:$A,B20,'Client DB &amp; Bed Mgmt'!$D:$D,"&lt;&gt;",'Client DB &amp; Bed Mgmt'!$U:$U,"&lt;="&amp;A20,'Client DB &amp; Bed Mgmt'!$V:$V,"&gt;="&amp;A20)&gt;0),SUMIFS('Client DB &amp; Bed Mgmt'!$K:$K,'Client DB &amp; Bed Mgmt'!$A:$A,B20,'Client DB &amp; Bed Mgmt'!$D:$D,"&lt;&gt;",'Client DB &amp; Bed Mgmt'!$U:$U,"&lt;="&amp;A20,'Client DB &amp; Bed Mgmt'!$V:$V,"&gt;="&amp;A20),"")</f>
        <v/>
      </c>
      <c r="AA20" s="82" t="n"/>
      <c r="AB20" s="82" t="n"/>
    </row>
    <row r="21" hidden="1" ht="14.25" customHeight="1" s="83">
      <c r="A21" s="177">
        <f>IF(EDATE($B$4,2)&lt;=EOMONTH($B$5,0),EDATE($B$4,2),"")</f>
        <v/>
      </c>
      <c r="B21" s="103">
        <f>IF(EDATE($B$4,2)&lt;=EOMONTH($B$5,0),"Dorm 2","")</f>
        <v/>
      </c>
      <c r="C21" s="170">
        <f>IF(AND(EDATE($B$4,2)&lt;=EOMONTH($B$5,0),COUNTIFS('Client DB &amp; Bed Mgmt'!$A:$A,B21,'Client DB &amp; Bed Mgmt'!$D:$D,"&lt;&gt;",'Client DB &amp; Bed Mgmt'!$U:$U,"&lt;="&amp;A21,'Client DB &amp; Bed Mgmt'!$V:$V,"&gt;="&amp;A21)&gt;0),IFERROR(INDEX('Settings &amp; Master Config'!$C$21:$C$23,MATCH(B21,'Settings &amp; Master Config'!$A$21:$A$23,0)),""),"")</f>
        <v/>
      </c>
      <c r="D21" s="170">
        <f>IF(AND(EDATE($B$4,2)&lt;=EOMONTH($B$5,0),COUNTIFS('Client DB &amp; Bed Mgmt'!$A:$A,B21,'Client DB &amp; Bed Mgmt'!$D:$D,"&lt;&gt;",'Client DB &amp; Bed Mgmt'!$U:$U,"&lt;="&amp;A21,'Client DB &amp; Bed Mgmt'!$V:$V,"&gt;="&amp;A21)&gt;0),IFERROR(INDEX('Settings &amp; Master Config'!$F$21:$F$23,MATCH(B21,'Settings &amp; Master Config'!$A$21:$A$23,0)),0),"")</f>
        <v/>
      </c>
      <c r="E21" s="130">
        <f>IF(AND(EDATE($B$4,2)&lt;=EOMONTH($B$5,0),COUNTIFS('Client DB &amp; Bed Mgmt'!$A:$A,B21,'Client DB &amp; Bed Mgmt'!$D:$D,"&lt;&gt;",'Client DB &amp; Bed Mgmt'!$U:$U,"&lt;="&amp;A21,'Client DB &amp; Bed Mgmt'!$V:$V,"&gt;="&amp;A21)&gt;0),$B$7*(1+$B$9)^(YEAR(A21)-YEAR($B$4)),"")</f>
        <v/>
      </c>
      <c r="F21" s="105">
        <f>IF(AND(EDATE($B$4,2)&lt;=EOMONTH($B$5,0),COUNTIFS('Client DB &amp; Bed Mgmt'!$A:$A,B21,'Client DB &amp; Bed Mgmt'!$D:$D,"&lt;&gt;",'Client DB &amp; Bed Mgmt'!$U:$U,"&lt;="&amp;A21,'Client DB &amp; Bed Mgmt'!$V:$V,"&gt;="&amp;A21)&gt;0),$B$8,"")</f>
        <v/>
      </c>
      <c r="G21" s="105">
        <f>IF(AND(EDATE($B$4,2)&lt;=EOMONTH($B$5,0),COUNTIFS('Client DB &amp; Bed Mgmt'!$A:$A,B21,'Client DB &amp; Bed Mgmt'!$D:$D,"&lt;&gt;",'Client DB &amp; Bed Mgmt'!$U:$U,"&lt;="&amp;A21,'Client DB &amp; Bed Mgmt'!$V:$V,"&gt;="&amp;A21)&gt;0),$B$9,"")</f>
        <v/>
      </c>
      <c r="H21" s="130">
        <f>IF(AND(EDATE($B$4,2)&lt;=EOMONTH($B$5,0),COUNTIFS('Client DB &amp; Bed Mgmt'!$A:$A,B21,'Client DB &amp; Bed Mgmt'!$D:$D,"&lt;&gt;",'Client DB &amp; Bed Mgmt'!$U:$U,"&lt;="&amp;A21,'Client DB &amp; Bed Mgmt'!$V:$V,"&gt;="&amp;A21)&gt;0),D21*E21,"")</f>
        <v/>
      </c>
      <c r="I21" s="189">
        <f>IF(AND(EDATE($B$4,2)&lt;=EOMONTH($B$5,0),COUNTIFS('Client DB &amp; Bed Mgmt'!$A:$A,B21,'Client DB &amp; Bed Mgmt'!$D:$D,"&lt;&gt;",'Client DB &amp; Bed Mgmt'!$U:$U,"&lt;="&amp;A21,'Client DB &amp; Bed Mgmt'!$V:$V,"&gt;="&amp;A21)&gt;0),SUM(X21:Z21),"")</f>
        <v/>
      </c>
      <c r="J21" s="189">
        <f>IF(AND(EDATE($B$4,2)&lt;=EOMONTH($B$5,0),COUNTIFS('Client DB &amp; Bed Mgmt'!$A:$A,B21,'Client DB &amp; Bed Mgmt'!$D:$D,"&lt;&gt;",'Client DB &amp; Bed Mgmt'!$U:$U,"&lt;="&amp;A21,'Client DB &amp; Bed Mgmt'!$V:$V,"&gt;="&amp;A21)&gt;0),D21*F21*E21,"")</f>
        <v/>
      </c>
      <c r="K21" s="190">
        <f>IF(AND(EDATE($B$4,2)&lt;=EOMONTH($B$5,0),COUNTIFS('Client DB &amp; Bed Mgmt'!$A:$A,B21,'Client DB &amp; Bed Mgmt'!$D:$D,"&lt;&gt;",'Client DB &amp; Bed Mgmt'!$U:$U,"&lt;="&amp;A21,'Client DB &amp; Bed Mgmt'!$V:$V,"&gt;="&amp;A21)&gt;0),75,"")</f>
        <v/>
      </c>
      <c r="L21" s="190">
        <f>IF(AND(EDATE($B$4,2)&lt;=EOMONTH($B$5,0),COUNTIFS('Client DB &amp; Bed Mgmt'!$A:$A,B21,'Client DB &amp; Bed Mgmt'!$D:$D,"&lt;&gt;",'Client DB &amp; Bed Mgmt'!$U:$U,"&lt;="&amp;A21,'Client DB &amp; Bed Mgmt'!$V:$V,"&gt;="&amp;A21)&gt;0),50,"")</f>
        <v/>
      </c>
      <c r="M21" s="190">
        <f>IF(AND(EDATE($B$4,2)&lt;=EOMONTH($B$5,0),COUNTIFS('Client DB &amp; Bed Mgmt'!$A:$A,B21,'Client DB &amp; Bed Mgmt'!$D:$D,"&lt;&gt;",'Client DB &amp; Bed Mgmt'!$U:$U,"&lt;="&amp;A21,'Client DB &amp; Bed Mgmt'!$V:$V,"&gt;="&amp;A21)&gt;0),150,"")</f>
        <v/>
      </c>
      <c r="N21" s="190">
        <f>IF(AND(EDATE($B$4,2)&lt;=EOMONTH($B$5,0),COUNTIFS('Client DB &amp; Bed Mgmt'!$A:$A,B21,'Client DB &amp; Bed Mgmt'!$D:$D,"&lt;&gt;",'Client DB &amp; Bed Mgmt'!$U:$U,"&lt;="&amp;A21,'Client DB &amp; Bed Mgmt'!$V:$V,"&gt;="&amp;A21)&gt;0),125,"")</f>
        <v/>
      </c>
      <c r="O21" s="190">
        <f>IF(AND(EDATE($B$4,2)&lt;=EOMONTH($B$5,0),COUNTIFS('Client DB &amp; Bed Mgmt'!$A:$A,B21,'Client DB &amp; Bed Mgmt'!$D:$D,"&lt;&gt;",'Client DB &amp; Bed Mgmt'!$U:$U,"&lt;="&amp;A21,'Client DB &amp; Bed Mgmt'!$V:$V,"&gt;="&amp;A21)&gt;0),60,"")</f>
        <v/>
      </c>
      <c r="P21" s="190">
        <f>IF(AND(EDATE($B$4,2)&lt;=EOMONTH($B$5,0),COUNTIFS('Client DB &amp; Bed Mgmt'!$A:$A,B21,'Client DB &amp; Bed Mgmt'!$D:$D,"&lt;&gt;",'Client DB &amp; Bed Mgmt'!$U:$U,"&lt;="&amp;A21,'Client DB &amp; Bed Mgmt'!$V:$V,"&gt;="&amp;A21)&gt;0),80,"")</f>
        <v/>
      </c>
      <c r="Q21" s="190">
        <f>IF(AND(EDATE($B$4,2)&lt;=EOMONTH($B$5,0),COUNTIFS('Client DB &amp; Bed Mgmt'!$A:$A,B21,'Client DB &amp; Bed Mgmt'!$D:$D,"&lt;&gt;",'Client DB &amp; Bed Mgmt'!$U:$U,"&lt;="&amp;A21,'Client DB &amp; Bed Mgmt'!$V:$V,"&gt;="&amp;A21)&gt;0),40,"")</f>
        <v/>
      </c>
      <c r="R21" s="189">
        <f>IF(AND(EDATE($B$4,2)&lt;=EOMONTH($B$5,0),COUNTIFS('Client DB &amp; Bed Mgmt'!$A:$A,B21,'Client DB &amp; Bed Mgmt'!$D:$D,"&lt;&gt;",'Client DB &amp; Bed Mgmt'!$U:$U,"&lt;="&amp;A21,'Client DB &amp; Bed Mgmt'!$V:$V,"&gt;="&amp;A21)&gt;0),IF(C21="Owned",0,2500),"")</f>
        <v/>
      </c>
      <c r="S21" s="189">
        <f>IF(AND(EDATE($B$4,2)&lt;=EOMONTH($B$5,0),COUNTIFS('Client DB &amp; Bed Mgmt'!$A:$A,B21,'Client DB &amp; Bed Mgmt'!$D:$D,"&lt;&gt;",'Client DB &amp; Bed Mgmt'!$U:$U,"&lt;="&amp;A21,'Client DB &amp; Bed Mgmt'!$V:$V,"&gt;="&amp;A21)&gt;0),SUM(K21:R21),"")</f>
        <v/>
      </c>
      <c r="T21" s="189">
        <f>IF(AND(EDATE($B$4,2)&lt;=EOMONTH($B$5,0),COUNTIFS('Client DB &amp; Bed Mgmt'!$A:$A,B21,'Client DB &amp; Bed Mgmt'!$D:$D,"&lt;&gt;",'Client DB &amp; Bed Mgmt'!$U:$U,"&lt;="&amp;A21,'Client DB &amp; Bed Mgmt'!$V:$V,"&gt;="&amp;A21)&gt;0),I21-S21,"")</f>
        <v/>
      </c>
      <c r="U21" s="105">
        <f>IF(AND(EDATE($B$4,2)&lt;=EOMONTH($B$5,0),COUNTIFS('Client DB &amp; Bed Mgmt'!$A:$A,B21,'Client DB &amp; Bed Mgmt'!$D:$D,"&lt;&gt;",'Client DB &amp; Bed Mgmt'!$U:$U,"&lt;="&amp;A21,'Client DB &amp; Bed Mgmt'!$V:$V,"&gt;="&amp;A21)&gt;0),IFERROR(T21/I21,0),"")</f>
        <v/>
      </c>
      <c r="V21" s="191">
        <f>IF(EDATE($B$4,2)&lt;=EOMONTH($B$5,0),COUNTIFS('Client DB &amp; Bed Mgmt'!$A:$A,B21,'Client DB &amp; Bed Mgmt'!$D:$D,"&lt;&gt;",'Client DB &amp; Bed Mgmt'!$U:$U,"&lt;="&amp;A21,'Client DB &amp; Bed Mgmt'!$V:$V,"&gt;="&amp;A21),"")</f>
        <v/>
      </c>
      <c r="W21" s="181">
        <f>IF(AND(EDATE($B$4,2)&lt;=EOMONTH($B$5,0),COUNTIFS('Client DB &amp; Bed Mgmt'!$A:$A,B21,'Client DB &amp; Bed Mgmt'!$D:$D,"&lt;&gt;",'Client DB &amp; Bed Mgmt'!$U:$U,"&lt;="&amp;A21,'Client DB &amp; Bed Mgmt'!$V:$V,"&gt;="&amp;A21)&gt;0),V21,"")</f>
        <v/>
      </c>
      <c r="X21" s="189">
        <f>IF(AND(EDATE($B$4,2)&lt;=EOMONTH($B$5,0),COUNTIFS('Client DB &amp; Bed Mgmt'!$A:$A,B21,'Client DB &amp; Bed Mgmt'!$D:$D,"&lt;&gt;",'Client DB &amp; Bed Mgmt'!$U:$U,"&lt;="&amp;A21,'Client DB &amp; Bed Mgmt'!$V:$V,"&gt;="&amp;A21)&gt;0),SUMIFS('Client DB &amp; Bed Mgmt'!$I:$I,'Client DB &amp; Bed Mgmt'!$A:$A,B21,'Client DB &amp; Bed Mgmt'!$D:$D,"&lt;&gt;",'Client DB &amp; Bed Mgmt'!$U:$U,"&lt;="&amp;A21,'Client DB &amp; Bed Mgmt'!$V:$V,"&gt;="&amp;A21),"")</f>
        <v/>
      </c>
      <c r="Y21" s="189">
        <f>IF(AND(EDATE($B$4,2)&lt;=EOMONTH($B$5,0),COUNTIFS('Client DB &amp; Bed Mgmt'!$A:$A,B21,'Client DB &amp; Bed Mgmt'!$D:$D,"&lt;&gt;",'Client DB &amp; Bed Mgmt'!$U:$U,"&lt;="&amp;A21,'Client DB &amp; Bed Mgmt'!$V:$V,"&gt;="&amp;A21)&gt;0),SUMIFS('Client DB &amp; Bed Mgmt'!$J:$J,'Client DB &amp; Bed Mgmt'!$A:$A,B21,'Client DB &amp; Bed Mgmt'!$D:$D,"&lt;&gt;",'Client DB &amp; Bed Mgmt'!$U:$U,"&lt;="&amp;A21,'Client DB &amp; Bed Mgmt'!$V:$V,"&gt;="&amp;A21),"")</f>
        <v/>
      </c>
      <c r="Z21" s="192">
        <f>IF(AND(EDATE($B$4,2)&lt;=EOMONTH($B$5,0),COUNTIFS('Client DB &amp; Bed Mgmt'!$A:$A,B21,'Client DB &amp; Bed Mgmt'!$D:$D,"&lt;&gt;",'Client DB &amp; Bed Mgmt'!$U:$U,"&lt;="&amp;A21,'Client DB &amp; Bed Mgmt'!$V:$V,"&gt;="&amp;A21)&gt;0),SUMIFS('Client DB &amp; Bed Mgmt'!$K:$K,'Client DB &amp; Bed Mgmt'!$A:$A,B21,'Client DB &amp; Bed Mgmt'!$D:$D,"&lt;&gt;",'Client DB &amp; Bed Mgmt'!$U:$U,"&lt;="&amp;A21,'Client DB &amp; Bed Mgmt'!$V:$V,"&gt;="&amp;A21),"")</f>
        <v/>
      </c>
      <c r="AA21" s="82" t="n"/>
      <c r="AB21" s="82" t="n"/>
    </row>
    <row r="22" hidden="1" ht="14.25" customHeight="1" s="83">
      <c r="A22" s="177">
        <f>IF(EDATE($B$4,2)&lt;=EOMONTH($B$5,0),EDATE($B$4,2),"")</f>
        <v/>
      </c>
      <c r="B22" s="103">
        <f>IF(EDATE($B$4,2)&lt;=EOMONTH($B$5,0),"Dorm 3","")</f>
        <v/>
      </c>
      <c r="C22" s="170">
        <f>IF(AND(EDATE($B$4,2)&lt;=EOMONTH($B$5,0),COUNTIFS('Client DB &amp; Bed Mgmt'!$A:$A,B22,'Client DB &amp; Bed Mgmt'!$D:$D,"&lt;&gt;",'Client DB &amp; Bed Mgmt'!$U:$U,"&lt;="&amp;A22,'Client DB &amp; Bed Mgmt'!$V:$V,"&gt;="&amp;A22)&gt;0),IFERROR(INDEX('Settings &amp; Master Config'!$C$21:$C$23,MATCH(B22,'Settings &amp; Master Config'!$A$21:$A$23,0)),""),"")</f>
        <v/>
      </c>
      <c r="D22" s="170">
        <f>IF(AND(EDATE($B$4,2)&lt;=EOMONTH($B$5,0),COUNTIFS('Client DB &amp; Bed Mgmt'!$A:$A,B22,'Client DB &amp; Bed Mgmt'!$D:$D,"&lt;&gt;",'Client DB &amp; Bed Mgmt'!$U:$U,"&lt;="&amp;A22,'Client DB &amp; Bed Mgmt'!$V:$V,"&gt;="&amp;A22)&gt;0),IFERROR(INDEX('Settings &amp; Master Config'!$F$21:$F$23,MATCH(B22,'Settings &amp; Master Config'!$A$21:$A$23,0)),0),"")</f>
        <v/>
      </c>
      <c r="E22" s="130">
        <f>IF(AND(EDATE($B$4,2)&lt;=EOMONTH($B$5,0),COUNTIFS('Client DB &amp; Bed Mgmt'!$A:$A,B22,'Client DB &amp; Bed Mgmt'!$D:$D,"&lt;&gt;",'Client DB &amp; Bed Mgmt'!$U:$U,"&lt;="&amp;A22,'Client DB &amp; Bed Mgmt'!$V:$V,"&gt;="&amp;A22)&gt;0),$B$7*(1+$B$9)^(YEAR(A22)-YEAR($B$4)),"")</f>
        <v/>
      </c>
      <c r="F22" s="105">
        <f>IF(AND(EDATE($B$4,2)&lt;=EOMONTH($B$5,0),COUNTIFS('Client DB &amp; Bed Mgmt'!$A:$A,B22,'Client DB &amp; Bed Mgmt'!$D:$D,"&lt;&gt;",'Client DB &amp; Bed Mgmt'!$U:$U,"&lt;="&amp;A22,'Client DB &amp; Bed Mgmt'!$V:$V,"&gt;="&amp;A22)&gt;0),$B$8,"")</f>
        <v/>
      </c>
      <c r="G22" s="105">
        <f>IF(AND(EDATE($B$4,2)&lt;=EOMONTH($B$5,0),COUNTIFS('Client DB &amp; Bed Mgmt'!$A:$A,B22,'Client DB &amp; Bed Mgmt'!$D:$D,"&lt;&gt;",'Client DB &amp; Bed Mgmt'!$U:$U,"&lt;="&amp;A22,'Client DB &amp; Bed Mgmt'!$V:$V,"&gt;="&amp;A22)&gt;0),$B$9,"")</f>
        <v/>
      </c>
      <c r="H22" s="130">
        <f>IF(AND(EDATE($B$4,2)&lt;=EOMONTH($B$5,0),COUNTIFS('Client DB &amp; Bed Mgmt'!$A:$A,B22,'Client DB &amp; Bed Mgmt'!$D:$D,"&lt;&gt;",'Client DB &amp; Bed Mgmt'!$U:$U,"&lt;="&amp;A22,'Client DB &amp; Bed Mgmt'!$V:$V,"&gt;="&amp;A22)&gt;0),D22*E22,"")</f>
        <v/>
      </c>
      <c r="I22" s="189">
        <f>IF(AND(EDATE($B$4,2)&lt;=EOMONTH($B$5,0),COUNTIFS('Client DB &amp; Bed Mgmt'!$A:$A,B22,'Client DB &amp; Bed Mgmt'!$D:$D,"&lt;&gt;",'Client DB &amp; Bed Mgmt'!$U:$U,"&lt;="&amp;A22,'Client DB &amp; Bed Mgmt'!$V:$V,"&gt;="&amp;A22)&gt;0),SUM(X22:Z22),"")</f>
        <v/>
      </c>
      <c r="J22" s="189">
        <f>IF(AND(EDATE($B$4,2)&lt;=EOMONTH($B$5,0),COUNTIFS('Client DB &amp; Bed Mgmt'!$A:$A,B22,'Client DB &amp; Bed Mgmt'!$D:$D,"&lt;&gt;",'Client DB &amp; Bed Mgmt'!$U:$U,"&lt;="&amp;A22,'Client DB &amp; Bed Mgmt'!$V:$V,"&gt;="&amp;A22)&gt;0),D22*F22*E22,"")</f>
        <v/>
      </c>
      <c r="K22" s="190">
        <f>IF(AND(EDATE($B$4,2)&lt;=EOMONTH($B$5,0),COUNTIFS('Client DB &amp; Bed Mgmt'!$A:$A,B22,'Client DB &amp; Bed Mgmt'!$D:$D,"&lt;&gt;",'Client DB &amp; Bed Mgmt'!$U:$U,"&lt;="&amp;A22,'Client DB &amp; Bed Mgmt'!$V:$V,"&gt;="&amp;A22)&gt;0),75,"")</f>
        <v/>
      </c>
      <c r="L22" s="190">
        <f>IF(AND(EDATE($B$4,2)&lt;=EOMONTH($B$5,0),COUNTIFS('Client DB &amp; Bed Mgmt'!$A:$A,B22,'Client DB &amp; Bed Mgmt'!$D:$D,"&lt;&gt;",'Client DB &amp; Bed Mgmt'!$U:$U,"&lt;="&amp;A22,'Client DB &amp; Bed Mgmt'!$V:$V,"&gt;="&amp;A22)&gt;0),50,"")</f>
        <v/>
      </c>
      <c r="M22" s="190">
        <f>IF(AND(EDATE($B$4,2)&lt;=EOMONTH($B$5,0),COUNTIFS('Client DB &amp; Bed Mgmt'!$A:$A,B22,'Client DB &amp; Bed Mgmt'!$D:$D,"&lt;&gt;",'Client DB &amp; Bed Mgmt'!$U:$U,"&lt;="&amp;A22,'Client DB &amp; Bed Mgmt'!$V:$V,"&gt;="&amp;A22)&gt;0),150,"")</f>
        <v/>
      </c>
      <c r="N22" s="190">
        <f>IF(AND(EDATE($B$4,2)&lt;=EOMONTH($B$5,0),COUNTIFS('Client DB &amp; Bed Mgmt'!$A:$A,B22,'Client DB &amp; Bed Mgmt'!$D:$D,"&lt;&gt;",'Client DB &amp; Bed Mgmt'!$U:$U,"&lt;="&amp;A22,'Client DB &amp; Bed Mgmt'!$V:$V,"&gt;="&amp;A22)&gt;0),125,"")</f>
        <v/>
      </c>
      <c r="O22" s="190">
        <f>IF(AND(EDATE($B$4,2)&lt;=EOMONTH($B$5,0),COUNTIFS('Client DB &amp; Bed Mgmt'!$A:$A,B22,'Client DB &amp; Bed Mgmt'!$D:$D,"&lt;&gt;",'Client DB &amp; Bed Mgmt'!$U:$U,"&lt;="&amp;A22,'Client DB &amp; Bed Mgmt'!$V:$V,"&gt;="&amp;A22)&gt;0),60,"")</f>
        <v/>
      </c>
      <c r="P22" s="190">
        <f>IF(AND(EDATE($B$4,2)&lt;=EOMONTH($B$5,0),COUNTIFS('Client DB &amp; Bed Mgmt'!$A:$A,B22,'Client DB &amp; Bed Mgmt'!$D:$D,"&lt;&gt;",'Client DB &amp; Bed Mgmt'!$U:$U,"&lt;="&amp;A22,'Client DB &amp; Bed Mgmt'!$V:$V,"&gt;="&amp;A22)&gt;0),80,"")</f>
        <v/>
      </c>
      <c r="Q22" s="190">
        <f>IF(AND(EDATE($B$4,2)&lt;=EOMONTH($B$5,0),COUNTIFS('Client DB &amp; Bed Mgmt'!$A:$A,B22,'Client DB &amp; Bed Mgmt'!$D:$D,"&lt;&gt;",'Client DB &amp; Bed Mgmt'!$U:$U,"&lt;="&amp;A22,'Client DB &amp; Bed Mgmt'!$V:$V,"&gt;="&amp;A22)&gt;0),40,"")</f>
        <v/>
      </c>
      <c r="R22" s="189">
        <f>IF(AND(EDATE($B$4,2)&lt;=EOMONTH($B$5,0),COUNTIFS('Client DB &amp; Bed Mgmt'!$A:$A,B22,'Client DB &amp; Bed Mgmt'!$D:$D,"&lt;&gt;",'Client DB &amp; Bed Mgmt'!$U:$U,"&lt;="&amp;A22,'Client DB &amp; Bed Mgmt'!$V:$V,"&gt;="&amp;A22)&gt;0),IF(C22="Owned",0,2500),"")</f>
        <v/>
      </c>
      <c r="S22" s="189">
        <f>IF(AND(EDATE($B$4,2)&lt;=EOMONTH($B$5,0),COUNTIFS('Client DB &amp; Bed Mgmt'!$A:$A,B22,'Client DB &amp; Bed Mgmt'!$D:$D,"&lt;&gt;",'Client DB &amp; Bed Mgmt'!$U:$U,"&lt;="&amp;A22,'Client DB &amp; Bed Mgmt'!$V:$V,"&gt;="&amp;A22)&gt;0),SUM(K22:R22),"")</f>
        <v/>
      </c>
      <c r="T22" s="189">
        <f>IF(AND(EDATE($B$4,2)&lt;=EOMONTH($B$5,0),COUNTIFS('Client DB &amp; Bed Mgmt'!$A:$A,B22,'Client DB &amp; Bed Mgmt'!$D:$D,"&lt;&gt;",'Client DB &amp; Bed Mgmt'!$U:$U,"&lt;="&amp;A22,'Client DB &amp; Bed Mgmt'!$V:$V,"&gt;="&amp;A22)&gt;0),I22-S22,"")</f>
        <v/>
      </c>
      <c r="U22" s="105">
        <f>IF(AND(EDATE($B$4,2)&lt;=EOMONTH($B$5,0),COUNTIFS('Client DB &amp; Bed Mgmt'!$A:$A,B22,'Client DB &amp; Bed Mgmt'!$D:$D,"&lt;&gt;",'Client DB &amp; Bed Mgmt'!$U:$U,"&lt;="&amp;A22,'Client DB &amp; Bed Mgmt'!$V:$V,"&gt;="&amp;A22)&gt;0),IFERROR(T22/I22,0),"")</f>
        <v/>
      </c>
      <c r="V22" s="191">
        <f>IF(EDATE($B$4,2)&lt;=EOMONTH($B$5,0),COUNTIFS('Client DB &amp; Bed Mgmt'!$A:$A,B22,'Client DB &amp; Bed Mgmt'!$D:$D,"&lt;&gt;",'Client DB &amp; Bed Mgmt'!$U:$U,"&lt;="&amp;A22,'Client DB &amp; Bed Mgmt'!$V:$V,"&gt;="&amp;A22),"")</f>
        <v/>
      </c>
      <c r="W22" s="181">
        <f>IF(AND(EDATE($B$4,2)&lt;=EOMONTH($B$5,0),COUNTIFS('Client DB &amp; Bed Mgmt'!$A:$A,B22,'Client DB &amp; Bed Mgmt'!$D:$D,"&lt;&gt;",'Client DB &amp; Bed Mgmt'!$U:$U,"&lt;="&amp;A22,'Client DB &amp; Bed Mgmt'!$V:$V,"&gt;="&amp;A22)&gt;0),V22,"")</f>
        <v/>
      </c>
      <c r="X22" s="189">
        <f>IF(AND(EDATE($B$4,2)&lt;=EOMONTH($B$5,0),COUNTIFS('Client DB &amp; Bed Mgmt'!$A:$A,B22,'Client DB &amp; Bed Mgmt'!$D:$D,"&lt;&gt;",'Client DB &amp; Bed Mgmt'!$U:$U,"&lt;="&amp;A22,'Client DB &amp; Bed Mgmt'!$V:$V,"&gt;="&amp;A22)&gt;0),SUMIFS('Client DB &amp; Bed Mgmt'!$I:$I,'Client DB &amp; Bed Mgmt'!$A:$A,B22,'Client DB &amp; Bed Mgmt'!$D:$D,"&lt;&gt;",'Client DB &amp; Bed Mgmt'!$U:$U,"&lt;="&amp;A22,'Client DB &amp; Bed Mgmt'!$V:$V,"&gt;="&amp;A22),"")</f>
        <v/>
      </c>
      <c r="Y22" s="189">
        <f>IF(AND(EDATE($B$4,2)&lt;=EOMONTH($B$5,0),COUNTIFS('Client DB &amp; Bed Mgmt'!$A:$A,B22,'Client DB &amp; Bed Mgmt'!$D:$D,"&lt;&gt;",'Client DB &amp; Bed Mgmt'!$U:$U,"&lt;="&amp;A22,'Client DB &amp; Bed Mgmt'!$V:$V,"&gt;="&amp;A22)&gt;0),SUMIFS('Client DB &amp; Bed Mgmt'!$J:$J,'Client DB &amp; Bed Mgmt'!$A:$A,B22,'Client DB &amp; Bed Mgmt'!$D:$D,"&lt;&gt;",'Client DB &amp; Bed Mgmt'!$U:$U,"&lt;="&amp;A22,'Client DB &amp; Bed Mgmt'!$V:$V,"&gt;="&amp;A22),"")</f>
        <v/>
      </c>
      <c r="Z22" s="192">
        <f>IF(AND(EDATE($B$4,2)&lt;=EOMONTH($B$5,0),COUNTIFS('Client DB &amp; Bed Mgmt'!$A:$A,B22,'Client DB &amp; Bed Mgmt'!$D:$D,"&lt;&gt;",'Client DB &amp; Bed Mgmt'!$U:$U,"&lt;="&amp;A22,'Client DB &amp; Bed Mgmt'!$V:$V,"&gt;="&amp;A22)&gt;0),SUMIFS('Client DB &amp; Bed Mgmt'!$K:$K,'Client DB &amp; Bed Mgmt'!$A:$A,B22,'Client DB &amp; Bed Mgmt'!$D:$D,"&lt;&gt;",'Client DB &amp; Bed Mgmt'!$U:$U,"&lt;="&amp;A22,'Client DB &amp; Bed Mgmt'!$V:$V,"&gt;="&amp;A22),"")</f>
        <v/>
      </c>
      <c r="AA22" s="82" t="n"/>
      <c r="AB22" s="82" t="n"/>
    </row>
    <row r="23" ht="14.25" customHeight="1" s="83">
      <c r="A23" s="177">
        <f>IF(EDATE($B$4,3)&lt;=EOMONTH($B$5,0),EDATE($B$4,3),"")</f>
        <v/>
      </c>
      <c r="B23" s="103">
        <f>IF(EDATE($B$4,3)&lt;=EOMONTH($B$5,0),"Dorm 1","")</f>
        <v/>
      </c>
      <c r="C23" s="170">
        <f>IF(AND(EDATE($B$4,3)&lt;=EOMONTH($B$5,0),COUNTIFS('Client DB &amp; Bed Mgmt'!$A:$A,B23,'Client DB &amp; Bed Mgmt'!$D:$D,"&lt;&gt;",'Client DB &amp; Bed Mgmt'!$U:$U,"&lt;="&amp;A23,'Client DB &amp; Bed Mgmt'!$V:$V,"&gt;="&amp;A23)&gt;0),IFERROR(INDEX('Settings &amp; Master Config'!$C$21:$C$23,MATCH(B23,'Settings &amp; Master Config'!$A$21:$A$23,0)),""),"")</f>
        <v/>
      </c>
      <c r="D23" s="170">
        <f>IF(AND(EDATE($B$4,3)&lt;=EOMONTH($B$5,0),COUNTIFS('Client DB &amp; Bed Mgmt'!$A:$A,B23,'Client DB &amp; Bed Mgmt'!$D:$D,"&lt;&gt;",'Client DB &amp; Bed Mgmt'!$U:$U,"&lt;="&amp;A23,'Client DB &amp; Bed Mgmt'!$V:$V,"&gt;="&amp;A23)&gt;0),IFERROR(INDEX('Settings &amp; Master Config'!$F$21:$F$23,MATCH(B23,'Settings &amp; Master Config'!$A$21:$A$23,0)),0),"")</f>
        <v/>
      </c>
      <c r="E23" s="130">
        <f>IF(AND(EDATE($B$4,3)&lt;=EOMONTH($B$5,0),COUNTIFS('Client DB &amp; Bed Mgmt'!$A:$A,B23,'Client DB &amp; Bed Mgmt'!$D:$D,"&lt;&gt;",'Client DB &amp; Bed Mgmt'!$U:$U,"&lt;="&amp;A23,'Client DB &amp; Bed Mgmt'!$V:$V,"&gt;="&amp;A23)&gt;0),$B$7*(1+$B$9)^(YEAR(A23)-YEAR($B$4)),"")</f>
        <v/>
      </c>
      <c r="F23" s="105">
        <f>IF(AND(EDATE($B$4,3)&lt;=EOMONTH($B$5,0),COUNTIFS('Client DB &amp; Bed Mgmt'!$A:$A,B23,'Client DB &amp; Bed Mgmt'!$D:$D,"&lt;&gt;",'Client DB &amp; Bed Mgmt'!$U:$U,"&lt;="&amp;A23,'Client DB &amp; Bed Mgmt'!$V:$V,"&gt;="&amp;A23)&gt;0),$B$8,"")</f>
        <v/>
      </c>
      <c r="G23" s="105">
        <f>IF(AND(EDATE($B$4,3)&lt;=EOMONTH($B$5,0),COUNTIFS('Client DB &amp; Bed Mgmt'!$A:$A,B23,'Client DB &amp; Bed Mgmt'!$D:$D,"&lt;&gt;",'Client DB &amp; Bed Mgmt'!$U:$U,"&lt;="&amp;A23,'Client DB &amp; Bed Mgmt'!$V:$V,"&gt;="&amp;A23)&gt;0),$B$9,"")</f>
        <v/>
      </c>
      <c r="H23" s="130">
        <f>IF(AND(EDATE($B$4,3)&lt;=EOMONTH($B$5,0),COUNTIFS('Client DB &amp; Bed Mgmt'!$A:$A,B23,'Client DB &amp; Bed Mgmt'!$D:$D,"&lt;&gt;",'Client DB &amp; Bed Mgmt'!$U:$U,"&lt;="&amp;A23,'Client DB &amp; Bed Mgmt'!$V:$V,"&gt;="&amp;A23)&gt;0),D23*E23,"")</f>
        <v/>
      </c>
      <c r="I23" s="189">
        <f>IF(AND(EDATE($B$4,3)&lt;=EOMONTH($B$5,0),COUNTIFS('Client DB &amp; Bed Mgmt'!$A:$A,B23,'Client DB &amp; Bed Mgmt'!$D:$D,"&lt;&gt;",'Client DB &amp; Bed Mgmt'!$U:$U,"&lt;="&amp;A23,'Client DB &amp; Bed Mgmt'!$V:$V,"&gt;="&amp;A23)&gt;0),SUM(X23:Z23),"")</f>
        <v/>
      </c>
      <c r="J23" s="189">
        <f>IF(AND(EDATE($B$4,3)&lt;=EOMONTH($B$5,0),COUNTIFS('Client DB &amp; Bed Mgmt'!$A:$A,B23,'Client DB &amp; Bed Mgmt'!$D:$D,"&lt;&gt;",'Client DB &amp; Bed Mgmt'!$U:$U,"&lt;="&amp;A23,'Client DB &amp; Bed Mgmt'!$V:$V,"&gt;="&amp;A23)&gt;0),D23*F23*E23,"")</f>
        <v/>
      </c>
      <c r="K23" s="190">
        <f>IF(AND(EDATE($B$4,3)&lt;=EOMONTH($B$5,0),COUNTIFS('Client DB &amp; Bed Mgmt'!$A:$A,B23,'Client DB &amp; Bed Mgmt'!$D:$D,"&lt;&gt;",'Client DB &amp; Bed Mgmt'!$U:$U,"&lt;="&amp;A23,'Client DB &amp; Bed Mgmt'!$V:$V,"&gt;="&amp;A23)&gt;0),75,"")</f>
        <v/>
      </c>
      <c r="L23" s="190">
        <f>IF(AND(EDATE($B$4,3)&lt;=EOMONTH($B$5,0),COUNTIFS('Client DB &amp; Bed Mgmt'!$A:$A,B23,'Client DB &amp; Bed Mgmt'!$D:$D,"&lt;&gt;",'Client DB &amp; Bed Mgmt'!$U:$U,"&lt;="&amp;A23,'Client DB &amp; Bed Mgmt'!$V:$V,"&gt;="&amp;A23)&gt;0),50,"")</f>
        <v/>
      </c>
      <c r="M23" s="190">
        <f>IF(AND(EDATE($B$4,3)&lt;=EOMONTH($B$5,0),COUNTIFS('Client DB &amp; Bed Mgmt'!$A:$A,B23,'Client DB &amp; Bed Mgmt'!$D:$D,"&lt;&gt;",'Client DB &amp; Bed Mgmt'!$U:$U,"&lt;="&amp;A23,'Client DB &amp; Bed Mgmt'!$V:$V,"&gt;="&amp;A23)&gt;0),150,"")</f>
        <v/>
      </c>
      <c r="N23" s="190">
        <f>IF(AND(EDATE($B$4,3)&lt;=EOMONTH($B$5,0),COUNTIFS('Client DB &amp; Bed Mgmt'!$A:$A,B23,'Client DB &amp; Bed Mgmt'!$D:$D,"&lt;&gt;",'Client DB &amp; Bed Mgmt'!$U:$U,"&lt;="&amp;A23,'Client DB &amp; Bed Mgmt'!$V:$V,"&gt;="&amp;A23)&gt;0),125,"")</f>
        <v/>
      </c>
      <c r="O23" s="190">
        <f>IF(AND(EDATE($B$4,3)&lt;=EOMONTH($B$5,0),COUNTIFS('Client DB &amp; Bed Mgmt'!$A:$A,B23,'Client DB &amp; Bed Mgmt'!$D:$D,"&lt;&gt;",'Client DB &amp; Bed Mgmt'!$U:$U,"&lt;="&amp;A23,'Client DB &amp; Bed Mgmt'!$V:$V,"&gt;="&amp;A23)&gt;0),60,"")</f>
        <v/>
      </c>
      <c r="P23" s="190">
        <f>IF(AND(EDATE($B$4,3)&lt;=EOMONTH($B$5,0),COUNTIFS('Client DB &amp; Bed Mgmt'!$A:$A,B23,'Client DB &amp; Bed Mgmt'!$D:$D,"&lt;&gt;",'Client DB &amp; Bed Mgmt'!$U:$U,"&lt;="&amp;A23,'Client DB &amp; Bed Mgmt'!$V:$V,"&gt;="&amp;A23)&gt;0),80,"")</f>
        <v/>
      </c>
      <c r="Q23" s="190">
        <f>IF(AND(EDATE($B$4,3)&lt;=EOMONTH($B$5,0),COUNTIFS('Client DB &amp; Bed Mgmt'!$A:$A,B23,'Client DB &amp; Bed Mgmt'!$D:$D,"&lt;&gt;",'Client DB &amp; Bed Mgmt'!$U:$U,"&lt;="&amp;A23,'Client DB &amp; Bed Mgmt'!$V:$V,"&gt;="&amp;A23)&gt;0),40,"")</f>
        <v/>
      </c>
      <c r="R23" s="189">
        <f>IF(AND(EDATE($B$4,3)&lt;=EOMONTH($B$5,0),COUNTIFS('Client DB &amp; Bed Mgmt'!$A:$A,B23,'Client DB &amp; Bed Mgmt'!$D:$D,"&lt;&gt;",'Client DB &amp; Bed Mgmt'!$U:$U,"&lt;="&amp;A23,'Client DB &amp; Bed Mgmt'!$V:$V,"&gt;="&amp;A23)&gt;0),IF(C23="Owned",0,2500),"")</f>
        <v/>
      </c>
      <c r="S23" s="189">
        <f>IF(AND(EDATE($B$4,3)&lt;=EOMONTH($B$5,0),COUNTIFS('Client DB &amp; Bed Mgmt'!$A:$A,B23,'Client DB &amp; Bed Mgmt'!$D:$D,"&lt;&gt;",'Client DB &amp; Bed Mgmt'!$U:$U,"&lt;="&amp;A23,'Client DB &amp; Bed Mgmt'!$V:$V,"&gt;="&amp;A23)&gt;0),SUM(K23:R23),"")</f>
        <v/>
      </c>
      <c r="T23" s="189">
        <f>IF(AND(EDATE($B$4,3)&lt;=EOMONTH($B$5,0),COUNTIFS('Client DB &amp; Bed Mgmt'!$A:$A,B23,'Client DB &amp; Bed Mgmt'!$D:$D,"&lt;&gt;",'Client DB &amp; Bed Mgmt'!$U:$U,"&lt;="&amp;A23,'Client DB &amp; Bed Mgmt'!$V:$V,"&gt;="&amp;A23)&gt;0),I23-S23,"")</f>
        <v/>
      </c>
      <c r="U23" s="105">
        <f>IF(AND(EDATE($B$4,3)&lt;=EOMONTH($B$5,0),COUNTIFS('Client DB &amp; Bed Mgmt'!$A:$A,B23,'Client DB &amp; Bed Mgmt'!$D:$D,"&lt;&gt;",'Client DB &amp; Bed Mgmt'!$U:$U,"&lt;="&amp;A23,'Client DB &amp; Bed Mgmt'!$V:$V,"&gt;="&amp;A23)&gt;0),IFERROR(T23/I23,0),"")</f>
        <v/>
      </c>
      <c r="V23" s="191">
        <f>IF(EDATE($B$4,3)&lt;=EOMONTH($B$5,0),COUNTIFS('Client DB &amp; Bed Mgmt'!$A:$A,B23,'Client DB &amp; Bed Mgmt'!$D:$D,"&lt;&gt;",'Client DB &amp; Bed Mgmt'!$U:$U,"&lt;="&amp;A23,'Client DB &amp; Bed Mgmt'!$V:$V,"&gt;="&amp;A23),"")</f>
        <v/>
      </c>
      <c r="W23" s="181">
        <f>IF(AND(EDATE($B$4,3)&lt;=EOMONTH($B$5,0),COUNTIFS('Client DB &amp; Bed Mgmt'!$A:$A,B23,'Client DB &amp; Bed Mgmt'!$D:$D,"&lt;&gt;",'Client DB &amp; Bed Mgmt'!$U:$U,"&lt;="&amp;A23,'Client DB &amp; Bed Mgmt'!$V:$V,"&gt;="&amp;A23)&gt;0),V23,"")</f>
        <v/>
      </c>
      <c r="X23" s="189">
        <f>IF(AND(EDATE($B$4,3)&lt;=EOMONTH($B$5,0),COUNTIFS('Client DB &amp; Bed Mgmt'!$A:$A,B23,'Client DB &amp; Bed Mgmt'!$D:$D,"&lt;&gt;",'Client DB &amp; Bed Mgmt'!$U:$U,"&lt;="&amp;A23,'Client DB &amp; Bed Mgmt'!$V:$V,"&gt;="&amp;A23)&gt;0),SUMIFS('Client DB &amp; Bed Mgmt'!$I:$I,'Client DB &amp; Bed Mgmt'!$A:$A,B23,'Client DB &amp; Bed Mgmt'!$D:$D,"&lt;&gt;",'Client DB &amp; Bed Mgmt'!$U:$U,"&lt;="&amp;A23,'Client DB &amp; Bed Mgmt'!$V:$V,"&gt;="&amp;A23),"")</f>
        <v/>
      </c>
      <c r="Y23" s="189">
        <f>IF(AND(EDATE($B$4,3)&lt;=EOMONTH($B$5,0),COUNTIFS('Client DB &amp; Bed Mgmt'!$A:$A,B23,'Client DB &amp; Bed Mgmt'!$D:$D,"&lt;&gt;",'Client DB &amp; Bed Mgmt'!$U:$U,"&lt;="&amp;A23,'Client DB &amp; Bed Mgmt'!$V:$V,"&gt;="&amp;A23)&gt;0),SUMIFS('Client DB &amp; Bed Mgmt'!$J:$J,'Client DB &amp; Bed Mgmt'!$A:$A,B23,'Client DB &amp; Bed Mgmt'!$D:$D,"&lt;&gt;",'Client DB &amp; Bed Mgmt'!$U:$U,"&lt;="&amp;A23,'Client DB &amp; Bed Mgmt'!$V:$V,"&gt;="&amp;A23),"")</f>
        <v/>
      </c>
      <c r="Z23" s="192">
        <f>IF(AND(EDATE($B$4,3)&lt;=EOMONTH($B$5,0),COUNTIFS('Client DB &amp; Bed Mgmt'!$A:$A,B23,'Client DB &amp; Bed Mgmt'!$D:$D,"&lt;&gt;",'Client DB &amp; Bed Mgmt'!$U:$U,"&lt;="&amp;A23,'Client DB &amp; Bed Mgmt'!$V:$V,"&gt;="&amp;A23)&gt;0),SUMIFS('Client DB &amp; Bed Mgmt'!$K:$K,'Client DB &amp; Bed Mgmt'!$A:$A,B23,'Client DB &amp; Bed Mgmt'!$D:$D,"&lt;&gt;",'Client DB &amp; Bed Mgmt'!$U:$U,"&lt;="&amp;A23,'Client DB &amp; Bed Mgmt'!$V:$V,"&gt;="&amp;A23),"")</f>
        <v/>
      </c>
      <c r="AA23" s="82" t="n"/>
      <c r="AB23" s="82" t="n"/>
    </row>
    <row r="24" hidden="1" ht="14.25" customHeight="1" s="83">
      <c r="A24" s="177">
        <f>IF(EDATE($B$4,3)&lt;=EOMONTH($B$5,0),EDATE($B$4,3),"")</f>
        <v/>
      </c>
      <c r="B24" s="103">
        <f>IF(EDATE($B$4,3)&lt;=EOMONTH($B$5,0),"Dorm 2","")</f>
        <v/>
      </c>
      <c r="C24" s="170">
        <f>IF(AND(EDATE($B$4,3)&lt;=EOMONTH($B$5,0),COUNTIFS('Client DB &amp; Bed Mgmt'!$A:$A,B24,'Client DB &amp; Bed Mgmt'!$D:$D,"&lt;&gt;",'Client DB &amp; Bed Mgmt'!$U:$U,"&lt;="&amp;A24,'Client DB &amp; Bed Mgmt'!$V:$V,"&gt;="&amp;A24)&gt;0),IFERROR(INDEX('Settings &amp; Master Config'!$C$21:$C$23,MATCH(B24,'Settings &amp; Master Config'!$A$21:$A$23,0)),""),"")</f>
        <v/>
      </c>
      <c r="D24" s="170">
        <f>IF(AND(EDATE($B$4,3)&lt;=EOMONTH($B$5,0),COUNTIFS('Client DB &amp; Bed Mgmt'!$A:$A,B24,'Client DB &amp; Bed Mgmt'!$D:$D,"&lt;&gt;",'Client DB &amp; Bed Mgmt'!$U:$U,"&lt;="&amp;A24,'Client DB &amp; Bed Mgmt'!$V:$V,"&gt;="&amp;A24)&gt;0),IFERROR(INDEX('Settings &amp; Master Config'!$F$21:$F$23,MATCH(B24,'Settings &amp; Master Config'!$A$21:$A$23,0)),0),"")</f>
        <v/>
      </c>
      <c r="E24" s="130">
        <f>IF(AND(EDATE($B$4,3)&lt;=EOMONTH($B$5,0),COUNTIFS('Client DB &amp; Bed Mgmt'!$A:$A,B24,'Client DB &amp; Bed Mgmt'!$D:$D,"&lt;&gt;",'Client DB &amp; Bed Mgmt'!$U:$U,"&lt;="&amp;A24,'Client DB &amp; Bed Mgmt'!$V:$V,"&gt;="&amp;A24)&gt;0),$B$7*(1+$B$9)^(YEAR(A24)-YEAR($B$4)),"")</f>
        <v/>
      </c>
      <c r="F24" s="105">
        <f>IF(AND(EDATE($B$4,3)&lt;=EOMONTH($B$5,0),COUNTIFS('Client DB &amp; Bed Mgmt'!$A:$A,B24,'Client DB &amp; Bed Mgmt'!$D:$D,"&lt;&gt;",'Client DB &amp; Bed Mgmt'!$U:$U,"&lt;="&amp;A24,'Client DB &amp; Bed Mgmt'!$V:$V,"&gt;="&amp;A24)&gt;0),$B$8,"")</f>
        <v/>
      </c>
      <c r="G24" s="105">
        <f>IF(AND(EDATE($B$4,3)&lt;=EOMONTH($B$5,0),COUNTIFS('Client DB &amp; Bed Mgmt'!$A:$A,B24,'Client DB &amp; Bed Mgmt'!$D:$D,"&lt;&gt;",'Client DB &amp; Bed Mgmt'!$U:$U,"&lt;="&amp;A24,'Client DB &amp; Bed Mgmt'!$V:$V,"&gt;="&amp;A24)&gt;0),$B$9,"")</f>
        <v/>
      </c>
      <c r="H24" s="130">
        <f>IF(AND(EDATE($B$4,3)&lt;=EOMONTH($B$5,0),COUNTIFS('Client DB &amp; Bed Mgmt'!$A:$A,B24,'Client DB &amp; Bed Mgmt'!$D:$D,"&lt;&gt;",'Client DB &amp; Bed Mgmt'!$U:$U,"&lt;="&amp;A24,'Client DB &amp; Bed Mgmt'!$V:$V,"&gt;="&amp;A24)&gt;0),D24*E24,"")</f>
        <v/>
      </c>
      <c r="I24" s="189">
        <f>IF(AND(EDATE($B$4,3)&lt;=EOMONTH($B$5,0),COUNTIFS('Client DB &amp; Bed Mgmt'!$A:$A,B24,'Client DB &amp; Bed Mgmt'!$D:$D,"&lt;&gt;",'Client DB &amp; Bed Mgmt'!$U:$U,"&lt;="&amp;A24,'Client DB &amp; Bed Mgmt'!$V:$V,"&gt;="&amp;A24)&gt;0),SUM(X24:Z24),"")</f>
        <v/>
      </c>
      <c r="J24" s="189">
        <f>IF(AND(EDATE($B$4,3)&lt;=EOMONTH($B$5,0),COUNTIFS('Client DB &amp; Bed Mgmt'!$A:$A,B24,'Client DB &amp; Bed Mgmt'!$D:$D,"&lt;&gt;",'Client DB &amp; Bed Mgmt'!$U:$U,"&lt;="&amp;A24,'Client DB &amp; Bed Mgmt'!$V:$V,"&gt;="&amp;A24)&gt;0),D24*F24*E24,"")</f>
        <v/>
      </c>
      <c r="K24" s="190">
        <f>IF(AND(EDATE($B$4,3)&lt;=EOMONTH($B$5,0),COUNTIFS('Client DB &amp; Bed Mgmt'!$A:$A,B24,'Client DB &amp; Bed Mgmt'!$D:$D,"&lt;&gt;",'Client DB &amp; Bed Mgmt'!$U:$U,"&lt;="&amp;A24,'Client DB &amp; Bed Mgmt'!$V:$V,"&gt;="&amp;A24)&gt;0),75,"")</f>
        <v/>
      </c>
      <c r="L24" s="190">
        <f>IF(AND(EDATE($B$4,3)&lt;=EOMONTH($B$5,0),COUNTIFS('Client DB &amp; Bed Mgmt'!$A:$A,B24,'Client DB &amp; Bed Mgmt'!$D:$D,"&lt;&gt;",'Client DB &amp; Bed Mgmt'!$U:$U,"&lt;="&amp;A24,'Client DB &amp; Bed Mgmt'!$V:$V,"&gt;="&amp;A24)&gt;0),50,"")</f>
        <v/>
      </c>
      <c r="M24" s="190">
        <f>IF(AND(EDATE($B$4,3)&lt;=EOMONTH($B$5,0),COUNTIFS('Client DB &amp; Bed Mgmt'!$A:$A,B24,'Client DB &amp; Bed Mgmt'!$D:$D,"&lt;&gt;",'Client DB &amp; Bed Mgmt'!$U:$U,"&lt;="&amp;A24,'Client DB &amp; Bed Mgmt'!$V:$V,"&gt;="&amp;A24)&gt;0),150,"")</f>
        <v/>
      </c>
      <c r="N24" s="190">
        <f>IF(AND(EDATE($B$4,3)&lt;=EOMONTH($B$5,0),COUNTIFS('Client DB &amp; Bed Mgmt'!$A:$A,B24,'Client DB &amp; Bed Mgmt'!$D:$D,"&lt;&gt;",'Client DB &amp; Bed Mgmt'!$U:$U,"&lt;="&amp;A24,'Client DB &amp; Bed Mgmt'!$V:$V,"&gt;="&amp;A24)&gt;0),125,"")</f>
        <v/>
      </c>
      <c r="O24" s="190">
        <f>IF(AND(EDATE($B$4,3)&lt;=EOMONTH($B$5,0),COUNTIFS('Client DB &amp; Bed Mgmt'!$A:$A,B24,'Client DB &amp; Bed Mgmt'!$D:$D,"&lt;&gt;",'Client DB &amp; Bed Mgmt'!$U:$U,"&lt;="&amp;A24,'Client DB &amp; Bed Mgmt'!$V:$V,"&gt;="&amp;A24)&gt;0),60,"")</f>
        <v/>
      </c>
      <c r="P24" s="190">
        <f>IF(AND(EDATE($B$4,3)&lt;=EOMONTH($B$5,0),COUNTIFS('Client DB &amp; Bed Mgmt'!$A:$A,B24,'Client DB &amp; Bed Mgmt'!$D:$D,"&lt;&gt;",'Client DB &amp; Bed Mgmt'!$U:$U,"&lt;="&amp;A24,'Client DB &amp; Bed Mgmt'!$V:$V,"&gt;="&amp;A24)&gt;0),80,"")</f>
        <v/>
      </c>
      <c r="Q24" s="190">
        <f>IF(AND(EDATE($B$4,3)&lt;=EOMONTH($B$5,0),COUNTIFS('Client DB &amp; Bed Mgmt'!$A:$A,B24,'Client DB &amp; Bed Mgmt'!$D:$D,"&lt;&gt;",'Client DB &amp; Bed Mgmt'!$U:$U,"&lt;="&amp;A24,'Client DB &amp; Bed Mgmt'!$V:$V,"&gt;="&amp;A24)&gt;0),40,"")</f>
        <v/>
      </c>
      <c r="R24" s="189">
        <f>IF(AND(EDATE($B$4,3)&lt;=EOMONTH($B$5,0),COUNTIFS('Client DB &amp; Bed Mgmt'!$A:$A,B24,'Client DB &amp; Bed Mgmt'!$D:$D,"&lt;&gt;",'Client DB &amp; Bed Mgmt'!$U:$U,"&lt;="&amp;A24,'Client DB &amp; Bed Mgmt'!$V:$V,"&gt;="&amp;A24)&gt;0),IF(C24="Owned",0,2500),"")</f>
        <v/>
      </c>
      <c r="S24" s="189">
        <f>IF(AND(EDATE($B$4,3)&lt;=EOMONTH($B$5,0),COUNTIFS('Client DB &amp; Bed Mgmt'!$A:$A,B24,'Client DB &amp; Bed Mgmt'!$D:$D,"&lt;&gt;",'Client DB &amp; Bed Mgmt'!$U:$U,"&lt;="&amp;A24,'Client DB &amp; Bed Mgmt'!$V:$V,"&gt;="&amp;A24)&gt;0),SUM(K24:R24),"")</f>
        <v/>
      </c>
      <c r="T24" s="189">
        <f>IF(AND(EDATE($B$4,3)&lt;=EOMONTH($B$5,0),COUNTIFS('Client DB &amp; Bed Mgmt'!$A:$A,B24,'Client DB &amp; Bed Mgmt'!$D:$D,"&lt;&gt;",'Client DB &amp; Bed Mgmt'!$U:$U,"&lt;="&amp;A24,'Client DB &amp; Bed Mgmt'!$V:$V,"&gt;="&amp;A24)&gt;0),I24-S24,"")</f>
        <v/>
      </c>
      <c r="U24" s="105">
        <f>IF(AND(EDATE($B$4,3)&lt;=EOMONTH($B$5,0),COUNTIFS('Client DB &amp; Bed Mgmt'!$A:$A,B24,'Client DB &amp; Bed Mgmt'!$D:$D,"&lt;&gt;",'Client DB &amp; Bed Mgmt'!$U:$U,"&lt;="&amp;A24,'Client DB &amp; Bed Mgmt'!$V:$V,"&gt;="&amp;A24)&gt;0),IFERROR(T24/I24,0),"")</f>
        <v/>
      </c>
      <c r="V24" s="191">
        <f>IF(EDATE($B$4,3)&lt;=EOMONTH($B$5,0),COUNTIFS('Client DB &amp; Bed Mgmt'!$A:$A,B24,'Client DB &amp; Bed Mgmt'!$D:$D,"&lt;&gt;",'Client DB &amp; Bed Mgmt'!$U:$U,"&lt;="&amp;A24,'Client DB &amp; Bed Mgmt'!$V:$V,"&gt;="&amp;A24),"")</f>
        <v/>
      </c>
      <c r="W24" s="181">
        <f>IF(AND(EDATE($B$4,3)&lt;=EOMONTH($B$5,0),COUNTIFS('Client DB &amp; Bed Mgmt'!$A:$A,B24,'Client DB &amp; Bed Mgmt'!$D:$D,"&lt;&gt;",'Client DB &amp; Bed Mgmt'!$U:$U,"&lt;="&amp;A24,'Client DB &amp; Bed Mgmt'!$V:$V,"&gt;="&amp;A24)&gt;0),V24,"")</f>
        <v/>
      </c>
      <c r="X24" s="189">
        <f>IF(AND(EDATE($B$4,3)&lt;=EOMONTH($B$5,0),COUNTIFS('Client DB &amp; Bed Mgmt'!$A:$A,B24,'Client DB &amp; Bed Mgmt'!$D:$D,"&lt;&gt;",'Client DB &amp; Bed Mgmt'!$U:$U,"&lt;="&amp;A24,'Client DB &amp; Bed Mgmt'!$V:$V,"&gt;="&amp;A24)&gt;0),SUMIFS('Client DB &amp; Bed Mgmt'!$I:$I,'Client DB &amp; Bed Mgmt'!$A:$A,B24,'Client DB &amp; Bed Mgmt'!$D:$D,"&lt;&gt;",'Client DB &amp; Bed Mgmt'!$U:$U,"&lt;="&amp;A24,'Client DB &amp; Bed Mgmt'!$V:$V,"&gt;="&amp;A24),"")</f>
        <v/>
      </c>
      <c r="Y24" s="189">
        <f>IF(AND(EDATE($B$4,3)&lt;=EOMONTH($B$5,0),COUNTIFS('Client DB &amp; Bed Mgmt'!$A:$A,B24,'Client DB &amp; Bed Mgmt'!$D:$D,"&lt;&gt;",'Client DB &amp; Bed Mgmt'!$U:$U,"&lt;="&amp;A24,'Client DB &amp; Bed Mgmt'!$V:$V,"&gt;="&amp;A24)&gt;0),SUMIFS('Client DB &amp; Bed Mgmt'!$J:$J,'Client DB &amp; Bed Mgmt'!$A:$A,B24,'Client DB &amp; Bed Mgmt'!$D:$D,"&lt;&gt;",'Client DB &amp; Bed Mgmt'!$U:$U,"&lt;="&amp;A24,'Client DB &amp; Bed Mgmt'!$V:$V,"&gt;="&amp;A24),"")</f>
        <v/>
      </c>
      <c r="Z24" s="192">
        <f>IF(AND(EDATE($B$4,3)&lt;=EOMONTH($B$5,0),COUNTIFS('Client DB &amp; Bed Mgmt'!$A:$A,B24,'Client DB &amp; Bed Mgmt'!$D:$D,"&lt;&gt;",'Client DB &amp; Bed Mgmt'!$U:$U,"&lt;="&amp;A24,'Client DB &amp; Bed Mgmt'!$V:$V,"&gt;="&amp;A24)&gt;0),SUMIFS('Client DB &amp; Bed Mgmt'!$K:$K,'Client DB &amp; Bed Mgmt'!$A:$A,B24,'Client DB &amp; Bed Mgmt'!$D:$D,"&lt;&gt;",'Client DB &amp; Bed Mgmt'!$U:$U,"&lt;="&amp;A24,'Client DB &amp; Bed Mgmt'!$V:$V,"&gt;="&amp;A24),"")</f>
        <v/>
      </c>
      <c r="AA24" s="82" t="n"/>
      <c r="AB24" s="82" t="n"/>
    </row>
    <row r="25" hidden="1" ht="14.25" customHeight="1" s="83">
      <c r="A25" s="177">
        <f>IF(EDATE($B$4,3)&lt;=EOMONTH($B$5,0),EDATE($B$4,3),"")</f>
        <v/>
      </c>
      <c r="B25" s="103">
        <f>IF(EDATE($B$4,3)&lt;=EOMONTH($B$5,0),"Dorm 3","")</f>
        <v/>
      </c>
      <c r="C25" s="170">
        <f>IF(AND(EDATE($B$4,3)&lt;=EOMONTH($B$5,0),COUNTIFS('Client DB &amp; Bed Mgmt'!$A:$A,B25,'Client DB &amp; Bed Mgmt'!$D:$D,"&lt;&gt;",'Client DB &amp; Bed Mgmt'!$U:$U,"&lt;="&amp;A25,'Client DB &amp; Bed Mgmt'!$V:$V,"&gt;="&amp;A25)&gt;0),IFERROR(INDEX('Settings &amp; Master Config'!$C$21:$C$23,MATCH(B25,'Settings &amp; Master Config'!$A$21:$A$23,0)),""),"")</f>
        <v/>
      </c>
      <c r="D25" s="170">
        <f>IF(AND(EDATE($B$4,3)&lt;=EOMONTH($B$5,0),COUNTIFS('Client DB &amp; Bed Mgmt'!$A:$A,B25,'Client DB &amp; Bed Mgmt'!$D:$D,"&lt;&gt;",'Client DB &amp; Bed Mgmt'!$U:$U,"&lt;="&amp;A25,'Client DB &amp; Bed Mgmt'!$V:$V,"&gt;="&amp;A25)&gt;0),IFERROR(INDEX('Settings &amp; Master Config'!$F$21:$F$23,MATCH(B25,'Settings &amp; Master Config'!$A$21:$A$23,0)),0),"")</f>
        <v/>
      </c>
      <c r="E25" s="130">
        <f>IF(AND(EDATE($B$4,3)&lt;=EOMONTH($B$5,0),COUNTIFS('Client DB &amp; Bed Mgmt'!$A:$A,B25,'Client DB &amp; Bed Mgmt'!$D:$D,"&lt;&gt;",'Client DB &amp; Bed Mgmt'!$U:$U,"&lt;="&amp;A25,'Client DB &amp; Bed Mgmt'!$V:$V,"&gt;="&amp;A25)&gt;0),$B$7*(1+$B$9)^(YEAR(A25)-YEAR($B$4)),"")</f>
        <v/>
      </c>
      <c r="F25" s="105">
        <f>IF(AND(EDATE($B$4,3)&lt;=EOMONTH($B$5,0),COUNTIFS('Client DB &amp; Bed Mgmt'!$A:$A,B25,'Client DB &amp; Bed Mgmt'!$D:$D,"&lt;&gt;",'Client DB &amp; Bed Mgmt'!$U:$U,"&lt;="&amp;A25,'Client DB &amp; Bed Mgmt'!$V:$V,"&gt;="&amp;A25)&gt;0),$B$8,"")</f>
        <v/>
      </c>
      <c r="G25" s="105">
        <f>IF(AND(EDATE($B$4,3)&lt;=EOMONTH($B$5,0),COUNTIFS('Client DB &amp; Bed Mgmt'!$A:$A,B25,'Client DB &amp; Bed Mgmt'!$D:$D,"&lt;&gt;",'Client DB &amp; Bed Mgmt'!$U:$U,"&lt;="&amp;A25,'Client DB &amp; Bed Mgmt'!$V:$V,"&gt;="&amp;A25)&gt;0),$B$9,"")</f>
        <v/>
      </c>
      <c r="H25" s="130">
        <f>IF(AND(EDATE($B$4,3)&lt;=EOMONTH($B$5,0),COUNTIFS('Client DB &amp; Bed Mgmt'!$A:$A,B25,'Client DB &amp; Bed Mgmt'!$D:$D,"&lt;&gt;",'Client DB &amp; Bed Mgmt'!$U:$U,"&lt;="&amp;A25,'Client DB &amp; Bed Mgmt'!$V:$V,"&gt;="&amp;A25)&gt;0),D25*E25,"")</f>
        <v/>
      </c>
      <c r="I25" s="189">
        <f>IF(AND(EDATE($B$4,3)&lt;=EOMONTH($B$5,0),COUNTIFS('Client DB &amp; Bed Mgmt'!$A:$A,B25,'Client DB &amp; Bed Mgmt'!$D:$D,"&lt;&gt;",'Client DB &amp; Bed Mgmt'!$U:$U,"&lt;="&amp;A25,'Client DB &amp; Bed Mgmt'!$V:$V,"&gt;="&amp;A25)&gt;0),SUM(X25:Z25),"")</f>
        <v/>
      </c>
      <c r="J25" s="189">
        <f>IF(AND(EDATE($B$4,3)&lt;=EOMONTH($B$5,0),COUNTIFS('Client DB &amp; Bed Mgmt'!$A:$A,B25,'Client DB &amp; Bed Mgmt'!$D:$D,"&lt;&gt;",'Client DB &amp; Bed Mgmt'!$U:$U,"&lt;="&amp;A25,'Client DB &amp; Bed Mgmt'!$V:$V,"&gt;="&amp;A25)&gt;0),D25*F25*E25,"")</f>
        <v/>
      </c>
      <c r="K25" s="190">
        <f>IF(AND(EDATE($B$4,3)&lt;=EOMONTH($B$5,0),COUNTIFS('Client DB &amp; Bed Mgmt'!$A:$A,B25,'Client DB &amp; Bed Mgmt'!$D:$D,"&lt;&gt;",'Client DB &amp; Bed Mgmt'!$U:$U,"&lt;="&amp;A25,'Client DB &amp; Bed Mgmt'!$V:$V,"&gt;="&amp;A25)&gt;0),75,"")</f>
        <v/>
      </c>
      <c r="L25" s="190">
        <f>IF(AND(EDATE($B$4,3)&lt;=EOMONTH($B$5,0),COUNTIFS('Client DB &amp; Bed Mgmt'!$A:$A,B25,'Client DB &amp; Bed Mgmt'!$D:$D,"&lt;&gt;",'Client DB &amp; Bed Mgmt'!$U:$U,"&lt;="&amp;A25,'Client DB &amp; Bed Mgmt'!$V:$V,"&gt;="&amp;A25)&gt;0),50,"")</f>
        <v/>
      </c>
      <c r="M25" s="190">
        <f>IF(AND(EDATE($B$4,3)&lt;=EOMONTH($B$5,0),COUNTIFS('Client DB &amp; Bed Mgmt'!$A:$A,B25,'Client DB &amp; Bed Mgmt'!$D:$D,"&lt;&gt;",'Client DB &amp; Bed Mgmt'!$U:$U,"&lt;="&amp;A25,'Client DB &amp; Bed Mgmt'!$V:$V,"&gt;="&amp;A25)&gt;0),150,"")</f>
        <v/>
      </c>
      <c r="N25" s="190">
        <f>IF(AND(EDATE($B$4,3)&lt;=EOMONTH($B$5,0),COUNTIFS('Client DB &amp; Bed Mgmt'!$A:$A,B25,'Client DB &amp; Bed Mgmt'!$D:$D,"&lt;&gt;",'Client DB &amp; Bed Mgmt'!$U:$U,"&lt;="&amp;A25,'Client DB &amp; Bed Mgmt'!$V:$V,"&gt;="&amp;A25)&gt;0),125,"")</f>
        <v/>
      </c>
      <c r="O25" s="190">
        <f>IF(AND(EDATE($B$4,3)&lt;=EOMONTH($B$5,0),COUNTIFS('Client DB &amp; Bed Mgmt'!$A:$A,B25,'Client DB &amp; Bed Mgmt'!$D:$D,"&lt;&gt;",'Client DB &amp; Bed Mgmt'!$U:$U,"&lt;="&amp;A25,'Client DB &amp; Bed Mgmt'!$V:$V,"&gt;="&amp;A25)&gt;0),60,"")</f>
        <v/>
      </c>
      <c r="P25" s="190">
        <f>IF(AND(EDATE($B$4,3)&lt;=EOMONTH($B$5,0),COUNTIFS('Client DB &amp; Bed Mgmt'!$A:$A,B25,'Client DB &amp; Bed Mgmt'!$D:$D,"&lt;&gt;",'Client DB &amp; Bed Mgmt'!$U:$U,"&lt;="&amp;A25,'Client DB &amp; Bed Mgmt'!$V:$V,"&gt;="&amp;A25)&gt;0),80,"")</f>
        <v/>
      </c>
      <c r="Q25" s="190">
        <f>IF(AND(EDATE($B$4,3)&lt;=EOMONTH($B$5,0),COUNTIFS('Client DB &amp; Bed Mgmt'!$A:$A,B25,'Client DB &amp; Bed Mgmt'!$D:$D,"&lt;&gt;",'Client DB &amp; Bed Mgmt'!$U:$U,"&lt;="&amp;A25,'Client DB &amp; Bed Mgmt'!$V:$V,"&gt;="&amp;A25)&gt;0),40,"")</f>
        <v/>
      </c>
      <c r="R25" s="189">
        <f>IF(AND(EDATE($B$4,3)&lt;=EOMONTH($B$5,0),COUNTIFS('Client DB &amp; Bed Mgmt'!$A:$A,B25,'Client DB &amp; Bed Mgmt'!$D:$D,"&lt;&gt;",'Client DB &amp; Bed Mgmt'!$U:$U,"&lt;="&amp;A25,'Client DB &amp; Bed Mgmt'!$V:$V,"&gt;="&amp;A25)&gt;0),IF(C25="Owned",0,2500),"")</f>
        <v/>
      </c>
      <c r="S25" s="189">
        <f>IF(AND(EDATE($B$4,3)&lt;=EOMONTH($B$5,0),COUNTIFS('Client DB &amp; Bed Mgmt'!$A:$A,B25,'Client DB &amp; Bed Mgmt'!$D:$D,"&lt;&gt;",'Client DB &amp; Bed Mgmt'!$U:$U,"&lt;="&amp;A25,'Client DB &amp; Bed Mgmt'!$V:$V,"&gt;="&amp;A25)&gt;0),SUM(K25:R25),"")</f>
        <v/>
      </c>
      <c r="T25" s="189">
        <f>IF(AND(EDATE($B$4,3)&lt;=EOMONTH($B$5,0),COUNTIFS('Client DB &amp; Bed Mgmt'!$A:$A,B25,'Client DB &amp; Bed Mgmt'!$D:$D,"&lt;&gt;",'Client DB &amp; Bed Mgmt'!$U:$U,"&lt;="&amp;A25,'Client DB &amp; Bed Mgmt'!$V:$V,"&gt;="&amp;A25)&gt;0),I25-S25,"")</f>
        <v/>
      </c>
      <c r="U25" s="105">
        <f>IF(AND(EDATE($B$4,3)&lt;=EOMONTH($B$5,0),COUNTIFS('Client DB &amp; Bed Mgmt'!$A:$A,B25,'Client DB &amp; Bed Mgmt'!$D:$D,"&lt;&gt;",'Client DB &amp; Bed Mgmt'!$U:$U,"&lt;="&amp;A25,'Client DB &amp; Bed Mgmt'!$V:$V,"&gt;="&amp;A25)&gt;0),IFERROR(T25/I25,0),"")</f>
        <v/>
      </c>
      <c r="V25" s="191">
        <f>IF(EDATE($B$4,3)&lt;=EOMONTH($B$5,0),COUNTIFS('Client DB &amp; Bed Mgmt'!$A:$A,B25,'Client DB &amp; Bed Mgmt'!$D:$D,"&lt;&gt;",'Client DB &amp; Bed Mgmt'!$U:$U,"&lt;="&amp;A25,'Client DB &amp; Bed Mgmt'!$V:$V,"&gt;="&amp;A25),"")</f>
        <v/>
      </c>
      <c r="W25" s="181">
        <f>IF(AND(EDATE($B$4,3)&lt;=EOMONTH($B$5,0),COUNTIFS('Client DB &amp; Bed Mgmt'!$A:$A,B25,'Client DB &amp; Bed Mgmt'!$D:$D,"&lt;&gt;",'Client DB &amp; Bed Mgmt'!$U:$U,"&lt;="&amp;A25,'Client DB &amp; Bed Mgmt'!$V:$V,"&gt;="&amp;A25)&gt;0),V25,"")</f>
        <v/>
      </c>
      <c r="X25" s="189">
        <f>IF(AND(EDATE($B$4,3)&lt;=EOMONTH($B$5,0),COUNTIFS('Client DB &amp; Bed Mgmt'!$A:$A,B25,'Client DB &amp; Bed Mgmt'!$D:$D,"&lt;&gt;",'Client DB &amp; Bed Mgmt'!$U:$U,"&lt;="&amp;A25,'Client DB &amp; Bed Mgmt'!$V:$V,"&gt;="&amp;A25)&gt;0),SUMIFS('Client DB &amp; Bed Mgmt'!$I:$I,'Client DB &amp; Bed Mgmt'!$A:$A,B25,'Client DB &amp; Bed Mgmt'!$D:$D,"&lt;&gt;",'Client DB &amp; Bed Mgmt'!$U:$U,"&lt;="&amp;A25,'Client DB &amp; Bed Mgmt'!$V:$V,"&gt;="&amp;A25),"")</f>
        <v/>
      </c>
      <c r="Y25" s="189">
        <f>IF(AND(EDATE($B$4,3)&lt;=EOMONTH($B$5,0),COUNTIFS('Client DB &amp; Bed Mgmt'!$A:$A,B25,'Client DB &amp; Bed Mgmt'!$D:$D,"&lt;&gt;",'Client DB &amp; Bed Mgmt'!$U:$U,"&lt;="&amp;A25,'Client DB &amp; Bed Mgmt'!$V:$V,"&gt;="&amp;A25)&gt;0),SUMIFS('Client DB &amp; Bed Mgmt'!$J:$J,'Client DB &amp; Bed Mgmt'!$A:$A,B25,'Client DB &amp; Bed Mgmt'!$D:$D,"&lt;&gt;",'Client DB &amp; Bed Mgmt'!$U:$U,"&lt;="&amp;A25,'Client DB &amp; Bed Mgmt'!$V:$V,"&gt;="&amp;A25),"")</f>
        <v/>
      </c>
      <c r="Z25" s="192">
        <f>IF(AND(EDATE($B$4,3)&lt;=EOMONTH($B$5,0),COUNTIFS('Client DB &amp; Bed Mgmt'!$A:$A,B25,'Client DB &amp; Bed Mgmt'!$D:$D,"&lt;&gt;",'Client DB &amp; Bed Mgmt'!$U:$U,"&lt;="&amp;A25,'Client DB &amp; Bed Mgmt'!$V:$V,"&gt;="&amp;A25)&gt;0),SUMIFS('Client DB &amp; Bed Mgmt'!$K:$K,'Client DB &amp; Bed Mgmt'!$A:$A,B25,'Client DB &amp; Bed Mgmt'!$D:$D,"&lt;&gt;",'Client DB &amp; Bed Mgmt'!$U:$U,"&lt;="&amp;A25,'Client DB &amp; Bed Mgmt'!$V:$V,"&gt;="&amp;A25),"")</f>
        <v/>
      </c>
      <c r="AA25" s="82" t="n"/>
      <c r="AB25" s="82" t="n"/>
    </row>
    <row r="26" ht="14.25" customHeight="1" s="83">
      <c r="A26" s="177">
        <f>IF(EDATE($B$4,4)&lt;=EOMONTH($B$5,0),EDATE($B$4,4),"")</f>
        <v/>
      </c>
      <c r="B26" s="103">
        <f>IF(EDATE($B$4,4)&lt;=EOMONTH($B$5,0),"Dorm 1","")</f>
        <v/>
      </c>
      <c r="C26" s="170">
        <f>IF(AND(EDATE($B$4,4)&lt;=EOMONTH($B$5,0),COUNTIFS('Client DB &amp; Bed Mgmt'!$A:$A,B26,'Client DB &amp; Bed Mgmt'!$D:$D,"&lt;&gt;",'Client DB &amp; Bed Mgmt'!$U:$U,"&lt;="&amp;A26,'Client DB &amp; Bed Mgmt'!$V:$V,"&gt;="&amp;A26)&gt;0),IFERROR(INDEX('Settings &amp; Master Config'!$C$21:$C$23,MATCH(B26,'Settings &amp; Master Config'!$A$21:$A$23,0)),""),"")</f>
        <v/>
      </c>
      <c r="D26" s="170">
        <f>IF(AND(EDATE($B$4,4)&lt;=EOMONTH($B$5,0),COUNTIFS('Client DB &amp; Bed Mgmt'!$A:$A,B26,'Client DB &amp; Bed Mgmt'!$D:$D,"&lt;&gt;",'Client DB &amp; Bed Mgmt'!$U:$U,"&lt;="&amp;A26,'Client DB &amp; Bed Mgmt'!$V:$V,"&gt;="&amp;A26)&gt;0),IFERROR(INDEX('Settings &amp; Master Config'!$F$21:$F$23,MATCH(B26,'Settings &amp; Master Config'!$A$21:$A$23,0)),0),"")</f>
        <v/>
      </c>
      <c r="E26" s="130">
        <f>IF(AND(EDATE($B$4,4)&lt;=EOMONTH($B$5,0),COUNTIFS('Client DB &amp; Bed Mgmt'!$A:$A,B26,'Client DB &amp; Bed Mgmt'!$D:$D,"&lt;&gt;",'Client DB &amp; Bed Mgmt'!$U:$U,"&lt;="&amp;A26,'Client DB &amp; Bed Mgmt'!$V:$V,"&gt;="&amp;A26)&gt;0),$B$7*(1+$B$9)^(YEAR(A26)-YEAR($B$4)),"")</f>
        <v/>
      </c>
      <c r="F26" s="105">
        <f>IF(AND(EDATE($B$4,4)&lt;=EOMONTH($B$5,0),COUNTIFS('Client DB &amp; Bed Mgmt'!$A:$A,B26,'Client DB &amp; Bed Mgmt'!$D:$D,"&lt;&gt;",'Client DB &amp; Bed Mgmt'!$U:$U,"&lt;="&amp;A26,'Client DB &amp; Bed Mgmt'!$V:$V,"&gt;="&amp;A26)&gt;0),$B$8,"")</f>
        <v/>
      </c>
      <c r="G26" s="105">
        <f>IF(AND(EDATE($B$4,4)&lt;=EOMONTH($B$5,0),COUNTIFS('Client DB &amp; Bed Mgmt'!$A:$A,B26,'Client DB &amp; Bed Mgmt'!$D:$D,"&lt;&gt;",'Client DB &amp; Bed Mgmt'!$U:$U,"&lt;="&amp;A26,'Client DB &amp; Bed Mgmt'!$V:$V,"&gt;="&amp;A26)&gt;0),$B$9,"")</f>
        <v/>
      </c>
      <c r="H26" s="130">
        <f>IF(AND(EDATE($B$4,4)&lt;=EOMONTH($B$5,0),COUNTIFS('Client DB &amp; Bed Mgmt'!$A:$A,B26,'Client DB &amp; Bed Mgmt'!$D:$D,"&lt;&gt;",'Client DB &amp; Bed Mgmt'!$U:$U,"&lt;="&amp;A26,'Client DB &amp; Bed Mgmt'!$V:$V,"&gt;="&amp;A26)&gt;0),D26*E26,"")</f>
        <v/>
      </c>
      <c r="I26" s="189">
        <f>IF(AND(EDATE($B$4,4)&lt;=EOMONTH($B$5,0),COUNTIFS('Client DB &amp; Bed Mgmt'!$A:$A,B26,'Client DB &amp; Bed Mgmt'!$D:$D,"&lt;&gt;",'Client DB &amp; Bed Mgmt'!$U:$U,"&lt;="&amp;A26,'Client DB &amp; Bed Mgmt'!$V:$V,"&gt;="&amp;A26)&gt;0),SUM(X26:Z26),"")</f>
        <v/>
      </c>
      <c r="J26" s="189">
        <f>IF(AND(EDATE($B$4,4)&lt;=EOMONTH($B$5,0),COUNTIFS('Client DB &amp; Bed Mgmt'!$A:$A,B26,'Client DB &amp; Bed Mgmt'!$D:$D,"&lt;&gt;",'Client DB &amp; Bed Mgmt'!$U:$U,"&lt;="&amp;A26,'Client DB &amp; Bed Mgmt'!$V:$V,"&gt;="&amp;A26)&gt;0),D26*F26*E26,"")</f>
        <v/>
      </c>
      <c r="K26" s="190">
        <f>IF(AND(EDATE($B$4,4)&lt;=EOMONTH($B$5,0),COUNTIFS('Client DB &amp; Bed Mgmt'!$A:$A,B26,'Client DB &amp; Bed Mgmt'!$D:$D,"&lt;&gt;",'Client DB &amp; Bed Mgmt'!$U:$U,"&lt;="&amp;A26,'Client DB &amp; Bed Mgmt'!$V:$V,"&gt;="&amp;A26)&gt;0),75,"")</f>
        <v/>
      </c>
      <c r="L26" s="190">
        <f>IF(AND(EDATE($B$4,4)&lt;=EOMONTH($B$5,0),COUNTIFS('Client DB &amp; Bed Mgmt'!$A:$A,B26,'Client DB &amp; Bed Mgmt'!$D:$D,"&lt;&gt;",'Client DB &amp; Bed Mgmt'!$U:$U,"&lt;="&amp;A26,'Client DB &amp; Bed Mgmt'!$V:$V,"&gt;="&amp;A26)&gt;0),50,"")</f>
        <v/>
      </c>
      <c r="M26" s="190">
        <f>IF(AND(EDATE($B$4,4)&lt;=EOMONTH($B$5,0),COUNTIFS('Client DB &amp; Bed Mgmt'!$A:$A,B26,'Client DB &amp; Bed Mgmt'!$D:$D,"&lt;&gt;",'Client DB &amp; Bed Mgmt'!$U:$U,"&lt;="&amp;A26,'Client DB &amp; Bed Mgmt'!$V:$V,"&gt;="&amp;A26)&gt;0),150,"")</f>
        <v/>
      </c>
      <c r="N26" s="190">
        <f>IF(AND(EDATE($B$4,4)&lt;=EOMONTH($B$5,0),COUNTIFS('Client DB &amp; Bed Mgmt'!$A:$A,B26,'Client DB &amp; Bed Mgmt'!$D:$D,"&lt;&gt;",'Client DB &amp; Bed Mgmt'!$U:$U,"&lt;="&amp;A26,'Client DB &amp; Bed Mgmt'!$V:$V,"&gt;="&amp;A26)&gt;0),125,"")</f>
        <v/>
      </c>
      <c r="O26" s="190">
        <f>IF(AND(EDATE($B$4,4)&lt;=EOMONTH($B$5,0),COUNTIFS('Client DB &amp; Bed Mgmt'!$A:$A,B26,'Client DB &amp; Bed Mgmt'!$D:$D,"&lt;&gt;",'Client DB &amp; Bed Mgmt'!$U:$U,"&lt;="&amp;A26,'Client DB &amp; Bed Mgmt'!$V:$V,"&gt;="&amp;A26)&gt;0),60,"")</f>
        <v/>
      </c>
      <c r="P26" s="190">
        <f>IF(AND(EDATE($B$4,4)&lt;=EOMONTH($B$5,0),COUNTIFS('Client DB &amp; Bed Mgmt'!$A:$A,B26,'Client DB &amp; Bed Mgmt'!$D:$D,"&lt;&gt;",'Client DB &amp; Bed Mgmt'!$U:$U,"&lt;="&amp;A26,'Client DB &amp; Bed Mgmt'!$V:$V,"&gt;="&amp;A26)&gt;0),80,"")</f>
        <v/>
      </c>
      <c r="Q26" s="190">
        <f>IF(AND(EDATE($B$4,4)&lt;=EOMONTH($B$5,0),COUNTIFS('Client DB &amp; Bed Mgmt'!$A:$A,B26,'Client DB &amp; Bed Mgmt'!$D:$D,"&lt;&gt;",'Client DB &amp; Bed Mgmt'!$U:$U,"&lt;="&amp;A26,'Client DB &amp; Bed Mgmt'!$V:$V,"&gt;="&amp;A26)&gt;0),40,"")</f>
        <v/>
      </c>
      <c r="R26" s="189">
        <f>IF(AND(EDATE($B$4,4)&lt;=EOMONTH($B$5,0),COUNTIFS('Client DB &amp; Bed Mgmt'!$A:$A,B26,'Client DB &amp; Bed Mgmt'!$D:$D,"&lt;&gt;",'Client DB &amp; Bed Mgmt'!$U:$U,"&lt;="&amp;A26,'Client DB &amp; Bed Mgmt'!$V:$V,"&gt;="&amp;A26)&gt;0),IF(C26="Owned",0,2500),"")</f>
        <v/>
      </c>
      <c r="S26" s="189">
        <f>IF(AND(EDATE($B$4,4)&lt;=EOMONTH($B$5,0),COUNTIFS('Client DB &amp; Bed Mgmt'!$A:$A,B26,'Client DB &amp; Bed Mgmt'!$D:$D,"&lt;&gt;",'Client DB &amp; Bed Mgmt'!$U:$U,"&lt;="&amp;A26,'Client DB &amp; Bed Mgmt'!$V:$V,"&gt;="&amp;A26)&gt;0),SUM(K26:R26),"")</f>
        <v/>
      </c>
      <c r="T26" s="189">
        <f>IF(AND(EDATE($B$4,4)&lt;=EOMONTH($B$5,0),COUNTIFS('Client DB &amp; Bed Mgmt'!$A:$A,B26,'Client DB &amp; Bed Mgmt'!$D:$D,"&lt;&gt;",'Client DB &amp; Bed Mgmt'!$U:$U,"&lt;="&amp;A26,'Client DB &amp; Bed Mgmt'!$V:$V,"&gt;="&amp;A26)&gt;0),I26-S26,"")</f>
        <v/>
      </c>
      <c r="U26" s="105">
        <f>IF(AND(EDATE($B$4,4)&lt;=EOMONTH($B$5,0),COUNTIFS('Client DB &amp; Bed Mgmt'!$A:$A,B26,'Client DB &amp; Bed Mgmt'!$D:$D,"&lt;&gt;",'Client DB &amp; Bed Mgmt'!$U:$U,"&lt;="&amp;A26,'Client DB &amp; Bed Mgmt'!$V:$V,"&gt;="&amp;A26)&gt;0),IFERROR(T26/I26,0),"")</f>
        <v/>
      </c>
      <c r="V26" s="191">
        <f>IF(EDATE($B$4,4)&lt;=EOMONTH($B$5,0),COUNTIFS('Client DB &amp; Bed Mgmt'!$A:$A,B26,'Client DB &amp; Bed Mgmt'!$D:$D,"&lt;&gt;",'Client DB &amp; Bed Mgmt'!$U:$U,"&lt;="&amp;A26,'Client DB &amp; Bed Mgmt'!$V:$V,"&gt;="&amp;A26),"")</f>
        <v/>
      </c>
      <c r="W26" s="181">
        <f>IF(AND(EDATE($B$4,4)&lt;=EOMONTH($B$5,0),COUNTIFS('Client DB &amp; Bed Mgmt'!$A:$A,B26,'Client DB &amp; Bed Mgmt'!$D:$D,"&lt;&gt;",'Client DB &amp; Bed Mgmt'!$U:$U,"&lt;="&amp;A26,'Client DB &amp; Bed Mgmt'!$V:$V,"&gt;="&amp;A26)&gt;0),V26,"")</f>
        <v/>
      </c>
      <c r="X26" s="189">
        <f>IF(AND(EDATE($B$4,4)&lt;=EOMONTH($B$5,0),COUNTIFS('Client DB &amp; Bed Mgmt'!$A:$A,B26,'Client DB &amp; Bed Mgmt'!$D:$D,"&lt;&gt;",'Client DB &amp; Bed Mgmt'!$U:$U,"&lt;="&amp;A26,'Client DB &amp; Bed Mgmt'!$V:$V,"&gt;="&amp;A26)&gt;0),SUMIFS('Client DB &amp; Bed Mgmt'!$I:$I,'Client DB &amp; Bed Mgmt'!$A:$A,B26,'Client DB &amp; Bed Mgmt'!$D:$D,"&lt;&gt;",'Client DB &amp; Bed Mgmt'!$U:$U,"&lt;="&amp;A26,'Client DB &amp; Bed Mgmt'!$V:$V,"&gt;="&amp;A26),"")</f>
        <v/>
      </c>
      <c r="Y26" s="189">
        <f>IF(AND(EDATE($B$4,4)&lt;=EOMONTH($B$5,0),COUNTIFS('Client DB &amp; Bed Mgmt'!$A:$A,B26,'Client DB &amp; Bed Mgmt'!$D:$D,"&lt;&gt;",'Client DB &amp; Bed Mgmt'!$U:$U,"&lt;="&amp;A26,'Client DB &amp; Bed Mgmt'!$V:$V,"&gt;="&amp;A26)&gt;0),SUMIFS('Client DB &amp; Bed Mgmt'!$J:$J,'Client DB &amp; Bed Mgmt'!$A:$A,B26,'Client DB &amp; Bed Mgmt'!$D:$D,"&lt;&gt;",'Client DB &amp; Bed Mgmt'!$U:$U,"&lt;="&amp;A26,'Client DB &amp; Bed Mgmt'!$V:$V,"&gt;="&amp;A26),"")</f>
        <v/>
      </c>
      <c r="Z26" s="192">
        <f>IF(AND(EDATE($B$4,4)&lt;=EOMONTH($B$5,0),COUNTIFS('Client DB &amp; Bed Mgmt'!$A:$A,B26,'Client DB &amp; Bed Mgmt'!$D:$D,"&lt;&gt;",'Client DB &amp; Bed Mgmt'!$U:$U,"&lt;="&amp;A26,'Client DB &amp; Bed Mgmt'!$V:$V,"&gt;="&amp;A26)&gt;0),SUMIFS('Client DB &amp; Bed Mgmt'!$K:$K,'Client DB &amp; Bed Mgmt'!$A:$A,B26,'Client DB &amp; Bed Mgmt'!$D:$D,"&lt;&gt;",'Client DB &amp; Bed Mgmt'!$U:$U,"&lt;="&amp;A26,'Client DB &amp; Bed Mgmt'!$V:$V,"&gt;="&amp;A26),"")</f>
        <v/>
      </c>
      <c r="AA26" s="82" t="n"/>
      <c r="AB26" s="82" t="n"/>
    </row>
    <row r="27" hidden="1" ht="14.25" customHeight="1" s="83">
      <c r="A27" s="177">
        <f>IF(EDATE($B$4,4)&lt;=EOMONTH($B$5,0),EDATE($B$4,4),"")</f>
        <v/>
      </c>
      <c r="B27" s="103">
        <f>IF(EDATE($B$4,4)&lt;=EOMONTH($B$5,0),"Dorm 2","")</f>
        <v/>
      </c>
      <c r="C27" s="170">
        <f>IF(AND(EDATE($B$4,4)&lt;=EOMONTH($B$5,0),COUNTIFS('Client DB &amp; Bed Mgmt'!$A:$A,B27,'Client DB &amp; Bed Mgmt'!$D:$D,"&lt;&gt;",'Client DB &amp; Bed Mgmt'!$U:$U,"&lt;="&amp;A27,'Client DB &amp; Bed Mgmt'!$V:$V,"&gt;="&amp;A27)&gt;0),IFERROR(INDEX('Settings &amp; Master Config'!$C$21:$C$23,MATCH(B27,'Settings &amp; Master Config'!$A$21:$A$23,0)),""),"")</f>
        <v/>
      </c>
      <c r="D27" s="170">
        <f>IF(AND(EDATE($B$4,4)&lt;=EOMONTH($B$5,0),COUNTIFS('Client DB &amp; Bed Mgmt'!$A:$A,B27,'Client DB &amp; Bed Mgmt'!$D:$D,"&lt;&gt;",'Client DB &amp; Bed Mgmt'!$U:$U,"&lt;="&amp;A27,'Client DB &amp; Bed Mgmt'!$V:$V,"&gt;="&amp;A27)&gt;0),IFERROR(INDEX('Settings &amp; Master Config'!$F$21:$F$23,MATCH(B27,'Settings &amp; Master Config'!$A$21:$A$23,0)),0),"")</f>
        <v/>
      </c>
      <c r="E27" s="130">
        <f>IF(AND(EDATE($B$4,4)&lt;=EOMONTH($B$5,0),COUNTIFS('Client DB &amp; Bed Mgmt'!$A:$A,B27,'Client DB &amp; Bed Mgmt'!$D:$D,"&lt;&gt;",'Client DB &amp; Bed Mgmt'!$U:$U,"&lt;="&amp;A27,'Client DB &amp; Bed Mgmt'!$V:$V,"&gt;="&amp;A27)&gt;0),$B$7*(1+$B$9)^(YEAR(A27)-YEAR($B$4)),"")</f>
        <v/>
      </c>
      <c r="F27" s="105">
        <f>IF(AND(EDATE($B$4,4)&lt;=EOMONTH($B$5,0),COUNTIFS('Client DB &amp; Bed Mgmt'!$A:$A,B27,'Client DB &amp; Bed Mgmt'!$D:$D,"&lt;&gt;",'Client DB &amp; Bed Mgmt'!$U:$U,"&lt;="&amp;A27,'Client DB &amp; Bed Mgmt'!$V:$V,"&gt;="&amp;A27)&gt;0),$B$8,"")</f>
        <v/>
      </c>
      <c r="G27" s="105">
        <f>IF(AND(EDATE($B$4,4)&lt;=EOMONTH($B$5,0),COUNTIFS('Client DB &amp; Bed Mgmt'!$A:$A,B27,'Client DB &amp; Bed Mgmt'!$D:$D,"&lt;&gt;",'Client DB &amp; Bed Mgmt'!$U:$U,"&lt;="&amp;A27,'Client DB &amp; Bed Mgmt'!$V:$V,"&gt;="&amp;A27)&gt;0),$B$9,"")</f>
        <v/>
      </c>
      <c r="H27" s="130">
        <f>IF(AND(EDATE($B$4,4)&lt;=EOMONTH($B$5,0),COUNTIFS('Client DB &amp; Bed Mgmt'!$A:$A,B27,'Client DB &amp; Bed Mgmt'!$D:$D,"&lt;&gt;",'Client DB &amp; Bed Mgmt'!$U:$U,"&lt;="&amp;A27,'Client DB &amp; Bed Mgmt'!$V:$V,"&gt;="&amp;A27)&gt;0),D27*E27,"")</f>
        <v/>
      </c>
      <c r="I27" s="189">
        <f>IF(AND(EDATE($B$4,4)&lt;=EOMONTH($B$5,0),COUNTIFS('Client DB &amp; Bed Mgmt'!$A:$A,B27,'Client DB &amp; Bed Mgmt'!$D:$D,"&lt;&gt;",'Client DB &amp; Bed Mgmt'!$U:$U,"&lt;="&amp;A27,'Client DB &amp; Bed Mgmt'!$V:$V,"&gt;="&amp;A27)&gt;0),SUM(X27:Z27),"")</f>
        <v/>
      </c>
      <c r="J27" s="189">
        <f>IF(AND(EDATE($B$4,4)&lt;=EOMONTH($B$5,0),COUNTIFS('Client DB &amp; Bed Mgmt'!$A:$A,B27,'Client DB &amp; Bed Mgmt'!$D:$D,"&lt;&gt;",'Client DB &amp; Bed Mgmt'!$U:$U,"&lt;="&amp;A27,'Client DB &amp; Bed Mgmt'!$V:$V,"&gt;="&amp;A27)&gt;0),D27*F27*E27,"")</f>
        <v/>
      </c>
      <c r="K27" s="190">
        <f>IF(AND(EDATE($B$4,4)&lt;=EOMONTH($B$5,0),COUNTIFS('Client DB &amp; Bed Mgmt'!$A:$A,B27,'Client DB &amp; Bed Mgmt'!$D:$D,"&lt;&gt;",'Client DB &amp; Bed Mgmt'!$U:$U,"&lt;="&amp;A27,'Client DB &amp; Bed Mgmt'!$V:$V,"&gt;="&amp;A27)&gt;0),75,"")</f>
        <v/>
      </c>
      <c r="L27" s="190">
        <f>IF(AND(EDATE($B$4,4)&lt;=EOMONTH($B$5,0),COUNTIFS('Client DB &amp; Bed Mgmt'!$A:$A,B27,'Client DB &amp; Bed Mgmt'!$D:$D,"&lt;&gt;",'Client DB &amp; Bed Mgmt'!$U:$U,"&lt;="&amp;A27,'Client DB &amp; Bed Mgmt'!$V:$V,"&gt;="&amp;A27)&gt;0),50,"")</f>
        <v/>
      </c>
      <c r="M27" s="190">
        <f>IF(AND(EDATE($B$4,4)&lt;=EOMONTH($B$5,0),COUNTIFS('Client DB &amp; Bed Mgmt'!$A:$A,B27,'Client DB &amp; Bed Mgmt'!$D:$D,"&lt;&gt;",'Client DB &amp; Bed Mgmt'!$U:$U,"&lt;="&amp;A27,'Client DB &amp; Bed Mgmt'!$V:$V,"&gt;="&amp;A27)&gt;0),150,"")</f>
        <v/>
      </c>
      <c r="N27" s="190">
        <f>IF(AND(EDATE($B$4,4)&lt;=EOMONTH($B$5,0),COUNTIFS('Client DB &amp; Bed Mgmt'!$A:$A,B27,'Client DB &amp; Bed Mgmt'!$D:$D,"&lt;&gt;",'Client DB &amp; Bed Mgmt'!$U:$U,"&lt;="&amp;A27,'Client DB &amp; Bed Mgmt'!$V:$V,"&gt;="&amp;A27)&gt;0),125,"")</f>
        <v/>
      </c>
      <c r="O27" s="190">
        <f>IF(AND(EDATE($B$4,4)&lt;=EOMONTH($B$5,0),COUNTIFS('Client DB &amp; Bed Mgmt'!$A:$A,B27,'Client DB &amp; Bed Mgmt'!$D:$D,"&lt;&gt;",'Client DB &amp; Bed Mgmt'!$U:$U,"&lt;="&amp;A27,'Client DB &amp; Bed Mgmt'!$V:$V,"&gt;="&amp;A27)&gt;0),60,"")</f>
        <v/>
      </c>
      <c r="P27" s="190">
        <f>IF(AND(EDATE($B$4,4)&lt;=EOMONTH($B$5,0),COUNTIFS('Client DB &amp; Bed Mgmt'!$A:$A,B27,'Client DB &amp; Bed Mgmt'!$D:$D,"&lt;&gt;",'Client DB &amp; Bed Mgmt'!$U:$U,"&lt;="&amp;A27,'Client DB &amp; Bed Mgmt'!$V:$V,"&gt;="&amp;A27)&gt;0),80,"")</f>
        <v/>
      </c>
      <c r="Q27" s="190">
        <f>IF(AND(EDATE($B$4,4)&lt;=EOMONTH($B$5,0),COUNTIFS('Client DB &amp; Bed Mgmt'!$A:$A,B27,'Client DB &amp; Bed Mgmt'!$D:$D,"&lt;&gt;",'Client DB &amp; Bed Mgmt'!$U:$U,"&lt;="&amp;A27,'Client DB &amp; Bed Mgmt'!$V:$V,"&gt;="&amp;A27)&gt;0),40,"")</f>
        <v/>
      </c>
      <c r="R27" s="189">
        <f>IF(AND(EDATE($B$4,4)&lt;=EOMONTH($B$5,0),COUNTIFS('Client DB &amp; Bed Mgmt'!$A:$A,B27,'Client DB &amp; Bed Mgmt'!$D:$D,"&lt;&gt;",'Client DB &amp; Bed Mgmt'!$U:$U,"&lt;="&amp;A27,'Client DB &amp; Bed Mgmt'!$V:$V,"&gt;="&amp;A27)&gt;0),IF(C27="Owned",0,2500),"")</f>
        <v/>
      </c>
      <c r="S27" s="189">
        <f>IF(AND(EDATE($B$4,4)&lt;=EOMONTH($B$5,0),COUNTIFS('Client DB &amp; Bed Mgmt'!$A:$A,B27,'Client DB &amp; Bed Mgmt'!$D:$D,"&lt;&gt;",'Client DB &amp; Bed Mgmt'!$U:$U,"&lt;="&amp;A27,'Client DB &amp; Bed Mgmt'!$V:$V,"&gt;="&amp;A27)&gt;0),SUM(K27:R27),"")</f>
        <v/>
      </c>
      <c r="T27" s="189">
        <f>IF(AND(EDATE($B$4,4)&lt;=EOMONTH($B$5,0),COUNTIFS('Client DB &amp; Bed Mgmt'!$A:$A,B27,'Client DB &amp; Bed Mgmt'!$D:$D,"&lt;&gt;",'Client DB &amp; Bed Mgmt'!$U:$U,"&lt;="&amp;A27,'Client DB &amp; Bed Mgmt'!$V:$V,"&gt;="&amp;A27)&gt;0),I27-S27,"")</f>
        <v/>
      </c>
      <c r="U27" s="105">
        <f>IF(AND(EDATE($B$4,4)&lt;=EOMONTH($B$5,0),COUNTIFS('Client DB &amp; Bed Mgmt'!$A:$A,B27,'Client DB &amp; Bed Mgmt'!$D:$D,"&lt;&gt;",'Client DB &amp; Bed Mgmt'!$U:$U,"&lt;="&amp;A27,'Client DB &amp; Bed Mgmt'!$V:$V,"&gt;="&amp;A27)&gt;0),IFERROR(T27/I27,0),"")</f>
        <v/>
      </c>
      <c r="V27" s="191">
        <f>IF(EDATE($B$4,4)&lt;=EOMONTH($B$5,0),COUNTIFS('Client DB &amp; Bed Mgmt'!$A:$A,B27,'Client DB &amp; Bed Mgmt'!$D:$D,"&lt;&gt;",'Client DB &amp; Bed Mgmt'!$U:$U,"&lt;="&amp;A27,'Client DB &amp; Bed Mgmt'!$V:$V,"&gt;="&amp;A27),"")</f>
        <v/>
      </c>
      <c r="W27" s="181">
        <f>IF(AND(EDATE($B$4,4)&lt;=EOMONTH($B$5,0),COUNTIFS('Client DB &amp; Bed Mgmt'!$A:$A,B27,'Client DB &amp; Bed Mgmt'!$D:$D,"&lt;&gt;",'Client DB &amp; Bed Mgmt'!$U:$U,"&lt;="&amp;A27,'Client DB &amp; Bed Mgmt'!$V:$V,"&gt;="&amp;A27)&gt;0),V27,"")</f>
        <v/>
      </c>
      <c r="X27" s="189">
        <f>IF(AND(EDATE($B$4,4)&lt;=EOMONTH($B$5,0),COUNTIFS('Client DB &amp; Bed Mgmt'!$A:$A,B27,'Client DB &amp; Bed Mgmt'!$D:$D,"&lt;&gt;",'Client DB &amp; Bed Mgmt'!$U:$U,"&lt;="&amp;A27,'Client DB &amp; Bed Mgmt'!$V:$V,"&gt;="&amp;A27)&gt;0),SUMIFS('Client DB &amp; Bed Mgmt'!$I:$I,'Client DB &amp; Bed Mgmt'!$A:$A,B27,'Client DB &amp; Bed Mgmt'!$D:$D,"&lt;&gt;",'Client DB &amp; Bed Mgmt'!$U:$U,"&lt;="&amp;A27,'Client DB &amp; Bed Mgmt'!$V:$V,"&gt;="&amp;A27),"")</f>
        <v/>
      </c>
      <c r="Y27" s="189">
        <f>IF(AND(EDATE($B$4,4)&lt;=EOMONTH($B$5,0),COUNTIFS('Client DB &amp; Bed Mgmt'!$A:$A,B27,'Client DB &amp; Bed Mgmt'!$D:$D,"&lt;&gt;",'Client DB &amp; Bed Mgmt'!$U:$U,"&lt;="&amp;A27,'Client DB &amp; Bed Mgmt'!$V:$V,"&gt;="&amp;A27)&gt;0),SUMIFS('Client DB &amp; Bed Mgmt'!$J:$J,'Client DB &amp; Bed Mgmt'!$A:$A,B27,'Client DB &amp; Bed Mgmt'!$D:$D,"&lt;&gt;",'Client DB &amp; Bed Mgmt'!$U:$U,"&lt;="&amp;A27,'Client DB &amp; Bed Mgmt'!$V:$V,"&gt;="&amp;A27),"")</f>
        <v/>
      </c>
      <c r="Z27" s="192">
        <f>IF(AND(EDATE($B$4,4)&lt;=EOMONTH($B$5,0),COUNTIFS('Client DB &amp; Bed Mgmt'!$A:$A,B27,'Client DB &amp; Bed Mgmt'!$D:$D,"&lt;&gt;",'Client DB &amp; Bed Mgmt'!$U:$U,"&lt;="&amp;A27,'Client DB &amp; Bed Mgmt'!$V:$V,"&gt;="&amp;A27)&gt;0),SUMIFS('Client DB &amp; Bed Mgmt'!$K:$K,'Client DB &amp; Bed Mgmt'!$A:$A,B27,'Client DB &amp; Bed Mgmt'!$D:$D,"&lt;&gt;",'Client DB &amp; Bed Mgmt'!$U:$U,"&lt;="&amp;A27,'Client DB &amp; Bed Mgmt'!$V:$V,"&gt;="&amp;A27),"")</f>
        <v/>
      </c>
      <c r="AA27" s="82" t="n"/>
      <c r="AB27" s="82" t="n"/>
    </row>
    <row r="28" hidden="1" ht="14.25" customHeight="1" s="83">
      <c r="A28" s="177">
        <f>IF(EDATE($B$4,4)&lt;=EOMONTH($B$5,0),EDATE($B$4,4),"")</f>
        <v/>
      </c>
      <c r="B28" s="103">
        <f>IF(EDATE($B$4,4)&lt;=EOMONTH($B$5,0),"Dorm 3","")</f>
        <v/>
      </c>
      <c r="C28" s="170">
        <f>IF(AND(EDATE($B$4,4)&lt;=EOMONTH($B$5,0),COUNTIFS('Client DB &amp; Bed Mgmt'!$A:$A,B28,'Client DB &amp; Bed Mgmt'!$D:$D,"&lt;&gt;",'Client DB &amp; Bed Mgmt'!$U:$U,"&lt;="&amp;A28,'Client DB &amp; Bed Mgmt'!$V:$V,"&gt;="&amp;A28)&gt;0),IFERROR(INDEX('Settings &amp; Master Config'!$C$21:$C$23,MATCH(B28,'Settings &amp; Master Config'!$A$21:$A$23,0)),""),"")</f>
        <v/>
      </c>
      <c r="D28" s="170">
        <f>IF(AND(EDATE($B$4,4)&lt;=EOMONTH($B$5,0),COUNTIFS('Client DB &amp; Bed Mgmt'!$A:$A,B28,'Client DB &amp; Bed Mgmt'!$D:$D,"&lt;&gt;",'Client DB &amp; Bed Mgmt'!$U:$U,"&lt;="&amp;A28,'Client DB &amp; Bed Mgmt'!$V:$V,"&gt;="&amp;A28)&gt;0),IFERROR(INDEX('Settings &amp; Master Config'!$F$21:$F$23,MATCH(B28,'Settings &amp; Master Config'!$A$21:$A$23,0)),0),"")</f>
        <v/>
      </c>
      <c r="E28" s="130">
        <f>IF(AND(EDATE($B$4,4)&lt;=EOMONTH($B$5,0),COUNTIFS('Client DB &amp; Bed Mgmt'!$A:$A,B28,'Client DB &amp; Bed Mgmt'!$D:$D,"&lt;&gt;",'Client DB &amp; Bed Mgmt'!$U:$U,"&lt;="&amp;A28,'Client DB &amp; Bed Mgmt'!$V:$V,"&gt;="&amp;A28)&gt;0),$B$7*(1+$B$9)^(YEAR(A28)-YEAR($B$4)),"")</f>
        <v/>
      </c>
      <c r="F28" s="105">
        <f>IF(AND(EDATE($B$4,4)&lt;=EOMONTH($B$5,0),COUNTIFS('Client DB &amp; Bed Mgmt'!$A:$A,B28,'Client DB &amp; Bed Mgmt'!$D:$D,"&lt;&gt;",'Client DB &amp; Bed Mgmt'!$U:$U,"&lt;="&amp;A28,'Client DB &amp; Bed Mgmt'!$V:$V,"&gt;="&amp;A28)&gt;0),$B$8,"")</f>
        <v/>
      </c>
      <c r="G28" s="105">
        <f>IF(AND(EDATE($B$4,4)&lt;=EOMONTH($B$5,0),COUNTIFS('Client DB &amp; Bed Mgmt'!$A:$A,B28,'Client DB &amp; Bed Mgmt'!$D:$D,"&lt;&gt;",'Client DB &amp; Bed Mgmt'!$U:$U,"&lt;="&amp;A28,'Client DB &amp; Bed Mgmt'!$V:$V,"&gt;="&amp;A28)&gt;0),$B$9,"")</f>
        <v/>
      </c>
      <c r="H28" s="130">
        <f>IF(AND(EDATE($B$4,4)&lt;=EOMONTH($B$5,0),COUNTIFS('Client DB &amp; Bed Mgmt'!$A:$A,B28,'Client DB &amp; Bed Mgmt'!$D:$D,"&lt;&gt;",'Client DB &amp; Bed Mgmt'!$U:$U,"&lt;="&amp;A28,'Client DB &amp; Bed Mgmt'!$V:$V,"&gt;="&amp;A28)&gt;0),D28*E28,"")</f>
        <v/>
      </c>
      <c r="I28" s="189">
        <f>IF(AND(EDATE($B$4,4)&lt;=EOMONTH($B$5,0),COUNTIFS('Client DB &amp; Bed Mgmt'!$A:$A,B28,'Client DB &amp; Bed Mgmt'!$D:$D,"&lt;&gt;",'Client DB &amp; Bed Mgmt'!$U:$U,"&lt;="&amp;A28,'Client DB &amp; Bed Mgmt'!$V:$V,"&gt;="&amp;A28)&gt;0),SUM(X28:Z28),"")</f>
        <v/>
      </c>
      <c r="J28" s="189">
        <f>IF(AND(EDATE($B$4,4)&lt;=EOMONTH($B$5,0),COUNTIFS('Client DB &amp; Bed Mgmt'!$A:$A,B28,'Client DB &amp; Bed Mgmt'!$D:$D,"&lt;&gt;",'Client DB &amp; Bed Mgmt'!$U:$U,"&lt;="&amp;A28,'Client DB &amp; Bed Mgmt'!$V:$V,"&gt;="&amp;A28)&gt;0),D28*F28*E28,"")</f>
        <v/>
      </c>
      <c r="K28" s="190">
        <f>IF(AND(EDATE($B$4,4)&lt;=EOMONTH($B$5,0),COUNTIFS('Client DB &amp; Bed Mgmt'!$A:$A,B28,'Client DB &amp; Bed Mgmt'!$D:$D,"&lt;&gt;",'Client DB &amp; Bed Mgmt'!$U:$U,"&lt;="&amp;A28,'Client DB &amp; Bed Mgmt'!$V:$V,"&gt;="&amp;A28)&gt;0),75,"")</f>
        <v/>
      </c>
      <c r="L28" s="190">
        <f>IF(AND(EDATE($B$4,4)&lt;=EOMONTH($B$5,0),COUNTIFS('Client DB &amp; Bed Mgmt'!$A:$A,B28,'Client DB &amp; Bed Mgmt'!$D:$D,"&lt;&gt;",'Client DB &amp; Bed Mgmt'!$U:$U,"&lt;="&amp;A28,'Client DB &amp; Bed Mgmt'!$V:$V,"&gt;="&amp;A28)&gt;0),50,"")</f>
        <v/>
      </c>
      <c r="M28" s="190">
        <f>IF(AND(EDATE($B$4,4)&lt;=EOMONTH($B$5,0),COUNTIFS('Client DB &amp; Bed Mgmt'!$A:$A,B28,'Client DB &amp; Bed Mgmt'!$D:$D,"&lt;&gt;",'Client DB &amp; Bed Mgmt'!$U:$U,"&lt;="&amp;A28,'Client DB &amp; Bed Mgmt'!$V:$V,"&gt;="&amp;A28)&gt;0),150,"")</f>
        <v/>
      </c>
      <c r="N28" s="190">
        <f>IF(AND(EDATE($B$4,4)&lt;=EOMONTH($B$5,0),COUNTIFS('Client DB &amp; Bed Mgmt'!$A:$A,B28,'Client DB &amp; Bed Mgmt'!$D:$D,"&lt;&gt;",'Client DB &amp; Bed Mgmt'!$U:$U,"&lt;="&amp;A28,'Client DB &amp; Bed Mgmt'!$V:$V,"&gt;="&amp;A28)&gt;0),125,"")</f>
        <v/>
      </c>
      <c r="O28" s="190">
        <f>IF(AND(EDATE($B$4,4)&lt;=EOMONTH($B$5,0),COUNTIFS('Client DB &amp; Bed Mgmt'!$A:$A,B28,'Client DB &amp; Bed Mgmt'!$D:$D,"&lt;&gt;",'Client DB &amp; Bed Mgmt'!$U:$U,"&lt;="&amp;A28,'Client DB &amp; Bed Mgmt'!$V:$V,"&gt;="&amp;A28)&gt;0),60,"")</f>
        <v/>
      </c>
      <c r="P28" s="190">
        <f>IF(AND(EDATE($B$4,4)&lt;=EOMONTH($B$5,0),COUNTIFS('Client DB &amp; Bed Mgmt'!$A:$A,B28,'Client DB &amp; Bed Mgmt'!$D:$D,"&lt;&gt;",'Client DB &amp; Bed Mgmt'!$U:$U,"&lt;="&amp;A28,'Client DB &amp; Bed Mgmt'!$V:$V,"&gt;="&amp;A28)&gt;0),80,"")</f>
        <v/>
      </c>
      <c r="Q28" s="190">
        <f>IF(AND(EDATE($B$4,4)&lt;=EOMONTH($B$5,0),COUNTIFS('Client DB &amp; Bed Mgmt'!$A:$A,B28,'Client DB &amp; Bed Mgmt'!$D:$D,"&lt;&gt;",'Client DB &amp; Bed Mgmt'!$U:$U,"&lt;="&amp;A28,'Client DB &amp; Bed Mgmt'!$V:$V,"&gt;="&amp;A28)&gt;0),40,"")</f>
        <v/>
      </c>
      <c r="R28" s="189">
        <f>IF(AND(EDATE($B$4,4)&lt;=EOMONTH($B$5,0),COUNTIFS('Client DB &amp; Bed Mgmt'!$A:$A,B28,'Client DB &amp; Bed Mgmt'!$D:$D,"&lt;&gt;",'Client DB &amp; Bed Mgmt'!$U:$U,"&lt;="&amp;A28,'Client DB &amp; Bed Mgmt'!$V:$V,"&gt;="&amp;A28)&gt;0),IF(C28="Owned",0,2500),"")</f>
        <v/>
      </c>
      <c r="S28" s="189">
        <f>IF(AND(EDATE($B$4,4)&lt;=EOMONTH($B$5,0),COUNTIFS('Client DB &amp; Bed Mgmt'!$A:$A,B28,'Client DB &amp; Bed Mgmt'!$D:$D,"&lt;&gt;",'Client DB &amp; Bed Mgmt'!$U:$U,"&lt;="&amp;A28,'Client DB &amp; Bed Mgmt'!$V:$V,"&gt;="&amp;A28)&gt;0),SUM(K28:R28),"")</f>
        <v/>
      </c>
      <c r="T28" s="189">
        <f>IF(AND(EDATE($B$4,4)&lt;=EOMONTH($B$5,0),COUNTIFS('Client DB &amp; Bed Mgmt'!$A:$A,B28,'Client DB &amp; Bed Mgmt'!$D:$D,"&lt;&gt;",'Client DB &amp; Bed Mgmt'!$U:$U,"&lt;="&amp;A28,'Client DB &amp; Bed Mgmt'!$V:$V,"&gt;="&amp;A28)&gt;0),I28-S28,"")</f>
        <v/>
      </c>
      <c r="U28" s="105">
        <f>IF(AND(EDATE($B$4,4)&lt;=EOMONTH($B$5,0),COUNTIFS('Client DB &amp; Bed Mgmt'!$A:$A,B28,'Client DB &amp; Bed Mgmt'!$D:$D,"&lt;&gt;",'Client DB &amp; Bed Mgmt'!$U:$U,"&lt;="&amp;A28,'Client DB &amp; Bed Mgmt'!$V:$V,"&gt;="&amp;A28)&gt;0),IFERROR(T28/I28,0),"")</f>
        <v/>
      </c>
      <c r="V28" s="191">
        <f>IF(EDATE($B$4,4)&lt;=EOMONTH($B$5,0),COUNTIFS('Client DB &amp; Bed Mgmt'!$A:$A,B28,'Client DB &amp; Bed Mgmt'!$D:$D,"&lt;&gt;",'Client DB &amp; Bed Mgmt'!$U:$U,"&lt;="&amp;A28,'Client DB &amp; Bed Mgmt'!$V:$V,"&gt;="&amp;A28),"")</f>
        <v/>
      </c>
      <c r="W28" s="181">
        <f>IF(AND(EDATE($B$4,4)&lt;=EOMONTH($B$5,0),COUNTIFS('Client DB &amp; Bed Mgmt'!$A:$A,B28,'Client DB &amp; Bed Mgmt'!$D:$D,"&lt;&gt;",'Client DB &amp; Bed Mgmt'!$U:$U,"&lt;="&amp;A28,'Client DB &amp; Bed Mgmt'!$V:$V,"&gt;="&amp;A28)&gt;0),V28,"")</f>
        <v/>
      </c>
      <c r="X28" s="189">
        <f>IF(AND(EDATE($B$4,4)&lt;=EOMONTH($B$5,0),COUNTIFS('Client DB &amp; Bed Mgmt'!$A:$A,B28,'Client DB &amp; Bed Mgmt'!$D:$D,"&lt;&gt;",'Client DB &amp; Bed Mgmt'!$U:$U,"&lt;="&amp;A28,'Client DB &amp; Bed Mgmt'!$V:$V,"&gt;="&amp;A28)&gt;0),SUMIFS('Client DB &amp; Bed Mgmt'!$I:$I,'Client DB &amp; Bed Mgmt'!$A:$A,B28,'Client DB &amp; Bed Mgmt'!$D:$D,"&lt;&gt;",'Client DB &amp; Bed Mgmt'!$U:$U,"&lt;="&amp;A28,'Client DB &amp; Bed Mgmt'!$V:$V,"&gt;="&amp;A28),"")</f>
        <v/>
      </c>
      <c r="Y28" s="189">
        <f>IF(AND(EDATE($B$4,4)&lt;=EOMONTH($B$5,0),COUNTIFS('Client DB &amp; Bed Mgmt'!$A:$A,B28,'Client DB &amp; Bed Mgmt'!$D:$D,"&lt;&gt;",'Client DB &amp; Bed Mgmt'!$U:$U,"&lt;="&amp;A28,'Client DB &amp; Bed Mgmt'!$V:$V,"&gt;="&amp;A28)&gt;0),SUMIFS('Client DB &amp; Bed Mgmt'!$J:$J,'Client DB &amp; Bed Mgmt'!$A:$A,B28,'Client DB &amp; Bed Mgmt'!$D:$D,"&lt;&gt;",'Client DB &amp; Bed Mgmt'!$U:$U,"&lt;="&amp;A28,'Client DB &amp; Bed Mgmt'!$V:$V,"&gt;="&amp;A28),"")</f>
        <v/>
      </c>
      <c r="Z28" s="192">
        <f>IF(AND(EDATE($B$4,4)&lt;=EOMONTH($B$5,0),COUNTIFS('Client DB &amp; Bed Mgmt'!$A:$A,B28,'Client DB &amp; Bed Mgmt'!$D:$D,"&lt;&gt;",'Client DB &amp; Bed Mgmt'!$U:$U,"&lt;="&amp;A28,'Client DB &amp; Bed Mgmt'!$V:$V,"&gt;="&amp;A28)&gt;0),SUMIFS('Client DB &amp; Bed Mgmt'!$K:$K,'Client DB &amp; Bed Mgmt'!$A:$A,B28,'Client DB &amp; Bed Mgmt'!$D:$D,"&lt;&gt;",'Client DB &amp; Bed Mgmt'!$U:$U,"&lt;="&amp;A28,'Client DB &amp; Bed Mgmt'!$V:$V,"&gt;="&amp;A28),"")</f>
        <v/>
      </c>
      <c r="AA28" s="82" t="n"/>
      <c r="AB28" s="82" t="n"/>
    </row>
    <row r="29" ht="14.25" customHeight="1" s="83">
      <c r="A29" s="177">
        <f>IF(EDATE($B$4,5)&lt;=EOMONTH($B$5,0),EDATE($B$4,5),"")</f>
        <v/>
      </c>
      <c r="B29" s="103">
        <f>IF(EDATE($B$4,5)&lt;=EOMONTH($B$5,0),"Dorm 1","")</f>
        <v/>
      </c>
      <c r="C29" s="170">
        <f>IF(AND(EDATE($B$4,5)&lt;=EOMONTH($B$5,0),COUNTIFS('Client DB &amp; Bed Mgmt'!$A:$A,B29,'Client DB &amp; Bed Mgmt'!$D:$D,"&lt;&gt;",'Client DB &amp; Bed Mgmt'!$U:$U,"&lt;="&amp;A29,'Client DB &amp; Bed Mgmt'!$V:$V,"&gt;="&amp;A29)&gt;0),IFERROR(INDEX('Settings &amp; Master Config'!$C$21:$C$23,MATCH(B29,'Settings &amp; Master Config'!$A$21:$A$23,0)),""),"")</f>
        <v/>
      </c>
      <c r="D29" s="170">
        <f>IF(AND(EDATE($B$4,5)&lt;=EOMONTH($B$5,0),COUNTIFS('Client DB &amp; Bed Mgmt'!$A:$A,B29,'Client DB &amp; Bed Mgmt'!$D:$D,"&lt;&gt;",'Client DB &amp; Bed Mgmt'!$U:$U,"&lt;="&amp;A29,'Client DB &amp; Bed Mgmt'!$V:$V,"&gt;="&amp;A29)&gt;0),IFERROR(INDEX('Settings &amp; Master Config'!$F$21:$F$23,MATCH(B29,'Settings &amp; Master Config'!$A$21:$A$23,0)),0),"")</f>
        <v/>
      </c>
      <c r="E29" s="130">
        <f>IF(AND(EDATE($B$4,5)&lt;=EOMONTH($B$5,0),COUNTIFS('Client DB &amp; Bed Mgmt'!$A:$A,B29,'Client DB &amp; Bed Mgmt'!$D:$D,"&lt;&gt;",'Client DB &amp; Bed Mgmt'!$U:$U,"&lt;="&amp;A29,'Client DB &amp; Bed Mgmt'!$V:$V,"&gt;="&amp;A29)&gt;0),$B$7*(1+$B$9)^(YEAR(A29)-YEAR($B$4)),"")</f>
        <v/>
      </c>
      <c r="F29" s="105">
        <f>IF(AND(EDATE($B$4,5)&lt;=EOMONTH($B$5,0),COUNTIFS('Client DB &amp; Bed Mgmt'!$A:$A,B29,'Client DB &amp; Bed Mgmt'!$D:$D,"&lt;&gt;",'Client DB &amp; Bed Mgmt'!$U:$U,"&lt;="&amp;A29,'Client DB &amp; Bed Mgmt'!$V:$V,"&gt;="&amp;A29)&gt;0),$B$8,"")</f>
        <v/>
      </c>
      <c r="G29" s="105">
        <f>IF(AND(EDATE($B$4,5)&lt;=EOMONTH($B$5,0),COUNTIFS('Client DB &amp; Bed Mgmt'!$A:$A,B29,'Client DB &amp; Bed Mgmt'!$D:$D,"&lt;&gt;",'Client DB &amp; Bed Mgmt'!$U:$U,"&lt;="&amp;A29,'Client DB &amp; Bed Mgmt'!$V:$V,"&gt;="&amp;A29)&gt;0),$B$9,"")</f>
        <v/>
      </c>
      <c r="H29" s="130">
        <f>IF(AND(EDATE($B$4,5)&lt;=EOMONTH($B$5,0),COUNTIFS('Client DB &amp; Bed Mgmt'!$A:$A,B29,'Client DB &amp; Bed Mgmt'!$D:$D,"&lt;&gt;",'Client DB &amp; Bed Mgmt'!$U:$U,"&lt;="&amp;A29,'Client DB &amp; Bed Mgmt'!$V:$V,"&gt;="&amp;A29)&gt;0),D29*E29,"")</f>
        <v/>
      </c>
      <c r="I29" s="189">
        <f>IF(AND(EDATE($B$4,5)&lt;=EOMONTH($B$5,0),COUNTIFS('Client DB &amp; Bed Mgmt'!$A:$A,B29,'Client DB &amp; Bed Mgmt'!$D:$D,"&lt;&gt;",'Client DB &amp; Bed Mgmt'!$U:$U,"&lt;="&amp;A29,'Client DB &amp; Bed Mgmt'!$V:$V,"&gt;="&amp;A29)&gt;0),SUM(X29:Z29),"")</f>
        <v/>
      </c>
      <c r="J29" s="189">
        <f>IF(AND(EDATE($B$4,5)&lt;=EOMONTH($B$5,0),COUNTIFS('Client DB &amp; Bed Mgmt'!$A:$A,B29,'Client DB &amp; Bed Mgmt'!$D:$D,"&lt;&gt;",'Client DB &amp; Bed Mgmt'!$U:$U,"&lt;="&amp;A29,'Client DB &amp; Bed Mgmt'!$V:$V,"&gt;="&amp;A29)&gt;0),D29*F29*E29,"")</f>
        <v/>
      </c>
      <c r="K29" s="190">
        <f>IF(AND(EDATE($B$4,5)&lt;=EOMONTH($B$5,0),COUNTIFS('Client DB &amp; Bed Mgmt'!$A:$A,B29,'Client DB &amp; Bed Mgmt'!$D:$D,"&lt;&gt;",'Client DB &amp; Bed Mgmt'!$U:$U,"&lt;="&amp;A29,'Client DB &amp; Bed Mgmt'!$V:$V,"&gt;="&amp;A29)&gt;0),75,"")</f>
        <v/>
      </c>
      <c r="L29" s="190">
        <f>IF(AND(EDATE($B$4,5)&lt;=EOMONTH($B$5,0),COUNTIFS('Client DB &amp; Bed Mgmt'!$A:$A,B29,'Client DB &amp; Bed Mgmt'!$D:$D,"&lt;&gt;",'Client DB &amp; Bed Mgmt'!$U:$U,"&lt;="&amp;A29,'Client DB &amp; Bed Mgmt'!$V:$V,"&gt;="&amp;A29)&gt;0),50,"")</f>
        <v/>
      </c>
      <c r="M29" s="190">
        <f>IF(AND(EDATE($B$4,5)&lt;=EOMONTH($B$5,0),COUNTIFS('Client DB &amp; Bed Mgmt'!$A:$A,B29,'Client DB &amp; Bed Mgmt'!$D:$D,"&lt;&gt;",'Client DB &amp; Bed Mgmt'!$U:$U,"&lt;="&amp;A29,'Client DB &amp; Bed Mgmt'!$V:$V,"&gt;="&amp;A29)&gt;0),150,"")</f>
        <v/>
      </c>
      <c r="N29" s="190">
        <f>IF(AND(EDATE($B$4,5)&lt;=EOMONTH($B$5,0),COUNTIFS('Client DB &amp; Bed Mgmt'!$A:$A,B29,'Client DB &amp; Bed Mgmt'!$D:$D,"&lt;&gt;",'Client DB &amp; Bed Mgmt'!$U:$U,"&lt;="&amp;A29,'Client DB &amp; Bed Mgmt'!$V:$V,"&gt;="&amp;A29)&gt;0),125,"")</f>
        <v/>
      </c>
      <c r="O29" s="190">
        <f>IF(AND(EDATE($B$4,5)&lt;=EOMONTH($B$5,0),COUNTIFS('Client DB &amp; Bed Mgmt'!$A:$A,B29,'Client DB &amp; Bed Mgmt'!$D:$D,"&lt;&gt;",'Client DB &amp; Bed Mgmt'!$U:$U,"&lt;="&amp;A29,'Client DB &amp; Bed Mgmt'!$V:$V,"&gt;="&amp;A29)&gt;0),60,"")</f>
        <v/>
      </c>
      <c r="P29" s="190">
        <f>IF(AND(EDATE($B$4,5)&lt;=EOMONTH($B$5,0),COUNTIFS('Client DB &amp; Bed Mgmt'!$A:$A,B29,'Client DB &amp; Bed Mgmt'!$D:$D,"&lt;&gt;",'Client DB &amp; Bed Mgmt'!$U:$U,"&lt;="&amp;A29,'Client DB &amp; Bed Mgmt'!$V:$V,"&gt;="&amp;A29)&gt;0),80,"")</f>
        <v/>
      </c>
      <c r="Q29" s="190">
        <f>IF(AND(EDATE($B$4,5)&lt;=EOMONTH($B$5,0),COUNTIFS('Client DB &amp; Bed Mgmt'!$A:$A,B29,'Client DB &amp; Bed Mgmt'!$D:$D,"&lt;&gt;",'Client DB &amp; Bed Mgmt'!$U:$U,"&lt;="&amp;A29,'Client DB &amp; Bed Mgmt'!$V:$V,"&gt;="&amp;A29)&gt;0),40,"")</f>
        <v/>
      </c>
      <c r="R29" s="189">
        <f>IF(AND(EDATE($B$4,5)&lt;=EOMONTH($B$5,0),COUNTIFS('Client DB &amp; Bed Mgmt'!$A:$A,B29,'Client DB &amp; Bed Mgmt'!$D:$D,"&lt;&gt;",'Client DB &amp; Bed Mgmt'!$U:$U,"&lt;="&amp;A29,'Client DB &amp; Bed Mgmt'!$V:$V,"&gt;="&amp;A29)&gt;0),IF(C29="Owned",0,2500),"")</f>
        <v/>
      </c>
      <c r="S29" s="189">
        <f>IF(AND(EDATE($B$4,5)&lt;=EOMONTH($B$5,0),COUNTIFS('Client DB &amp; Bed Mgmt'!$A:$A,B29,'Client DB &amp; Bed Mgmt'!$D:$D,"&lt;&gt;",'Client DB &amp; Bed Mgmt'!$U:$U,"&lt;="&amp;A29,'Client DB &amp; Bed Mgmt'!$V:$V,"&gt;="&amp;A29)&gt;0),SUM(K29:R29),"")</f>
        <v/>
      </c>
      <c r="T29" s="189">
        <f>IF(AND(EDATE($B$4,5)&lt;=EOMONTH($B$5,0),COUNTIFS('Client DB &amp; Bed Mgmt'!$A:$A,B29,'Client DB &amp; Bed Mgmt'!$D:$D,"&lt;&gt;",'Client DB &amp; Bed Mgmt'!$U:$U,"&lt;="&amp;A29,'Client DB &amp; Bed Mgmt'!$V:$V,"&gt;="&amp;A29)&gt;0),I29-S29,"")</f>
        <v/>
      </c>
      <c r="U29" s="105">
        <f>IF(AND(EDATE($B$4,5)&lt;=EOMONTH($B$5,0),COUNTIFS('Client DB &amp; Bed Mgmt'!$A:$A,B29,'Client DB &amp; Bed Mgmt'!$D:$D,"&lt;&gt;",'Client DB &amp; Bed Mgmt'!$U:$U,"&lt;="&amp;A29,'Client DB &amp; Bed Mgmt'!$V:$V,"&gt;="&amp;A29)&gt;0),IFERROR(T29/I29,0),"")</f>
        <v/>
      </c>
      <c r="V29" s="191">
        <f>IF(EDATE($B$4,5)&lt;=EOMONTH($B$5,0),COUNTIFS('Client DB &amp; Bed Mgmt'!$A:$A,B29,'Client DB &amp; Bed Mgmt'!$D:$D,"&lt;&gt;",'Client DB &amp; Bed Mgmt'!$U:$U,"&lt;="&amp;A29,'Client DB &amp; Bed Mgmt'!$V:$V,"&gt;="&amp;A29),"")</f>
        <v/>
      </c>
      <c r="W29" s="181">
        <f>IF(AND(EDATE($B$4,5)&lt;=EOMONTH($B$5,0),COUNTIFS('Client DB &amp; Bed Mgmt'!$A:$A,B29,'Client DB &amp; Bed Mgmt'!$D:$D,"&lt;&gt;",'Client DB &amp; Bed Mgmt'!$U:$U,"&lt;="&amp;A29,'Client DB &amp; Bed Mgmt'!$V:$V,"&gt;="&amp;A29)&gt;0),V29,"")</f>
        <v/>
      </c>
      <c r="X29" s="189">
        <f>IF(AND(EDATE($B$4,5)&lt;=EOMONTH($B$5,0),COUNTIFS('Client DB &amp; Bed Mgmt'!$A:$A,B29,'Client DB &amp; Bed Mgmt'!$D:$D,"&lt;&gt;",'Client DB &amp; Bed Mgmt'!$U:$U,"&lt;="&amp;A29,'Client DB &amp; Bed Mgmt'!$V:$V,"&gt;="&amp;A29)&gt;0),SUMIFS('Client DB &amp; Bed Mgmt'!$I:$I,'Client DB &amp; Bed Mgmt'!$A:$A,B29,'Client DB &amp; Bed Mgmt'!$D:$D,"&lt;&gt;",'Client DB &amp; Bed Mgmt'!$U:$U,"&lt;="&amp;A29,'Client DB &amp; Bed Mgmt'!$V:$V,"&gt;="&amp;A29),"")</f>
        <v/>
      </c>
      <c r="Y29" s="189">
        <f>IF(AND(EDATE($B$4,5)&lt;=EOMONTH($B$5,0),COUNTIFS('Client DB &amp; Bed Mgmt'!$A:$A,B29,'Client DB &amp; Bed Mgmt'!$D:$D,"&lt;&gt;",'Client DB &amp; Bed Mgmt'!$U:$U,"&lt;="&amp;A29,'Client DB &amp; Bed Mgmt'!$V:$V,"&gt;="&amp;A29)&gt;0),SUMIFS('Client DB &amp; Bed Mgmt'!$J:$J,'Client DB &amp; Bed Mgmt'!$A:$A,B29,'Client DB &amp; Bed Mgmt'!$D:$D,"&lt;&gt;",'Client DB &amp; Bed Mgmt'!$U:$U,"&lt;="&amp;A29,'Client DB &amp; Bed Mgmt'!$V:$V,"&gt;="&amp;A29),"")</f>
        <v/>
      </c>
      <c r="Z29" s="192">
        <f>IF(AND(EDATE($B$4,5)&lt;=EOMONTH($B$5,0),COUNTIFS('Client DB &amp; Bed Mgmt'!$A:$A,B29,'Client DB &amp; Bed Mgmt'!$D:$D,"&lt;&gt;",'Client DB &amp; Bed Mgmt'!$U:$U,"&lt;="&amp;A29,'Client DB &amp; Bed Mgmt'!$V:$V,"&gt;="&amp;A29)&gt;0),SUMIFS('Client DB &amp; Bed Mgmt'!$K:$K,'Client DB &amp; Bed Mgmt'!$A:$A,B29,'Client DB &amp; Bed Mgmt'!$D:$D,"&lt;&gt;",'Client DB &amp; Bed Mgmt'!$U:$U,"&lt;="&amp;A29,'Client DB &amp; Bed Mgmt'!$V:$V,"&gt;="&amp;A29),"")</f>
        <v/>
      </c>
      <c r="AA29" s="82" t="n"/>
      <c r="AB29" s="82" t="n"/>
    </row>
    <row r="30" hidden="1" ht="14.25" customHeight="1" s="83">
      <c r="A30" s="177">
        <f>IF(EDATE($B$4,5)&lt;=EOMONTH($B$5,0),EDATE($B$4,5),"")</f>
        <v/>
      </c>
      <c r="B30" s="103">
        <f>IF(EDATE($B$4,5)&lt;=EOMONTH($B$5,0),"Dorm 2","")</f>
        <v/>
      </c>
      <c r="C30" s="170">
        <f>IF(AND(EDATE($B$4,5)&lt;=EOMONTH($B$5,0),COUNTIFS('Client DB &amp; Bed Mgmt'!$A:$A,B30,'Client DB &amp; Bed Mgmt'!$D:$D,"&lt;&gt;",'Client DB &amp; Bed Mgmt'!$U:$U,"&lt;="&amp;A30,'Client DB &amp; Bed Mgmt'!$V:$V,"&gt;="&amp;A30)&gt;0),IFERROR(INDEX('Settings &amp; Master Config'!$C$21:$C$23,MATCH(B30,'Settings &amp; Master Config'!$A$21:$A$23,0)),""),"")</f>
        <v/>
      </c>
      <c r="D30" s="170">
        <f>IF(AND(EDATE($B$4,5)&lt;=EOMONTH($B$5,0),COUNTIFS('Client DB &amp; Bed Mgmt'!$A:$A,B30,'Client DB &amp; Bed Mgmt'!$D:$D,"&lt;&gt;",'Client DB &amp; Bed Mgmt'!$U:$U,"&lt;="&amp;A30,'Client DB &amp; Bed Mgmt'!$V:$V,"&gt;="&amp;A30)&gt;0),IFERROR(INDEX('Settings &amp; Master Config'!$F$21:$F$23,MATCH(B30,'Settings &amp; Master Config'!$A$21:$A$23,0)),0),"")</f>
        <v/>
      </c>
      <c r="E30" s="130">
        <f>IF(AND(EDATE($B$4,5)&lt;=EOMONTH($B$5,0),COUNTIFS('Client DB &amp; Bed Mgmt'!$A:$A,B30,'Client DB &amp; Bed Mgmt'!$D:$D,"&lt;&gt;",'Client DB &amp; Bed Mgmt'!$U:$U,"&lt;="&amp;A30,'Client DB &amp; Bed Mgmt'!$V:$V,"&gt;="&amp;A30)&gt;0),$B$7*(1+$B$9)^(YEAR(A30)-YEAR($B$4)),"")</f>
        <v/>
      </c>
      <c r="F30" s="105">
        <f>IF(AND(EDATE($B$4,5)&lt;=EOMONTH($B$5,0),COUNTIFS('Client DB &amp; Bed Mgmt'!$A:$A,B30,'Client DB &amp; Bed Mgmt'!$D:$D,"&lt;&gt;",'Client DB &amp; Bed Mgmt'!$U:$U,"&lt;="&amp;A30,'Client DB &amp; Bed Mgmt'!$V:$V,"&gt;="&amp;A30)&gt;0),$B$8,"")</f>
        <v/>
      </c>
      <c r="G30" s="105">
        <f>IF(AND(EDATE($B$4,5)&lt;=EOMONTH($B$5,0),COUNTIFS('Client DB &amp; Bed Mgmt'!$A:$A,B30,'Client DB &amp; Bed Mgmt'!$D:$D,"&lt;&gt;",'Client DB &amp; Bed Mgmt'!$U:$U,"&lt;="&amp;A30,'Client DB &amp; Bed Mgmt'!$V:$V,"&gt;="&amp;A30)&gt;0),$B$9,"")</f>
        <v/>
      </c>
      <c r="H30" s="130">
        <f>IF(AND(EDATE($B$4,5)&lt;=EOMONTH($B$5,0),COUNTIFS('Client DB &amp; Bed Mgmt'!$A:$A,B30,'Client DB &amp; Bed Mgmt'!$D:$D,"&lt;&gt;",'Client DB &amp; Bed Mgmt'!$U:$U,"&lt;="&amp;A30,'Client DB &amp; Bed Mgmt'!$V:$V,"&gt;="&amp;A30)&gt;0),D30*E30,"")</f>
        <v/>
      </c>
      <c r="I30" s="189">
        <f>IF(AND(EDATE($B$4,5)&lt;=EOMONTH($B$5,0),COUNTIFS('Client DB &amp; Bed Mgmt'!$A:$A,B30,'Client DB &amp; Bed Mgmt'!$D:$D,"&lt;&gt;",'Client DB &amp; Bed Mgmt'!$U:$U,"&lt;="&amp;A30,'Client DB &amp; Bed Mgmt'!$V:$V,"&gt;="&amp;A30)&gt;0),SUM(X30:Z30),"")</f>
        <v/>
      </c>
      <c r="J30" s="189">
        <f>IF(AND(EDATE($B$4,5)&lt;=EOMONTH($B$5,0),COUNTIFS('Client DB &amp; Bed Mgmt'!$A:$A,B30,'Client DB &amp; Bed Mgmt'!$D:$D,"&lt;&gt;",'Client DB &amp; Bed Mgmt'!$U:$U,"&lt;="&amp;A30,'Client DB &amp; Bed Mgmt'!$V:$V,"&gt;="&amp;A30)&gt;0),D30*F30*E30,"")</f>
        <v/>
      </c>
      <c r="K30" s="190">
        <f>IF(AND(EDATE($B$4,5)&lt;=EOMONTH($B$5,0),COUNTIFS('Client DB &amp; Bed Mgmt'!$A:$A,B30,'Client DB &amp; Bed Mgmt'!$D:$D,"&lt;&gt;",'Client DB &amp; Bed Mgmt'!$U:$U,"&lt;="&amp;A30,'Client DB &amp; Bed Mgmt'!$V:$V,"&gt;="&amp;A30)&gt;0),75,"")</f>
        <v/>
      </c>
      <c r="L30" s="190">
        <f>IF(AND(EDATE($B$4,5)&lt;=EOMONTH($B$5,0),COUNTIFS('Client DB &amp; Bed Mgmt'!$A:$A,B30,'Client DB &amp; Bed Mgmt'!$D:$D,"&lt;&gt;",'Client DB &amp; Bed Mgmt'!$U:$U,"&lt;="&amp;A30,'Client DB &amp; Bed Mgmt'!$V:$V,"&gt;="&amp;A30)&gt;0),50,"")</f>
        <v/>
      </c>
      <c r="M30" s="190">
        <f>IF(AND(EDATE($B$4,5)&lt;=EOMONTH($B$5,0),COUNTIFS('Client DB &amp; Bed Mgmt'!$A:$A,B30,'Client DB &amp; Bed Mgmt'!$D:$D,"&lt;&gt;",'Client DB &amp; Bed Mgmt'!$U:$U,"&lt;="&amp;A30,'Client DB &amp; Bed Mgmt'!$V:$V,"&gt;="&amp;A30)&gt;0),150,"")</f>
        <v/>
      </c>
      <c r="N30" s="190">
        <f>IF(AND(EDATE($B$4,5)&lt;=EOMONTH($B$5,0),COUNTIFS('Client DB &amp; Bed Mgmt'!$A:$A,B30,'Client DB &amp; Bed Mgmt'!$D:$D,"&lt;&gt;",'Client DB &amp; Bed Mgmt'!$U:$U,"&lt;="&amp;A30,'Client DB &amp; Bed Mgmt'!$V:$V,"&gt;="&amp;A30)&gt;0),125,"")</f>
        <v/>
      </c>
      <c r="O30" s="190">
        <f>IF(AND(EDATE($B$4,5)&lt;=EOMONTH($B$5,0),COUNTIFS('Client DB &amp; Bed Mgmt'!$A:$A,B30,'Client DB &amp; Bed Mgmt'!$D:$D,"&lt;&gt;",'Client DB &amp; Bed Mgmt'!$U:$U,"&lt;="&amp;A30,'Client DB &amp; Bed Mgmt'!$V:$V,"&gt;="&amp;A30)&gt;0),60,"")</f>
        <v/>
      </c>
      <c r="P30" s="190">
        <f>IF(AND(EDATE($B$4,5)&lt;=EOMONTH($B$5,0),COUNTIFS('Client DB &amp; Bed Mgmt'!$A:$A,B30,'Client DB &amp; Bed Mgmt'!$D:$D,"&lt;&gt;",'Client DB &amp; Bed Mgmt'!$U:$U,"&lt;="&amp;A30,'Client DB &amp; Bed Mgmt'!$V:$V,"&gt;="&amp;A30)&gt;0),80,"")</f>
        <v/>
      </c>
      <c r="Q30" s="190">
        <f>IF(AND(EDATE($B$4,5)&lt;=EOMONTH($B$5,0),COUNTIFS('Client DB &amp; Bed Mgmt'!$A:$A,B30,'Client DB &amp; Bed Mgmt'!$D:$D,"&lt;&gt;",'Client DB &amp; Bed Mgmt'!$U:$U,"&lt;="&amp;A30,'Client DB &amp; Bed Mgmt'!$V:$V,"&gt;="&amp;A30)&gt;0),40,"")</f>
        <v/>
      </c>
      <c r="R30" s="189">
        <f>IF(AND(EDATE($B$4,5)&lt;=EOMONTH($B$5,0),COUNTIFS('Client DB &amp; Bed Mgmt'!$A:$A,B30,'Client DB &amp; Bed Mgmt'!$D:$D,"&lt;&gt;",'Client DB &amp; Bed Mgmt'!$U:$U,"&lt;="&amp;A30,'Client DB &amp; Bed Mgmt'!$V:$V,"&gt;="&amp;A30)&gt;0),IF(C30="Owned",0,2500),"")</f>
        <v/>
      </c>
      <c r="S30" s="189">
        <f>IF(AND(EDATE($B$4,5)&lt;=EOMONTH($B$5,0),COUNTIFS('Client DB &amp; Bed Mgmt'!$A:$A,B30,'Client DB &amp; Bed Mgmt'!$D:$D,"&lt;&gt;",'Client DB &amp; Bed Mgmt'!$U:$U,"&lt;="&amp;A30,'Client DB &amp; Bed Mgmt'!$V:$V,"&gt;="&amp;A30)&gt;0),SUM(K30:R30),"")</f>
        <v/>
      </c>
      <c r="T30" s="189">
        <f>IF(AND(EDATE($B$4,5)&lt;=EOMONTH($B$5,0),COUNTIFS('Client DB &amp; Bed Mgmt'!$A:$A,B30,'Client DB &amp; Bed Mgmt'!$D:$D,"&lt;&gt;",'Client DB &amp; Bed Mgmt'!$U:$U,"&lt;="&amp;A30,'Client DB &amp; Bed Mgmt'!$V:$V,"&gt;="&amp;A30)&gt;0),I30-S30,"")</f>
        <v/>
      </c>
      <c r="U30" s="105">
        <f>IF(AND(EDATE($B$4,5)&lt;=EOMONTH($B$5,0),COUNTIFS('Client DB &amp; Bed Mgmt'!$A:$A,B30,'Client DB &amp; Bed Mgmt'!$D:$D,"&lt;&gt;",'Client DB &amp; Bed Mgmt'!$U:$U,"&lt;="&amp;A30,'Client DB &amp; Bed Mgmt'!$V:$V,"&gt;="&amp;A30)&gt;0),IFERROR(T30/I30,0),"")</f>
        <v/>
      </c>
      <c r="V30" s="191">
        <f>IF(EDATE($B$4,5)&lt;=EOMONTH($B$5,0),COUNTIFS('Client DB &amp; Bed Mgmt'!$A:$A,B30,'Client DB &amp; Bed Mgmt'!$D:$D,"&lt;&gt;",'Client DB &amp; Bed Mgmt'!$U:$U,"&lt;="&amp;A30,'Client DB &amp; Bed Mgmt'!$V:$V,"&gt;="&amp;A30),"")</f>
        <v/>
      </c>
      <c r="W30" s="181">
        <f>IF(AND(EDATE($B$4,5)&lt;=EOMONTH($B$5,0),COUNTIFS('Client DB &amp; Bed Mgmt'!$A:$A,B30,'Client DB &amp; Bed Mgmt'!$D:$D,"&lt;&gt;",'Client DB &amp; Bed Mgmt'!$U:$U,"&lt;="&amp;A30,'Client DB &amp; Bed Mgmt'!$V:$V,"&gt;="&amp;A30)&gt;0),V30,"")</f>
        <v/>
      </c>
      <c r="X30" s="189">
        <f>IF(AND(EDATE($B$4,5)&lt;=EOMONTH($B$5,0),COUNTIFS('Client DB &amp; Bed Mgmt'!$A:$A,B30,'Client DB &amp; Bed Mgmt'!$D:$D,"&lt;&gt;",'Client DB &amp; Bed Mgmt'!$U:$U,"&lt;="&amp;A30,'Client DB &amp; Bed Mgmt'!$V:$V,"&gt;="&amp;A30)&gt;0),SUMIFS('Client DB &amp; Bed Mgmt'!$I:$I,'Client DB &amp; Bed Mgmt'!$A:$A,B30,'Client DB &amp; Bed Mgmt'!$D:$D,"&lt;&gt;",'Client DB &amp; Bed Mgmt'!$U:$U,"&lt;="&amp;A30,'Client DB &amp; Bed Mgmt'!$V:$V,"&gt;="&amp;A30),"")</f>
        <v/>
      </c>
      <c r="Y30" s="189">
        <f>IF(AND(EDATE($B$4,5)&lt;=EOMONTH($B$5,0),COUNTIFS('Client DB &amp; Bed Mgmt'!$A:$A,B30,'Client DB &amp; Bed Mgmt'!$D:$D,"&lt;&gt;",'Client DB &amp; Bed Mgmt'!$U:$U,"&lt;="&amp;A30,'Client DB &amp; Bed Mgmt'!$V:$V,"&gt;="&amp;A30)&gt;0),SUMIFS('Client DB &amp; Bed Mgmt'!$J:$J,'Client DB &amp; Bed Mgmt'!$A:$A,B30,'Client DB &amp; Bed Mgmt'!$D:$D,"&lt;&gt;",'Client DB &amp; Bed Mgmt'!$U:$U,"&lt;="&amp;A30,'Client DB &amp; Bed Mgmt'!$V:$V,"&gt;="&amp;A30),"")</f>
        <v/>
      </c>
      <c r="Z30" s="192">
        <f>IF(AND(EDATE($B$4,5)&lt;=EOMONTH($B$5,0),COUNTIFS('Client DB &amp; Bed Mgmt'!$A:$A,B30,'Client DB &amp; Bed Mgmt'!$D:$D,"&lt;&gt;",'Client DB &amp; Bed Mgmt'!$U:$U,"&lt;="&amp;A30,'Client DB &amp; Bed Mgmt'!$V:$V,"&gt;="&amp;A30)&gt;0),SUMIFS('Client DB &amp; Bed Mgmt'!$K:$K,'Client DB &amp; Bed Mgmt'!$A:$A,B30,'Client DB &amp; Bed Mgmt'!$D:$D,"&lt;&gt;",'Client DB &amp; Bed Mgmt'!$U:$U,"&lt;="&amp;A30,'Client DB &amp; Bed Mgmt'!$V:$V,"&gt;="&amp;A30),"")</f>
        <v/>
      </c>
      <c r="AA30" s="82" t="n"/>
      <c r="AB30" s="82" t="n"/>
    </row>
    <row r="31" hidden="1" ht="14.25" customHeight="1" s="83">
      <c r="A31" s="177">
        <f>IF(EDATE($B$4,5)&lt;=EOMONTH($B$5,0),EDATE($B$4,5),"")</f>
        <v/>
      </c>
      <c r="B31" s="103">
        <f>IF(EDATE($B$4,5)&lt;=EOMONTH($B$5,0),"Dorm 3","")</f>
        <v/>
      </c>
      <c r="C31" s="170">
        <f>IF(AND(EDATE($B$4,5)&lt;=EOMONTH($B$5,0),COUNTIFS('Client DB &amp; Bed Mgmt'!$A:$A,B31,'Client DB &amp; Bed Mgmt'!$D:$D,"&lt;&gt;",'Client DB &amp; Bed Mgmt'!$U:$U,"&lt;="&amp;A31,'Client DB &amp; Bed Mgmt'!$V:$V,"&gt;="&amp;A31)&gt;0),IFERROR(INDEX('Settings &amp; Master Config'!$C$21:$C$23,MATCH(B31,'Settings &amp; Master Config'!$A$21:$A$23,0)),""),"")</f>
        <v/>
      </c>
      <c r="D31" s="170">
        <f>IF(AND(EDATE($B$4,5)&lt;=EOMONTH($B$5,0),COUNTIFS('Client DB &amp; Bed Mgmt'!$A:$A,B31,'Client DB &amp; Bed Mgmt'!$D:$D,"&lt;&gt;",'Client DB &amp; Bed Mgmt'!$U:$U,"&lt;="&amp;A31,'Client DB &amp; Bed Mgmt'!$V:$V,"&gt;="&amp;A31)&gt;0),IFERROR(INDEX('Settings &amp; Master Config'!$F$21:$F$23,MATCH(B31,'Settings &amp; Master Config'!$A$21:$A$23,0)),0),"")</f>
        <v/>
      </c>
      <c r="E31" s="130">
        <f>IF(AND(EDATE($B$4,5)&lt;=EOMONTH($B$5,0),COUNTIFS('Client DB &amp; Bed Mgmt'!$A:$A,B31,'Client DB &amp; Bed Mgmt'!$D:$D,"&lt;&gt;",'Client DB &amp; Bed Mgmt'!$U:$U,"&lt;="&amp;A31,'Client DB &amp; Bed Mgmt'!$V:$V,"&gt;="&amp;A31)&gt;0),$B$7*(1+$B$9)^(YEAR(A31)-YEAR($B$4)),"")</f>
        <v/>
      </c>
      <c r="F31" s="105">
        <f>IF(AND(EDATE($B$4,5)&lt;=EOMONTH($B$5,0),COUNTIFS('Client DB &amp; Bed Mgmt'!$A:$A,B31,'Client DB &amp; Bed Mgmt'!$D:$D,"&lt;&gt;",'Client DB &amp; Bed Mgmt'!$U:$U,"&lt;="&amp;A31,'Client DB &amp; Bed Mgmt'!$V:$V,"&gt;="&amp;A31)&gt;0),$B$8,"")</f>
        <v/>
      </c>
      <c r="G31" s="105">
        <f>IF(AND(EDATE($B$4,5)&lt;=EOMONTH($B$5,0),COUNTIFS('Client DB &amp; Bed Mgmt'!$A:$A,B31,'Client DB &amp; Bed Mgmt'!$D:$D,"&lt;&gt;",'Client DB &amp; Bed Mgmt'!$U:$U,"&lt;="&amp;A31,'Client DB &amp; Bed Mgmt'!$V:$V,"&gt;="&amp;A31)&gt;0),$B$9,"")</f>
        <v/>
      </c>
      <c r="H31" s="130">
        <f>IF(AND(EDATE($B$4,5)&lt;=EOMONTH($B$5,0),COUNTIFS('Client DB &amp; Bed Mgmt'!$A:$A,B31,'Client DB &amp; Bed Mgmt'!$D:$D,"&lt;&gt;",'Client DB &amp; Bed Mgmt'!$U:$U,"&lt;="&amp;A31,'Client DB &amp; Bed Mgmt'!$V:$V,"&gt;="&amp;A31)&gt;0),D31*E31,"")</f>
        <v/>
      </c>
      <c r="I31" s="189">
        <f>IF(AND(EDATE($B$4,5)&lt;=EOMONTH($B$5,0),COUNTIFS('Client DB &amp; Bed Mgmt'!$A:$A,B31,'Client DB &amp; Bed Mgmt'!$D:$D,"&lt;&gt;",'Client DB &amp; Bed Mgmt'!$U:$U,"&lt;="&amp;A31,'Client DB &amp; Bed Mgmt'!$V:$V,"&gt;="&amp;A31)&gt;0),SUM(X31:Z31),"")</f>
        <v/>
      </c>
      <c r="J31" s="189">
        <f>IF(AND(EDATE($B$4,5)&lt;=EOMONTH($B$5,0),COUNTIFS('Client DB &amp; Bed Mgmt'!$A:$A,B31,'Client DB &amp; Bed Mgmt'!$D:$D,"&lt;&gt;",'Client DB &amp; Bed Mgmt'!$U:$U,"&lt;="&amp;A31,'Client DB &amp; Bed Mgmt'!$V:$V,"&gt;="&amp;A31)&gt;0),D31*F31*E31,"")</f>
        <v/>
      </c>
      <c r="K31" s="190">
        <f>IF(AND(EDATE($B$4,5)&lt;=EOMONTH($B$5,0),COUNTIFS('Client DB &amp; Bed Mgmt'!$A:$A,B31,'Client DB &amp; Bed Mgmt'!$D:$D,"&lt;&gt;",'Client DB &amp; Bed Mgmt'!$U:$U,"&lt;="&amp;A31,'Client DB &amp; Bed Mgmt'!$V:$V,"&gt;="&amp;A31)&gt;0),75,"")</f>
        <v/>
      </c>
      <c r="L31" s="190">
        <f>IF(AND(EDATE($B$4,5)&lt;=EOMONTH($B$5,0),COUNTIFS('Client DB &amp; Bed Mgmt'!$A:$A,B31,'Client DB &amp; Bed Mgmt'!$D:$D,"&lt;&gt;",'Client DB &amp; Bed Mgmt'!$U:$U,"&lt;="&amp;A31,'Client DB &amp; Bed Mgmt'!$V:$V,"&gt;="&amp;A31)&gt;0),50,"")</f>
        <v/>
      </c>
      <c r="M31" s="190">
        <f>IF(AND(EDATE($B$4,5)&lt;=EOMONTH($B$5,0),COUNTIFS('Client DB &amp; Bed Mgmt'!$A:$A,B31,'Client DB &amp; Bed Mgmt'!$D:$D,"&lt;&gt;",'Client DB &amp; Bed Mgmt'!$U:$U,"&lt;="&amp;A31,'Client DB &amp; Bed Mgmt'!$V:$V,"&gt;="&amp;A31)&gt;0),150,"")</f>
        <v/>
      </c>
      <c r="N31" s="190">
        <f>IF(AND(EDATE($B$4,5)&lt;=EOMONTH($B$5,0),COUNTIFS('Client DB &amp; Bed Mgmt'!$A:$A,B31,'Client DB &amp; Bed Mgmt'!$D:$D,"&lt;&gt;",'Client DB &amp; Bed Mgmt'!$U:$U,"&lt;="&amp;A31,'Client DB &amp; Bed Mgmt'!$V:$V,"&gt;="&amp;A31)&gt;0),125,"")</f>
        <v/>
      </c>
      <c r="O31" s="190">
        <f>IF(AND(EDATE($B$4,5)&lt;=EOMONTH($B$5,0),COUNTIFS('Client DB &amp; Bed Mgmt'!$A:$A,B31,'Client DB &amp; Bed Mgmt'!$D:$D,"&lt;&gt;",'Client DB &amp; Bed Mgmt'!$U:$U,"&lt;="&amp;A31,'Client DB &amp; Bed Mgmt'!$V:$V,"&gt;="&amp;A31)&gt;0),60,"")</f>
        <v/>
      </c>
      <c r="P31" s="190">
        <f>IF(AND(EDATE($B$4,5)&lt;=EOMONTH($B$5,0),COUNTIFS('Client DB &amp; Bed Mgmt'!$A:$A,B31,'Client DB &amp; Bed Mgmt'!$D:$D,"&lt;&gt;",'Client DB &amp; Bed Mgmt'!$U:$U,"&lt;="&amp;A31,'Client DB &amp; Bed Mgmt'!$V:$V,"&gt;="&amp;A31)&gt;0),80,"")</f>
        <v/>
      </c>
      <c r="Q31" s="190">
        <f>IF(AND(EDATE($B$4,5)&lt;=EOMONTH($B$5,0),COUNTIFS('Client DB &amp; Bed Mgmt'!$A:$A,B31,'Client DB &amp; Bed Mgmt'!$D:$D,"&lt;&gt;",'Client DB &amp; Bed Mgmt'!$U:$U,"&lt;="&amp;A31,'Client DB &amp; Bed Mgmt'!$V:$V,"&gt;="&amp;A31)&gt;0),40,"")</f>
        <v/>
      </c>
      <c r="R31" s="189">
        <f>IF(AND(EDATE($B$4,5)&lt;=EOMONTH($B$5,0),COUNTIFS('Client DB &amp; Bed Mgmt'!$A:$A,B31,'Client DB &amp; Bed Mgmt'!$D:$D,"&lt;&gt;",'Client DB &amp; Bed Mgmt'!$U:$U,"&lt;="&amp;A31,'Client DB &amp; Bed Mgmt'!$V:$V,"&gt;="&amp;A31)&gt;0),IF(C31="Owned",0,2500),"")</f>
        <v/>
      </c>
      <c r="S31" s="189">
        <f>IF(AND(EDATE($B$4,5)&lt;=EOMONTH($B$5,0),COUNTIFS('Client DB &amp; Bed Mgmt'!$A:$A,B31,'Client DB &amp; Bed Mgmt'!$D:$D,"&lt;&gt;",'Client DB &amp; Bed Mgmt'!$U:$U,"&lt;="&amp;A31,'Client DB &amp; Bed Mgmt'!$V:$V,"&gt;="&amp;A31)&gt;0),SUM(K31:R31),"")</f>
        <v/>
      </c>
      <c r="T31" s="189">
        <f>IF(AND(EDATE($B$4,5)&lt;=EOMONTH($B$5,0),COUNTIFS('Client DB &amp; Bed Mgmt'!$A:$A,B31,'Client DB &amp; Bed Mgmt'!$D:$D,"&lt;&gt;",'Client DB &amp; Bed Mgmt'!$U:$U,"&lt;="&amp;A31,'Client DB &amp; Bed Mgmt'!$V:$V,"&gt;="&amp;A31)&gt;0),I31-S31,"")</f>
        <v/>
      </c>
      <c r="U31" s="105">
        <f>IF(AND(EDATE($B$4,5)&lt;=EOMONTH($B$5,0),COUNTIFS('Client DB &amp; Bed Mgmt'!$A:$A,B31,'Client DB &amp; Bed Mgmt'!$D:$D,"&lt;&gt;",'Client DB &amp; Bed Mgmt'!$U:$U,"&lt;="&amp;A31,'Client DB &amp; Bed Mgmt'!$V:$V,"&gt;="&amp;A31)&gt;0),IFERROR(T31/I31,0),"")</f>
        <v/>
      </c>
      <c r="V31" s="191">
        <f>IF(EDATE($B$4,5)&lt;=EOMONTH($B$5,0),COUNTIFS('Client DB &amp; Bed Mgmt'!$A:$A,B31,'Client DB &amp; Bed Mgmt'!$D:$D,"&lt;&gt;",'Client DB &amp; Bed Mgmt'!$U:$U,"&lt;="&amp;A31,'Client DB &amp; Bed Mgmt'!$V:$V,"&gt;="&amp;A31),"")</f>
        <v/>
      </c>
      <c r="W31" s="181">
        <f>IF(AND(EDATE($B$4,5)&lt;=EOMONTH($B$5,0),COUNTIFS('Client DB &amp; Bed Mgmt'!$A:$A,B31,'Client DB &amp; Bed Mgmt'!$D:$D,"&lt;&gt;",'Client DB &amp; Bed Mgmt'!$U:$U,"&lt;="&amp;A31,'Client DB &amp; Bed Mgmt'!$V:$V,"&gt;="&amp;A31)&gt;0),V31,"")</f>
        <v/>
      </c>
      <c r="X31" s="189">
        <f>IF(AND(EDATE($B$4,5)&lt;=EOMONTH($B$5,0),COUNTIFS('Client DB &amp; Bed Mgmt'!$A:$A,B31,'Client DB &amp; Bed Mgmt'!$D:$D,"&lt;&gt;",'Client DB &amp; Bed Mgmt'!$U:$U,"&lt;="&amp;A31,'Client DB &amp; Bed Mgmt'!$V:$V,"&gt;="&amp;A31)&gt;0),SUMIFS('Client DB &amp; Bed Mgmt'!$I:$I,'Client DB &amp; Bed Mgmt'!$A:$A,B31,'Client DB &amp; Bed Mgmt'!$D:$D,"&lt;&gt;",'Client DB &amp; Bed Mgmt'!$U:$U,"&lt;="&amp;A31,'Client DB &amp; Bed Mgmt'!$V:$V,"&gt;="&amp;A31),"")</f>
        <v/>
      </c>
      <c r="Y31" s="189">
        <f>IF(AND(EDATE($B$4,5)&lt;=EOMONTH($B$5,0),COUNTIFS('Client DB &amp; Bed Mgmt'!$A:$A,B31,'Client DB &amp; Bed Mgmt'!$D:$D,"&lt;&gt;",'Client DB &amp; Bed Mgmt'!$U:$U,"&lt;="&amp;A31,'Client DB &amp; Bed Mgmt'!$V:$V,"&gt;="&amp;A31)&gt;0),SUMIFS('Client DB &amp; Bed Mgmt'!$J:$J,'Client DB &amp; Bed Mgmt'!$A:$A,B31,'Client DB &amp; Bed Mgmt'!$D:$D,"&lt;&gt;",'Client DB &amp; Bed Mgmt'!$U:$U,"&lt;="&amp;A31,'Client DB &amp; Bed Mgmt'!$V:$V,"&gt;="&amp;A31),"")</f>
        <v/>
      </c>
      <c r="Z31" s="192">
        <f>IF(AND(EDATE($B$4,5)&lt;=EOMONTH($B$5,0),COUNTIFS('Client DB &amp; Bed Mgmt'!$A:$A,B31,'Client DB &amp; Bed Mgmt'!$D:$D,"&lt;&gt;",'Client DB &amp; Bed Mgmt'!$U:$U,"&lt;="&amp;A31,'Client DB &amp; Bed Mgmt'!$V:$V,"&gt;="&amp;A31)&gt;0),SUMIFS('Client DB &amp; Bed Mgmt'!$K:$K,'Client DB &amp; Bed Mgmt'!$A:$A,B31,'Client DB &amp; Bed Mgmt'!$D:$D,"&lt;&gt;",'Client DB &amp; Bed Mgmt'!$U:$U,"&lt;="&amp;A31,'Client DB &amp; Bed Mgmt'!$V:$V,"&gt;="&amp;A31),"")</f>
        <v/>
      </c>
      <c r="AA31" s="82" t="n"/>
      <c r="AB31" s="82" t="n"/>
    </row>
    <row r="32" ht="14.25" customHeight="1" s="83">
      <c r="A32" s="177">
        <f>IF(EDATE($B$4,6)&lt;=EOMONTH($B$5,0),EDATE($B$4,6),"")</f>
        <v/>
      </c>
      <c r="B32" s="103">
        <f>IF(EDATE($B$4,6)&lt;=EOMONTH($B$5,0),"Dorm 1","")</f>
        <v/>
      </c>
      <c r="C32" s="170">
        <f>IF(AND(EDATE($B$4,6)&lt;=EOMONTH($B$5,0),COUNTIFS('Client DB &amp; Bed Mgmt'!$A:$A,B32,'Client DB &amp; Bed Mgmt'!$D:$D,"&lt;&gt;",'Client DB &amp; Bed Mgmt'!$U:$U,"&lt;="&amp;A32,'Client DB &amp; Bed Mgmt'!$V:$V,"&gt;="&amp;A32)&gt;0),IFERROR(INDEX('Settings &amp; Master Config'!$C$21:$C$23,MATCH(B32,'Settings &amp; Master Config'!$A$21:$A$23,0)),""),"")</f>
        <v/>
      </c>
      <c r="D32" s="170">
        <f>IF(AND(EDATE($B$4,6)&lt;=EOMONTH($B$5,0),COUNTIFS('Client DB &amp; Bed Mgmt'!$A:$A,B32,'Client DB &amp; Bed Mgmt'!$D:$D,"&lt;&gt;",'Client DB &amp; Bed Mgmt'!$U:$U,"&lt;="&amp;A32,'Client DB &amp; Bed Mgmt'!$V:$V,"&gt;="&amp;A32)&gt;0),IFERROR(INDEX('Settings &amp; Master Config'!$F$21:$F$23,MATCH(B32,'Settings &amp; Master Config'!$A$21:$A$23,0)),0),"")</f>
        <v/>
      </c>
      <c r="E32" s="130">
        <f>IF(AND(EDATE($B$4,6)&lt;=EOMONTH($B$5,0),COUNTIFS('Client DB &amp; Bed Mgmt'!$A:$A,B32,'Client DB &amp; Bed Mgmt'!$D:$D,"&lt;&gt;",'Client DB &amp; Bed Mgmt'!$U:$U,"&lt;="&amp;A32,'Client DB &amp; Bed Mgmt'!$V:$V,"&gt;="&amp;A32)&gt;0),$B$7*(1+$B$9)^(YEAR(A32)-YEAR($B$4)),"")</f>
        <v/>
      </c>
      <c r="F32" s="105">
        <f>IF(AND(EDATE($B$4,6)&lt;=EOMONTH($B$5,0),COUNTIFS('Client DB &amp; Bed Mgmt'!$A:$A,B32,'Client DB &amp; Bed Mgmt'!$D:$D,"&lt;&gt;",'Client DB &amp; Bed Mgmt'!$U:$U,"&lt;="&amp;A32,'Client DB &amp; Bed Mgmt'!$V:$V,"&gt;="&amp;A32)&gt;0),$B$8,"")</f>
        <v/>
      </c>
      <c r="G32" s="105">
        <f>IF(AND(EDATE($B$4,6)&lt;=EOMONTH($B$5,0),COUNTIFS('Client DB &amp; Bed Mgmt'!$A:$A,B32,'Client DB &amp; Bed Mgmt'!$D:$D,"&lt;&gt;",'Client DB &amp; Bed Mgmt'!$U:$U,"&lt;="&amp;A32,'Client DB &amp; Bed Mgmt'!$V:$V,"&gt;="&amp;A32)&gt;0),$B$9,"")</f>
        <v/>
      </c>
      <c r="H32" s="130">
        <f>IF(AND(EDATE($B$4,6)&lt;=EOMONTH($B$5,0),COUNTIFS('Client DB &amp; Bed Mgmt'!$A:$A,B32,'Client DB &amp; Bed Mgmt'!$D:$D,"&lt;&gt;",'Client DB &amp; Bed Mgmt'!$U:$U,"&lt;="&amp;A32,'Client DB &amp; Bed Mgmt'!$V:$V,"&gt;="&amp;A32)&gt;0),D32*E32,"")</f>
        <v/>
      </c>
      <c r="I32" s="189">
        <f>IF(AND(EDATE($B$4,6)&lt;=EOMONTH($B$5,0),COUNTIFS('Client DB &amp; Bed Mgmt'!$A:$A,B32,'Client DB &amp; Bed Mgmt'!$D:$D,"&lt;&gt;",'Client DB &amp; Bed Mgmt'!$U:$U,"&lt;="&amp;A32,'Client DB &amp; Bed Mgmt'!$V:$V,"&gt;="&amp;A32)&gt;0),SUM(X32:Z32),"")</f>
        <v/>
      </c>
      <c r="J32" s="189">
        <f>IF(AND(EDATE($B$4,6)&lt;=EOMONTH($B$5,0),COUNTIFS('Client DB &amp; Bed Mgmt'!$A:$A,B32,'Client DB &amp; Bed Mgmt'!$D:$D,"&lt;&gt;",'Client DB &amp; Bed Mgmt'!$U:$U,"&lt;="&amp;A32,'Client DB &amp; Bed Mgmt'!$V:$V,"&gt;="&amp;A32)&gt;0),D32*F32*E32,"")</f>
        <v/>
      </c>
      <c r="K32" s="190">
        <f>IF(AND(EDATE($B$4,6)&lt;=EOMONTH($B$5,0),COUNTIFS('Client DB &amp; Bed Mgmt'!$A:$A,B32,'Client DB &amp; Bed Mgmt'!$D:$D,"&lt;&gt;",'Client DB &amp; Bed Mgmt'!$U:$U,"&lt;="&amp;A32,'Client DB &amp; Bed Mgmt'!$V:$V,"&gt;="&amp;A32)&gt;0),75,"")</f>
        <v/>
      </c>
      <c r="L32" s="190">
        <f>IF(AND(EDATE($B$4,6)&lt;=EOMONTH($B$5,0),COUNTIFS('Client DB &amp; Bed Mgmt'!$A:$A,B32,'Client DB &amp; Bed Mgmt'!$D:$D,"&lt;&gt;",'Client DB &amp; Bed Mgmt'!$U:$U,"&lt;="&amp;A32,'Client DB &amp; Bed Mgmt'!$V:$V,"&gt;="&amp;A32)&gt;0),50,"")</f>
        <v/>
      </c>
      <c r="M32" s="190">
        <f>IF(AND(EDATE($B$4,6)&lt;=EOMONTH($B$5,0),COUNTIFS('Client DB &amp; Bed Mgmt'!$A:$A,B32,'Client DB &amp; Bed Mgmt'!$D:$D,"&lt;&gt;",'Client DB &amp; Bed Mgmt'!$U:$U,"&lt;="&amp;A32,'Client DB &amp; Bed Mgmt'!$V:$V,"&gt;="&amp;A32)&gt;0),150,"")</f>
        <v/>
      </c>
      <c r="N32" s="190">
        <f>IF(AND(EDATE($B$4,6)&lt;=EOMONTH($B$5,0),COUNTIFS('Client DB &amp; Bed Mgmt'!$A:$A,B32,'Client DB &amp; Bed Mgmt'!$D:$D,"&lt;&gt;",'Client DB &amp; Bed Mgmt'!$U:$U,"&lt;="&amp;A32,'Client DB &amp; Bed Mgmt'!$V:$V,"&gt;="&amp;A32)&gt;0),125,"")</f>
        <v/>
      </c>
      <c r="O32" s="190">
        <f>IF(AND(EDATE($B$4,6)&lt;=EOMONTH($B$5,0),COUNTIFS('Client DB &amp; Bed Mgmt'!$A:$A,B32,'Client DB &amp; Bed Mgmt'!$D:$D,"&lt;&gt;",'Client DB &amp; Bed Mgmt'!$U:$U,"&lt;="&amp;A32,'Client DB &amp; Bed Mgmt'!$V:$V,"&gt;="&amp;A32)&gt;0),60,"")</f>
        <v/>
      </c>
      <c r="P32" s="190">
        <f>IF(AND(EDATE($B$4,6)&lt;=EOMONTH($B$5,0),COUNTIFS('Client DB &amp; Bed Mgmt'!$A:$A,B32,'Client DB &amp; Bed Mgmt'!$D:$D,"&lt;&gt;",'Client DB &amp; Bed Mgmt'!$U:$U,"&lt;="&amp;A32,'Client DB &amp; Bed Mgmt'!$V:$V,"&gt;="&amp;A32)&gt;0),80,"")</f>
        <v/>
      </c>
      <c r="Q32" s="190">
        <f>IF(AND(EDATE($B$4,6)&lt;=EOMONTH($B$5,0),COUNTIFS('Client DB &amp; Bed Mgmt'!$A:$A,B32,'Client DB &amp; Bed Mgmt'!$D:$D,"&lt;&gt;",'Client DB &amp; Bed Mgmt'!$U:$U,"&lt;="&amp;A32,'Client DB &amp; Bed Mgmt'!$V:$V,"&gt;="&amp;A32)&gt;0),40,"")</f>
        <v/>
      </c>
      <c r="R32" s="189">
        <f>IF(AND(EDATE($B$4,6)&lt;=EOMONTH($B$5,0),COUNTIFS('Client DB &amp; Bed Mgmt'!$A:$A,B32,'Client DB &amp; Bed Mgmt'!$D:$D,"&lt;&gt;",'Client DB &amp; Bed Mgmt'!$U:$U,"&lt;="&amp;A32,'Client DB &amp; Bed Mgmt'!$V:$V,"&gt;="&amp;A32)&gt;0),IF(C32="Owned",0,2500),"")</f>
        <v/>
      </c>
      <c r="S32" s="189">
        <f>IF(AND(EDATE($B$4,6)&lt;=EOMONTH($B$5,0),COUNTIFS('Client DB &amp; Bed Mgmt'!$A:$A,B32,'Client DB &amp; Bed Mgmt'!$D:$D,"&lt;&gt;",'Client DB &amp; Bed Mgmt'!$U:$U,"&lt;="&amp;A32,'Client DB &amp; Bed Mgmt'!$V:$V,"&gt;="&amp;A32)&gt;0),SUM(K32:R32),"")</f>
        <v/>
      </c>
      <c r="T32" s="189">
        <f>IF(AND(EDATE($B$4,6)&lt;=EOMONTH($B$5,0),COUNTIFS('Client DB &amp; Bed Mgmt'!$A:$A,B32,'Client DB &amp; Bed Mgmt'!$D:$D,"&lt;&gt;",'Client DB &amp; Bed Mgmt'!$U:$U,"&lt;="&amp;A32,'Client DB &amp; Bed Mgmt'!$V:$V,"&gt;="&amp;A32)&gt;0),I32-S32,"")</f>
        <v/>
      </c>
      <c r="U32" s="105">
        <f>IF(AND(EDATE($B$4,6)&lt;=EOMONTH($B$5,0),COUNTIFS('Client DB &amp; Bed Mgmt'!$A:$A,B32,'Client DB &amp; Bed Mgmt'!$D:$D,"&lt;&gt;",'Client DB &amp; Bed Mgmt'!$U:$U,"&lt;="&amp;A32,'Client DB &amp; Bed Mgmt'!$V:$V,"&gt;="&amp;A32)&gt;0),IFERROR(T32/I32,0),"")</f>
        <v/>
      </c>
      <c r="V32" s="191">
        <f>IF(EDATE($B$4,6)&lt;=EOMONTH($B$5,0),COUNTIFS('Client DB &amp; Bed Mgmt'!$A:$A,B32,'Client DB &amp; Bed Mgmt'!$D:$D,"&lt;&gt;",'Client DB &amp; Bed Mgmt'!$U:$U,"&lt;="&amp;A32,'Client DB &amp; Bed Mgmt'!$V:$V,"&gt;="&amp;A32),"")</f>
        <v/>
      </c>
      <c r="W32" s="181">
        <f>IF(AND(EDATE($B$4,6)&lt;=EOMONTH($B$5,0),COUNTIFS('Client DB &amp; Bed Mgmt'!$A:$A,B32,'Client DB &amp; Bed Mgmt'!$D:$D,"&lt;&gt;",'Client DB &amp; Bed Mgmt'!$U:$U,"&lt;="&amp;A32,'Client DB &amp; Bed Mgmt'!$V:$V,"&gt;="&amp;A32)&gt;0),V32,"")</f>
        <v/>
      </c>
      <c r="X32" s="189">
        <f>IF(AND(EDATE($B$4,6)&lt;=EOMONTH($B$5,0),COUNTIFS('Client DB &amp; Bed Mgmt'!$A:$A,B32,'Client DB &amp; Bed Mgmt'!$D:$D,"&lt;&gt;",'Client DB &amp; Bed Mgmt'!$U:$U,"&lt;="&amp;A32,'Client DB &amp; Bed Mgmt'!$V:$V,"&gt;="&amp;A32)&gt;0),SUMIFS('Client DB &amp; Bed Mgmt'!$I:$I,'Client DB &amp; Bed Mgmt'!$A:$A,B32,'Client DB &amp; Bed Mgmt'!$D:$D,"&lt;&gt;",'Client DB &amp; Bed Mgmt'!$U:$U,"&lt;="&amp;A32,'Client DB &amp; Bed Mgmt'!$V:$V,"&gt;="&amp;A32),"")</f>
        <v/>
      </c>
      <c r="Y32" s="189">
        <f>IF(AND(EDATE($B$4,6)&lt;=EOMONTH($B$5,0),COUNTIFS('Client DB &amp; Bed Mgmt'!$A:$A,B32,'Client DB &amp; Bed Mgmt'!$D:$D,"&lt;&gt;",'Client DB &amp; Bed Mgmt'!$U:$U,"&lt;="&amp;A32,'Client DB &amp; Bed Mgmt'!$V:$V,"&gt;="&amp;A32)&gt;0),SUMIFS('Client DB &amp; Bed Mgmt'!$J:$J,'Client DB &amp; Bed Mgmt'!$A:$A,B32,'Client DB &amp; Bed Mgmt'!$D:$D,"&lt;&gt;",'Client DB &amp; Bed Mgmt'!$U:$U,"&lt;="&amp;A32,'Client DB &amp; Bed Mgmt'!$V:$V,"&gt;="&amp;A32),"")</f>
        <v/>
      </c>
      <c r="Z32" s="192">
        <f>IF(AND(EDATE($B$4,6)&lt;=EOMONTH($B$5,0),COUNTIFS('Client DB &amp; Bed Mgmt'!$A:$A,B32,'Client DB &amp; Bed Mgmt'!$D:$D,"&lt;&gt;",'Client DB &amp; Bed Mgmt'!$U:$U,"&lt;="&amp;A32,'Client DB &amp; Bed Mgmt'!$V:$V,"&gt;="&amp;A32)&gt;0),SUMIFS('Client DB &amp; Bed Mgmt'!$K:$K,'Client DB &amp; Bed Mgmt'!$A:$A,B32,'Client DB &amp; Bed Mgmt'!$D:$D,"&lt;&gt;",'Client DB &amp; Bed Mgmt'!$U:$U,"&lt;="&amp;A32,'Client DB &amp; Bed Mgmt'!$V:$V,"&gt;="&amp;A32),"")</f>
        <v/>
      </c>
      <c r="AA32" s="82" t="n"/>
      <c r="AB32" s="82" t="n"/>
    </row>
    <row r="33" hidden="1" ht="14.25" customHeight="1" s="83">
      <c r="A33" s="177">
        <f>IF(EDATE($B$4,6)&lt;=EOMONTH($B$5,0),EDATE($B$4,6),"")</f>
        <v/>
      </c>
      <c r="B33" s="103">
        <f>IF(EDATE($B$4,6)&lt;=EOMONTH($B$5,0),"Dorm 2","")</f>
        <v/>
      </c>
      <c r="C33" s="170">
        <f>IF(AND(EDATE($B$4,6)&lt;=EOMONTH($B$5,0),COUNTIFS('Client DB &amp; Bed Mgmt'!$A:$A,B33,'Client DB &amp; Bed Mgmt'!$D:$D,"&lt;&gt;",'Client DB &amp; Bed Mgmt'!$U:$U,"&lt;="&amp;A33,'Client DB &amp; Bed Mgmt'!$V:$V,"&gt;="&amp;A33)&gt;0),IFERROR(INDEX('Settings &amp; Master Config'!$C$21:$C$23,MATCH(B33,'Settings &amp; Master Config'!$A$21:$A$23,0)),""),"")</f>
        <v/>
      </c>
      <c r="D33" s="170">
        <f>IF(AND(EDATE($B$4,6)&lt;=EOMONTH($B$5,0),COUNTIFS('Client DB &amp; Bed Mgmt'!$A:$A,B33,'Client DB &amp; Bed Mgmt'!$D:$D,"&lt;&gt;",'Client DB &amp; Bed Mgmt'!$U:$U,"&lt;="&amp;A33,'Client DB &amp; Bed Mgmt'!$V:$V,"&gt;="&amp;A33)&gt;0),IFERROR(INDEX('Settings &amp; Master Config'!$F$21:$F$23,MATCH(B33,'Settings &amp; Master Config'!$A$21:$A$23,0)),0),"")</f>
        <v/>
      </c>
      <c r="E33" s="130">
        <f>IF(AND(EDATE($B$4,6)&lt;=EOMONTH($B$5,0),COUNTIFS('Client DB &amp; Bed Mgmt'!$A:$A,B33,'Client DB &amp; Bed Mgmt'!$D:$D,"&lt;&gt;",'Client DB &amp; Bed Mgmt'!$U:$U,"&lt;="&amp;A33,'Client DB &amp; Bed Mgmt'!$V:$V,"&gt;="&amp;A33)&gt;0),$B$7*(1+$B$9)^(YEAR(A33)-YEAR($B$4)),"")</f>
        <v/>
      </c>
      <c r="F33" s="105">
        <f>IF(AND(EDATE($B$4,6)&lt;=EOMONTH($B$5,0),COUNTIFS('Client DB &amp; Bed Mgmt'!$A:$A,B33,'Client DB &amp; Bed Mgmt'!$D:$D,"&lt;&gt;",'Client DB &amp; Bed Mgmt'!$U:$U,"&lt;="&amp;A33,'Client DB &amp; Bed Mgmt'!$V:$V,"&gt;="&amp;A33)&gt;0),$B$8,"")</f>
        <v/>
      </c>
      <c r="G33" s="105">
        <f>IF(AND(EDATE($B$4,6)&lt;=EOMONTH($B$5,0),COUNTIFS('Client DB &amp; Bed Mgmt'!$A:$A,B33,'Client DB &amp; Bed Mgmt'!$D:$D,"&lt;&gt;",'Client DB &amp; Bed Mgmt'!$U:$U,"&lt;="&amp;A33,'Client DB &amp; Bed Mgmt'!$V:$V,"&gt;="&amp;A33)&gt;0),$B$9,"")</f>
        <v/>
      </c>
      <c r="H33" s="130">
        <f>IF(AND(EDATE($B$4,6)&lt;=EOMONTH($B$5,0),COUNTIFS('Client DB &amp; Bed Mgmt'!$A:$A,B33,'Client DB &amp; Bed Mgmt'!$D:$D,"&lt;&gt;",'Client DB &amp; Bed Mgmt'!$U:$U,"&lt;="&amp;A33,'Client DB &amp; Bed Mgmt'!$V:$V,"&gt;="&amp;A33)&gt;0),D33*E33,"")</f>
        <v/>
      </c>
      <c r="I33" s="189">
        <f>IF(AND(EDATE($B$4,6)&lt;=EOMONTH($B$5,0),COUNTIFS('Client DB &amp; Bed Mgmt'!$A:$A,B33,'Client DB &amp; Bed Mgmt'!$D:$D,"&lt;&gt;",'Client DB &amp; Bed Mgmt'!$U:$U,"&lt;="&amp;A33,'Client DB &amp; Bed Mgmt'!$V:$V,"&gt;="&amp;A33)&gt;0),SUM(X33:Z33),"")</f>
        <v/>
      </c>
      <c r="J33" s="189">
        <f>IF(AND(EDATE($B$4,6)&lt;=EOMONTH($B$5,0),COUNTIFS('Client DB &amp; Bed Mgmt'!$A:$A,B33,'Client DB &amp; Bed Mgmt'!$D:$D,"&lt;&gt;",'Client DB &amp; Bed Mgmt'!$U:$U,"&lt;="&amp;A33,'Client DB &amp; Bed Mgmt'!$V:$V,"&gt;="&amp;A33)&gt;0),D33*F33*E33,"")</f>
        <v/>
      </c>
      <c r="K33" s="190">
        <f>IF(AND(EDATE($B$4,6)&lt;=EOMONTH($B$5,0),COUNTIFS('Client DB &amp; Bed Mgmt'!$A:$A,B33,'Client DB &amp; Bed Mgmt'!$D:$D,"&lt;&gt;",'Client DB &amp; Bed Mgmt'!$U:$U,"&lt;="&amp;A33,'Client DB &amp; Bed Mgmt'!$V:$V,"&gt;="&amp;A33)&gt;0),75,"")</f>
        <v/>
      </c>
      <c r="L33" s="190">
        <f>IF(AND(EDATE($B$4,6)&lt;=EOMONTH($B$5,0),COUNTIFS('Client DB &amp; Bed Mgmt'!$A:$A,B33,'Client DB &amp; Bed Mgmt'!$D:$D,"&lt;&gt;",'Client DB &amp; Bed Mgmt'!$U:$U,"&lt;="&amp;A33,'Client DB &amp; Bed Mgmt'!$V:$V,"&gt;="&amp;A33)&gt;0),50,"")</f>
        <v/>
      </c>
      <c r="M33" s="190">
        <f>IF(AND(EDATE($B$4,6)&lt;=EOMONTH($B$5,0),COUNTIFS('Client DB &amp; Bed Mgmt'!$A:$A,B33,'Client DB &amp; Bed Mgmt'!$D:$D,"&lt;&gt;",'Client DB &amp; Bed Mgmt'!$U:$U,"&lt;="&amp;A33,'Client DB &amp; Bed Mgmt'!$V:$V,"&gt;="&amp;A33)&gt;0),150,"")</f>
        <v/>
      </c>
      <c r="N33" s="190">
        <f>IF(AND(EDATE($B$4,6)&lt;=EOMONTH($B$5,0),COUNTIFS('Client DB &amp; Bed Mgmt'!$A:$A,B33,'Client DB &amp; Bed Mgmt'!$D:$D,"&lt;&gt;",'Client DB &amp; Bed Mgmt'!$U:$U,"&lt;="&amp;A33,'Client DB &amp; Bed Mgmt'!$V:$V,"&gt;="&amp;A33)&gt;0),125,"")</f>
        <v/>
      </c>
      <c r="O33" s="190">
        <f>IF(AND(EDATE($B$4,6)&lt;=EOMONTH($B$5,0),COUNTIFS('Client DB &amp; Bed Mgmt'!$A:$A,B33,'Client DB &amp; Bed Mgmt'!$D:$D,"&lt;&gt;",'Client DB &amp; Bed Mgmt'!$U:$U,"&lt;="&amp;A33,'Client DB &amp; Bed Mgmt'!$V:$V,"&gt;="&amp;A33)&gt;0),60,"")</f>
        <v/>
      </c>
      <c r="P33" s="190">
        <f>IF(AND(EDATE($B$4,6)&lt;=EOMONTH($B$5,0),COUNTIFS('Client DB &amp; Bed Mgmt'!$A:$A,B33,'Client DB &amp; Bed Mgmt'!$D:$D,"&lt;&gt;",'Client DB &amp; Bed Mgmt'!$U:$U,"&lt;="&amp;A33,'Client DB &amp; Bed Mgmt'!$V:$V,"&gt;="&amp;A33)&gt;0),80,"")</f>
        <v/>
      </c>
      <c r="Q33" s="190">
        <f>IF(AND(EDATE($B$4,6)&lt;=EOMONTH($B$5,0),COUNTIFS('Client DB &amp; Bed Mgmt'!$A:$A,B33,'Client DB &amp; Bed Mgmt'!$D:$D,"&lt;&gt;",'Client DB &amp; Bed Mgmt'!$U:$U,"&lt;="&amp;A33,'Client DB &amp; Bed Mgmt'!$V:$V,"&gt;="&amp;A33)&gt;0),40,"")</f>
        <v/>
      </c>
      <c r="R33" s="189">
        <f>IF(AND(EDATE($B$4,6)&lt;=EOMONTH($B$5,0),COUNTIFS('Client DB &amp; Bed Mgmt'!$A:$A,B33,'Client DB &amp; Bed Mgmt'!$D:$D,"&lt;&gt;",'Client DB &amp; Bed Mgmt'!$U:$U,"&lt;="&amp;A33,'Client DB &amp; Bed Mgmt'!$V:$V,"&gt;="&amp;A33)&gt;0),IF(C33="Owned",0,2500),"")</f>
        <v/>
      </c>
      <c r="S33" s="189">
        <f>IF(AND(EDATE($B$4,6)&lt;=EOMONTH($B$5,0),COUNTIFS('Client DB &amp; Bed Mgmt'!$A:$A,B33,'Client DB &amp; Bed Mgmt'!$D:$D,"&lt;&gt;",'Client DB &amp; Bed Mgmt'!$U:$U,"&lt;="&amp;A33,'Client DB &amp; Bed Mgmt'!$V:$V,"&gt;="&amp;A33)&gt;0),SUM(K33:R33),"")</f>
        <v/>
      </c>
      <c r="T33" s="189">
        <f>IF(AND(EDATE($B$4,6)&lt;=EOMONTH($B$5,0),COUNTIFS('Client DB &amp; Bed Mgmt'!$A:$A,B33,'Client DB &amp; Bed Mgmt'!$D:$D,"&lt;&gt;",'Client DB &amp; Bed Mgmt'!$U:$U,"&lt;="&amp;A33,'Client DB &amp; Bed Mgmt'!$V:$V,"&gt;="&amp;A33)&gt;0),I33-S33,"")</f>
        <v/>
      </c>
      <c r="U33" s="105">
        <f>IF(AND(EDATE($B$4,6)&lt;=EOMONTH($B$5,0),COUNTIFS('Client DB &amp; Bed Mgmt'!$A:$A,B33,'Client DB &amp; Bed Mgmt'!$D:$D,"&lt;&gt;",'Client DB &amp; Bed Mgmt'!$U:$U,"&lt;="&amp;A33,'Client DB &amp; Bed Mgmt'!$V:$V,"&gt;="&amp;A33)&gt;0),IFERROR(T33/I33,0),"")</f>
        <v/>
      </c>
      <c r="V33" s="191">
        <f>IF(EDATE($B$4,6)&lt;=EOMONTH($B$5,0),COUNTIFS('Client DB &amp; Bed Mgmt'!$A:$A,B33,'Client DB &amp; Bed Mgmt'!$D:$D,"&lt;&gt;",'Client DB &amp; Bed Mgmt'!$U:$U,"&lt;="&amp;A33,'Client DB &amp; Bed Mgmt'!$V:$V,"&gt;="&amp;A33),"")</f>
        <v/>
      </c>
      <c r="W33" s="181">
        <f>IF(AND(EDATE($B$4,6)&lt;=EOMONTH($B$5,0),COUNTIFS('Client DB &amp; Bed Mgmt'!$A:$A,B33,'Client DB &amp; Bed Mgmt'!$D:$D,"&lt;&gt;",'Client DB &amp; Bed Mgmt'!$U:$U,"&lt;="&amp;A33,'Client DB &amp; Bed Mgmt'!$V:$V,"&gt;="&amp;A33)&gt;0),V33,"")</f>
        <v/>
      </c>
      <c r="X33" s="189">
        <f>IF(AND(EDATE($B$4,6)&lt;=EOMONTH($B$5,0),COUNTIFS('Client DB &amp; Bed Mgmt'!$A:$A,B33,'Client DB &amp; Bed Mgmt'!$D:$D,"&lt;&gt;",'Client DB &amp; Bed Mgmt'!$U:$U,"&lt;="&amp;A33,'Client DB &amp; Bed Mgmt'!$V:$V,"&gt;="&amp;A33)&gt;0),SUMIFS('Client DB &amp; Bed Mgmt'!$I:$I,'Client DB &amp; Bed Mgmt'!$A:$A,B33,'Client DB &amp; Bed Mgmt'!$D:$D,"&lt;&gt;",'Client DB &amp; Bed Mgmt'!$U:$U,"&lt;="&amp;A33,'Client DB &amp; Bed Mgmt'!$V:$V,"&gt;="&amp;A33),"")</f>
        <v/>
      </c>
      <c r="Y33" s="189">
        <f>IF(AND(EDATE($B$4,6)&lt;=EOMONTH($B$5,0),COUNTIFS('Client DB &amp; Bed Mgmt'!$A:$A,B33,'Client DB &amp; Bed Mgmt'!$D:$D,"&lt;&gt;",'Client DB &amp; Bed Mgmt'!$U:$U,"&lt;="&amp;A33,'Client DB &amp; Bed Mgmt'!$V:$V,"&gt;="&amp;A33)&gt;0),SUMIFS('Client DB &amp; Bed Mgmt'!$J:$J,'Client DB &amp; Bed Mgmt'!$A:$A,B33,'Client DB &amp; Bed Mgmt'!$D:$D,"&lt;&gt;",'Client DB &amp; Bed Mgmt'!$U:$U,"&lt;="&amp;A33,'Client DB &amp; Bed Mgmt'!$V:$V,"&gt;="&amp;A33),"")</f>
        <v/>
      </c>
      <c r="Z33" s="192">
        <f>IF(AND(EDATE($B$4,6)&lt;=EOMONTH($B$5,0),COUNTIFS('Client DB &amp; Bed Mgmt'!$A:$A,B33,'Client DB &amp; Bed Mgmt'!$D:$D,"&lt;&gt;",'Client DB &amp; Bed Mgmt'!$U:$U,"&lt;="&amp;A33,'Client DB &amp; Bed Mgmt'!$V:$V,"&gt;="&amp;A33)&gt;0),SUMIFS('Client DB &amp; Bed Mgmt'!$K:$K,'Client DB &amp; Bed Mgmt'!$A:$A,B33,'Client DB &amp; Bed Mgmt'!$D:$D,"&lt;&gt;",'Client DB &amp; Bed Mgmt'!$U:$U,"&lt;="&amp;A33,'Client DB &amp; Bed Mgmt'!$V:$V,"&gt;="&amp;A33),"")</f>
        <v/>
      </c>
      <c r="AA33" s="82" t="n"/>
      <c r="AB33" s="82" t="n"/>
    </row>
    <row r="34" hidden="1" ht="14.25" customHeight="1" s="83">
      <c r="A34" s="177">
        <f>IF(EDATE($B$4,6)&lt;=EOMONTH($B$5,0),EDATE($B$4,6),"")</f>
        <v/>
      </c>
      <c r="B34" s="103">
        <f>IF(EDATE($B$4,6)&lt;=EOMONTH($B$5,0),"Dorm 3","")</f>
        <v/>
      </c>
      <c r="C34" s="170">
        <f>IF(AND(EDATE($B$4,6)&lt;=EOMONTH($B$5,0),COUNTIFS('Client DB &amp; Bed Mgmt'!$A:$A,B34,'Client DB &amp; Bed Mgmt'!$D:$D,"&lt;&gt;",'Client DB &amp; Bed Mgmt'!$U:$U,"&lt;="&amp;A34,'Client DB &amp; Bed Mgmt'!$V:$V,"&gt;="&amp;A34)&gt;0),IFERROR(INDEX('Settings &amp; Master Config'!$C$21:$C$23,MATCH(B34,'Settings &amp; Master Config'!$A$21:$A$23,0)),""),"")</f>
        <v/>
      </c>
      <c r="D34" s="170">
        <f>IF(AND(EDATE($B$4,6)&lt;=EOMONTH($B$5,0),COUNTIFS('Client DB &amp; Bed Mgmt'!$A:$A,B34,'Client DB &amp; Bed Mgmt'!$D:$D,"&lt;&gt;",'Client DB &amp; Bed Mgmt'!$U:$U,"&lt;="&amp;A34,'Client DB &amp; Bed Mgmt'!$V:$V,"&gt;="&amp;A34)&gt;0),IFERROR(INDEX('Settings &amp; Master Config'!$F$21:$F$23,MATCH(B34,'Settings &amp; Master Config'!$A$21:$A$23,0)),0),"")</f>
        <v/>
      </c>
      <c r="E34" s="130">
        <f>IF(AND(EDATE($B$4,6)&lt;=EOMONTH($B$5,0),COUNTIFS('Client DB &amp; Bed Mgmt'!$A:$A,B34,'Client DB &amp; Bed Mgmt'!$D:$D,"&lt;&gt;",'Client DB &amp; Bed Mgmt'!$U:$U,"&lt;="&amp;A34,'Client DB &amp; Bed Mgmt'!$V:$V,"&gt;="&amp;A34)&gt;0),$B$7*(1+$B$9)^(YEAR(A34)-YEAR($B$4)),"")</f>
        <v/>
      </c>
      <c r="F34" s="105">
        <f>IF(AND(EDATE($B$4,6)&lt;=EOMONTH($B$5,0),COUNTIFS('Client DB &amp; Bed Mgmt'!$A:$A,B34,'Client DB &amp; Bed Mgmt'!$D:$D,"&lt;&gt;",'Client DB &amp; Bed Mgmt'!$U:$U,"&lt;="&amp;A34,'Client DB &amp; Bed Mgmt'!$V:$V,"&gt;="&amp;A34)&gt;0),$B$8,"")</f>
        <v/>
      </c>
      <c r="G34" s="105">
        <f>IF(AND(EDATE($B$4,6)&lt;=EOMONTH($B$5,0),COUNTIFS('Client DB &amp; Bed Mgmt'!$A:$A,B34,'Client DB &amp; Bed Mgmt'!$D:$D,"&lt;&gt;",'Client DB &amp; Bed Mgmt'!$U:$U,"&lt;="&amp;A34,'Client DB &amp; Bed Mgmt'!$V:$V,"&gt;="&amp;A34)&gt;0),$B$9,"")</f>
        <v/>
      </c>
      <c r="H34" s="130">
        <f>IF(AND(EDATE($B$4,6)&lt;=EOMONTH($B$5,0),COUNTIFS('Client DB &amp; Bed Mgmt'!$A:$A,B34,'Client DB &amp; Bed Mgmt'!$D:$D,"&lt;&gt;",'Client DB &amp; Bed Mgmt'!$U:$U,"&lt;="&amp;A34,'Client DB &amp; Bed Mgmt'!$V:$V,"&gt;="&amp;A34)&gt;0),D34*E34,"")</f>
        <v/>
      </c>
      <c r="I34" s="189">
        <f>IF(AND(EDATE($B$4,6)&lt;=EOMONTH($B$5,0),COUNTIFS('Client DB &amp; Bed Mgmt'!$A:$A,B34,'Client DB &amp; Bed Mgmt'!$D:$D,"&lt;&gt;",'Client DB &amp; Bed Mgmt'!$U:$U,"&lt;="&amp;A34,'Client DB &amp; Bed Mgmt'!$V:$V,"&gt;="&amp;A34)&gt;0),SUM(X34:Z34),"")</f>
        <v/>
      </c>
      <c r="J34" s="189">
        <f>IF(AND(EDATE($B$4,6)&lt;=EOMONTH($B$5,0),COUNTIFS('Client DB &amp; Bed Mgmt'!$A:$A,B34,'Client DB &amp; Bed Mgmt'!$D:$D,"&lt;&gt;",'Client DB &amp; Bed Mgmt'!$U:$U,"&lt;="&amp;A34,'Client DB &amp; Bed Mgmt'!$V:$V,"&gt;="&amp;A34)&gt;0),D34*F34*E34,"")</f>
        <v/>
      </c>
      <c r="K34" s="190">
        <f>IF(AND(EDATE($B$4,6)&lt;=EOMONTH($B$5,0),COUNTIFS('Client DB &amp; Bed Mgmt'!$A:$A,B34,'Client DB &amp; Bed Mgmt'!$D:$D,"&lt;&gt;",'Client DB &amp; Bed Mgmt'!$U:$U,"&lt;="&amp;A34,'Client DB &amp; Bed Mgmt'!$V:$V,"&gt;="&amp;A34)&gt;0),75,"")</f>
        <v/>
      </c>
      <c r="L34" s="190">
        <f>IF(AND(EDATE($B$4,6)&lt;=EOMONTH($B$5,0),COUNTIFS('Client DB &amp; Bed Mgmt'!$A:$A,B34,'Client DB &amp; Bed Mgmt'!$D:$D,"&lt;&gt;",'Client DB &amp; Bed Mgmt'!$U:$U,"&lt;="&amp;A34,'Client DB &amp; Bed Mgmt'!$V:$V,"&gt;="&amp;A34)&gt;0),50,"")</f>
        <v/>
      </c>
      <c r="M34" s="190">
        <f>IF(AND(EDATE($B$4,6)&lt;=EOMONTH($B$5,0),COUNTIFS('Client DB &amp; Bed Mgmt'!$A:$A,B34,'Client DB &amp; Bed Mgmt'!$D:$D,"&lt;&gt;",'Client DB &amp; Bed Mgmt'!$U:$U,"&lt;="&amp;A34,'Client DB &amp; Bed Mgmt'!$V:$V,"&gt;="&amp;A34)&gt;0),150,"")</f>
        <v/>
      </c>
      <c r="N34" s="190">
        <f>IF(AND(EDATE($B$4,6)&lt;=EOMONTH($B$5,0),COUNTIFS('Client DB &amp; Bed Mgmt'!$A:$A,B34,'Client DB &amp; Bed Mgmt'!$D:$D,"&lt;&gt;",'Client DB &amp; Bed Mgmt'!$U:$U,"&lt;="&amp;A34,'Client DB &amp; Bed Mgmt'!$V:$V,"&gt;="&amp;A34)&gt;0),125,"")</f>
        <v/>
      </c>
      <c r="O34" s="190">
        <f>IF(AND(EDATE($B$4,6)&lt;=EOMONTH($B$5,0),COUNTIFS('Client DB &amp; Bed Mgmt'!$A:$A,B34,'Client DB &amp; Bed Mgmt'!$D:$D,"&lt;&gt;",'Client DB &amp; Bed Mgmt'!$U:$U,"&lt;="&amp;A34,'Client DB &amp; Bed Mgmt'!$V:$V,"&gt;="&amp;A34)&gt;0),60,"")</f>
        <v/>
      </c>
      <c r="P34" s="190">
        <f>IF(AND(EDATE($B$4,6)&lt;=EOMONTH($B$5,0),COUNTIFS('Client DB &amp; Bed Mgmt'!$A:$A,B34,'Client DB &amp; Bed Mgmt'!$D:$D,"&lt;&gt;",'Client DB &amp; Bed Mgmt'!$U:$U,"&lt;="&amp;A34,'Client DB &amp; Bed Mgmt'!$V:$V,"&gt;="&amp;A34)&gt;0),80,"")</f>
        <v/>
      </c>
      <c r="Q34" s="190">
        <f>IF(AND(EDATE($B$4,6)&lt;=EOMONTH($B$5,0),COUNTIFS('Client DB &amp; Bed Mgmt'!$A:$A,B34,'Client DB &amp; Bed Mgmt'!$D:$D,"&lt;&gt;",'Client DB &amp; Bed Mgmt'!$U:$U,"&lt;="&amp;A34,'Client DB &amp; Bed Mgmt'!$V:$V,"&gt;="&amp;A34)&gt;0),40,"")</f>
        <v/>
      </c>
      <c r="R34" s="189">
        <f>IF(AND(EDATE($B$4,6)&lt;=EOMONTH($B$5,0),COUNTIFS('Client DB &amp; Bed Mgmt'!$A:$A,B34,'Client DB &amp; Bed Mgmt'!$D:$D,"&lt;&gt;",'Client DB &amp; Bed Mgmt'!$U:$U,"&lt;="&amp;A34,'Client DB &amp; Bed Mgmt'!$V:$V,"&gt;="&amp;A34)&gt;0),IF(C34="Owned",0,2500),"")</f>
        <v/>
      </c>
      <c r="S34" s="189">
        <f>IF(AND(EDATE($B$4,6)&lt;=EOMONTH($B$5,0),COUNTIFS('Client DB &amp; Bed Mgmt'!$A:$A,B34,'Client DB &amp; Bed Mgmt'!$D:$D,"&lt;&gt;",'Client DB &amp; Bed Mgmt'!$U:$U,"&lt;="&amp;A34,'Client DB &amp; Bed Mgmt'!$V:$V,"&gt;="&amp;A34)&gt;0),SUM(K34:R34),"")</f>
        <v/>
      </c>
      <c r="T34" s="189">
        <f>IF(AND(EDATE($B$4,6)&lt;=EOMONTH($B$5,0),COUNTIFS('Client DB &amp; Bed Mgmt'!$A:$A,B34,'Client DB &amp; Bed Mgmt'!$D:$D,"&lt;&gt;",'Client DB &amp; Bed Mgmt'!$U:$U,"&lt;="&amp;A34,'Client DB &amp; Bed Mgmt'!$V:$V,"&gt;="&amp;A34)&gt;0),I34-S34,"")</f>
        <v/>
      </c>
      <c r="U34" s="105">
        <f>IF(AND(EDATE($B$4,6)&lt;=EOMONTH($B$5,0),COUNTIFS('Client DB &amp; Bed Mgmt'!$A:$A,B34,'Client DB &amp; Bed Mgmt'!$D:$D,"&lt;&gt;",'Client DB &amp; Bed Mgmt'!$U:$U,"&lt;="&amp;A34,'Client DB &amp; Bed Mgmt'!$V:$V,"&gt;="&amp;A34)&gt;0),IFERROR(T34/I34,0),"")</f>
        <v/>
      </c>
      <c r="V34" s="191">
        <f>IF(EDATE($B$4,6)&lt;=EOMONTH($B$5,0),COUNTIFS('Client DB &amp; Bed Mgmt'!$A:$A,B34,'Client DB &amp; Bed Mgmt'!$D:$D,"&lt;&gt;",'Client DB &amp; Bed Mgmt'!$U:$U,"&lt;="&amp;A34,'Client DB &amp; Bed Mgmt'!$V:$V,"&gt;="&amp;A34),"")</f>
        <v/>
      </c>
      <c r="W34" s="181">
        <f>IF(AND(EDATE($B$4,6)&lt;=EOMONTH($B$5,0),COUNTIFS('Client DB &amp; Bed Mgmt'!$A:$A,B34,'Client DB &amp; Bed Mgmt'!$D:$D,"&lt;&gt;",'Client DB &amp; Bed Mgmt'!$U:$U,"&lt;="&amp;A34,'Client DB &amp; Bed Mgmt'!$V:$V,"&gt;="&amp;A34)&gt;0),V34,"")</f>
        <v/>
      </c>
      <c r="X34" s="189">
        <f>IF(AND(EDATE($B$4,6)&lt;=EOMONTH($B$5,0),COUNTIFS('Client DB &amp; Bed Mgmt'!$A:$A,B34,'Client DB &amp; Bed Mgmt'!$D:$D,"&lt;&gt;",'Client DB &amp; Bed Mgmt'!$U:$U,"&lt;="&amp;A34,'Client DB &amp; Bed Mgmt'!$V:$V,"&gt;="&amp;A34)&gt;0),SUMIFS('Client DB &amp; Bed Mgmt'!$I:$I,'Client DB &amp; Bed Mgmt'!$A:$A,B34,'Client DB &amp; Bed Mgmt'!$D:$D,"&lt;&gt;",'Client DB &amp; Bed Mgmt'!$U:$U,"&lt;="&amp;A34,'Client DB &amp; Bed Mgmt'!$V:$V,"&gt;="&amp;A34),"")</f>
        <v/>
      </c>
      <c r="Y34" s="189">
        <f>IF(AND(EDATE($B$4,6)&lt;=EOMONTH($B$5,0),COUNTIFS('Client DB &amp; Bed Mgmt'!$A:$A,B34,'Client DB &amp; Bed Mgmt'!$D:$D,"&lt;&gt;",'Client DB &amp; Bed Mgmt'!$U:$U,"&lt;="&amp;A34,'Client DB &amp; Bed Mgmt'!$V:$V,"&gt;="&amp;A34)&gt;0),SUMIFS('Client DB &amp; Bed Mgmt'!$J:$J,'Client DB &amp; Bed Mgmt'!$A:$A,B34,'Client DB &amp; Bed Mgmt'!$D:$D,"&lt;&gt;",'Client DB &amp; Bed Mgmt'!$U:$U,"&lt;="&amp;A34,'Client DB &amp; Bed Mgmt'!$V:$V,"&gt;="&amp;A34),"")</f>
        <v/>
      </c>
      <c r="Z34" s="192">
        <f>IF(AND(EDATE($B$4,6)&lt;=EOMONTH($B$5,0),COUNTIFS('Client DB &amp; Bed Mgmt'!$A:$A,B34,'Client DB &amp; Bed Mgmt'!$D:$D,"&lt;&gt;",'Client DB &amp; Bed Mgmt'!$U:$U,"&lt;="&amp;A34,'Client DB &amp; Bed Mgmt'!$V:$V,"&gt;="&amp;A34)&gt;0),SUMIFS('Client DB &amp; Bed Mgmt'!$K:$K,'Client DB &amp; Bed Mgmt'!$A:$A,B34,'Client DB &amp; Bed Mgmt'!$D:$D,"&lt;&gt;",'Client DB &amp; Bed Mgmt'!$U:$U,"&lt;="&amp;A34,'Client DB &amp; Bed Mgmt'!$V:$V,"&gt;="&amp;A34),"")</f>
        <v/>
      </c>
      <c r="AA34" s="82" t="n"/>
      <c r="AB34" s="82" t="n"/>
    </row>
    <row r="35" ht="14.25" customHeight="1" s="83">
      <c r="A35" s="177">
        <f>IF(EDATE($B$4,7)&lt;=EOMONTH($B$5,0),EDATE($B$4,7),"")</f>
        <v/>
      </c>
      <c r="B35" s="103">
        <f>IF(EDATE($B$4,7)&lt;=EOMONTH($B$5,0),"Dorm 1","")</f>
        <v/>
      </c>
      <c r="C35" s="170">
        <f>IF(AND(EDATE($B$4,7)&lt;=EOMONTH($B$5,0),COUNTIFS('Client DB &amp; Bed Mgmt'!$A:$A,B35,'Client DB &amp; Bed Mgmt'!$D:$D,"&lt;&gt;",'Client DB &amp; Bed Mgmt'!$U:$U,"&lt;="&amp;A35,'Client DB &amp; Bed Mgmt'!$V:$V,"&gt;="&amp;A35)&gt;0),IFERROR(INDEX('Settings &amp; Master Config'!$C$21:$C$23,MATCH(B35,'Settings &amp; Master Config'!$A$21:$A$23,0)),""),"")</f>
        <v/>
      </c>
      <c r="D35" s="170">
        <f>IF(AND(EDATE($B$4,7)&lt;=EOMONTH($B$5,0),COUNTIFS('Client DB &amp; Bed Mgmt'!$A:$A,B35,'Client DB &amp; Bed Mgmt'!$D:$D,"&lt;&gt;",'Client DB &amp; Bed Mgmt'!$U:$U,"&lt;="&amp;A35,'Client DB &amp; Bed Mgmt'!$V:$V,"&gt;="&amp;A35)&gt;0),IFERROR(INDEX('Settings &amp; Master Config'!$F$21:$F$23,MATCH(B35,'Settings &amp; Master Config'!$A$21:$A$23,0)),0),"")</f>
        <v/>
      </c>
      <c r="E35" s="130">
        <f>IF(AND(EDATE($B$4,7)&lt;=EOMONTH($B$5,0),COUNTIFS('Client DB &amp; Bed Mgmt'!$A:$A,B35,'Client DB &amp; Bed Mgmt'!$D:$D,"&lt;&gt;",'Client DB &amp; Bed Mgmt'!$U:$U,"&lt;="&amp;A35,'Client DB &amp; Bed Mgmt'!$V:$V,"&gt;="&amp;A35)&gt;0),$B$7*(1+$B$9)^(YEAR(A35)-YEAR($B$4)),"")</f>
        <v/>
      </c>
      <c r="F35" s="105">
        <f>IF(AND(EDATE($B$4,7)&lt;=EOMONTH($B$5,0),COUNTIFS('Client DB &amp; Bed Mgmt'!$A:$A,B35,'Client DB &amp; Bed Mgmt'!$D:$D,"&lt;&gt;",'Client DB &amp; Bed Mgmt'!$U:$U,"&lt;="&amp;A35,'Client DB &amp; Bed Mgmt'!$V:$V,"&gt;="&amp;A35)&gt;0),$B$8,"")</f>
        <v/>
      </c>
      <c r="G35" s="105">
        <f>IF(AND(EDATE($B$4,7)&lt;=EOMONTH($B$5,0),COUNTIFS('Client DB &amp; Bed Mgmt'!$A:$A,B35,'Client DB &amp; Bed Mgmt'!$D:$D,"&lt;&gt;",'Client DB &amp; Bed Mgmt'!$U:$U,"&lt;="&amp;A35,'Client DB &amp; Bed Mgmt'!$V:$V,"&gt;="&amp;A35)&gt;0),$B$9,"")</f>
        <v/>
      </c>
      <c r="H35" s="130">
        <f>IF(AND(EDATE($B$4,7)&lt;=EOMONTH($B$5,0),COUNTIFS('Client DB &amp; Bed Mgmt'!$A:$A,B35,'Client DB &amp; Bed Mgmt'!$D:$D,"&lt;&gt;",'Client DB &amp; Bed Mgmt'!$U:$U,"&lt;="&amp;A35,'Client DB &amp; Bed Mgmt'!$V:$V,"&gt;="&amp;A35)&gt;0),D35*E35,"")</f>
        <v/>
      </c>
      <c r="I35" s="189">
        <f>IF(AND(EDATE($B$4,7)&lt;=EOMONTH($B$5,0),COUNTIFS('Client DB &amp; Bed Mgmt'!$A:$A,B35,'Client DB &amp; Bed Mgmt'!$D:$D,"&lt;&gt;",'Client DB &amp; Bed Mgmt'!$U:$U,"&lt;="&amp;A35,'Client DB &amp; Bed Mgmt'!$V:$V,"&gt;="&amp;A35)&gt;0),SUM(X35:Z35),"")</f>
        <v/>
      </c>
      <c r="J35" s="189">
        <f>IF(AND(EDATE($B$4,7)&lt;=EOMONTH($B$5,0),COUNTIFS('Client DB &amp; Bed Mgmt'!$A:$A,B35,'Client DB &amp; Bed Mgmt'!$D:$D,"&lt;&gt;",'Client DB &amp; Bed Mgmt'!$U:$U,"&lt;="&amp;A35,'Client DB &amp; Bed Mgmt'!$V:$V,"&gt;="&amp;A35)&gt;0),D35*F35*E35,"")</f>
        <v/>
      </c>
      <c r="K35" s="190">
        <f>IF(AND(EDATE($B$4,7)&lt;=EOMONTH($B$5,0),COUNTIFS('Client DB &amp; Bed Mgmt'!$A:$A,B35,'Client DB &amp; Bed Mgmt'!$D:$D,"&lt;&gt;",'Client DB &amp; Bed Mgmt'!$U:$U,"&lt;="&amp;A35,'Client DB &amp; Bed Mgmt'!$V:$V,"&gt;="&amp;A35)&gt;0),75,"")</f>
        <v/>
      </c>
      <c r="L35" s="190">
        <f>IF(AND(EDATE($B$4,7)&lt;=EOMONTH($B$5,0),COUNTIFS('Client DB &amp; Bed Mgmt'!$A:$A,B35,'Client DB &amp; Bed Mgmt'!$D:$D,"&lt;&gt;",'Client DB &amp; Bed Mgmt'!$U:$U,"&lt;="&amp;A35,'Client DB &amp; Bed Mgmt'!$V:$V,"&gt;="&amp;A35)&gt;0),50,"")</f>
        <v/>
      </c>
      <c r="M35" s="190">
        <f>IF(AND(EDATE($B$4,7)&lt;=EOMONTH($B$5,0),COUNTIFS('Client DB &amp; Bed Mgmt'!$A:$A,B35,'Client DB &amp; Bed Mgmt'!$D:$D,"&lt;&gt;",'Client DB &amp; Bed Mgmt'!$U:$U,"&lt;="&amp;A35,'Client DB &amp; Bed Mgmt'!$V:$V,"&gt;="&amp;A35)&gt;0),150,"")</f>
        <v/>
      </c>
      <c r="N35" s="190">
        <f>IF(AND(EDATE($B$4,7)&lt;=EOMONTH($B$5,0),COUNTIFS('Client DB &amp; Bed Mgmt'!$A:$A,B35,'Client DB &amp; Bed Mgmt'!$D:$D,"&lt;&gt;",'Client DB &amp; Bed Mgmt'!$U:$U,"&lt;="&amp;A35,'Client DB &amp; Bed Mgmt'!$V:$V,"&gt;="&amp;A35)&gt;0),125,"")</f>
        <v/>
      </c>
      <c r="O35" s="190">
        <f>IF(AND(EDATE($B$4,7)&lt;=EOMONTH($B$5,0),COUNTIFS('Client DB &amp; Bed Mgmt'!$A:$A,B35,'Client DB &amp; Bed Mgmt'!$D:$D,"&lt;&gt;",'Client DB &amp; Bed Mgmt'!$U:$U,"&lt;="&amp;A35,'Client DB &amp; Bed Mgmt'!$V:$V,"&gt;="&amp;A35)&gt;0),60,"")</f>
        <v/>
      </c>
      <c r="P35" s="190">
        <f>IF(AND(EDATE($B$4,7)&lt;=EOMONTH($B$5,0),COUNTIFS('Client DB &amp; Bed Mgmt'!$A:$A,B35,'Client DB &amp; Bed Mgmt'!$D:$D,"&lt;&gt;",'Client DB &amp; Bed Mgmt'!$U:$U,"&lt;="&amp;A35,'Client DB &amp; Bed Mgmt'!$V:$V,"&gt;="&amp;A35)&gt;0),80,"")</f>
        <v/>
      </c>
      <c r="Q35" s="190">
        <f>IF(AND(EDATE($B$4,7)&lt;=EOMONTH($B$5,0),COUNTIFS('Client DB &amp; Bed Mgmt'!$A:$A,B35,'Client DB &amp; Bed Mgmt'!$D:$D,"&lt;&gt;",'Client DB &amp; Bed Mgmt'!$U:$U,"&lt;="&amp;A35,'Client DB &amp; Bed Mgmt'!$V:$V,"&gt;="&amp;A35)&gt;0),40,"")</f>
        <v/>
      </c>
      <c r="R35" s="189">
        <f>IF(AND(EDATE($B$4,7)&lt;=EOMONTH($B$5,0),COUNTIFS('Client DB &amp; Bed Mgmt'!$A:$A,B35,'Client DB &amp; Bed Mgmt'!$D:$D,"&lt;&gt;",'Client DB &amp; Bed Mgmt'!$U:$U,"&lt;="&amp;A35,'Client DB &amp; Bed Mgmt'!$V:$V,"&gt;="&amp;A35)&gt;0),IF(C35="Owned",0,2500),"")</f>
        <v/>
      </c>
      <c r="S35" s="189">
        <f>IF(AND(EDATE($B$4,7)&lt;=EOMONTH($B$5,0),COUNTIFS('Client DB &amp; Bed Mgmt'!$A:$A,B35,'Client DB &amp; Bed Mgmt'!$D:$D,"&lt;&gt;",'Client DB &amp; Bed Mgmt'!$U:$U,"&lt;="&amp;A35,'Client DB &amp; Bed Mgmt'!$V:$V,"&gt;="&amp;A35)&gt;0),SUM(K35:R35),"")</f>
        <v/>
      </c>
      <c r="T35" s="189">
        <f>IF(AND(EDATE($B$4,7)&lt;=EOMONTH($B$5,0),COUNTIFS('Client DB &amp; Bed Mgmt'!$A:$A,B35,'Client DB &amp; Bed Mgmt'!$D:$D,"&lt;&gt;",'Client DB &amp; Bed Mgmt'!$U:$U,"&lt;="&amp;A35,'Client DB &amp; Bed Mgmt'!$V:$V,"&gt;="&amp;A35)&gt;0),I35-S35,"")</f>
        <v/>
      </c>
      <c r="U35" s="105">
        <f>IF(AND(EDATE($B$4,7)&lt;=EOMONTH($B$5,0),COUNTIFS('Client DB &amp; Bed Mgmt'!$A:$A,B35,'Client DB &amp; Bed Mgmt'!$D:$D,"&lt;&gt;",'Client DB &amp; Bed Mgmt'!$U:$U,"&lt;="&amp;A35,'Client DB &amp; Bed Mgmt'!$V:$V,"&gt;="&amp;A35)&gt;0),IFERROR(T35/I35,0),"")</f>
        <v/>
      </c>
      <c r="V35" s="191">
        <f>IF(EDATE($B$4,7)&lt;=EOMONTH($B$5,0),COUNTIFS('Client DB &amp; Bed Mgmt'!$A:$A,B35,'Client DB &amp; Bed Mgmt'!$D:$D,"&lt;&gt;",'Client DB &amp; Bed Mgmt'!$U:$U,"&lt;="&amp;A35,'Client DB &amp; Bed Mgmt'!$V:$V,"&gt;="&amp;A35),"")</f>
        <v/>
      </c>
      <c r="W35" s="181">
        <f>IF(AND(EDATE($B$4,7)&lt;=EOMONTH($B$5,0),COUNTIFS('Client DB &amp; Bed Mgmt'!$A:$A,B35,'Client DB &amp; Bed Mgmt'!$D:$D,"&lt;&gt;",'Client DB &amp; Bed Mgmt'!$U:$U,"&lt;="&amp;A35,'Client DB &amp; Bed Mgmt'!$V:$V,"&gt;="&amp;A35)&gt;0),V35,"")</f>
        <v/>
      </c>
      <c r="X35" s="189">
        <f>IF(AND(EDATE($B$4,7)&lt;=EOMONTH($B$5,0),COUNTIFS('Client DB &amp; Bed Mgmt'!$A:$A,B35,'Client DB &amp; Bed Mgmt'!$D:$D,"&lt;&gt;",'Client DB &amp; Bed Mgmt'!$U:$U,"&lt;="&amp;A35,'Client DB &amp; Bed Mgmt'!$V:$V,"&gt;="&amp;A35)&gt;0),SUMIFS('Client DB &amp; Bed Mgmt'!$I:$I,'Client DB &amp; Bed Mgmt'!$A:$A,B35,'Client DB &amp; Bed Mgmt'!$D:$D,"&lt;&gt;",'Client DB &amp; Bed Mgmt'!$U:$U,"&lt;="&amp;A35,'Client DB &amp; Bed Mgmt'!$V:$V,"&gt;="&amp;A35),"")</f>
        <v/>
      </c>
      <c r="Y35" s="189">
        <f>IF(AND(EDATE($B$4,7)&lt;=EOMONTH($B$5,0),COUNTIFS('Client DB &amp; Bed Mgmt'!$A:$A,B35,'Client DB &amp; Bed Mgmt'!$D:$D,"&lt;&gt;",'Client DB &amp; Bed Mgmt'!$U:$U,"&lt;="&amp;A35,'Client DB &amp; Bed Mgmt'!$V:$V,"&gt;="&amp;A35)&gt;0),SUMIFS('Client DB &amp; Bed Mgmt'!$J:$J,'Client DB &amp; Bed Mgmt'!$A:$A,B35,'Client DB &amp; Bed Mgmt'!$D:$D,"&lt;&gt;",'Client DB &amp; Bed Mgmt'!$U:$U,"&lt;="&amp;A35,'Client DB &amp; Bed Mgmt'!$V:$V,"&gt;="&amp;A35),"")</f>
        <v/>
      </c>
      <c r="Z35" s="192">
        <f>IF(AND(EDATE($B$4,7)&lt;=EOMONTH($B$5,0),COUNTIFS('Client DB &amp; Bed Mgmt'!$A:$A,B35,'Client DB &amp; Bed Mgmt'!$D:$D,"&lt;&gt;",'Client DB &amp; Bed Mgmt'!$U:$U,"&lt;="&amp;A35,'Client DB &amp; Bed Mgmt'!$V:$V,"&gt;="&amp;A35)&gt;0),SUMIFS('Client DB &amp; Bed Mgmt'!$K:$K,'Client DB &amp; Bed Mgmt'!$A:$A,B35,'Client DB &amp; Bed Mgmt'!$D:$D,"&lt;&gt;",'Client DB &amp; Bed Mgmt'!$U:$U,"&lt;="&amp;A35,'Client DB &amp; Bed Mgmt'!$V:$V,"&gt;="&amp;A35),"")</f>
        <v/>
      </c>
      <c r="AA35" s="82" t="n"/>
      <c r="AB35" s="82" t="n"/>
    </row>
    <row r="36" hidden="1" ht="14.25" customHeight="1" s="83">
      <c r="A36" s="177">
        <f>IF(EDATE($B$4,7)&lt;=EOMONTH($B$5,0),EDATE($B$4,7),"")</f>
        <v/>
      </c>
      <c r="B36" s="103">
        <f>IF(EDATE($B$4,7)&lt;=EOMONTH($B$5,0),"Dorm 2","")</f>
        <v/>
      </c>
      <c r="C36" s="170">
        <f>IF(AND(EDATE($B$4,7)&lt;=EOMONTH($B$5,0),COUNTIFS('Client DB &amp; Bed Mgmt'!$A:$A,B36,'Client DB &amp; Bed Mgmt'!$D:$D,"&lt;&gt;",'Client DB &amp; Bed Mgmt'!$U:$U,"&lt;="&amp;A36,'Client DB &amp; Bed Mgmt'!$V:$V,"&gt;="&amp;A36)&gt;0),IFERROR(INDEX('Settings &amp; Master Config'!$C$21:$C$23,MATCH(B36,'Settings &amp; Master Config'!$A$21:$A$23,0)),""),"")</f>
        <v/>
      </c>
      <c r="D36" s="170">
        <f>IF(AND(EDATE($B$4,7)&lt;=EOMONTH($B$5,0),COUNTIFS('Client DB &amp; Bed Mgmt'!$A:$A,B36,'Client DB &amp; Bed Mgmt'!$D:$D,"&lt;&gt;",'Client DB &amp; Bed Mgmt'!$U:$U,"&lt;="&amp;A36,'Client DB &amp; Bed Mgmt'!$V:$V,"&gt;="&amp;A36)&gt;0),IFERROR(INDEX('Settings &amp; Master Config'!$F$21:$F$23,MATCH(B36,'Settings &amp; Master Config'!$A$21:$A$23,0)),0),"")</f>
        <v/>
      </c>
      <c r="E36" s="130">
        <f>IF(AND(EDATE($B$4,7)&lt;=EOMONTH($B$5,0),COUNTIFS('Client DB &amp; Bed Mgmt'!$A:$A,B36,'Client DB &amp; Bed Mgmt'!$D:$D,"&lt;&gt;",'Client DB &amp; Bed Mgmt'!$U:$U,"&lt;="&amp;A36,'Client DB &amp; Bed Mgmt'!$V:$V,"&gt;="&amp;A36)&gt;0),$B$7*(1+$B$9)^(YEAR(A36)-YEAR($B$4)),"")</f>
        <v/>
      </c>
      <c r="F36" s="105">
        <f>IF(AND(EDATE($B$4,7)&lt;=EOMONTH($B$5,0),COUNTIFS('Client DB &amp; Bed Mgmt'!$A:$A,B36,'Client DB &amp; Bed Mgmt'!$D:$D,"&lt;&gt;",'Client DB &amp; Bed Mgmt'!$U:$U,"&lt;="&amp;A36,'Client DB &amp; Bed Mgmt'!$V:$V,"&gt;="&amp;A36)&gt;0),$B$8,"")</f>
        <v/>
      </c>
      <c r="G36" s="105">
        <f>IF(AND(EDATE($B$4,7)&lt;=EOMONTH($B$5,0),COUNTIFS('Client DB &amp; Bed Mgmt'!$A:$A,B36,'Client DB &amp; Bed Mgmt'!$D:$D,"&lt;&gt;",'Client DB &amp; Bed Mgmt'!$U:$U,"&lt;="&amp;A36,'Client DB &amp; Bed Mgmt'!$V:$V,"&gt;="&amp;A36)&gt;0),$B$9,"")</f>
        <v/>
      </c>
      <c r="H36" s="130">
        <f>IF(AND(EDATE($B$4,7)&lt;=EOMONTH($B$5,0),COUNTIFS('Client DB &amp; Bed Mgmt'!$A:$A,B36,'Client DB &amp; Bed Mgmt'!$D:$D,"&lt;&gt;",'Client DB &amp; Bed Mgmt'!$U:$U,"&lt;="&amp;A36,'Client DB &amp; Bed Mgmt'!$V:$V,"&gt;="&amp;A36)&gt;0),D36*E36,"")</f>
        <v/>
      </c>
      <c r="I36" s="189">
        <f>IF(AND(EDATE($B$4,7)&lt;=EOMONTH($B$5,0),COUNTIFS('Client DB &amp; Bed Mgmt'!$A:$A,B36,'Client DB &amp; Bed Mgmt'!$D:$D,"&lt;&gt;",'Client DB &amp; Bed Mgmt'!$U:$U,"&lt;="&amp;A36,'Client DB &amp; Bed Mgmt'!$V:$V,"&gt;="&amp;A36)&gt;0),SUM(X36:Z36),"")</f>
        <v/>
      </c>
      <c r="J36" s="189">
        <f>IF(AND(EDATE($B$4,7)&lt;=EOMONTH($B$5,0),COUNTIFS('Client DB &amp; Bed Mgmt'!$A:$A,B36,'Client DB &amp; Bed Mgmt'!$D:$D,"&lt;&gt;",'Client DB &amp; Bed Mgmt'!$U:$U,"&lt;="&amp;A36,'Client DB &amp; Bed Mgmt'!$V:$V,"&gt;="&amp;A36)&gt;0),D36*F36*E36,"")</f>
        <v/>
      </c>
      <c r="K36" s="190">
        <f>IF(AND(EDATE($B$4,7)&lt;=EOMONTH($B$5,0),COUNTIFS('Client DB &amp; Bed Mgmt'!$A:$A,B36,'Client DB &amp; Bed Mgmt'!$D:$D,"&lt;&gt;",'Client DB &amp; Bed Mgmt'!$U:$U,"&lt;="&amp;A36,'Client DB &amp; Bed Mgmt'!$V:$V,"&gt;="&amp;A36)&gt;0),75,"")</f>
        <v/>
      </c>
      <c r="L36" s="190">
        <f>IF(AND(EDATE($B$4,7)&lt;=EOMONTH($B$5,0),COUNTIFS('Client DB &amp; Bed Mgmt'!$A:$A,B36,'Client DB &amp; Bed Mgmt'!$D:$D,"&lt;&gt;",'Client DB &amp; Bed Mgmt'!$U:$U,"&lt;="&amp;A36,'Client DB &amp; Bed Mgmt'!$V:$V,"&gt;="&amp;A36)&gt;0),50,"")</f>
        <v/>
      </c>
      <c r="M36" s="190">
        <f>IF(AND(EDATE($B$4,7)&lt;=EOMONTH($B$5,0),COUNTIFS('Client DB &amp; Bed Mgmt'!$A:$A,B36,'Client DB &amp; Bed Mgmt'!$D:$D,"&lt;&gt;",'Client DB &amp; Bed Mgmt'!$U:$U,"&lt;="&amp;A36,'Client DB &amp; Bed Mgmt'!$V:$V,"&gt;="&amp;A36)&gt;0),150,"")</f>
        <v/>
      </c>
      <c r="N36" s="190">
        <f>IF(AND(EDATE($B$4,7)&lt;=EOMONTH($B$5,0),COUNTIFS('Client DB &amp; Bed Mgmt'!$A:$A,B36,'Client DB &amp; Bed Mgmt'!$D:$D,"&lt;&gt;",'Client DB &amp; Bed Mgmt'!$U:$U,"&lt;="&amp;A36,'Client DB &amp; Bed Mgmt'!$V:$V,"&gt;="&amp;A36)&gt;0),125,"")</f>
        <v/>
      </c>
      <c r="O36" s="190">
        <f>IF(AND(EDATE($B$4,7)&lt;=EOMONTH($B$5,0),COUNTIFS('Client DB &amp; Bed Mgmt'!$A:$A,B36,'Client DB &amp; Bed Mgmt'!$D:$D,"&lt;&gt;",'Client DB &amp; Bed Mgmt'!$U:$U,"&lt;="&amp;A36,'Client DB &amp; Bed Mgmt'!$V:$V,"&gt;="&amp;A36)&gt;0),60,"")</f>
        <v/>
      </c>
      <c r="P36" s="190">
        <f>IF(AND(EDATE($B$4,7)&lt;=EOMONTH($B$5,0),COUNTIFS('Client DB &amp; Bed Mgmt'!$A:$A,B36,'Client DB &amp; Bed Mgmt'!$D:$D,"&lt;&gt;",'Client DB &amp; Bed Mgmt'!$U:$U,"&lt;="&amp;A36,'Client DB &amp; Bed Mgmt'!$V:$V,"&gt;="&amp;A36)&gt;0),80,"")</f>
        <v/>
      </c>
      <c r="Q36" s="190">
        <f>IF(AND(EDATE($B$4,7)&lt;=EOMONTH($B$5,0),COUNTIFS('Client DB &amp; Bed Mgmt'!$A:$A,B36,'Client DB &amp; Bed Mgmt'!$D:$D,"&lt;&gt;",'Client DB &amp; Bed Mgmt'!$U:$U,"&lt;="&amp;A36,'Client DB &amp; Bed Mgmt'!$V:$V,"&gt;="&amp;A36)&gt;0),40,"")</f>
        <v/>
      </c>
      <c r="R36" s="189">
        <f>IF(AND(EDATE($B$4,7)&lt;=EOMONTH($B$5,0),COUNTIFS('Client DB &amp; Bed Mgmt'!$A:$A,B36,'Client DB &amp; Bed Mgmt'!$D:$D,"&lt;&gt;",'Client DB &amp; Bed Mgmt'!$U:$U,"&lt;="&amp;A36,'Client DB &amp; Bed Mgmt'!$V:$V,"&gt;="&amp;A36)&gt;0),IF(C36="Owned",0,2500),"")</f>
        <v/>
      </c>
      <c r="S36" s="189">
        <f>IF(AND(EDATE($B$4,7)&lt;=EOMONTH($B$5,0),COUNTIFS('Client DB &amp; Bed Mgmt'!$A:$A,B36,'Client DB &amp; Bed Mgmt'!$D:$D,"&lt;&gt;",'Client DB &amp; Bed Mgmt'!$U:$U,"&lt;="&amp;A36,'Client DB &amp; Bed Mgmt'!$V:$V,"&gt;="&amp;A36)&gt;0),SUM(K36:R36),"")</f>
        <v/>
      </c>
      <c r="T36" s="189">
        <f>IF(AND(EDATE($B$4,7)&lt;=EOMONTH($B$5,0),COUNTIFS('Client DB &amp; Bed Mgmt'!$A:$A,B36,'Client DB &amp; Bed Mgmt'!$D:$D,"&lt;&gt;",'Client DB &amp; Bed Mgmt'!$U:$U,"&lt;="&amp;A36,'Client DB &amp; Bed Mgmt'!$V:$V,"&gt;="&amp;A36)&gt;0),I36-S36,"")</f>
        <v/>
      </c>
      <c r="U36" s="105">
        <f>IF(AND(EDATE($B$4,7)&lt;=EOMONTH($B$5,0),COUNTIFS('Client DB &amp; Bed Mgmt'!$A:$A,B36,'Client DB &amp; Bed Mgmt'!$D:$D,"&lt;&gt;",'Client DB &amp; Bed Mgmt'!$U:$U,"&lt;="&amp;A36,'Client DB &amp; Bed Mgmt'!$V:$V,"&gt;="&amp;A36)&gt;0),IFERROR(T36/I36,0),"")</f>
        <v/>
      </c>
      <c r="V36" s="191">
        <f>IF(EDATE($B$4,7)&lt;=EOMONTH($B$5,0),COUNTIFS('Client DB &amp; Bed Mgmt'!$A:$A,B36,'Client DB &amp; Bed Mgmt'!$D:$D,"&lt;&gt;",'Client DB &amp; Bed Mgmt'!$U:$U,"&lt;="&amp;A36,'Client DB &amp; Bed Mgmt'!$V:$V,"&gt;="&amp;A36),"")</f>
        <v/>
      </c>
      <c r="W36" s="181">
        <f>IF(AND(EDATE($B$4,7)&lt;=EOMONTH($B$5,0),COUNTIFS('Client DB &amp; Bed Mgmt'!$A:$A,B36,'Client DB &amp; Bed Mgmt'!$D:$D,"&lt;&gt;",'Client DB &amp; Bed Mgmt'!$U:$U,"&lt;="&amp;A36,'Client DB &amp; Bed Mgmt'!$V:$V,"&gt;="&amp;A36)&gt;0),V36,"")</f>
        <v/>
      </c>
      <c r="X36" s="189">
        <f>IF(AND(EDATE($B$4,7)&lt;=EOMONTH($B$5,0),COUNTIFS('Client DB &amp; Bed Mgmt'!$A:$A,B36,'Client DB &amp; Bed Mgmt'!$D:$D,"&lt;&gt;",'Client DB &amp; Bed Mgmt'!$U:$U,"&lt;="&amp;A36,'Client DB &amp; Bed Mgmt'!$V:$V,"&gt;="&amp;A36)&gt;0),SUMIFS('Client DB &amp; Bed Mgmt'!$I:$I,'Client DB &amp; Bed Mgmt'!$A:$A,B36,'Client DB &amp; Bed Mgmt'!$D:$D,"&lt;&gt;",'Client DB &amp; Bed Mgmt'!$U:$U,"&lt;="&amp;A36,'Client DB &amp; Bed Mgmt'!$V:$V,"&gt;="&amp;A36),"")</f>
        <v/>
      </c>
      <c r="Y36" s="189">
        <f>IF(AND(EDATE($B$4,7)&lt;=EOMONTH($B$5,0),COUNTIFS('Client DB &amp; Bed Mgmt'!$A:$A,B36,'Client DB &amp; Bed Mgmt'!$D:$D,"&lt;&gt;",'Client DB &amp; Bed Mgmt'!$U:$U,"&lt;="&amp;A36,'Client DB &amp; Bed Mgmt'!$V:$V,"&gt;="&amp;A36)&gt;0),SUMIFS('Client DB &amp; Bed Mgmt'!$J:$J,'Client DB &amp; Bed Mgmt'!$A:$A,B36,'Client DB &amp; Bed Mgmt'!$D:$D,"&lt;&gt;",'Client DB &amp; Bed Mgmt'!$U:$U,"&lt;="&amp;A36,'Client DB &amp; Bed Mgmt'!$V:$V,"&gt;="&amp;A36),"")</f>
        <v/>
      </c>
      <c r="Z36" s="192">
        <f>IF(AND(EDATE($B$4,7)&lt;=EOMONTH($B$5,0),COUNTIFS('Client DB &amp; Bed Mgmt'!$A:$A,B36,'Client DB &amp; Bed Mgmt'!$D:$D,"&lt;&gt;",'Client DB &amp; Bed Mgmt'!$U:$U,"&lt;="&amp;A36,'Client DB &amp; Bed Mgmt'!$V:$V,"&gt;="&amp;A36)&gt;0),SUMIFS('Client DB &amp; Bed Mgmt'!$K:$K,'Client DB &amp; Bed Mgmt'!$A:$A,B36,'Client DB &amp; Bed Mgmt'!$D:$D,"&lt;&gt;",'Client DB &amp; Bed Mgmt'!$U:$U,"&lt;="&amp;A36,'Client DB &amp; Bed Mgmt'!$V:$V,"&gt;="&amp;A36),"")</f>
        <v/>
      </c>
      <c r="AA36" s="82" t="n"/>
      <c r="AB36" s="82" t="n"/>
    </row>
    <row r="37" hidden="1" ht="14.25" customHeight="1" s="83">
      <c r="A37" s="177">
        <f>IF(EDATE($B$4,7)&lt;=EOMONTH($B$5,0),EDATE($B$4,7),"")</f>
        <v/>
      </c>
      <c r="B37" s="103">
        <f>IF(EDATE($B$4,7)&lt;=EOMONTH($B$5,0),"Dorm 3","")</f>
        <v/>
      </c>
      <c r="C37" s="170">
        <f>IF(AND(EDATE($B$4,7)&lt;=EOMONTH($B$5,0),COUNTIFS('Client DB &amp; Bed Mgmt'!$A:$A,B37,'Client DB &amp; Bed Mgmt'!$D:$D,"&lt;&gt;",'Client DB &amp; Bed Mgmt'!$U:$U,"&lt;="&amp;A37,'Client DB &amp; Bed Mgmt'!$V:$V,"&gt;="&amp;A37)&gt;0),IFERROR(INDEX('Settings &amp; Master Config'!$C$21:$C$23,MATCH(B37,'Settings &amp; Master Config'!$A$21:$A$23,0)),""),"")</f>
        <v/>
      </c>
      <c r="D37" s="170">
        <f>IF(AND(EDATE($B$4,7)&lt;=EOMONTH($B$5,0),COUNTIFS('Client DB &amp; Bed Mgmt'!$A:$A,B37,'Client DB &amp; Bed Mgmt'!$D:$D,"&lt;&gt;",'Client DB &amp; Bed Mgmt'!$U:$U,"&lt;="&amp;A37,'Client DB &amp; Bed Mgmt'!$V:$V,"&gt;="&amp;A37)&gt;0),IFERROR(INDEX('Settings &amp; Master Config'!$F$21:$F$23,MATCH(B37,'Settings &amp; Master Config'!$A$21:$A$23,0)),0),"")</f>
        <v/>
      </c>
      <c r="E37" s="130">
        <f>IF(AND(EDATE($B$4,7)&lt;=EOMONTH($B$5,0),COUNTIFS('Client DB &amp; Bed Mgmt'!$A:$A,B37,'Client DB &amp; Bed Mgmt'!$D:$D,"&lt;&gt;",'Client DB &amp; Bed Mgmt'!$U:$U,"&lt;="&amp;A37,'Client DB &amp; Bed Mgmt'!$V:$V,"&gt;="&amp;A37)&gt;0),$B$7*(1+$B$9)^(YEAR(A37)-YEAR($B$4)),"")</f>
        <v/>
      </c>
      <c r="F37" s="105">
        <f>IF(AND(EDATE($B$4,7)&lt;=EOMONTH($B$5,0),COUNTIFS('Client DB &amp; Bed Mgmt'!$A:$A,B37,'Client DB &amp; Bed Mgmt'!$D:$D,"&lt;&gt;",'Client DB &amp; Bed Mgmt'!$U:$U,"&lt;="&amp;A37,'Client DB &amp; Bed Mgmt'!$V:$V,"&gt;="&amp;A37)&gt;0),$B$8,"")</f>
        <v/>
      </c>
      <c r="G37" s="105">
        <f>IF(AND(EDATE($B$4,7)&lt;=EOMONTH($B$5,0),COUNTIFS('Client DB &amp; Bed Mgmt'!$A:$A,B37,'Client DB &amp; Bed Mgmt'!$D:$D,"&lt;&gt;",'Client DB &amp; Bed Mgmt'!$U:$U,"&lt;="&amp;A37,'Client DB &amp; Bed Mgmt'!$V:$V,"&gt;="&amp;A37)&gt;0),$B$9,"")</f>
        <v/>
      </c>
      <c r="H37" s="130">
        <f>IF(AND(EDATE($B$4,7)&lt;=EOMONTH($B$5,0),COUNTIFS('Client DB &amp; Bed Mgmt'!$A:$A,B37,'Client DB &amp; Bed Mgmt'!$D:$D,"&lt;&gt;",'Client DB &amp; Bed Mgmt'!$U:$U,"&lt;="&amp;A37,'Client DB &amp; Bed Mgmt'!$V:$V,"&gt;="&amp;A37)&gt;0),D37*E37,"")</f>
        <v/>
      </c>
      <c r="I37" s="189">
        <f>IF(AND(EDATE($B$4,7)&lt;=EOMONTH($B$5,0),COUNTIFS('Client DB &amp; Bed Mgmt'!$A:$A,B37,'Client DB &amp; Bed Mgmt'!$D:$D,"&lt;&gt;",'Client DB &amp; Bed Mgmt'!$U:$U,"&lt;="&amp;A37,'Client DB &amp; Bed Mgmt'!$V:$V,"&gt;="&amp;A37)&gt;0),SUM(X37:Z37),"")</f>
        <v/>
      </c>
      <c r="J37" s="189">
        <f>IF(AND(EDATE($B$4,7)&lt;=EOMONTH($B$5,0),COUNTIFS('Client DB &amp; Bed Mgmt'!$A:$A,B37,'Client DB &amp; Bed Mgmt'!$D:$D,"&lt;&gt;",'Client DB &amp; Bed Mgmt'!$U:$U,"&lt;="&amp;A37,'Client DB &amp; Bed Mgmt'!$V:$V,"&gt;="&amp;A37)&gt;0),D37*F37*E37,"")</f>
        <v/>
      </c>
      <c r="K37" s="190">
        <f>IF(AND(EDATE($B$4,7)&lt;=EOMONTH($B$5,0),COUNTIFS('Client DB &amp; Bed Mgmt'!$A:$A,B37,'Client DB &amp; Bed Mgmt'!$D:$D,"&lt;&gt;",'Client DB &amp; Bed Mgmt'!$U:$U,"&lt;="&amp;A37,'Client DB &amp; Bed Mgmt'!$V:$V,"&gt;="&amp;A37)&gt;0),75,"")</f>
        <v/>
      </c>
      <c r="L37" s="190">
        <f>IF(AND(EDATE($B$4,7)&lt;=EOMONTH($B$5,0),COUNTIFS('Client DB &amp; Bed Mgmt'!$A:$A,B37,'Client DB &amp; Bed Mgmt'!$D:$D,"&lt;&gt;",'Client DB &amp; Bed Mgmt'!$U:$U,"&lt;="&amp;A37,'Client DB &amp; Bed Mgmt'!$V:$V,"&gt;="&amp;A37)&gt;0),50,"")</f>
        <v/>
      </c>
      <c r="M37" s="190">
        <f>IF(AND(EDATE($B$4,7)&lt;=EOMONTH($B$5,0),COUNTIFS('Client DB &amp; Bed Mgmt'!$A:$A,B37,'Client DB &amp; Bed Mgmt'!$D:$D,"&lt;&gt;",'Client DB &amp; Bed Mgmt'!$U:$U,"&lt;="&amp;A37,'Client DB &amp; Bed Mgmt'!$V:$V,"&gt;="&amp;A37)&gt;0),150,"")</f>
        <v/>
      </c>
      <c r="N37" s="190">
        <f>IF(AND(EDATE($B$4,7)&lt;=EOMONTH($B$5,0),COUNTIFS('Client DB &amp; Bed Mgmt'!$A:$A,B37,'Client DB &amp; Bed Mgmt'!$D:$D,"&lt;&gt;",'Client DB &amp; Bed Mgmt'!$U:$U,"&lt;="&amp;A37,'Client DB &amp; Bed Mgmt'!$V:$V,"&gt;="&amp;A37)&gt;0),125,"")</f>
        <v/>
      </c>
      <c r="O37" s="190">
        <f>IF(AND(EDATE($B$4,7)&lt;=EOMONTH($B$5,0),COUNTIFS('Client DB &amp; Bed Mgmt'!$A:$A,B37,'Client DB &amp; Bed Mgmt'!$D:$D,"&lt;&gt;",'Client DB &amp; Bed Mgmt'!$U:$U,"&lt;="&amp;A37,'Client DB &amp; Bed Mgmt'!$V:$V,"&gt;="&amp;A37)&gt;0),60,"")</f>
        <v/>
      </c>
      <c r="P37" s="190">
        <f>IF(AND(EDATE($B$4,7)&lt;=EOMONTH($B$5,0),COUNTIFS('Client DB &amp; Bed Mgmt'!$A:$A,B37,'Client DB &amp; Bed Mgmt'!$D:$D,"&lt;&gt;",'Client DB &amp; Bed Mgmt'!$U:$U,"&lt;="&amp;A37,'Client DB &amp; Bed Mgmt'!$V:$V,"&gt;="&amp;A37)&gt;0),80,"")</f>
        <v/>
      </c>
      <c r="Q37" s="190">
        <f>IF(AND(EDATE($B$4,7)&lt;=EOMONTH($B$5,0),COUNTIFS('Client DB &amp; Bed Mgmt'!$A:$A,B37,'Client DB &amp; Bed Mgmt'!$D:$D,"&lt;&gt;",'Client DB &amp; Bed Mgmt'!$U:$U,"&lt;="&amp;A37,'Client DB &amp; Bed Mgmt'!$V:$V,"&gt;="&amp;A37)&gt;0),40,"")</f>
        <v/>
      </c>
      <c r="R37" s="189">
        <f>IF(AND(EDATE($B$4,7)&lt;=EOMONTH($B$5,0),COUNTIFS('Client DB &amp; Bed Mgmt'!$A:$A,B37,'Client DB &amp; Bed Mgmt'!$D:$D,"&lt;&gt;",'Client DB &amp; Bed Mgmt'!$U:$U,"&lt;="&amp;A37,'Client DB &amp; Bed Mgmt'!$V:$V,"&gt;="&amp;A37)&gt;0),IF(C37="Owned",0,2500),"")</f>
        <v/>
      </c>
      <c r="S37" s="189">
        <f>IF(AND(EDATE($B$4,7)&lt;=EOMONTH($B$5,0),COUNTIFS('Client DB &amp; Bed Mgmt'!$A:$A,B37,'Client DB &amp; Bed Mgmt'!$D:$D,"&lt;&gt;",'Client DB &amp; Bed Mgmt'!$U:$U,"&lt;="&amp;A37,'Client DB &amp; Bed Mgmt'!$V:$V,"&gt;="&amp;A37)&gt;0),SUM(K37:R37),"")</f>
        <v/>
      </c>
      <c r="T37" s="189">
        <f>IF(AND(EDATE($B$4,7)&lt;=EOMONTH($B$5,0),COUNTIFS('Client DB &amp; Bed Mgmt'!$A:$A,B37,'Client DB &amp; Bed Mgmt'!$D:$D,"&lt;&gt;",'Client DB &amp; Bed Mgmt'!$U:$U,"&lt;="&amp;A37,'Client DB &amp; Bed Mgmt'!$V:$V,"&gt;="&amp;A37)&gt;0),I37-S37,"")</f>
        <v/>
      </c>
      <c r="U37" s="105">
        <f>IF(AND(EDATE($B$4,7)&lt;=EOMONTH($B$5,0),COUNTIFS('Client DB &amp; Bed Mgmt'!$A:$A,B37,'Client DB &amp; Bed Mgmt'!$D:$D,"&lt;&gt;",'Client DB &amp; Bed Mgmt'!$U:$U,"&lt;="&amp;A37,'Client DB &amp; Bed Mgmt'!$V:$V,"&gt;="&amp;A37)&gt;0),IFERROR(T37/I37,0),"")</f>
        <v/>
      </c>
      <c r="V37" s="191">
        <f>IF(EDATE($B$4,7)&lt;=EOMONTH($B$5,0),COUNTIFS('Client DB &amp; Bed Mgmt'!$A:$A,B37,'Client DB &amp; Bed Mgmt'!$D:$D,"&lt;&gt;",'Client DB &amp; Bed Mgmt'!$U:$U,"&lt;="&amp;A37,'Client DB &amp; Bed Mgmt'!$V:$V,"&gt;="&amp;A37),"")</f>
        <v/>
      </c>
      <c r="W37" s="181">
        <f>IF(AND(EDATE($B$4,7)&lt;=EOMONTH($B$5,0),COUNTIFS('Client DB &amp; Bed Mgmt'!$A:$A,B37,'Client DB &amp; Bed Mgmt'!$D:$D,"&lt;&gt;",'Client DB &amp; Bed Mgmt'!$U:$U,"&lt;="&amp;A37,'Client DB &amp; Bed Mgmt'!$V:$V,"&gt;="&amp;A37)&gt;0),V37,"")</f>
        <v/>
      </c>
      <c r="X37" s="189">
        <f>IF(AND(EDATE($B$4,7)&lt;=EOMONTH($B$5,0),COUNTIFS('Client DB &amp; Bed Mgmt'!$A:$A,B37,'Client DB &amp; Bed Mgmt'!$D:$D,"&lt;&gt;",'Client DB &amp; Bed Mgmt'!$U:$U,"&lt;="&amp;A37,'Client DB &amp; Bed Mgmt'!$V:$V,"&gt;="&amp;A37)&gt;0),SUMIFS('Client DB &amp; Bed Mgmt'!$I:$I,'Client DB &amp; Bed Mgmt'!$A:$A,B37,'Client DB &amp; Bed Mgmt'!$D:$D,"&lt;&gt;",'Client DB &amp; Bed Mgmt'!$U:$U,"&lt;="&amp;A37,'Client DB &amp; Bed Mgmt'!$V:$V,"&gt;="&amp;A37),"")</f>
        <v/>
      </c>
      <c r="Y37" s="189">
        <f>IF(AND(EDATE($B$4,7)&lt;=EOMONTH($B$5,0),COUNTIFS('Client DB &amp; Bed Mgmt'!$A:$A,B37,'Client DB &amp; Bed Mgmt'!$D:$D,"&lt;&gt;",'Client DB &amp; Bed Mgmt'!$U:$U,"&lt;="&amp;A37,'Client DB &amp; Bed Mgmt'!$V:$V,"&gt;="&amp;A37)&gt;0),SUMIFS('Client DB &amp; Bed Mgmt'!$J:$J,'Client DB &amp; Bed Mgmt'!$A:$A,B37,'Client DB &amp; Bed Mgmt'!$D:$D,"&lt;&gt;",'Client DB &amp; Bed Mgmt'!$U:$U,"&lt;="&amp;A37,'Client DB &amp; Bed Mgmt'!$V:$V,"&gt;="&amp;A37),"")</f>
        <v/>
      </c>
      <c r="Z37" s="192">
        <f>IF(AND(EDATE($B$4,7)&lt;=EOMONTH($B$5,0),COUNTIFS('Client DB &amp; Bed Mgmt'!$A:$A,B37,'Client DB &amp; Bed Mgmt'!$D:$D,"&lt;&gt;",'Client DB &amp; Bed Mgmt'!$U:$U,"&lt;="&amp;A37,'Client DB &amp; Bed Mgmt'!$V:$V,"&gt;="&amp;A37)&gt;0),SUMIFS('Client DB &amp; Bed Mgmt'!$K:$K,'Client DB &amp; Bed Mgmt'!$A:$A,B37,'Client DB &amp; Bed Mgmt'!$D:$D,"&lt;&gt;",'Client DB &amp; Bed Mgmt'!$U:$U,"&lt;="&amp;A37,'Client DB &amp; Bed Mgmt'!$V:$V,"&gt;="&amp;A37),"")</f>
        <v/>
      </c>
      <c r="AA37" s="82" t="n"/>
      <c r="AB37" s="82" t="n"/>
    </row>
    <row r="38" ht="14.25" customHeight="1" s="83">
      <c r="A38" s="177">
        <f>IF(EDATE($B$4,8)&lt;=EOMONTH($B$5,0),EDATE($B$4,8),"")</f>
        <v/>
      </c>
      <c r="B38" s="103">
        <f>IF(EDATE($B$4,8)&lt;=EOMONTH($B$5,0),"Dorm 1","")</f>
        <v/>
      </c>
      <c r="C38" s="170">
        <f>IF(AND(EDATE($B$4,8)&lt;=EOMONTH($B$5,0),COUNTIFS('Client DB &amp; Bed Mgmt'!$A:$A,B38,'Client DB &amp; Bed Mgmt'!$D:$D,"&lt;&gt;",'Client DB &amp; Bed Mgmt'!$U:$U,"&lt;="&amp;A38,'Client DB &amp; Bed Mgmt'!$V:$V,"&gt;="&amp;A38)&gt;0),IFERROR(INDEX('Settings &amp; Master Config'!$C$21:$C$23,MATCH(B38,'Settings &amp; Master Config'!$A$21:$A$23,0)),""),"")</f>
        <v/>
      </c>
      <c r="D38" s="170">
        <f>IF(AND(EDATE($B$4,8)&lt;=EOMONTH($B$5,0),COUNTIFS('Client DB &amp; Bed Mgmt'!$A:$A,B38,'Client DB &amp; Bed Mgmt'!$D:$D,"&lt;&gt;",'Client DB &amp; Bed Mgmt'!$U:$U,"&lt;="&amp;A38,'Client DB &amp; Bed Mgmt'!$V:$V,"&gt;="&amp;A38)&gt;0),IFERROR(INDEX('Settings &amp; Master Config'!$F$21:$F$23,MATCH(B38,'Settings &amp; Master Config'!$A$21:$A$23,0)),0),"")</f>
        <v/>
      </c>
      <c r="E38" s="130">
        <f>IF(AND(EDATE($B$4,8)&lt;=EOMONTH($B$5,0),COUNTIFS('Client DB &amp; Bed Mgmt'!$A:$A,B38,'Client DB &amp; Bed Mgmt'!$D:$D,"&lt;&gt;",'Client DB &amp; Bed Mgmt'!$U:$U,"&lt;="&amp;A38,'Client DB &amp; Bed Mgmt'!$V:$V,"&gt;="&amp;A38)&gt;0),$B$7*(1+$B$9)^(YEAR(A38)-YEAR($B$4)),"")</f>
        <v/>
      </c>
      <c r="F38" s="105">
        <f>IF(AND(EDATE($B$4,8)&lt;=EOMONTH($B$5,0),COUNTIFS('Client DB &amp; Bed Mgmt'!$A:$A,B38,'Client DB &amp; Bed Mgmt'!$D:$D,"&lt;&gt;",'Client DB &amp; Bed Mgmt'!$U:$U,"&lt;="&amp;A38,'Client DB &amp; Bed Mgmt'!$V:$V,"&gt;="&amp;A38)&gt;0),$B$8,"")</f>
        <v/>
      </c>
      <c r="G38" s="105">
        <f>IF(AND(EDATE($B$4,8)&lt;=EOMONTH($B$5,0),COUNTIFS('Client DB &amp; Bed Mgmt'!$A:$A,B38,'Client DB &amp; Bed Mgmt'!$D:$D,"&lt;&gt;",'Client DB &amp; Bed Mgmt'!$U:$U,"&lt;="&amp;A38,'Client DB &amp; Bed Mgmt'!$V:$V,"&gt;="&amp;A38)&gt;0),$B$9,"")</f>
        <v/>
      </c>
      <c r="H38" s="130">
        <f>IF(AND(EDATE($B$4,8)&lt;=EOMONTH($B$5,0),COUNTIFS('Client DB &amp; Bed Mgmt'!$A:$A,B38,'Client DB &amp; Bed Mgmt'!$D:$D,"&lt;&gt;",'Client DB &amp; Bed Mgmt'!$U:$U,"&lt;="&amp;A38,'Client DB &amp; Bed Mgmt'!$V:$V,"&gt;="&amp;A38)&gt;0),D38*E38,"")</f>
        <v/>
      </c>
      <c r="I38" s="189">
        <f>IF(AND(EDATE($B$4,8)&lt;=EOMONTH($B$5,0),COUNTIFS('Client DB &amp; Bed Mgmt'!$A:$A,B38,'Client DB &amp; Bed Mgmt'!$D:$D,"&lt;&gt;",'Client DB &amp; Bed Mgmt'!$U:$U,"&lt;="&amp;A38,'Client DB &amp; Bed Mgmt'!$V:$V,"&gt;="&amp;A38)&gt;0),SUM(X38:Z38),"")</f>
        <v/>
      </c>
      <c r="J38" s="189">
        <f>IF(AND(EDATE($B$4,8)&lt;=EOMONTH($B$5,0),COUNTIFS('Client DB &amp; Bed Mgmt'!$A:$A,B38,'Client DB &amp; Bed Mgmt'!$D:$D,"&lt;&gt;",'Client DB &amp; Bed Mgmt'!$U:$U,"&lt;="&amp;A38,'Client DB &amp; Bed Mgmt'!$V:$V,"&gt;="&amp;A38)&gt;0),D38*F38*E38,"")</f>
        <v/>
      </c>
      <c r="K38" s="190">
        <f>IF(AND(EDATE($B$4,8)&lt;=EOMONTH($B$5,0),COUNTIFS('Client DB &amp; Bed Mgmt'!$A:$A,B38,'Client DB &amp; Bed Mgmt'!$D:$D,"&lt;&gt;",'Client DB &amp; Bed Mgmt'!$U:$U,"&lt;="&amp;A38,'Client DB &amp; Bed Mgmt'!$V:$V,"&gt;="&amp;A38)&gt;0),75,"")</f>
        <v/>
      </c>
      <c r="L38" s="190">
        <f>IF(AND(EDATE($B$4,8)&lt;=EOMONTH($B$5,0),COUNTIFS('Client DB &amp; Bed Mgmt'!$A:$A,B38,'Client DB &amp; Bed Mgmt'!$D:$D,"&lt;&gt;",'Client DB &amp; Bed Mgmt'!$U:$U,"&lt;="&amp;A38,'Client DB &amp; Bed Mgmt'!$V:$V,"&gt;="&amp;A38)&gt;0),50,"")</f>
        <v/>
      </c>
      <c r="M38" s="190">
        <f>IF(AND(EDATE($B$4,8)&lt;=EOMONTH($B$5,0),COUNTIFS('Client DB &amp; Bed Mgmt'!$A:$A,B38,'Client DB &amp; Bed Mgmt'!$D:$D,"&lt;&gt;",'Client DB &amp; Bed Mgmt'!$U:$U,"&lt;="&amp;A38,'Client DB &amp; Bed Mgmt'!$V:$V,"&gt;="&amp;A38)&gt;0),150,"")</f>
        <v/>
      </c>
      <c r="N38" s="190">
        <f>IF(AND(EDATE($B$4,8)&lt;=EOMONTH($B$5,0),COUNTIFS('Client DB &amp; Bed Mgmt'!$A:$A,B38,'Client DB &amp; Bed Mgmt'!$D:$D,"&lt;&gt;",'Client DB &amp; Bed Mgmt'!$U:$U,"&lt;="&amp;A38,'Client DB &amp; Bed Mgmt'!$V:$V,"&gt;="&amp;A38)&gt;0),125,"")</f>
        <v/>
      </c>
      <c r="O38" s="190">
        <f>IF(AND(EDATE($B$4,8)&lt;=EOMONTH($B$5,0),COUNTIFS('Client DB &amp; Bed Mgmt'!$A:$A,B38,'Client DB &amp; Bed Mgmt'!$D:$D,"&lt;&gt;",'Client DB &amp; Bed Mgmt'!$U:$U,"&lt;="&amp;A38,'Client DB &amp; Bed Mgmt'!$V:$V,"&gt;="&amp;A38)&gt;0),60,"")</f>
        <v/>
      </c>
      <c r="P38" s="190">
        <f>IF(AND(EDATE($B$4,8)&lt;=EOMONTH($B$5,0),COUNTIFS('Client DB &amp; Bed Mgmt'!$A:$A,B38,'Client DB &amp; Bed Mgmt'!$D:$D,"&lt;&gt;",'Client DB &amp; Bed Mgmt'!$U:$U,"&lt;="&amp;A38,'Client DB &amp; Bed Mgmt'!$V:$V,"&gt;="&amp;A38)&gt;0),80,"")</f>
        <v/>
      </c>
      <c r="Q38" s="190">
        <f>IF(AND(EDATE($B$4,8)&lt;=EOMONTH($B$5,0),COUNTIFS('Client DB &amp; Bed Mgmt'!$A:$A,B38,'Client DB &amp; Bed Mgmt'!$D:$D,"&lt;&gt;",'Client DB &amp; Bed Mgmt'!$U:$U,"&lt;="&amp;A38,'Client DB &amp; Bed Mgmt'!$V:$V,"&gt;="&amp;A38)&gt;0),40,"")</f>
        <v/>
      </c>
      <c r="R38" s="189">
        <f>IF(AND(EDATE($B$4,8)&lt;=EOMONTH($B$5,0),COUNTIFS('Client DB &amp; Bed Mgmt'!$A:$A,B38,'Client DB &amp; Bed Mgmt'!$D:$D,"&lt;&gt;",'Client DB &amp; Bed Mgmt'!$U:$U,"&lt;="&amp;A38,'Client DB &amp; Bed Mgmt'!$V:$V,"&gt;="&amp;A38)&gt;0),IF(C38="Owned",0,2500),"")</f>
        <v/>
      </c>
      <c r="S38" s="189">
        <f>IF(AND(EDATE($B$4,8)&lt;=EOMONTH($B$5,0),COUNTIFS('Client DB &amp; Bed Mgmt'!$A:$A,B38,'Client DB &amp; Bed Mgmt'!$D:$D,"&lt;&gt;",'Client DB &amp; Bed Mgmt'!$U:$U,"&lt;="&amp;A38,'Client DB &amp; Bed Mgmt'!$V:$V,"&gt;="&amp;A38)&gt;0),SUM(K38:R38),"")</f>
        <v/>
      </c>
      <c r="T38" s="189">
        <f>IF(AND(EDATE($B$4,8)&lt;=EOMONTH($B$5,0),COUNTIFS('Client DB &amp; Bed Mgmt'!$A:$A,B38,'Client DB &amp; Bed Mgmt'!$D:$D,"&lt;&gt;",'Client DB &amp; Bed Mgmt'!$U:$U,"&lt;="&amp;A38,'Client DB &amp; Bed Mgmt'!$V:$V,"&gt;="&amp;A38)&gt;0),I38-S38,"")</f>
        <v/>
      </c>
      <c r="U38" s="105">
        <f>IF(AND(EDATE($B$4,8)&lt;=EOMONTH($B$5,0),COUNTIFS('Client DB &amp; Bed Mgmt'!$A:$A,B38,'Client DB &amp; Bed Mgmt'!$D:$D,"&lt;&gt;",'Client DB &amp; Bed Mgmt'!$U:$U,"&lt;="&amp;A38,'Client DB &amp; Bed Mgmt'!$V:$V,"&gt;="&amp;A38)&gt;0),IFERROR(T38/I38,0),"")</f>
        <v/>
      </c>
      <c r="V38" s="191">
        <f>IF(EDATE($B$4,8)&lt;=EOMONTH($B$5,0),COUNTIFS('Client DB &amp; Bed Mgmt'!$A:$A,B38,'Client DB &amp; Bed Mgmt'!$D:$D,"&lt;&gt;",'Client DB &amp; Bed Mgmt'!$U:$U,"&lt;="&amp;A38,'Client DB &amp; Bed Mgmt'!$V:$V,"&gt;="&amp;A38),"")</f>
        <v/>
      </c>
      <c r="W38" s="181">
        <f>IF(AND(EDATE($B$4,8)&lt;=EOMONTH($B$5,0),COUNTIFS('Client DB &amp; Bed Mgmt'!$A:$A,B38,'Client DB &amp; Bed Mgmt'!$D:$D,"&lt;&gt;",'Client DB &amp; Bed Mgmt'!$U:$U,"&lt;="&amp;A38,'Client DB &amp; Bed Mgmt'!$V:$V,"&gt;="&amp;A38)&gt;0),V38,"")</f>
        <v/>
      </c>
      <c r="X38" s="189">
        <f>IF(AND(EDATE($B$4,8)&lt;=EOMONTH($B$5,0),COUNTIFS('Client DB &amp; Bed Mgmt'!$A:$A,B38,'Client DB &amp; Bed Mgmt'!$D:$D,"&lt;&gt;",'Client DB &amp; Bed Mgmt'!$U:$U,"&lt;="&amp;A38,'Client DB &amp; Bed Mgmt'!$V:$V,"&gt;="&amp;A38)&gt;0),SUMIFS('Client DB &amp; Bed Mgmt'!$I:$I,'Client DB &amp; Bed Mgmt'!$A:$A,B38,'Client DB &amp; Bed Mgmt'!$D:$D,"&lt;&gt;",'Client DB &amp; Bed Mgmt'!$U:$U,"&lt;="&amp;A38,'Client DB &amp; Bed Mgmt'!$V:$V,"&gt;="&amp;A38),"")</f>
        <v/>
      </c>
      <c r="Y38" s="189">
        <f>IF(AND(EDATE($B$4,8)&lt;=EOMONTH($B$5,0),COUNTIFS('Client DB &amp; Bed Mgmt'!$A:$A,B38,'Client DB &amp; Bed Mgmt'!$D:$D,"&lt;&gt;",'Client DB &amp; Bed Mgmt'!$U:$U,"&lt;="&amp;A38,'Client DB &amp; Bed Mgmt'!$V:$V,"&gt;="&amp;A38)&gt;0),SUMIFS('Client DB &amp; Bed Mgmt'!$J:$J,'Client DB &amp; Bed Mgmt'!$A:$A,B38,'Client DB &amp; Bed Mgmt'!$D:$D,"&lt;&gt;",'Client DB &amp; Bed Mgmt'!$U:$U,"&lt;="&amp;A38,'Client DB &amp; Bed Mgmt'!$V:$V,"&gt;="&amp;A38),"")</f>
        <v/>
      </c>
      <c r="Z38" s="192">
        <f>IF(AND(EDATE($B$4,8)&lt;=EOMONTH($B$5,0),COUNTIFS('Client DB &amp; Bed Mgmt'!$A:$A,B38,'Client DB &amp; Bed Mgmt'!$D:$D,"&lt;&gt;",'Client DB &amp; Bed Mgmt'!$U:$U,"&lt;="&amp;A38,'Client DB &amp; Bed Mgmt'!$V:$V,"&gt;="&amp;A38)&gt;0),SUMIFS('Client DB &amp; Bed Mgmt'!$K:$K,'Client DB &amp; Bed Mgmt'!$A:$A,B38,'Client DB &amp; Bed Mgmt'!$D:$D,"&lt;&gt;",'Client DB &amp; Bed Mgmt'!$U:$U,"&lt;="&amp;A38,'Client DB &amp; Bed Mgmt'!$V:$V,"&gt;="&amp;A38),"")</f>
        <v/>
      </c>
      <c r="AA38" s="82" t="n"/>
      <c r="AB38" s="82" t="n"/>
    </row>
    <row r="39" hidden="1" ht="14.25" customHeight="1" s="83">
      <c r="A39" s="177">
        <f>IF(EDATE($B$4,8)&lt;=EOMONTH($B$5,0),EDATE($B$4,8),"")</f>
        <v/>
      </c>
      <c r="B39" s="103">
        <f>IF(EDATE($B$4,8)&lt;=EOMONTH($B$5,0),"Dorm 2","")</f>
        <v/>
      </c>
      <c r="C39" s="170">
        <f>IF(AND(EDATE($B$4,8)&lt;=EOMONTH($B$5,0),COUNTIFS('Client DB &amp; Bed Mgmt'!$A:$A,B39,'Client DB &amp; Bed Mgmt'!$D:$D,"&lt;&gt;",'Client DB &amp; Bed Mgmt'!$U:$U,"&lt;="&amp;A39,'Client DB &amp; Bed Mgmt'!$V:$V,"&gt;="&amp;A39)&gt;0),IFERROR(INDEX('Settings &amp; Master Config'!$C$21:$C$23,MATCH(B39,'Settings &amp; Master Config'!$A$21:$A$23,0)),""),"")</f>
        <v/>
      </c>
      <c r="D39" s="170">
        <f>IF(AND(EDATE($B$4,8)&lt;=EOMONTH($B$5,0),COUNTIFS('Client DB &amp; Bed Mgmt'!$A:$A,B39,'Client DB &amp; Bed Mgmt'!$D:$D,"&lt;&gt;",'Client DB &amp; Bed Mgmt'!$U:$U,"&lt;="&amp;A39,'Client DB &amp; Bed Mgmt'!$V:$V,"&gt;="&amp;A39)&gt;0),IFERROR(INDEX('Settings &amp; Master Config'!$F$21:$F$23,MATCH(B39,'Settings &amp; Master Config'!$A$21:$A$23,0)),0),"")</f>
        <v/>
      </c>
      <c r="E39" s="130">
        <f>IF(AND(EDATE($B$4,8)&lt;=EOMONTH($B$5,0),COUNTIFS('Client DB &amp; Bed Mgmt'!$A:$A,B39,'Client DB &amp; Bed Mgmt'!$D:$D,"&lt;&gt;",'Client DB &amp; Bed Mgmt'!$U:$U,"&lt;="&amp;A39,'Client DB &amp; Bed Mgmt'!$V:$V,"&gt;="&amp;A39)&gt;0),$B$7*(1+$B$9)^(YEAR(A39)-YEAR($B$4)),"")</f>
        <v/>
      </c>
      <c r="F39" s="105">
        <f>IF(AND(EDATE($B$4,8)&lt;=EOMONTH($B$5,0),COUNTIFS('Client DB &amp; Bed Mgmt'!$A:$A,B39,'Client DB &amp; Bed Mgmt'!$D:$D,"&lt;&gt;",'Client DB &amp; Bed Mgmt'!$U:$U,"&lt;="&amp;A39,'Client DB &amp; Bed Mgmt'!$V:$V,"&gt;="&amp;A39)&gt;0),$B$8,"")</f>
        <v/>
      </c>
      <c r="G39" s="105">
        <f>IF(AND(EDATE($B$4,8)&lt;=EOMONTH($B$5,0),COUNTIFS('Client DB &amp; Bed Mgmt'!$A:$A,B39,'Client DB &amp; Bed Mgmt'!$D:$D,"&lt;&gt;",'Client DB &amp; Bed Mgmt'!$U:$U,"&lt;="&amp;A39,'Client DB &amp; Bed Mgmt'!$V:$V,"&gt;="&amp;A39)&gt;0),$B$9,"")</f>
        <v/>
      </c>
      <c r="H39" s="130">
        <f>IF(AND(EDATE($B$4,8)&lt;=EOMONTH($B$5,0),COUNTIFS('Client DB &amp; Bed Mgmt'!$A:$A,B39,'Client DB &amp; Bed Mgmt'!$D:$D,"&lt;&gt;",'Client DB &amp; Bed Mgmt'!$U:$U,"&lt;="&amp;A39,'Client DB &amp; Bed Mgmt'!$V:$V,"&gt;="&amp;A39)&gt;0),D39*E39,"")</f>
        <v/>
      </c>
      <c r="I39" s="189">
        <f>IF(AND(EDATE($B$4,8)&lt;=EOMONTH($B$5,0),COUNTIFS('Client DB &amp; Bed Mgmt'!$A:$A,B39,'Client DB &amp; Bed Mgmt'!$D:$D,"&lt;&gt;",'Client DB &amp; Bed Mgmt'!$U:$U,"&lt;="&amp;A39,'Client DB &amp; Bed Mgmt'!$V:$V,"&gt;="&amp;A39)&gt;0),SUM(X39:Z39),"")</f>
        <v/>
      </c>
      <c r="J39" s="189">
        <f>IF(AND(EDATE($B$4,8)&lt;=EOMONTH($B$5,0),COUNTIFS('Client DB &amp; Bed Mgmt'!$A:$A,B39,'Client DB &amp; Bed Mgmt'!$D:$D,"&lt;&gt;",'Client DB &amp; Bed Mgmt'!$U:$U,"&lt;="&amp;A39,'Client DB &amp; Bed Mgmt'!$V:$V,"&gt;="&amp;A39)&gt;0),D39*F39*E39,"")</f>
        <v/>
      </c>
      <c r="K39" s="190">
        <f>IF(AND(EDATE($B$4,8)&lt;=EOMONTH($B$5,0),COUNTIFS('Client DB &amp; Bed Mgmt'!$A:$A,B39,'Client DB &amp; Bed Mgmt'!$D:$D,"&lt;&gt;",'Client DB &amp; Bed Mgmt'!$U:$U,"&lt;="&amp;A39,'Client DB &amp; Bed Mgmt'!$V:$V,"&gt;="&amp;A39)&gt;0),75,"")</f>
        <v/>
      </c>
      <c r="L39" s="190">
        <f>IF(AND(EDATE($B$4,8)&lt;=EOMONTH($B$5,0),COUNTIFS('Client DB &amp; Bed Mgmt'!$A:$A,B39,'Client DB &amp; Bed Mgmt'!$D:$D,"&lt;&gt;",'Client DB &amp; Bed Mgmt'!$U:$U,"&lt;="&amp;A39,'Client DB &amp; Bed Mgmt'!$V:$V,"&gt;="&amp;A39)&gt;0),50,"")</f>
        <v/>
      </c>
      <c r="M39" s="190">
        <f>IF(AND(EDATE($B$4,8)&lt;=EOMONTH($B$5,0),COUNTIFS('Client DB &amp; Bed Mgmt'!$A:$A,B39,'Client DB &amp; Bed Mgmt'!$D:$D,"&lt;&gt;",'Client DB &amp; Bed Mgmt'!$U:$U,"&lt;="&amp;A39,'Client DB &amp; Bed Mgmt'!$V:$V,"&gt;="&amp;A39)&gt;0),150,"")</f>
        <v/>
      </c>
      <c r="N39" s="190">
        <f>IF(AND(EDATE($B$4,8)&lt;=EOMONTH($B$5,0),COUNTIFS('Client DB &amp; Bed Mgmt'!$A:$A,B39,'Client DB &amp; Bed Mgmt'!$D:$D,"&lt;&gt;",'Client DB &amp; Bed Mgmt'!$U:$U,"&lt;="&amp;A39,'Client DB &amp; Bed Mgmt'!$V:$V,"&gt;="&amp;A39)&gt;0),125,"")</f>
        <v/>
      </c>
      <c r="O39" s="190">
        <f>IF(AND(EDATE($B$4,8)&lt;=EOMONTH($B$5,0),COUNTIFS('Client DB &amp; Bed Mgmt'!$A:$A,B39,'Client DB &amp; Bed Mgmt'!$D:$D,"&lt;&gt;",'Client DB &amp; Bed Mgmt'!$U:$U,"&lt;="&amp;A39,'Client DB &amp; Bed Mgmt'!$V:$V,"&gt;="&amp;A39)&gt;0),60,"")</f>
        <v/>
      </c>
      <c r="P39" s="190">
        <f>IF(AND(EDATE($B$4,8)&lt;=EOMONTH($B$5,0),COUNTIFS('Client DB &amp; Bed Mgmt'!$A:$A,B39,'Client DB &amp; Bed Mgmt'!$D:$D,"&lt;&gt;",'Client DB &amp; Bed Mgmt'!$U:$U,"&lt;="&amp;A39,'Client DB &amp; Bed Mgmt'!$V:$V,"&gt;="&amp;A39)&gt;0),80,"")</f>
        <v/>
      </c>
      <c r="Q39" s="190">
        <f>IF(AND(EDATE($B$4,8)&lt;=EOMONTH($B$5,0),COUNTIFS('Client DB &amp; Bed Mgmt'!$A:$A,B39,'Client DB &amp; Bed Mgmt'!$D:$D,"&lt;&gt;",'Client DB &amp; Bed Mgmt'!$U:$U,"&lt;="&amp;A39,'Client DB &amp; Bed Mgmt'!$V:$V,"&gt;="&amp;A39)&gt;0),40,"")</f>
        <v/>
      </c>
      <c r="R39" s="189">
        <f>IF(AND(EDATE($B$4,8)&lt;=EOMONTH($B$5,0),COUNTIFS('Client DB &amp; Bed Mgmt'!$A:$A,B39,'Client DB &amp; Bed Mgmt'!$D:$D,"&lt;&gt;",'Client DB &amp; Bed Mgmt'!$U:$U,"&lt;="&amp;A39,'Client DB &amp; Bed Mgmt'!$V:$V,"&gt;="&amp;A39)&gt;0),IF(C39="Owned",0,2500),"")</f>
        <v/>
      </c>
      <c r="S39" s="189">
        <f>IF(AND(EDATE($B$4,8)&lt;=EOMONTH($B$5,0),COUNTIFS('Client DB &amp; Bed Mgmt'!$A:$A,B39,'Client DB &amp; Bed Mgmt'!$D:$D,"&lt;&gt;",'Client DB &amp; Bed Mgmt'!$U:$U,"&lt;="&amp;A39,'Client DB &amp; Bed Mgmt'!$V:$V,"&gt;="&amp;A39)&gt;0),SUM(K39:R39),"")</f>
        <v/>
      </c>
      <c r="T39" s="189">
        <f>IF(AND(EDATE($B$4,8)&lt;=EOMONTH($B$5,0),COUNTIFS('Client DB &amp; Bed Mgmt'!$A:$A,B39,'Client DB &amp; Bed Mgmt'!$D:$D,"&lt;&gt;",'Client DB &amp; Bed Mgmt'!$U:$U,"&lt;="&amp;A39,'Client DB &amp; Bed Mgmt'!$V:$V,"&gt;="&amp;A39)&gt;0),I39-S39,"")</f>
        <v/>
      </c>
      <c r="U39" s="105">
        <f>IF(AND(EDATE($B$4,8)&lt;=EOMONTH($B$5,0),COUNTIFS('Client DB &amp; Bed Mgmt'!$A:$A,B39,'Client DB &amp; Bed Mgmt'!$D:$D,"&lt;&gt;",'Client DB &amp; Bed Mgmt'!$U:$U,"&lt;="&amp;A39,'Client DB &amp; Bed Mgmt'!$V:$V,"&gt;="&amp;A39)&gt;0),IFERROR(T39/I39,0),"")</f>
        <v/>
      </c>
      <c r="V39" s="191">
        <f>IF(EDATE($B$4,8)&lt;=EOMONTH($B$5,0),COUNTIFS('Client DB &amp; Bed Mgmt'!$A:$A,B39,'Client DB &amp; Bed Mgmt'!$D:$D,"&lt;&gt;",'Client DB &amp; Bed Mgmt'!$U:$U,"&lt;="&amp;A39,'Client DB &amp; Bed Mgmt'!$V:$V,"&gt;="&amp;A39),"")</f>
        <v/>
      </c>
      <c r="W39" s="181">
        <f>IF(AND(EDATE($B$4,8)&lt;=EOMONTH($B$5,0),COUNTIFS('Client DB &amp; Bed Mgmt'!$A:$A,B39,'Client DB &amp; Bed Mgmt'!$D:$D,"&lt;&gt;",'Client DB &amp; Bed Mgmt'!$U:$U,"&lt;="&amp;A39,'Client DB &amp; Bed Mgmt'!$V:$V,"&gt;="&amp;A39)&gt;0),V39,"")</f>
        <v/>
      </c>
      <c r="X39" s="189">
        <f>IF(AND(EDATE($B$4,8)&lt;=EOMONTH($B$5,0),COUNTIFS('Client DB &amp; Bed Mgmt'!$A:$A,B39,'Client DB &amp; Bed Mgmt'!$D:$D,"&lt;&gt;",'Client DB &amp; Bed Mgmt'!$U:$U,"&lt;="&amp;A39,'Client DB &amp; Bed Mgmt'!$V:$V,"&gt;="&amp;A39)&gt;0),SUMIFS('Client DB &amp; Bed Mgmt'!$I:$I,'Client DB &amp; Bed Mgmt'!$A:$A,B39,'Client DB &amp; Bed Mgmt'!$D:$D,"&lt;&gt;",'Client DB &amp; Bed Mgmt'!$U:$U,"&lt;="&amp;A39,'Client DB &amp; Bed Mgmt'!$V:$V,"&gt;="&amp;A39),"")</f>
        <v/>
      </c>
      <c r="Y39" s="189">
        <f>IF(AND(EDATE($B$4,8)&lt;=EOMONTH($B$5,0),COUNTIFS('Client DB &amp; Bed Mgmt'!$A:$A,B39,'Client DB &amp; Bed Mgmt'!$D:$D,"&lt;&gt;",'Client DB &amp; Bed Mgmt'!$U:$U,"&lt;="&amp;A39,'Client DB &amp; Bed Mgmt'!$V:$V,"&gt;="&amp;A39)&gt;0),SUMIFS('Client DB &amp; Bed Mgmt'!$J:$J,'Client DB &amp; Bed Mgmt'!$A:$A,B39,'Client DB &amp; Bed Mgmt'!$D:$D,"&lt;&gt;",'Client DB &amp; Bed Mgmt'!$U:$U,"&lt;="&amp;A39,'Client DB &amp; Bed Mgmt'!$V:$V,"&gt;="&amp;A39),"")</f>
        <v/>
      </c>
      <c r="Z39" s="192">
        <f>IF(AND(EDATE($B$4,8)&lt;=EOMONTH($B$5,0),COUNTIFS('Client DB &amp; Bed Mgmt'!$A:$A,B39,'Client DB &amp; Bed Mgmt'!$D:$D,"&lt;&gt;",'Client DB &amp; Bed Mgmt'!$U:$U,"&lt;="&amp;A39,'Client DB &amp; Bed Mgmt'!$V:$V,"&gt;="&amp;A39)&gt;0),SUMIFS('Client DB &amp; Bed Mgmt'!$K:$K,'Client DB &amp; Bed Mgmt'!$A:$A,B39,'Client DB &amp; Bed Mgmt'!$D:$D,"&lt;&gt;",'Client DB &amp; Bed Mgmt'!$U:$U,"&lt;="&amp;A39,'Client DB &amp; Bed Mgmt'!$V:$V,"&gt;="&amp;A39),"")</f>
        <v/>
      </c>
      <c r="AA39" s="82" t="n"/>
      <c r="AB39" s="82" t="n"/>
    </row>
    <row r="40" hidden="1" ht="14.25" customHeight="1" s="83">
      <c r="A40" s="177">
        <f>IF(EDATE($B$4,8)&lt;=EOMONTH($B$5,0),EDATE($B$4,8),"")</f>
        <v/>
      </c>
      <c r="B40" s="103">
        <f>IF(EDATE($B$4,8)&lt;=EOMONTH($B$5,0),"Dorm 3","")</f>
        <v/>
      </c>
      <c r="C40" s="170">
        <f>IF(AND(EDATE($B$4,8)&lt;=EOMONTH($B$5,0),COUNTIFS('Client DB &amp; Bed Mgmt'!$A:$A,B40,'Client DB &amp; Bed Mgmt'!$D:$D,"&lt;&gt;",'Client DB &amp; Bed Mgmt'!$U:$U,"&lt;="&amp;A40,'Client DB &amp; Bed Mgmt'!$V:$V,"&gt;="&amp;A40)&gt;0),IFERROR(INDEX('Settings &amp; Master Config'!$C$21:$C$23,MATCH(B40,'Settings &amp; Master Config'!$A$21:$A$23,0)),""),"")</f>
        <v/>
      </c>
      <c r="D40" s="170">
        <f>IF(AND(EDATE($B$4,8)&lt;=EOMONTH($B$5,0),COUNTIFS('Client DB &amp; Bed Mgmt'!$A:$A,B40,'Client DB &amp; Bed Mgmt'!$D:$D,"&lt;&gt;",'Client DB &amp; Bed Mgmt'!$U:$U,"&lt;="&amp;A40,'Client DB &amp; Bed Mgmt'!$V:$V,"&gt;="&amp;A40)&gt;0),IFERROR(INDEX('Settings &amp; Master Config'!$F$21:$F$23,MATCH(B40,'Settings &amp; Master Config'!$A$21:$A$23,0)),0),"")</f>
        <v/>
      </c>
      <c r="E40" s="130">
        <f>IF(AND(EDATE($B$4,8)&lt;=EOMONTH($B$5,0),COUNTIFS('Client DB &amp; Bed Mgmt'!$A:$A,B40,'Client DB &amp; Bed Mgmt'!$D:$D,"&lt;&gt;",'Client DB &amp; Bed Mgmt'!$U:$U,"&lt;="&amp;A40,'Client DB &amp; Bed Mgmt'!$V:$V,"&gt;="&amp;A40)&gt;0),$B$7*(1+$B$9)^(YEAR(A40)-YEAR($B$4)),"")</f>
        <v/>
      </c>
      <c r="F40" s="105">
        <f>IF(AND(EDATE($B$4,8)&lt;=EOMONTH($B$5,0),COUNTIFS('Client DB &amp; Bed Mgmt'!$A:$A,B40,'Client DB &amp; Bed Mgmt'!$D:$D,"&lt;&gt;",'Client DB &amp; Bed Mgmt'!$U:$U,"&lt;="&amp;A40,'Client DB &amp; Bed Mgmt'!$V:$V,"&gt;="&amp;A40)&gt;0),$B$8,"")</f>
        <v/>
      </c>
      <c r="G40" s="105">
        <f>IF(AND(EDATE($B$4,8)&lt;=EOMONTH($B$5,0),COUNTIFS('Client DB &amp; Bed Mgmt'!$A:$A,B40,'Client DB &amp; Bed Mgmt'!$D:$D,"&lt;&gt;",'Client DB &amp; Bed Mgmt'!$U:$U,"&lt;="&amp;A40,'Client DB &amp; Bed Mgmt'!$V:$V,"&gt;="&amp;A40)&gt;0),$B$9,"")</f>
        <v/>
      </c>
      <c r="H40" s="130">
        <f>IF(AND(EDATE($B$4,8)&lt;=EOMONTH($B$5,0),COUNTIFS('Client DB &amp; Bed Mgmt'!$A:$A,B40,'Client DB &amp; Bed Mgmt'!$D:$D,"&lt;&gt;",'Client DB &amp; Bed Mgmt'!$U:$U,"&lt;="&amp;A40,'Client DB &amp; Bed Mgmt'!$V:$V,"&gt;="&amp;A40)&gt;0),D40*E40,"")</f>
        <v/>
      </c>
      <c r="I40" s="189">
        <f>IF(AND(EDATE($B$4,8)&lt;=EOMONTH($B$5,0),COUNTIFS('Client DB &amp; Bed Mgmt'!$A:$A,B40,'Client DB &amp; Bed Mgmt'!$D:$D,"&lt;&gt;",'Client DB &amp; Bed Mgmt'!$U:$U,"&lt;="&amp;A40,'Client DB &amp; Bed Mgmt'!$V:$V,"&gt;="&amp;A40)&gt;0),SUM(X40:Z40),"")</f>
        <v/>
      </c>
      <c r="J40" s="189">
        <f>IF(AND(EDATE($B$4,8)&lt;=EOMONTH($B$5,0),COUNTIFS('Client DB &amp; Bed Mgmt'!$A:$A,B40,'Client DB &amp; Bed Mgmt'!$D:$D,"&lt;&gt;",'Client DB &amp; Bed Mgmt'!$U:$U,"&lt;="&amp;A40,'Client DB &amp; Bed Mgmt'!$V:$V,"&gt;="&amp;A40)&gt;0),D40*F40*E40,"")</f>
        <v/>
      </c>
      <c r="K40" s="190">
        <f>IF(AND(EDATE($B$4,8)&lt;=EOMONTH($B$5,0),COUNTIFS('Client DB &amp; Bed Mgmt'!$A:$A,B40,'Client DB &amp; Bed Mgmt'!$D:$D,"&lt;&gt;",'Client DB &amp; Bed Mgmt'!$U:$U,"&lt;="&amp;A40,'Client DB &amp; Bed Mgmt'!$V:$V,"&gt;="&amp;A40)&gt;0),75,"")</f>
        <v/>
      </c>
      <c r="L40" s="190">
        <f>IF(AND(EDATE($B$4,8)&lt;=EOMONTH($B$5,0),COUNTIFS('Client DB &amp; Bed Mgmt'!$A:$A,B40,'Client DB &amp; Bed Mgmt'!$D:$D,"&lt;&gt;",'Client DB &amp; Bed Mgmt'!$U:$U,"&lt;="&amp;A40,'Client DB &amp; Bed Mgmt'!$V:$V,"&gt;="&amp;A40)&gt;0),50,"")</f>
        <v/>
      </c>
      <c r="M40" s="190">
        <f>IF(AND(EDATE($B$4,8)&lt;=EOMONTH($B$5,0),COUNTIFS('Client DB &amp; Bed Mgmt'!$A:$A,B40,'Client DB &amp; Bed Mgmt'!$D:$D,"&lt;&gt;",'Client DB &amp; Bed Mgmt'!$U:$U,"&lt;="&amp;A40,'Client DB &amp; Bed Mgmt'!$V:$V,"&gt;="&amp;A40)&gt;0),150,"")</f>
        <v/>
      </c>
      <c r="N40" s="190">
        <f>IF(AND(EDATE($B$4,8)&lt;=EOMONTH($B$5,0),COUNTIFS('Client DB &amp; Bed Mgmt'!$A:$A,B40,'Client DB &amp; Bed Mgmt'!$D:$D,"&lt;&gt;",'Client DB &amp; Bed Mgmt'!$U:$U,"&lt;="&amp;A40,'Client DB &amp; Bed Mgmt'!$V:$V,"&gt;="&amp;A40)&gt;0),125,"")</f>
        <v/>
      </c>
      <c r="O40" s="190">
        <f>IF(AND(EDATE($B$4,8)&lt;=EOMONTH($B$5,0),COUNTIFS('Client DB &amp; Bed Mgmt'!$A:$A,B40,'Client DB &amp; Bed Mgmt'!$D:$D,"&lt;&gt;",'Client DB &amp; Bed Mgmt'!$U:$U,"&lt;="&amp;A40,'Client DB &amp; Bed Mgmt'!$V:$V,"&gt;="&amp;A40)&gt;0),60,"")</f>
        <v/>
      </c>
      <c r="P40" s="190">
        <f>IF(AND(EDATE($B$4,8)&lt;=EOMONTH($B$5,0),COUNTIFS('Client DB &amp; Bed Mgmt'!$A:$A,B40,'Client DB &amp; Bed Mgmt'!$D:$D,"&lt;&gt;",'Client DB &amp; Bed Mgmt'!$U:$U,"&lt;="&amp;A40,'Client DB &amp; Bed Mgmt'!$V:$V,"&gt;="&amp;A40)&gt;0),80,"")</f>
        <v/>
      </c>
      <c r="Q40" s="190">
        <f>IF(AND(EDATE($B$4,8)&lt;=EOMONTH($B$5,0),COUNTIFS('Client DB &amp; Bed Mgmt'!$A:$A,B40,'Client DB &amp; Bed Mgmt'!$D:$D,"&lt;&gt;",'Client DB &amp; Bed Mgmt'!$U:$U,"&lt;="&amp;A40,'Client DB &amp; Bed Mgmt'!$V:$V,"&gt;="&amp;A40)&gt;0),40,"")</f>
        <v/>
      </c>
      <c r="R40" s="189">
        <f>IF(AND(EDATE($B$4,8)&lt;=EOMONTH($B$5,0),COUNTIFS('Client DB &amp; Bed Mgmt'!$A:$A,B40,'Client DB &amp; Bed Mgmt'!$D:$D,"&lt;&gt;",'Client DB &amp; Bed Mgmt'!$U:$U,"&lt;="&amp;A40,'Client DB &amp; Bed Mgmt'!$V:$V,"&gt;="&amp;A40)&gt;0),IF(C40="Owned",0,2500),"")</f>
        <v/>
      </c>
      <c r="S40" s="189">
        <f>IF(AND(EDATE($B$4,8)&lt;=EOMONTH($B$5,0),COUNTIFS('Client DB &amp; Bed Mgmt'!$A:$A,B40,'Client DB &amp; Bed Mgmt'!$D:$D,"&lt;&gt;",'Client DB &amp; Bed Mgmt'!$U:$U,"&lt;="&amp;A40,'Client DB &amp; Bed Mgmt'!$V:$V,"&gt;="&amp;A40)&gt;0),SUM(K40:R40),"")</f>
        <v/>
      </c>
      <c r="T40" s="189">
        <f>IF(AND(EDATE($B$4,8)&lt;=EOMONTH($B$5,0),COUNTIFS('Client DB &amp; Bed Mgmt'!$A:$A,B40,'Client DB &amp; Bed Mgmt'!$D:$D,"&lt;&gt;",'Client DB &amp; Bed Mgmt'!$U:$U,"&lt;="&amp;A40,'Client DB &amp; Bed Mgmt'!$V:$V,"&gt;="&amp;A40)&gt;0),I40-S40,"")</f>
        <v/>
      </c>
      <c r="U40" s="105">
        <f>IF(AND(EDATE($B$4,8)&lt;=EOMONTH($B$5,0),COUNTIFS('Client DB &amp; Bed Mgmt'!$A:$A,B40,'Client DB &amp; Bed Mgmt'!$D:$D,"&lt;&gt;",'Client DB &amp; Bed Mgmt'!$U:$U,"&lt;="&amp;A40,'Client DB &amp; Bed Mgmt'!$V:$V,"&gt;="&amp;A40)&gt;0),IFERROR(T40/I40,0),"")</f>
        <v/>
      </c>
      <c r="V40" s="191">
        <f>IF(EDATE($B$4,8)&lt;=EOMONTH($B$5,0),COUNTIFS('Client DB &amp; Bed Mgmt'!$A:$A,B40,'Client DB &amp; Bed Mgmt'!$D:$D,"&lt;&gt;",'Client DB &amp; Bed Mgmt'!$U:$U,"&lt;="&amp;A40,'Client DB &amp; Bed Mgmt'!$V:$V,"&gt;="&amp;A40),"")</f>
        <v/>
      </c>
      <c r="W40" s="181">
        <f>IF(AND(EDATE($B$4,8)&lt;=EOMONTH($B$5,0),COUNTIFS('Client DB &amp; Bed Mgmt'!$A:$A,B40,'Client DB &amp; Bed Mgmt'!$D:$D,"&lt;&gt;",'Client DB &amp; Bed Mgmt'!$U:$U,"&lt;="&amp;A40,'Client DB &amp; Bed Mgmt'!$V:$V,"&gt;="&amp;A40)&gt;0),V40,"")</f>
        <v/>
      </c>
      <c r="X40" s="189">
        <f>IF(AND(EDATE($B$4,8)&lt;=EOMONTH($B$5,0),COUNTIFS('Client DB &amp; Bed Mgmt'!$A:$A,B40,'Client DB &amp; Bed Mgmt'!$D:$D,"&lt;&gt;",'Client DB &amp; Bed Mgmt'!$U:$U,"&lt;="&amp;A40,'Client DB &amp; Bed Mgmt'!$V:$V,"&gt;="&amp;A40)&gt;0),SUMIFS('Client DB &amp; Bed Mgmt'!$I:$I,'Client DB &amp; Bed Mgmt'!$A:$A,B40,'Client DB &amp; Bed Mgmt'!$D:$D,"&lt;&gt;",'Client DB &amp; Bed Mgmt'!$U:$U,"&lt;="&amp;A40,'Client DB &amp; Bed Mgmt'!$V:$V,"&gt;="&amp;A40),"")</f>
        <v/>
      </c>
      <c r="Y40" s="189">
        <f>IF(AND(EDATE($B$4,8)&lt;=EOMONTH($B$5,0),COUNTIFS('Client DB &amp; Bed Mgmt'!$A:$A,B40,'Client DB &amp; Bed Mgmt'!$D:$D,"&lt;&gt;",'Client DB &amp; Bed Mgmt'!$U:$U,"&lt;="&amp;A40,'Client DB &amp; Bed Mgmt'!$V:$V,"&gt;="&amp;A40)&gt;0),SUMIFS('Client DB &amp; Bed Mgmt'!$J:$J,'Client DB &amp; Bed Mgmt'!$A:$A,B40,'Client DB &amp; Bed Mgmt'!$D:$D,"&lt;&gt;",'Client DB &amp; Bed Mgmt'!$U:$U,"&lt;="&amp;A40,'Client DB &amp; Bed Mgmt'!$V:$V,"&gt;="&amp;A40),"")</f>
        <v/>
      </c>
      <c r="Z40" s="192">
        <f>IF(AND(EDATE($B$4,8)&lt;=EOMONTH($B$5,0),COUNTIFS('Client DB &amp; Bed Mgmt'!$A:$A,B40,'Client DB &amp; Bed Mgmt'!$D:$D,"&lt;&gt;",'Client DB &amp; Bed Mgmt'!$U:$U,"&lt;="&amp;A40,'Client DB &amp; Bed Mgmt'!$V:$V,"&gt;="&amp;A40)&gt;0),SUMIFS('Client DB &amp; Bed Mgmt'!$K:$K,'Client DB &amp; Bed Mgmt'!$A:$A,B40,'Client DB &amp; Bed Mgmt'!$D:$D,"&lt;&gt;",'Client DB &amp; Bed Mgmt'!$U:$U,"&lt;="&amp;A40,'Client DB &amp; Bed Mgmt'!$V:$V,"&gt;="&amp;A40),"")</f>
        <v/>
      </c>
      <c r="AA40" s="82" t="n"/>
      <c r="AB40" s="82" t="n"/>
    </row>
    <row r="41" ht="14.25" customHeight="1" s="83">
      <c r="A41" s="177">
        <f>IF(EDATE($B$4,9)&lt;=EOMONTH($B$5,0),EDATE($B$4,9),"")</f>
        <v/>
      </c>
      <c r="B41" s="103">
        <f>IF(EDATE($B$4,9)&lt;=EOMONTH($B$5,0),"Dorm 1","")</f>
        <v/>
      </c>
      <c r="C41" s="170">
        <f>IF(AND(EDATE($B$4,9)&lt;=EOMONTH($B$5,0),COUNTIFS('Client DB &amp; Bed Mgmt'!$A:$A,B41,'Client DB &amp; Bed Mgmt'!$D:$D,"&lt;&gt;",'Client DB &amp; Bed Mgmt'!$U:$U,"&lt;="&amp;A41,'Client DB &amp; Bed Mgmt'!$V:$V,"&gt;="&amp;A41)&gt;0),IFERROR(INDEX('Settings &amp; Master Config'!$C$21:$C$23,MATCH(B41,'Settings &amp; Master Config'!$A$21:$A$23,0)),""),"")</f>
        <v/>
      </c>
      <c r="D41" s="170">
        <f>IF(AND(EDATE($B$4,9)&lt;=EOMONTH($B$5,0),COUNTIFS('Client DB &amp; Bed Mgmt'!$A:$A,B41,'Client DB &amp; Bed Mgmt'!$D:$D,"&lt;&gt;",'Client DB &amp; Bed Mgmt'!$U:$U,"&lt;="&amp;A41,'Client DB &amp; Bed Mgmt'!$V:$V,"&gt;="&amp;A41)&gt;0),IFERROR(INDEX('Settings &amp; Master Config'!$F$21:$F$23,MATCH(B41,'Settings &amp; Master Config'!$A$21:$A$23,0)),0),"")</f>
        <v/>
      </c>
      <c r="E41" s="130">
        <f>IF(AND(EDATE($B$4,9)&lt;=EOMONTH($B$5,0),COUNTIFS('Client DB &amp; Bed Mgmt'!$A:$A,B41,'Client DB &amp; Bed Mgmt'!$D:$D,"&lt;&gt;",'Client DB &amp; Bed Mgmt'!$U:$U,"&lt;="&amp;A41,'Client DB &amp; Bed Mgmt'!$V:$V,"&gt;="&amp;A41)&gt;0),$B$7*(1+$B$9)^(YEAR(A41)-YEAR($B$4)),"")</f>
        <v/>
      </c>
      <c r="F41" s="105">
        <f>IF(AND(EDATE($B$4,9)&lt;=EOMONTH($B$5,0),COUNTIFS('Client DB &amp; Bed Mgmt'!$A:$A,B41,'Client DB &amp; Bed Mgmt'!$D:$D,"&lt;&gt;",'Client DB &amp; Bed Mgmt'!$U:$U,"&lt;="&amp;A41,'Client DB &amp; Bed Mgmt'!$V:$V,"&gt;="&amp;A41)&gt;0),$B$8,"")</f>
        <v/>
      </c>
      <c r="G41" s="105">
        <f>IF(AND(EDATE($B$4,9)&lt;=EOMONTH($B$5,0),COUNTIFS('Client DB &amp; Bed Mgmt'!$A:$A,B41,'Client DB &amp; Bed Mgmt'!$D:$D,"&lt;&gt;",'Client DB &amp; Bed Mgmt'!$U:$U,"&lt;="&amp;A41,'Client DB &amp; Bed Mgmt'!$V:$V,"&gt;="&amp;A41)&gt;0),$B$9,"")</f>
        <v/>
      </c>
      <c r="H41" s="130">
        <f>IF(AND(EDATE($B$4,9)&lt;=EOMONTH($B$5,0),COUNTIFS('Client DB &amp; Bed Mgmt'!$A:$A,B41,'Client DB &amp; Bed Mgmt'!$D:$D,"&lt;&gt;",'Client DB &amp; Bed Mgmt'!$U:$U,"&lt;="&amp;A41,'Client DB &amp; Bed Mgmt'!$V:$V,"&gt;="&amp;A41)&gt;0),D41*E41,"")</f>
        <v/>
      </c>
      <c r="I41" s="189">
        <f>IF(AND(EDATE($B$4,9)&lt;=EOMONTH($B$5,0),COUNTIFS('Client DB &amp; Bed Mgmt'!$A:$A,B41,'Client DB &amp; Bed Mgmt'!$D:$D,"&lt;&gt;",'Client DB &amp; Bed Mgmt'!$U:$U,"&lt;="&amp;A41,'Client DB &amp; Bed Mgmt'!$V:$V,"&gt;="&amp;A41)&gt;0),SUM(X41:Z41),"")</f>
        <v/>
      </c>
      <c r="J41" s="189">
        <f>IF(AND(EDATE($B$4,9)&lt;=EOMONTH($B$5,0),COUNTIFS('Client DB &amp; Bed Mgmt'!$A:$A,B41,'Client DB &amp; Bed Mgmt'!$D:$D,"&lt;&gt;",'Client DB &amp; Bed Mgmt'!$U:$U,"&lt;="&amp;A41,'Client DB &amp; Bed Mgmt'!$V:$V,"&gt;="&amp;A41)&gt;0),D41*F41*E41,"")</f>
        <v/>
      </c>
      <c r="K41" s="190">
        <f>IF(AND(EDATE($B$4,9)&lt;=EOMONTH($B$5,0),COUNTIFS('Client DB &amp; Bed Mgmt'!$A:$A,B41,'Client DB &amp; Bed Mgmt'!$D:$D,"&lt;&gt;",'Client DB &amp; Bed Mgmt'!$U:$U,"&lt;="&amp;A41,'Client DB &amp; Bed Mgmt'!$V:$V,"&gt;="&amp;A41)&gt;0),75,"")</f>
        <v/>
      </c>
      <c r="L41" s="190">
        <f>IF(AND(EDATE($B$4,9)&lt;=EOMONTH($B$5,0),COUNTIFS('Client DB &amp; Bed Mgmt'!$A:$A,B41,'Client DB &amp; Bed Mgmt'!$D:$D,"&lt;&gt;",'Client DB &amp; Bed Mgmt'!$U:$U,"&lt;="&amp;A41,'Client DB &amp; Bed Mgmt'!$V:$V,"&gt;="&amp;A41)&gt;0),50,"")</f>
        <v/>
      </c>
      <c r="M41" s="190">
        <f>IF(AND(EDATE($B$4,9)&lt;=EOMONTH($B$5,0),COUNTIFS('Client DB &amp; Bed Mgmt'!$A:$A,B41,'Client DB &amp; Bed Mgmt'!$D:$D,"&lt;&gt;",'Client DB &amp; Bed Mgmt'!$U:$U,"&lt;="&amp;A41,'Client DB &amp; Bed Mgmt'!$V:$V,"&gt;="&amp;A41)&gt;0),150,"")</f>
        <v/>
      </c>
      <c r="N41" s="190">
        <f>IF(AND(EDATE($B$4,9)&lt;=EOMONTH($B$5,0),COUNTIFS('Client DB &amp; Bed Mgmt'!$A:$A,B41,'Client DB &amp; Bed Mgmt'!$D:$D,"&lt;&gt;",'Client DB &amp; Bed Mgmt'!$U:$U,"&lt;="&amp;A41,'Client DB &amp; Bed Mgmt'!$V:$V,"&gt;="&amp;A41)&gt;0),125,"")</f>
        <v/>
      </c>
      <c r="O41" s="190">
        <f>IF(AND(EDATE($B$4,9)&lt;=EOMONTH($B$5,0),COUNTIFS('Client DB &amp; Bed Mgmt'!$A:$A,B41,'Client DB &amp; Bed Mgmt'!$D:$D,"&lt;&gt;",'Client DB &amp; Bed Mgmt'!$U:$U,"&lt;="&amp;A41,'Client DB &amp; Bed Mgmt'!$V:$V,"&gt;="&amp;A41)&gt;0),60,"")</f>
        <v/>
      </c>
      <c r="P41" s="190">
        <f>IF(AND(EDATE($B$4,9)&lt;=EOMONTH($B$5,0),COUNTIFS('Client DB &amp; Bed Mgmt'!$A:$A,B41,'Client DB &amp; Bed Mgmt'!$D:$D,"&lt;&gt;",'Client DB &amp; Bed Mgmt'!$U:$U,"&lt;="&amp;A41,'Client DB &amp; Bed Mgmt'!$V:$V,"&gt;="&amp;A41)&gt;0),80,"")</f>
        <v/>
      </c>
      <c r="Q41" s="190">
        <f>IF(AND(EDATE($B$4,9)&lt;=EOMONTH($B$5,0),COUNTIFS('Client DB &amp; Bed Mgmt'!$A:$A,B41,'Client DB &amp; Bed Mgmt'!$D:$D,"&lt;&gt;",'Client DB &amp; Bed Mgmt'!$U:$U,"&lt;="&amp;A41,'Client DB &amp; Bed Mgmt'!$V:$V,"&gt;="&amp;A41)&gt;0),40,"")</f>
        <v/>
      </c>
      <c r="R41" s="189">
        <f>IF(AND(EDATE($B$4,9)&lt;=EOMONTH($B$5,0),COUNTIFS('Client DB &amp; Bed Mgmt'!$A:$A,B41,'Client DB &amp; Bed Mgmt'!$D:$D,"&lt;&gt;",'Client DB &amp; Bed Mgmt'!$U:$U,"&lt;="&amp;A41,'Client DB &amp; Bed Mgmt'!$V:$V,"&gt;="&amp;A41)&gt;0),IF(C41="Owned",0,2500),"")</f>
        <v/>
      </c>
      <c r="S41" s="189">
        <f>IF(AND(EDATE($B$4,9)&lt;=EOMONTH($B$5,0),COUNTIFS('Client DB &amp; Bed Mgmt'!$A:$A,B41,'Client DB &amp; Bed Mgmt'!$D:$D,"&lt;&gt;",'Client DB &amp; Bed Mgmt'!$U:$U,"&lt;="&amp;A41,'Client DB &amp; Bed Mgmt'!$V:$V,"&gt;="&amp;A41)&gt;0),SUM(K41:R41),"")</f>
        <v/>
      </c>
      <c r="T41" s="189">
        <f>IF(AND(EDATE($B$4,9)&lt;=EOMONTH($B$5,0),COUNTIFS('Client DB &amp; Bed Mgmt'!$A:$A,B41,'Client DB &amp; Bed Mgmt'!$D:$D,"&lt;&gt;",'Client DB &amp; Bed Mgmt'!$U:$U,"&lt;="&amp;A41,'Client DB &amp; Bed Mgmt'!$V:$V,"&gt;="&amp;A41)&gt;0),I41-S41,"")</f>
        <v/>
      </c>
      <c r="U41" s="105">
        <f>IF(AND(EDATE($B$4,9)&lt;=EOMONTH($B$5,0),COUNTIFS('Client DB &amp; Bed Mgmt'!$A:$A,B41,'Client DB &amp; Bed Mgmt'!$D:$D,"&lt;&gt;",'Client DB &amp; Bed Mgmt'!$U:$U,"&lt;="&amp;A41,'Client DB &amp; Bed Mgmt'!$V:$V,"&gt;="&amp;A41)&gt;0),IFERROR(T41/I41,0),"")</f>
        <v/>
      </c>
      <c r="V41" s="191">
        <f>IF(EDATE($B$4,9)&lt;=EOMONTH($B$5,0),COUNTIFS('Client DB &amp; Bed Mgmt'!$A:$A,B41,'Client DB &amp; Bed Mgmt'!$D:$D,"&lt;&gt;",'Client DB &amp; Bed Mgmt'!$U:$U,"&lt;="&amp;A41,'Client DB &amp; Bed Mgmt'!$V:$V,"&gt;="&amp;A41),"")</f>
        <v/>
      </c>
      <c r="W41" s="181">
        <f>IF(AND(EDATE($B$4,9)&lt;=EOMONTH($B$5,0),COUNTIFS('Client DB &amp; Bed Mgmt'!$A:$A,B41,'Client DB &amp; Bed Mgmt'!$D:$D,"&lt;&gt;",'Client DB &amp; Bed Mgmt'!$U:$U,"&lt;="&amp;A41,'Client DB &amp; Bed Mgmt'!$V:$V,"&gt;="&amp;A41)&gt;0),V41,"")</f>
        <v/>
      </c>
      <c r="X41" s="189">
        <f>IF(AND(EDATE($B$4,9)&lt;=EOMONTH($B$5,0),COUNTIFS('Client DB &amp; Bed Mgmt'!$A:$A,B41,'Client DB &amp; Bed Mgmt'!$D:$D,"&lt;&gt;",'Client DB &amp; Bed Mgmt'!$U:$U,"&lt;="&amp;A41,'Client DB &amp; Bed Mgmt'!$V:$V,"&gt;="&amp;A41)&gt;0),SUMIFS('Client DB &amp; Bed Mgmt'!$I:$I,'Client DB &amp; Bed Mgmt'!$A:$A,B41,'Client DB &amp; Bed Mgmt'!$D:$D,"&lt;&gt;",'Client DB &amp; Bed Mgmt'!$U:$U,"&lt;="&amp;A41,'Client DB &amp; Bed Mgmt'!$V:$V,"&gt;="&amp;A41),"")</f>
        <v/>
      </c>
      <c r="Y41" s="189">
        <f>IF(AND(EDATE($B$4,9)&lt;=EOMONTH($B$5,0),COUNTIFS('Client DB &amp; Bed Mgmt'!$A:$A,B41,'Client DB &amp; Bed Mgmt'!$D:$D,"&lt;&gt;",'Client DB &amp; Bed Mgmt'!$U:$U,"&lt;="&amp;A41,'Client DB &amp; Bed Mgmt'!$V:$V,"&gt;="&amp;A41)&gt;0),SUMIFS('Client DB &amp; Bed Mgmt'!$J:$J,'Client DB &amp; Bed Mgmt'!$A:$A,B41,'Client DB &amp; Bed Mgmt'!$D:$D,"&lt;&gt;",'Client DB &amp; Bed Mgmt'!$U:$U,"&lt;="&amp;A41,'Client DB &amp; Bed Mgmt'!$V:$V,"&gt;="&amp;A41),"")</f>
        <v/>
      </c>
      <c r="Z41" s="192">
        <f>IF(AND(EDATE($B$4,9)&lt;=EOMONTH($B$5,0),COUNTIFS('Client DB &amp; Bed Mgmt'!$A:$A,B41,'Client DB &amp; Bed Mgmt'!$D:$D,"&lt;&gt;",'Client DB &amp; Bed Mgmt'!$U:$U,"&lt;="&amp;A41,'Client DB &amp; Bed Mgmt'!$V:$V,"&gt;="&amp;A41)&gt;0),SUMIFS('Client DB &amp; Bed Mgmt'!$K:$K,'Client DB &amp; Bed Mgmt'!$A:$A,B41,'Client DB &amp; Bed Mgmt'!$D:$D,"&lt;&gt;",'Client DB &amp; Bed Mgmt'!$U:$U,"&lt;="&amp;A41,'Client DB &amp; Bed Mgmt'!$V:$V,"&gt;="&amp;A41),"")</f>
        <v/>
      </c>
      <c r="AA41" s="82" t="n"/>
      <c r="AB41" s="82" t="n"/>
    </row>
    <row r="42" hidden="1" ht="14.25" customHeight="1" s="83">
      <c r="A42" s="177">
        <f>IF(EDATE($B$4,9)&lt;=EOMONTH($B$5,0),EDATE($B$4,9),"")</f>
        <v/>
      </c>
      <c r="B42" s="103">
        <f>IF(EDATE($B$4,9)&lt;=EOMONTH($B$5,0),"Dorm 2","")</f>
        <v/>
      </c>
      <c r="C42" s="170">
        <f>IF(AND(EDATE($B$4,9)&lt;=EOMONTH($B$5,0),COUNTIFS('Client DB &amp; Bed Mgmt'!$A:$A,B42,'Client DB &amp; Bed Mgmt'!$D:$D,"&lt;&gt;",'Client DB &amp; Bed Mgmt'!$U:$U,"&lt;="&amp;A42,'Client DB &amp; Bed Mgmt'!$V:$V,"&gt;="&amp;A42)&gt;0),IFERROR(INDEX('Settings &amp; Master Config'!$C$21:$C$23,MATCH(B42,'Settings &amp; Master Config'!$A$21:$A$23,0)),""),"")</f>
        <v/>
      </c>
      <c r="D42" s="170">
        <f>IF(AND(EDATE($B$4,9)&lt;=EOMONTH($B$5,0),COUNTIFS('Client DB &amp; Bed Mgmt'!$A:$A,B42,'Client DB &amp; Bed Mgmt'!$D:$D,"&lt;&gt;",'Client DB &amp; Bed Mgmt'!$U:$U,"&lt;="&amp;A42,'Client DB &amp; Bed Mgmt'!$V:$V,"&gt;="&amp;A42)&gt;0),IFERROR(INDEX('Settings &amp; Master Config'!$F$21:$F$23,MATCH(B42,'Settings &amp; Master Config'!$A$21:$A$23,0)),0),"")</f>
        <v/>
      </c>
      <c r="E42" s="130">
        <f>IF(AND(EDATE($B$4,9)&lt;=EOMONTH($B$5,0),COUNTIFS('Client DB &amp; Bed Mgmt'!$A:$A,B42,'Client DB &amp; Bed Mgmt'!$D:$D,"&lt;&gt;",'Client DB &amp; Bed Mgmt'!$U:$U,"&lt;="&amp;A42,'Client DB &amp; Bed Mgmt'!$V:$V,"&gt;="&amp;A42)&gt;0),$B$7*(1+$B$9)^(YEAR(A42)-YEAR($B$4)),"")</f>
        <v/>
      </c>
      <c r="F42" s="105">
        <f>IF(AND(EDATE($B$4,9)&lt;=EOMONTH($B$5,0),COUNTIFS('Client DB &amp; Bed Mgmt'!$A:$A,B42,'Client DB &amp; Bed Mgmt'!$D:$D,"&lt;&gt;",'Client DB &amp; Bed Mgmt'!$U:$U,"&lt;="&amp;A42,'Client DB &amp; Bed Mgmt'!$V:$V,"&gt;="&amp;A42)&gt;0),$B$8,"")</f>
        <v/>
      </c>
      <c r="G42" s="105">
        <f>IF(AND(EDATE($B$4,9)&lt;=EOMONTH($B$5,0),COUNTIFS('Client DB &amp; Bed Mgmt'!$A:$A,B42,'Client DB &amp; Bed Mgmt'!$D:$D,"&lt;&gt;",'Client DB &amp; Bed Mgmt'!$U:$U,"&lt;="&amp;A42,'Client DB &amp; Bed Mgmt'!$V:$V,"&gt;="&amp;A42)&gt;0),$B$9,"")</f>
        <v/>
      </c>
      <c r="H42" s="130">
        <f>IF(AND(EDATE($B$4,9)&lt;=EOMONTH($B$5,0),COUNTIFS('Client DB &amp; Bed Mgmt'!$A:$A,B42,'Client DB &amp; Bed Mgmt'!$D:$D,"&lt;&gt;",'Client DB &amp; Bed Mgmt'!$U:$U,"&lt;="&amp;A42,'Client DB &amp; Bed Mgmt'!$V:$V,"&gt;="&amp;A42)&gt;0),D42*E42,"")</f>
        <v/>
      </c>
      <c r="I42" s="189">
        <f>IF(AND(EDATE($B$4,9)&lt;=EOMONTH($B$5,0),COUNTIFS('Client DB &amp; Bed Mgmt'!$A:$A,B42,'Client DB &amp; Bed Mgmt'!$D:$D,"&lt;&gt;",'Client DB &amp; Bed Mgmt'!$U:$U,"&lt;="&amp;A42,'Client DB &amp; Bed Mgmt'!$V:$V,"&gt;="&amp;A42)&gt;0),SUM(X42:Z42),"")</f>
        <v/>
      </c>
      <c r="J42" s="189">
        <f>IF(AND(EDATE($B$4,9)&lt;=EOMONTH($B$5,0),COUNTIFS('Client DB &amp; Bed Mgmt'!$A:$A,B42,'Client DB &amp; Bed Mgmt'!$D:$D,"&lt;&gt;",'Client DB &amp; Bed Mgmt'!$U:$U,"&lt;="&amp;A42,'Client DB &amp; Bed Mgmt'!$V:$V,"&gt;="&amp;A42)&gt;0),D42*F42*E42,"")</f>
        <v/>
      </c>
      <c r="K42" s="190">
        <f>IF(AND(EDATE($B$4,9)&lt;=EOMONTH($B$5,0),COUNTIFS('Client DB &amp; Bed Mgmt'!$A:$A,B42,'Client DB &amp; Bed Mgmt'!$D:$D,"&lt;&gt;",'Client DB &amp; Bed Mgmt'!$U:$U,"&lt;="&amp;A42,'Client DB &amp; Bed Mgmt'!$V:$V,"&gt;="&amp;A42)&gt;0),75,"")</f>
        <v/>
      </c>
      <c r="L42" s="190">
        <f>IF(AND(EDATE($B$4,9)&lt;=EOMONTH($B$5,0),COUNTIFS('Client DB &amp; Bed Mgmt'!$A:$A,B42,'Client DB &amp; Bed Mgmt'!$D:$D,"&lt;&gt;",'Client DB &amp; Bed Mgmt'!$U:$U,"&lt;="&amp;A42,'Client DB &amp; Bed Mgmt'!$V:$V,"&gt;="&amp;A42)&gt;0),50,"")</f>
        <v/>
      </c>
      <c r="M42" s="190">
        <f>IF(AND(EDATE($B$4,9)&lt;=EOMONTH($B$5,0),COUNTIFS('Client DB &amp; Bed Mgmt'!$A:$A,B42,'Client DB &amp; Bed Mgmt'!$D:$D,"&lt;&gt;",'Client DB &amp; Bed Mgmt'!$U:$U,"&lt;="&amp;A42,'Client DB &amp; Bed Mgmt'!$V:$V,"&gt;="&amp;A42)&gt;0),150,"")</f>
        <v/>
      </c>
      <c r="N42" s="190">
        <f>IF(AND(EDATE($B$4,9)&lt;=EOMONTH($B$5,0),COUNTIFS('Client DB &amp; Bed Mgmt'!$A:$A,B42,'Client DB &amp; Bed Mgmt'!$D:$D,"&lt;&gt;",'Client DB &amp; Bed Mgmt'!$U:$U,"&lt;="&amp;A42,'Client DB &amp; Bed Mgmt'!$V:$V,"&gt;="&amp;A42)&gt;0),125,"")</f>
        <v/>
      </c>
      <c r="O42" s="190">
        <f>IF(AND(EDATE($B$4,9)&lt;=EOMONTH($B$5,0),COUNTIFS('Client DB &amp; Bed Mgmt'!$A:$A,B42,'Client DB &amp; Bed Mgmt'!$D:$D,"&lt;&gt;",'Client DB &amp; Bed Mgmt'!$U:$U,"&lt;="&amp;A42,'Client DB &amp; Bed Mgmt'!$V:$V,"&gt;="&amp;A42)&gt;0),60,"")</f>
        <v/>
      </c>
      <c r="P42" s="190">
        <f>IF(AND(EDATE($B$4,9)&lt;=EOMONTH($B$5,0),COUNTIFS('Client DB &amp; Bed Mgmt'!$A:$A,B42,'Client DB &amp; Bed Mgmt'!$D:$D,"&lt;&gt;",'Client DB &amp; Bed Mgmt'!$U:$U,"&lt;="&amp;A42,'Client DB &amp; Bed Mgmt'!$V:$V,"&gt;="&amp;A42)&gt;0),80,"")</f>
        <v/>
      </c>
      <c r="Q42" s="190">
        <f>IF(AND(EDATE($B$4,9)&lt;=EOMONTH($B$5,0),COUNTIFS('Client DB &amp; Bed Mgmt'!$A:$A,B42,'Client DB &amp; Bed Mgmt'!$D:$D,"&lt;&gt;",'Client DB &amp; Bed Mgmt'!$U:$U,"&lt;="&amp;A42,'Client DB &amp; Bed Mgmt'!$V:$V,"&gt;="&amp;A42)&gt;0),40,"")</f>
        <v/>
      </c>
      <c r="R42" s="189">
        <f>IF(AND(EDATE($B$4,9)&lt;=EOMONTH($B$5,0),COUNTIFS('Client DB &amp; Bed Mgmt'!$A:$A,B42,'Client DB &amp; Bed Mgmt'!$D:$D,"&lt;&gt;",'Client DB &amp; Bed Mgmt'!$U:$U,"&lt;="&amp;A42,'Client DB &amp; Bed Mgmt'!$V:$V,"&gt;="&amp;A42)&gt;0),IF(C42="Owned",0,2500),"")</f>
        <v/>
      </c>
      <c r="S42" s="189">
        <f>IF(AND(EDATE($B$4,9)&lt;=EOMONTH($B$5,0),COUNTIFS('Client DB &amp; Bed Mgmt'!$A:$A,B42,'Client DB &amp; Bed Mgmt'!$D:$D,"&lt;&gt;",'Client DB &amp; Bed Mgmt'!$U:$U,"&lt;="&amp;A42,'Client DB &amp; Bed Mgmt'!$V:$V,"&gt;="&amp;A42)&gt;0),SUM(K42:R42),"")</f>
        <v/>
      </c>
      <c r="T42" s="189">
        <f>IF(AND(EDATE($B$4,9)&lt;=EOMONTH($B$5,0),COUNTIFS('Client DB &amp; Bed Mgmt'!$A:$A,B42,'Client DB &amp; Bed Mgmt'!$D:$D,"&lt;&gt;",'Client DB &amp; Bed Mgmt'!$U:$U,"&lt;="&amp;A42,'Client DB &amp; Bed Mgmt'!$V:$V,"&gt;="&amp;A42)&gt;0),I42-S42,"")</f>
        <v/>
      </c>
      <c r="U42" s="105">
        <f>IF(AND(EDATE($B$4,9)&lt;=EOMONTH($B$5,0),COUNTIFS('Client DB &amp; Bed Mgmt'!$A:$A,B42,'Client DB &amp; Bed Mgmt'!$D:$D,"&lt;&gt;",'Client DB &amp; Bed Mgmt'!$U:$U,"&lt;="&amp;A42,'Client DB &amp; Bed Mgmt'!$V:$V,"&gt;="&amp;A42)&gt;0),IFERROR(T42/I42,0),"")</f>
        <v/>
      </c>
      <c r="V42" s="191">
        <f>IF(EDATE($B$4,9)&lt;=EOMONTH($B$5,0),COUNTIFS('Client DB &amp; Bed Mgmt'!$A:$A,B42,'Client DB &amp; Bed Mgmt'!$D:$D,"&lt;&gt;",'Client DB &amp; Bed Mgmt'!$U:$U,"&lt;="&amp;A42,'Client DB &amp; Bed Mgmt'!$V:$V,"&gt;="&amp;A42),"")</f>
        <v/>
      </c>
      <c r="W42" s="181">
        <f>IF(AND(EDATE($B$4,9)&lt;=EOMONTH($B$5,0),COUNTIFS('Client DB &amp; Bed Mgmt'!$A:$A,B42,'Client DB &amp; Bed Mgmt'!$D:$D,"&lt;&gt;",'Client DB &amp; Bed Mgmt'!$U:$U,"&lt;="&amp;A42,'Client DB &amp; Bed Mgmt'!$V:$V,"&gt;="&amp;A42)&gt;0),V42,"")</f>
        <v/>
      </c>
      <c r="X42" s="189">
        <f>IF(AND(EDATE($B$4,9)&lt;=EOMONTH($B$5,0),COUNTIFS('Client DB &amp; Bed Mgmt'!$A:$A,B42,'Client DB &amp; Bed Mgmt'!$D:$D,"&lt;&gt;",'Client DB &amp; Bed Mgmt'!$U:$U,"&lt;="&amp;A42,'Client DB &amp; Bed Mgmt'!$V:$V,"&gt;="&amp;A42)&gt;0),SUMIFS('Client DB &amp; Bed Mgmt'!$I:$I,'Client DB &amp; Bed Mgmt'!$A:$A,B42,'Client DB &amp; Bed Mgmt'!$D:$D,"&lt;&gt;",'Client DB &amp; Bed Mgmt'!$U:$U,"&lt;="&amp;A42,'Client DB &amp; Bed Mgmt'!$V:$V,"&gt;="&amp;A42),"")</f>
        <v/>
      </c>
      <c r="Y42" s="189">
        <f>IF(AND(EDATE($B$4,9)&lt;=EOMONTH($B$5,0),COUNTIFS('Client DB &amp; Bed Mgmt'!$A:$A,B42,'Client DB &amp; Bed Mgmt'!$D:$D,"&lt;&gt;",'Client DB &amp; Bed Mgmt'!$U:$U,"&lt;="&amp;A42,'Client DB &amp; Bed Mgmt'!$V:$V,"&gt;="&amp;A42)&gt;0),SUMIFS('Client DB &amp; Bed Mgmt'!$J:$J,'Client DB &amp; Bed Mgmt'!$A:$A,B42,'Client DB &amp; Bed Mgmt'!$D:$D,"&lt;&gt;",'Client DB &amp; Bed Mgmt'!$U:$U,"&lt;="&amp;A42,'Client DB &amp; Bed Mgmt'!$V:$V,"&gt;="&amp;A42),"")</f>
        <v/>
      </c>
      <c r="Z42" s="192">
        <f>IF(AND(EDATE($B$4,9)&lt;=EOMONTH($B$5,0),COUNTIFS('Client DB &amp; Bed Mgmt'!$A:$A,B42,'Client DB &amp; Bed Mgmt'!$D:$D,"&lt;&gt;",'Client DB &amp; Bed Mgmt'!$U:$U,"&lt;="&amp;A42,'Client DB &amp; Bed Mgmt'!$V:$V,"&gt;="&amp;A42)&gt;0),SUMIFS('Client DB &amp; Bed Mgmt'!$K:$K,'Client DB &amp; Bed Mgmt'!$A:$A,B42,'Client DB &amp; Bed Mgmt'!$D:$D,"&lt;&gt;",'Client DB &amp; Bed Mgmt'!$U:$U,"&lt;="&amp;A42,'Client DB &amp; Bed Mgmt'!$V:$V,"&gt;="&amp;A42),"")</f>
        <v/>
      </c>
      <c r="AA42" s="82" t="n"/>
      <c r="AB42" s="82" t="n"/>
    </row>
    <row r="43" hidden="1" ht="14.25" customHeight="1" s="83">
      <c r="A43" s="177">
        <f>IF(EDATE($B$4,9)&lt;=EOMONTH($B$5,0),EDATE($B$4,9),"")</f>
        <v/>
      </c>
      <c r="B43" s="103">
        <f>IF(EDATE($B$4,9)&lt;=EOMONTH($B$5,0),"Dorm 3","")</f>
        <v/>
      </c>
      <c r="C43" s="170">
        <f>IF(AND(EDATE($B$4,9)&lt;=EOMONTH($B$5,0),COUNTIFS('Client DB &amp; Bed Mgmt'!$A:$A,B43,'Client DB &amp; Bed Mgmt'!$D:$D,"&lt;&gt;",'Client DB &amp; Bed Mgmt'!$U:$U,"&lt;="&amp;A43,'Client DB &amp; Bed Mgmt'!$V:$V,"&gt;="&amp;A43)&gt;0),IFERROR(INDEX('Settings &amp; Master Config'!$C$21:$C$23,MATCH(B43,'Settings &amp; Master Config'!$A$21:$A$23,0)),""),"")</f>
        <v/>
      </c>
      <c r="D43" s="170">
        <f>IF(AND(EDATE($B$4,9)&lt;=EOMONTH($B$5,0),COUNTIFS('Client DB &amp; Bed Mgmt'!$A:$A,B43,'Client DB &amp; Bed Mgmt'!$D:$D,"&lt;&gt;",'Client DB &amp; Bed Mgmt'!$U:$U,"&lt;="&amp;A43,'Client DB &amp; Bed Mgmt'!$V:$V,"&gt;="&amp;A43)&gt;0),IFERROR(INDEX('Settings &amp; Master Config'!$F$21:$F$23,MATCH(B43,'Settings &amp; Master Config'!$A$21:$A$23,0)),0),"")</f>
        <v/>
      </c>
      <c r="E43" s="130">
        <f>IF(AND(EDATE($B$4,9)&lt;=EOMONTH($B$5,0),COUNTIFS('Client DB &amp; Bed Mgmt'!$A:$A,B43,'Client DB &amp; Bed Mgmt'!$D:$D,"&lt;&gt;",'Client DB &amp; Bed Mgmt'!$U:$U,"&lt;="&amp;A43,'Client DB &amp; Bed Mgmt'!$V:$V,"&gt;="&amp;A43)&gt;0),$B$7*(1+$B$9)^(YEAR(A43)-YEAR($B$4)),"")</f>
        <v/>
      </c>
      <c r="F43" s="105">
        <f>IF(AND(EDATE($B$4,9)&lt;=EOMONTH($B$5,0),COUNTIFS('Client DB &amp; Bed Mgmt'!$A:$A,B43,'Client DB &amp; Bed Mgmt'!$D:$D,"&lt;&gt;",'Client DB &amp; Bed Mgmt'!$U:$U,"&lt;="&amp;A43,'Client DB &amp; Bed Mgmt'!$V:$V,"&gt;="&amp;A43)&gt;0),$B$8,"")</f>
        <v/>
      </c>
      <c r="G43" s="105">
        <f>IF(AND(EDATE($B$4,9)&lt;=EOMONTH($B$5,0),COUNTIFS('Client DB &amp; Bed Mgmt'!$A:$A,B43,'Client DB &amp; Bed Mgmt'!$D:$D,"&lt;&gt;",'Client DB &amp; Bed Mgmt'!$U:$U,"&lt;="&amp;A43,'Client DB &amp; Bed Mgmt'!$V:$V,"&gt;="&amp;A43)&gt;0),$B$9,"")</f>
        <v/>
      </c>
      <c r="H43" s="130">
        <f>IF(AND(EDATE($B$4,9)&lt;=EOMONTH($B$5,0),COUNTIFS('Client DB &amp; Bed Mgmt'!$A:$A,B43,'Client DB &amp; Bed Mgmt'!$D:$D,"&lt;&gt;",'Client DB &amp; Bed Mgmt'!$U:$U,"&lt;="&amp;A43,'Client DB &amp; Bed Mgmt'!$V:$V,"&gt;="&amp;A43)&gt;0),D43*E43,"")</f>
        <v/>
      </c>
      <c r="I43" s="189">
        <f>IF(AND(EDATE($B$4,9)&lt;=EOMONTH($B$5,0),COUNTIFS('Client DB &amp; Bed Mgmt'!$A:$A,B43,'Client DB &amp; Bed Mgmt'!$D:$D,"&lt;&gt;",'Client DB &amp; Bed Mgmt'!$U:$U,"&lt;="&amp;A43,'Client DB &amp; Bed Mgmt'!$V:$V,"&gt;="&amp;A43)&gt;0),SUM(X43:Z43),"")</f>
        <v/>
      </c>
      <c r="J43" s="189">
        <f>IF(AND(EDATE($B$4,9)&lt;=EOMONTH($B$5,0),COUNTIFS('Client DB &amp; Bed Mgmt'!$A:$A,B43,'Client DB &amp; Bed Mgmt'!$D:$D,"&lt;&gt;",'Client DB &amp; Bed Mgmt'!$U:$U,"&lt;="&amp;A43,'Client DB &amp; Bed Mgmt'!$V:$V,"&gt;="&amp;A43)&gt;0),D43*F43*E43,"")</f>
        <v/>
      </c>
      <c r="K43" s="190">
        <f>IF(AND(EDATE($B$4,9)&lt;=EOMONTH($B$5,0),COUNTIFS('Client DB &amp; Bed Mgmt'!$A:$A,B43,'Client DB &amp; Bed Mgmt'!$D:$D,"&lt;&gt;",'Client DB &amp; Bed Mgmt'!$U:$U,"&lt;="&amp;A43,'Client DB &amp; Bed Mgmt'!$V:$V,"&gt;="&amp;A43)&gt;0),75,"")</f>
        <v/>
      </c>
      <c r="L43" s="190">
        <f>IF(AND(EDATE($B$4,9)&lt;=EOMONTH($B$5,0),COUNTIFS('Client DB &amp; Bed Mgmt'!$A:$A,B43,'Client DB &amp; Bed Mgmt'!$D:$D,"&lt;&gt;",'Client DB &amp; Bed Mgmt'!$U:$U,"&lt;="&amp;A43,'Client DB &amp; Bed Mgmt'!$V:$V,"&gt;="&amp;A43)&gt;0),50,"")</f>
        <v/>
      </c>
      <c r="M43" s="190">
        <f>IF(AND(EDATE($B$4,9)&lt;=EOMONTH($B$5,0),COUNTIFS('Client DB &amp; Bed Mgmt'!$A:$A,B43,'Client DB &amp; Bed Mgmt'!$D:$D,"&lt;&gt;",'Client DB &amp; Bed Mgmt'!$U:$U,"&lt;="&amp;A43,'Client DB &amp; Bed Mgmt'!$V:$V,"&gt;="&amp;A43)&gt;0),150,"")</f>
        <v/>
      </c>
      <c r="N43" s="190">
        <f>IF(AND(EDATE($B$4,9)&lt;=EOMONTH($B$5,0),COUNTIFS('Client DB &amp; Bed Mgmt'!$A:$A,B43,'Client DB &amp; Bed Mgmt'!$D:$D,"&lt;&gt;",'Client DB &amp; Bed Mgmt'!$U:$U,"&lt;="&amp;A43,'Client DB &amp; Bed Mgmt'!$V:$V,"&gt;="&amp;A43)&gt;0),125,"")</f>
        <v/>
      </c>
      <c r="O43" s="190">
        <f>IF(AND(EDATE($B$4,9)&lt;=EOMONTH($B$5,0),COUNTIFS('Client DB &amp; Bed Mgmt'!$A:$A,B43,'Client DB &amp; Bed Mgmt'!$D:$D,"&lt;&gt;",'Client DB &amp; Bed Mgmt'!$U:$U,"&lt;="&amp;A43,'Client DB &amp; Bed Mgmt'!$V:$V,"&gt;="&amp;A43)&gt;0),60,"")</f>
        <v/>
      </c>
      <c r="P43" s="190">
        <f>IF(AND(EDATE($B$4,9)&lt;=EOMONTH($B$5,0),COUNTIFS('Client DB &amp; Bed Mgmt'!$A:$A,B43,'Client DB &amp; Bed Mgmt'!$D:$D,"&lt;&gt;",'Client DB &amp; Bed Mgmt'!$U:$U,"&lt;="&amp;A43,'Client DB &amp; Bed Mgmt'!$V:$V,"&gt;="&amp;A43)&gt;0),80,"")</f>
        <v/>
      </c>
      <c r="Q43" s="190">
        <f>IF(AND(EDATE($B$4,9)&lt;=EOMONTH($B$5,0),COUNTIFS('Client DB &amp; Bed Mgmt'!$A:$A,B43,'Client DB &amp; Bed Mgmt'!$D:$D,"&lt;&gt;",'Client DB &amp; Bed Mgmt'!$U:$U,"&lt;="&amp;A43,'Client DB &amp; Bed Mgmt'!$V:$V,"&gt;="&amp;A43)&gt;0),40,"")</f>
        <v/>
      </c>
      <c r="R43" s="189">
        <f>IF(AND(EDATE($B$4,9)&lt;=EOMONTH($B$5,0),COUNTIFS('Client DB &amp; Bed Mgmt'!$A:$A,B43,'Client DB &amp; Bed Mgmt'!$D:$D,"&lt;&gt;",'Client DB &amp; Bed Mgmt'!$U:$U,"&lt;="&amp;A43,'Client DB &amp; Bed Mgmt'!$V:$V,"&gt;="&amp;A43)&gt;0),IF(C43="Owned",0,2500),"")</f>
        <v/>
      </c>
      <c r="S43" s="189">
        <f>IF(AND(EDATE($B$4,9)&lt;=EOMONTH($B$5,0),COUNTIFS('Client DB &amp; Bed Mgmt'!$A:$A,B43,'Client DB &amp; Bed Mgmt'!$D:$D,"&lt;&gt;",'Client DB &amp; Bed Mgmt'!$U:$U,"&lt;="&amp;A43,'Client DB &amp; Bed Mgmt'!$V:$V,"&gt;="&amp;A43)&gt;0),SUM(K43:R43),"")</f>
        <v/>
      </c>
      <c r="T43" s="189">
        <f>IF(AND(EDATE($B$4,9)&lt;=EOMONTH($B$5,0),COUNTIFS('Client DB &amp; Bed Mgmt'!$A:$A,B43,'Client DB &amp; Bed Mgmt'!$D:$D,"&lt;&gt;",'Client DB &amp; Bed Mgmt'!$U:$U,"&lt;="&amp;A43,'Client DB &amp; Bed Mgmt'!$V:$V,"&gt;="&amp;A43)&gt;0),I43-S43,"")</f>
        <v/>
      </c>
      <c r="U43" s="105">
        <f>IF(AND(EDATE($B$4,9)&lt;=EOMONTH($B$5,0),COUNTIFS('Client DB &amp; Bed Mgmt'!$A:$A,B43,'Client DB &amp; Bed Mgmt'!$D:$D,"&lt;&gt;",'Client DB &amp; Bed Mgmt'!$U:$U,"&lt;="&amp;A43,'Client DB &amp; Bed Mgmt'!$V:$V,"&gt;="&amp;A43)&gt;0),IFERROR(T43/I43,0),"")</f>
        <v/>
      </c>
      <c r="V43" s="191">
        <f>IF(EDATE($B$4,9)&lt;=EOMONTH($B$5,0),COUNTIFS('Client DB &amp; Bed Mgmt'!$A:$A,B43,'Client DB &amp; Bed Mgmt'!$D:$D,"&lt;&gt;",'Client DB &amp; Bed Mgmt'!$U:$U,"&lt;="&amp;A43,'Client DB &amp; Bed Mgmt'!$V:$V,"&gt;="&amp;A43),"")</f>
        <v/>
      </c>
      <c r="W43" s="181">
        <f>IF(AND(EDATE($B$4,9)&lt;=EOMONTH($B$5,0),COUNTIFS('Client DB &amp; Bed Mgmt'!$A:$A,B43,'Client DB &amp; Bed Mgmt'!$D:$D,"&lt;&gt;",'Client DB &amp; Bed Mgmt'!$U:$U,"&lt;="&amp;A43,'Client DB &amp; Bed Mgmt'!$V:$V,"&gt;="&amp;A43)&gt;0),V43,"")</f>
        <v/>
      </c>
      <c r="X43" s="189">
        <f>IF(AND(EDATE($B$4,9)&lt;=EOMONTH($B$5,0),COUNTIFS('Client DB &amp; Bed Mgmt'!$A:$A,B43,'Client DB &amp; Bed Mgmt'!$D:$D,"&lt;&gt;",'Client DB &amp; Bed Mgmt'!$U:$U,"&lt;="&amp;A43,'Client DB &amp; Bed Mgmt'!$V:$V,"&gt;="&amp;A43)&gt;0),SUMIFS('Client DB &amp; Bed Mgmt'!$I:$I,'Client DB &amp; Bed Mgmt'!$A:$A,B43,'Client DB &amp; Bed Mgmt'!$D:$D,"&lt;&gt;",'Client DB &amp; Bed Mgmt'!$U:$U,"&lt;="&amp;A43,'Client DB &amp; Bed Mgmt'!$V:$V,"&gt;="&amp;A43),"")</f>
        <v/>
      </c>
      <c r="Y43" s="189">
        <f>IF(AND(EDATE($B$4,9)&lt;=EOMONTH($B$5,0),COUNTIFS('Client DB &amp; Bed Mgmt'!$A:$A,B43,'Client DB &amp; Bed Mgmt'!$D:$D,"&lt;&gt;",'Client DB &amp; Bed Mgmt'!$U:$U,"&lt;="&amp;A43,'Client DB &amp; Bed Mgmt'!$V:$V,"&gt;="&amp;A43)&gt;0),SUMIFS('Client DB &amp; Bed Mgmt'!$J:$J,'Client DB &amp; Bed Mgmt'!$A:$A,B43,'Client DB &amp; Bed Mgmt'!$D:$D,"&lt;&gt;",'Client DB &amp; Bed Mgmt'!$U:$U,"&lt;="&amp;A43,'Client DB &amp; Bed Mgmt'!$V:$V,"&gt;="&amp;A43),"")</f>
        <v/>
      </c>
      <c r="Z43" s="192">
        <f>IF(AND(EDATE($B$4,9)&lt;=EOMONTH($B$5,0),COUNTIFS('Client DB &amp; Bed Mgmt'!$A:$A,B43,'Client DB &amp; Bed Mgmt'!$D:$D,"&lt;&gt;",'Client DB &amp; Bed Mgmt'!$U:$U,"&lt;="&amp;A43,'Client DB &amp; Bed Mgmt'!$V:$V,"&gt;="&amp;A43)&gt;0),SUMIFS('Client DB &amp; Bed Mgmt'!$K:$K,'Client DB &amp; Bed Mgmt'!$A:$A,B43,'Client DB &amp; Bed Mgmt'!$D:$D,"&lt;&gt;",'Client DB &amp; Bed Mgmt'!$U:$U,"&lt;="&amp;A43,'Client DB &amp; Bed Mgmt'!$V:$V,"&gt;="&amp;A43),"")</f>
        <v/>
      </c>
      <c r="AA43" s="82" t="n"/>
      <c r="AB43" s="82" t="n"/>
    </row>
    <row r="44" ht="14.25" customHeight="1" s="83">
      <c r="A44" s="177">
        <f>IF(EDATE($B$4,10)&lt;=EOMONTH($B$5,0),EDATE($B$4,10),"")</f>
        <v/>
      </c>
      <c r="B44" s="103">
        <f>IF(EDATE($B$4,10)&lt;=EOMONTH($B$5,0),"Dorm 1","")</f>
        <v/>
      </c>
      <c r="C44" s="170">
        <f>IF(AND(EDATE($B$4,10)&lt;=EOMONTH($B$5,0),COUNTIFS('Client DB &amp; Bed Mgmt'!$A:$A,B44,'Client DB &amp; Bed Mgmt'!$D:$D,"&lt;&gt;",'Client DB &amp; Bed Mgmt'!$U:$U,"&lt;="&amp;A44,'Client DB &amp; Bed Mgmt'!$V:$V,"&gt;="&amp;A44)&gt;0),IFERROR(INDEX('Settings &amp; Master Config'!$C$21:$C$23,MATCH(B44,'Settings &amp; Master Config'!$A$21:$A$23,0)),""),"")</f>
        <v/>
      </c>
      <c r="D44" s="170">
        <f>IF(AND(EDATE($B$4,10)&lt;=EOMONTH($B$5,0),COUNTIFS('Client DB &amp; Bed Mgmt'!$A:$A,B44,'Client DB &amp; Bed Mgmt'!$D:$D,"&lt;&gt;",'Client DB &amp; Bed Mgmt'!$U:$U,"&lt;="&amp;A44,'Client DB &amp; Bed Mgmt'!$V:$V,"&gt;="&amp;A44)&gt;0),IFERROR(INDEX('Settings &amp; Master Config'!$F$21:$F$23,MATCH(B44,'Settings &amp; Master Config'!$A$21:$A$23,0)),0),"")</f>
        <v/>
      </c>
      <c r="E44" s="130">
        <f>IF(AND(EDATE($B$4,10)&lt;=EOMONTH($B$5,0),COUNTIFS('Client DB &amp; Bed Mgmt'!$A:$A,B44,'Client DB &amp; Bed Mgmt'!$D:$D,"&lt;&gt;",'Client DB &amp; Bed Mgmt'!$U:$U,"&lt;="&amp;A44,'Client DB &amp; Bed Mgmt'!$V:$V,"&gt;="&amp;A44)&gt;0),$B$7*(1+$B$9)^(YEAR(A44)-YEAR($B$4)),"")</f>
        <v/>
      </c>
      <c r="F44" s="105">
        <f>IF(AND(EDATE($B$4,10)&lt;=EOMONTH($B$5,0),COUNTIFS('Client DB &amp; Bed Mgmt'!$A:$A,B44,'Client DB &amp; Bed Mgmt'!$D:$D,"&lt;&gt;",'Client DB &amp; Bed Mgmt'!$U:$U,"&lt;="&amp;A44,'Client DB &amp; Bed Mgmt'!$V:$V,"&gt;="&amp;A44)&gt;0),$B$8,"")</f>
        <v/>
      </c>
      <c r="G44" s="105">
        <f>IF(AND(EDATE($B$4,10)&lt;=EOMONTH($B$5,0),COUNTIFS('Client DB &amp; Bed Mgmt'!$A:$A,B44,'Client DB &amp; Bed Mgmt'!$D:$D,"&lt;&gt;",'Client DB &amp; Bed Mgmt'!$U:$U,"&lt;="&amp;A44,'Client DB &amp; Bed Mgmt'!$V:$V,"&gt;="&amp;A44)&gt;0),$B$9,"")</f>
        <v/>
      </c>
      <c r="H44" s="130">
        <f>IF(AND(EDATE($B$4,10)&lt;=EOMONTH($B$5,0),COUNTIFS('Client DB &amp; Bed Mgmt'!$A:$A,B44,'Client DB &amp; Bed Mgmt'!$D:$D,"&lt;&gt;",'Client DB &amp; Bed Mgmt'!$U:$U,"&lt;="&amp;A44,'Client DB &amp; Bed Mgmt'!$V:$V,"&gt;="&amp;A44)&gt;0),D44*E44,"")</f>
        <v/>
      </c>
      <c r="I44" s="189">
        <f>IF(AND(EDATE($B$4,10)&lt;=EOMONTH($B$5,0),COUNTIFS('Client DB &amp; Bed Mgmt'!$A:$A,B44,'Client DB &amp; Bed Mgmt'!$D:$D,"&lt;&gt;",'Client DB &amp; Bed Mgmt'!$U:$U,"&lt;="&amp;A44,'Client DB &amp; Bed Mgmt'!$V:$V,"&gt;="&amp;A44)&gt;0),SUM(X44:Z44),"")</f>
        <v/>
      </c>
      <c r="J44" s="189">
        <f>IF(AND(EDATE($B$4,10)&lt;=EOMONTH($B$5,0),COUNTIFS('Client DB &amp; Bed Mgmt'!$A:$A,B44,'Client DB &amp; Bed Mgmt'!$D:$D,"&lt;&gt;",'Client DB &amp; Bed Mgmt'!$U:$U,"&lt;="&amp;A44,'Client DB &amp; Bed Mgmt'!$V:$V,"&gt;="&amp;A44)&gt;0),D44*F44*E44,"")</f>
        <v/>
      </c>
      <c r="K44" s="190">
        <f>IF(AND(EDATE($B$4,10)&lt;=EOMONTH($B$5,0),COUNTIFS('Client DB &amp; Bed Mgmt'!$A:$A,B44,'Client DB &amp; Bed Mgmt'!$D:$D,"&lt;&gt;",'Client DB &amp; Bed Mgmt'!$U:$U,"&lt;="&amp;A44,'Client DB &amp; Bed Mgmt'!$V:$V,"&gt;="&amp;A44)&gt;0),75,"")</f>
        <v/>
      </c>
      <c r="L44" s="190">
        <f>IF(AND(EDATE($B$4,10)&lt;=EOMONTH($B$5,0),COUNTIFS('Client DB &amp; Bed Mgmt'!$A:$A,B44,'Client DB &amp; Bed Mgmt'!$D:$D,"&lt;&gt;",'Client DB &amp; Bed Mgmt'!$U:$U,"&lt;="&amp;A44,'Client DB &amp; Bed Mgmt'!$V:$V,"&gt;="&amp;A44)&gt;0),50,"")</f>
        <v/>
      </c>
      <c r="M44" s="190">
        <f>IF(AND(EDATE($B$4,10)&lt;=EOMONTH($B$5,0),COUNTIFS('Client DB &amp; Bed Mgmt'!$A:$A,B44,'Client DB &amp; Bed Mgmt'!$D:$D,"&lt;&gt;",'Client DB &amp; Bed Mgmt'!$U:$U,"&lt;="&amp;A44,'Client DB &amp; Bed Mgmt'!$V:$V,"&gt;="&amp;A44)&gt;0),150,"")</f>
        <v/>
      </c>
      <c r="N44" s="190">
        <f>IF(AND(EDATE($B$4,10)&lt;=EOMONTH($B$5,0),COUNTIFS('Client DB &amp; Bed Mgmt'!$A:$A,B44,'Client DB &amp; Bed Mgmt'!$D:$D,"&lt;&gt;",'Client DB &amp; Bed Mgmt'!$U:$U,"&lt;="&amp;A44,'Client DB &amp; Bed Mgmt'!$V:$V,"&gt;="&amp;A44)&gt;0),125,"")</f>
        <v/>
      </c>
      <c r="O44" s="190">
        <f>IF(AND(EDATE($B$4,10)&lt;=EOMONTH($B$5,0),COUNTIFS('Client DB &amp; Bed Mgmt'!$A:$A,B44,'Client DB &amp; Bed Mgmt'!$D:$D,"&lt;&gt;",'Client DB &amp; Bed Mgmt'!$U:$U,"&lt;="&amp;A44,'Client DB &amp; Bed Mgmt'!$V:$V,"&gt;="&amp;A44)&gt;0),60,"")</f>
        <v/>
      </c>
      <c r="P44" s="190">
        <f>IF(AND(EDATE($B$4,10)&lt;=EOMONTH($B$5,0),COUNTIFS('Client DB &amp; Bed Mgmt'!$A:$A,B44,'Client DB &amp; Bed Mgmt'!$D:$D,"&lt;&gt;",'Client DB &amp; Bed Mgmt'!$U:$U,"&lt;="&amp;A44,'Client DB &amp; Bed Mgmt'!$V:$V,"&gt;="&amp;A44)&gt;0),80,"")</f>
        <v/>
      </c>
      <c r="Q44" s="190">
        <f>IF(AND(EDATE($B$4,10)&lt;=EOMONTH($B$5,0),COUNTIFS('Client DB &amp; Bed Mgmt'!$A:$A,B44,'Client DB &amp; Bed Mgmt'!$D:$D,"&lt;&gt;",'Client DB &amp; Bed Mgmt'!$U:$U,"&lt;="&amp;A44,'Client DB &amp; Bed Mgmt'!$V:$V,"&gt;="&amp;A44)&gt;0),40,"")</f>
        <v/>
      </c>
      <c r="R44" s="189">
        <f>IF(AND(EDATE($B$4,10)&lt;=EOMONTH($B$5,0),COUNTIFS('Client DB &amp; Bed Mgmt'!$A:$A,B44,'Client DB &amp; Bed Mgmt'!$D:$D,"&lt;&gt;",'Client DB &amp; Bed Mgmt'!$U:$U,"&lt;="&amp;A44,'Client DB &amp; Bed Mgmt'!$V:$V,"&gt;="&amp;A44)&gt;0),IF(C44="Owned",0,2500),"")</f>
        <v/>
      </c>
      <c r="S44" s="189">
        <f>IF(AND(EDATE($B$4,10)&lt;=EOMONTH($B$5,0),COUNTIFS('Client DB &amp; Bed Mgmt'!$A:$A,B44,'Client DB &amp; Bed Mgmt'!$D:$D,"&lt;&gt;",'Client DB &amp; Bed Mgmt'!$U:$U,"&lt;="&amp;A44,'Client DB &amp; Bed Mgmt'!$V:$V,"&gt;="&amp;A44)&gt;0),SUM(K44:R44),"")</f>
        <v/>
      </c>
      <c r="T44" s="189">
        <f>IF(AND(EDATE($B$4,10)&lt;=EOMONTH($B$5,0),COUNTIFS('Client DB &amp; Bed Mgmt'!$A:$A,B44,'Client DB &amp; Bed Mgmt'!$D:$D,"&lt;&gt;",'Client DB &amp; Bed Mgmt'!$U:$U,"&lt;="&amp;A44,'Client DB &amp; Bed Mgmt'!$V:$V,"&gt;="&amp;A44)&gt;0),I44-S44,"")</f>
        <v/>
      </c>
      <c r="U44" s="105">
        <f>IF(AND(EDATE($B$4,10)&lt;=EOMONTH($B$5,0),COUNTIFS('Client DB &amp; Bed Mgmt'!$A:$A,B44,'Client DB &amp; Bed Mgmt'!$D:$D,"&lt;&gt;",'Client DB &amp; Bed Mgmt'!$U:$U,"&lt;="&amp;A44,'Client DB &amp; Bed Mgmt'!$V:$V,"&gt;="&amp;A44)&gt;0),IFERROR(T44/I44,0),"")</f>
        <v/>
      </c>
      <c r="V44" s="191">
        <f>IF(EDATE($B$4,10)&lt;=EOMONTH($B$5,0),COUNTIFS('Client DB &amp; Bed Mgmt'!$A:$A,B44,'Client DB &amp; Bed Mgmt'!$D:$D,"&lt;&gt;",'Client DB &amp; Bed Mgmt'!$U:$U,"&lt;="&amp;A44,'Client DB &amp; Bed Mgmt'!$V:$V,"&gt;="&amp;A44),"")</f>
        <v/>
      </c>
      <c r="W44" s="181">
        <f>IF(AND(EDATE($B$4,10)&lt;=EOMONTH($B$5,0),COUNTIFS('Client DB &amp; Bed Mgmt'!$A:$A,B44,'Client DB &amp; Bed Mgmt'!$D:$D,"&lt;&gt;",'Client DB &amp; Bed Mgmt'!$U:$U,"&lt;="&amp;A44,'Client DB &amp; Bed Mgmt'!$V:$V,"&gt;="&amp;A44)&gt;0),V44,"")</f>
        <v/>
      </c>
      <c r="X44" s="189">
        <f>IF(AND(EDATE($B$4,10)&lt;=EOMONTH($B$5,0),COUNTIFS('Client DB &amp; Bed Mgmt'!$A:$A,B44,'Client DB &amp; Bed Mgmt'!$D:$D,"&lt;&gt;",'Client DB &amp; Bed Mgmt'!$U:$U,"&lt;="&amp;A44,'Client DB &amp; Bed Mgmt'!$V:$V,"&gt;="&amp;A44)&gt;0),SUMIFS('Client DB &amp; Bed Mgmt'!$I:$I,'Client DB &amp; Bed Mgmt'!$A:$A,B44,'Client DB &amp; Bed Mgmt'!$D:$D,"&lt;&gt;",'Client DB &amp; Bed Mgmt'!$U:$U,"&lt;="&amp;A44,'Client DB &amp; Bed Mgmt'!$V:$V,"&gt;="&amp;A44),"")</f>
        <v/>
      </c>
      <c r="Y44" s="189">
        <f>IF(AND(EDATE($B$4,10)&lt;=EOMONTH($B$5,0),COUNTIFS('Client DB &amp; Bed Mgmt'!$A:$A,B44,'Client DB &amp; Bed Mgmt'!$D:$D,"&lt;&gt;",'Client DB &amp; Bed Mgmt'!$U:$U,"&lt;="&amp;A44,'Client DB &amp; Bed Mgmt'!$V:$V,"&gt;="&amp;A44)&gt;0),SUMIFS('Client DB &amp; Bed Mgmt'!$J:$J,'Client DB &amp; Bed Mgmt'!$A:$A,B44,'Client DB &amp; Bed Mgmt'!$D:$D,"&lt;&gt;",'Client DB &amp; Bed Mgmt'!$U:$U,"&lt;="&amp;A44,'Client DB &amp; Bed Mgmt'!$V:$V,"&gt;="&amp;A44),"")</f>
        <v/>
      </c>
      <c r="Z44" s="192">
        <f>IF(AND(EDATE($B$4,10)&lt;=EOMONTH($B$5,0),COUNTIFS('Client DB &amp; Bed Mgmt'!$A:$A,B44,'Client DB &amp; Bed Mgmt'!$D:$D,"&lt;&gt;",'Client DB &amp; Bed Mgmt'!$U:$U,"&lt;="&amp;A44,'Client DB &amp; Bed Mgmt'!$V:$V,"&gt;="&amp;A44)&gt;0),SUMIFS('Client DB &amp; Bed Mgmt'!$K:$K,'Client DB &amp; Bed Mgmt'!$A:$A,B44,'Client DB &amp; Bed Mgmt'!$D:$D,"&lt;&gt;",'Client DB &amp; Bed Mgmt'!$U:$U,"&lt;="&amp;A44,'Client DB &amp; Bed Mgmt'!$V:$V,"&gt;="&amp;A44),"")</f>
        <v/>
      </c>
      <c r="AA44" s="82" t="n"/>
      <c r="AB44" s="82" t="n"/>
    </row>
    <row r="45" hidden="1" ht="14.25" customHeight="1" s="83">
      <c r="A45" s="177">
        <f>IF(EDATE($B$4,10)&lt;=EOMONTH($B$5,0),EDATE($B$4,10),"")</f>
        <v/>
      </c>
      <c r="B45" s="103">
        <f>IF(EDATE($B$4,10)&lt;=EOMONTH($B$5,0),"Dorm 2","")</f>
        <v/>
      </c>
      <c r="C45" s="170">
        <f>IF(AND(EDATE($B$4,10)&lt;=EOMONTH($B$5,0),COUNTIFS('Client DB &amp; Bed Mgmt'!$A:$A,B45,'Client DB &amp; Bed Mgmt'!$D:$D,"&lt;&gt;",'Client DB &amp; Bed Mgmt'!$U:$U,"&lt;="&amp;A45,'Client DB &amp; Bed Mgmt'!$V:$V,"&gt;="&amp;A45)&gt;0),IFERROR(INDEX('Settings &amp; Master Config'!$C$21:$C$23,MATCH(B45,'Settings &amp; Master Config'!$A$21:$A$23,0)),""),"")</f>
        <v/>
      </c>
      <c r="D45" s="170">
        <f>IF(AND(EDATE($B$4,10)&lt;=EOMONTH($B$5,0),COUNTIFS('Client DB &amp; Bed Mgmt'!$A:$A,B45,'Client DB &amp; Bed Mgmt'!$D:$D,"&lt;&gt;",'Client DB &amp; Bed Mgmt'!$U:$U,"&lt;="&amp;A45,'Client DB &amp; Bed Mgmt'!$V:$V,"&gt;="&amp;A45)&gt;0),IFERROR(INDEX('Settings &amp; Master Config'!$F$21:$F$23,MATCH(B45,'Settings &amp; Master Config'!$A$21:$A$23,0)),0),"")</f>
        <v/>
      </c>
      <c r="E45" s="130">
        <f>IF(AND(EDATE($B$4,10)&lt;=EOMONTH($B$5,0),COUNTIFS('Client DB &amp; Bed Mgmt'!$A:$A,B45,'Client DB &amp; Bed Mgmt'!$D:$D,"&lt;&gt;",'Client DB &amp; Bed Mgmt'!$U:$U,"&lt;="&amp;A45,'Client DB &amp; Bed Mgmt'!$V:$V,"&gt;="&amp;A45)&gt;0),$B$7*(1+$B$9)^(YEAR(A45)-YEAR($B$4)),"")</f>
        <v/>
      </c>
      <c r="F45" s="105">
        <f>IF(AND(EDATE($B$4,10)&lt;=EOMONTH($B$5,0),COUNTIFS('Client DB &amp; Bed Mgmt'!$A:$A,B45,'Client DB &amp; Bed Mgmt'!$D:$D,"&lt;&gt;",'Client DB &amp; Bed Mgmt'!$U:$U,"&lt;="&amp;A45,'Client DB &amp; Bed Mgmt'!$V:$V,"&gt;="&amp;A45)&gt;0),$B$8,"")</f>
        <v/>
      </c>
      <c r="G45" s="105">
        <f>IF(AND(EDATE($B$4,10)&lt;=EOMONTH($B$5,0),COUNTIFS('Client DB &amp; Bed Mgmt'!$A:$A,B45,'Client DB &amp; Bed Mgmt'!$D:$D,"&lt;&gt;",'Client DB &amp; Bed Mgmt'!$U:$U,"&lt;="&amp;A45,'Client DB &amp; Bed Mgmt'!$V:$V,"&gt;="&amp;A45)&gt;0),$B$9,"")</f>
        <v/>
      </c>
      <c r="H45" s="130">
        <f>IF(AND(EDATE($B$4,10)&lt;=EOMONTH($B$5,0),COUNTIFS('Client DB &amp; Bed Mgmt'!$A:$A,B45,'Client DB &amp; Bed Mgmt'!$D:$D,"&lt;&gt;",'Client DB &amp; Bed Mgmt'!$U:$U,"&lt;="&amp;A45,'Client DB &amp; Bed Mgmt'!$V:$V,"&gt;="&amp;A45)&gt;0),D45*E45,"")</f>
        <v/>
      </c>
      <c r="I45" s="189">
        <f>IF(AND(EDATE($B$4,10)&lt;=EOMONTH($B$5,0),COUNTIFS('Client DB &amp; Bed Mgmt'!$A:$A,B45,'Client DB &amp; Bed Mgmt'!$D:$D,"&lt;&gt;",'Client DB &amp; Bed Mgmt'!$U:$U,"&lt;="&amp;A45,'Client DB &amp; Bed Mgmt'!$V:$V,"&gt;="&amp;A45)&gt;0),SUM(X45:Z45),"")</f>
        <v/>
      </c>
      <c r="J45" s="189">
        <f>IF(AND(EDATE($B$4,10)&lt;=EOMONTH($B$5,0),COUNTIFS('Client DB &amp; Bed Mgmt'!$A:$A,B45,'Client DB &amp; Bed Mgmt'!$D:$D,"&lt;&gt;",'Client DB &amp; Bed Mgmt'!$U:$U,"&lt;="&amp;A45,'Client DB &amp; Bed Mgmt'!$V:$V,"&gt;="&amp;A45)&gt;0),D45*F45*E45,"")</f>
        <v/>
      </c>
      <c r="K45" s="190">
        <f>IF(AND(EDATE($B$4,10)&lt;=EOMONTH($B$5,0),COUNTIFS('Client DB &amp; Bed Mgmt'!$A:$A,B45,'Client DB &amp; Bed Mgmt'!$D:$D,"&lt;&gt;",'Client DB &amp; Bed Mgmt'!$U:$U,"&lt;="&amp;A45,'Client DB &amp; Bed Mgmt'!$V:$V,"&gt;="&amp;A45)&gt;0),75,"")</f>
        <v/>
      </c>
      <c r="L45" s="190">
        <f>IF(AND(EDATE($B$4,10)&lt;=EOMONTH($B$5,0),COUNTIFS('Client DB &amp; Bed Mgmt'!$A:$A,B45,'Client DB &amp; Bed Mgmt'!$D:$D,"&lt;&gt;",'Client DB &amp; Bed Mgmt'!$U:$U,"&lt;="&amp;A45,'Client DB &amp; Bed Mgmt'!$V:$V,"&gt;="&amp;A45)&gt;0),50,"")</f>
        <v/>
      </c>
      <c r="M45" s="190">
        <f>IF(AND(EDATE($B$4,10)&lt;=EOMONTH($B$5,0),COUNTIFS('Client DB &amp; Bed Mgmt'!$A:$A,B45,'Client DB &amp; Bed Mgmt'!$D:$D,"&lt;&gt;",'Client DB &amp; Bed Mgmt'!$U:$U,"&lt;="&amp;A45,'Client DB &amp; Bed Mgmt'!$V:$V,"&gt;="&amp;A45)&gt;0),150,"")</f>
        <v/>
      </c>
      <c r="N45" s="190">
        <f>IF(AND(EDATE($B$4,10)&lt;=EOMONTH($B$5,0),COUNTIFS('Client DB &amp; Bed Mgmt'!$A:$A,B45,'Client DB &amp; Bed Mgmt'!$D:$D,"&lt;&gt;",'Client DB &amp; Bed Mgmt'!$U:$U,"&lt;="&amp;A45,'Client DB &amp; Bed Mgmt'!$V:$V,"&gt;="&amp;A45)&gt;0),125,"")</f>
        <v/>
      </c>
      <c r="O45" s="190">
        <f>IF(AND(EDATE($B$4,10)&lt;=EOMONTH($B$5,0),COUNTIFS('Client DB &amp; Bed Mgmt'!$A:$A,B45,'Client DB &amp; Bed Mgmt'!$D:$D,"&lt;&gt;",'Client DB &amp; Bed Mgmt'!$U:$U,"&lt;="&amp;A45,'Client DB &amp; Bed Mgmt'!$V:$V,"&gt;="&amp;A45)&gt;0),60,"")</f>
        <v/>
      </c>
      <c r="P45" s="190">
        <f>IF(AND(EDATE($B$4,10)&lt;=EOMONTH($B$5,0),COUNTIFS('Client DB &amp; Bed Mgmt'!$A:$A,B45,'Client DB &amp; Bed Mgmt'!$D:$D,"&lt;&gt;",'Client DB &amp; Bed Mgmt'!$U:$U,"&lt;="&amp;A45,'Client DB &amp; Bed Mgmt'!$V:$V,"&gt;="&amp;A45)&gt;0),80,"")</f>
        <v/>
      </c>
      <c r="Q45" s="190">
        <f>IF(AND(EDATE($B$4,10)&lt;=EOMONTH($B$5,0),COUNTIFS('Client DB &amp; Bed Mgmt'!$A:$A,B45,'Client DB &amp; Bed Mgmt'!$D:$D,"&lt;&gt;",'Client DB &amp; Bed Mgmt'!$U:$U,"&lt;="&amp;A45,'Client DB &amp; Bed Mgmt'!$V:$V,"&gt;="&amp;A45)&gt;0),40,"")</f>
        <v/>
      </c>
      <c r="R45" s="189">
        <f>IF(AND(EDATE($B$4,10)&lt;=EOMONTH($B$5,0),COUNTIFS('Client DB &amp; Bed Mgmt'!$A:$A,B45,'Client DB &amp; Bed Mgmt'!$D:$D,"&lt;&gt;",'Client DB &amp; Bed Mgmt'!$U:$U,"&lt;="&amp;A45,'Client DB &amp; Bed Mgmt'!$V:$V,"&gt;="&amp;A45)&gt;0),IF(C45="Owned",0,2500),"")</f>
        <v/>
      </c>
      <c r="S45" s="189">
        <f>IF(AND(EDATE($B$4,10)&lt;=EOMONTH($B$5,0),COUNTIFS('Client DB &amp; Bed Mgmt'!$A:$A,B45,'Client DB &amp; Bed Mgmt'!$D:$D,"&lt;&gt;",'Client DB &amp; Bed Mgmt'!$U:$U,"&lt;="&amp;A45,'Client DB &amp; Bed Mgmt'!$V:$V,"&gt;="&amp;A45)&gt;0),SUM(K45:R45),"")</f>
        <v/>
      </c>
      <c r="T45" s="189">
        <f>IF(AND(EDATE($B$4,10)&lt;=EOMONTH($B$5,0),COUNTIFS('Client DB &amp; Bed Mgmt'!$A:$A,B45,'Client DB &amp; Bed Mgmt'!$D:$D,"&lt;&gt;",'Client DB &amp; Bed Mgmt'!$U:$U,"&lt;="&amp;A45,'Client DB &amp; Bed Mgmt'!$V:$V,"&gt;="&amp;A45)&gt;0),I45-S45,"")</f>
        <v/>
      </c>
      <c r="U45" s="105">
        <f>IF(AND(EDATE($B$4,10)&lt;=EOMONTH($B$5,0),COUNTIFS('Client DB &amp; Bed Mgmt'!$A:$A,B45,'Client DB &amp; Bed Mgmt'!$D:$D,"&lt;&gt;",'Client DB &amp; Bed Mgmt'!$U:$U,"&lt;="&amp;A45,'Client DB &amp; Bed Mgmt'!$V:$V,"&gt;="&amp;A45)&gt;0),IFERROR(T45/I45,0),"")</f>
        <v/>
      </c>
      <c r="V45" s="191">
        <f>IF(EDATE($B$4,10)&lt;=EOMONTH($B$5,0),COUNTIFS('Client DB &amp; Bed Mgmt'!$A:$A,B45,'Client DB &amp; Bed Mgmt'!$D:$D,"&lt;&gt;",'Client DB &amp; Bed Mgmt'!$U:$U,"&lt;="&amp;A45,'Client DB &amp; Bed Mgmt'!$V:$V,"&gt;="&amp;A45),"")</f>
        <v/>
      </c>
      <c r="W45" s="181">
        <f>IF(AND(EDATE($B$4,10)&lt;=EOMONTH($B$5,0),COUNTIFS('Client DB &amp; Bed Mgmt'!$A:$A,B45,'Client DB &amp; Bed Mgmt'!$D:$D,"&lt;&gt;",'Client DB &amp; Bed Mgmt'!$U:$U,"&lt;="&amp;A45,'Client DB &amp; Bed Mgmt'!$V:$V,"&gt;="&amp;A45)&gt;0),V45,"")</f>
        <v/>
      </c>
      <c r="X45" s="189">
        <f>IF(AND(EDATE($B$4,10)&lt;=EOMONTH($B$5,0),COUNTIFS('Client DB &amp; Bed Mgmt'!$A:$A,B45,'Client DB &amp; Bed Mgmt'!$D:$D,"&lt;&gt;",'Client DB &amp; Bed Mgmt'!$U:$U,"&lt;="&amp;A45,'Client DB &amp; Bed Mgmt'!$V:$V,"&gt;="&amp;A45)&gt;0),SUMIFS('Client DB &amp; Bed Mgmt'!$I:$I,'Client DB &amp; Bed Mgmt'!$A:$A,B45,'Client DB &amp; Bed Mgmt'!$D:$D,"&lt;&gt;",'Client DB &amp; Bed Mgmt'!$U:$U,"&lt;="&amp;A45,'Client DB &amp; Bed Mgmt'!$V:$V,"&gt;="&amp;A45),"")</f>
        <v/>
      </c>
      <c r="Y45" s="189">
        <f>IF(AND(EDATE($B$4,10)&lt;=EOMONTH($B$5,0),COUNTIFS('Client DB &amp; Bed Mgmt'!$A:$A,B45,'Client DB &amp; Bed Mgmt'!$D:$D,"&lt;&gt;",'Client DB &amp; Bed Mgmt'!$U:$U,"&lt;="&amp;A45,'Client DB &amp; Bed Mgmt'!$V:$V,"&gt;="&amp;A45)&gt;0),SUMIFS('Client DB &amp; Bed Mgmt'!$J:$J,'Client DB &amp; Bed Mgmt'!$A:$A,B45,'Client DB &amp; Bed Mgmt'!$D:$D,"&lt;&gt;",'Client DB &amp; Bed Mgmt'!$U:$U,"&lt;="&amp;A45,'Client DB &amp; Bed Mgmt'!$V:$V,"&gt;="&amp;A45),"")</f>
        <v/>
      </c>
      <c r="Z45" s="192">
        <f>IF(AND(EDATE($B$4,10)&lt;=EOMONTH($B$5,0),COUNTIFS('Client DB &amp; Bed Mgmt'!$A:$A,B45,'Client DB &amp; Bed Mgmt'!$D:$D,"&lt;&gt;",'Client DB &amp; Bed Mgmt'!$U:$U,"&lt;="&amp;A45,'Client DB &amp; Bed Mgmt'!$V:$V,"&gt;="&amp;A45)&gt;0),SUMIFS('Client DB &amp; Bed Mgmt'!$K:$K,'Client DB &amp; Bed Mgmt'!$A:$A,B45,'Client DB &amp; Bed Mgmt'!$D:$D,"&lt;&gt;",'Client DB &amp; Bed Mgmt'!$U:$U,"&lt;="&amp;A45,'Client DB &amp; Bed Mgmt'!$V:$V,"&gt;="&amp;A45),"")</f>
        <v/>
      </c>
      <c r="AA45" s="82" t="n"/>
      <c r="AB45" s="82" t="n"/>
    </row>
    <row r="46" hidden="1" ht="14.25" customHeight="1" s="83">
      <c r="A46" s="177">
        <f>IF(EDATE($B$4,10)&lt;=EOMONTH($B$5,0),EDATE($B$4,10),"")</f>
        <v/>
      </c>
      <c r="B46" s="103">
        <f>IF(EDATE($B$4,10)&lt;=EOMONTH($B$5,0),"Dorm 3","")</f>
        <v/>
      </c>
      <c r="C46" s="170">
        <f>IF(AND(EDATE($B$4,10)&lt;=EOMONTH($B$5,0),COUNTIFS('Client DB &amp; Bed Mgmt'!$A:$A,B46,'Client DB &amp; Bed Mgmt'!$D:$D,"&lt;&gt;",'Client DB &amp; Bed Mgmt'!$U:$U,"&lt;="&amp;A46,'Client DB &amp; Bed Mgmt'!$V:$V,"&gt;="&amp;A46)&gt;0),IFERROR(INDEX('Settings &amp; Master Config'!$C$21:$C$23,MATCH(B46,'Settings &amp; Master Config'!$A$21:$A$23,0)),""),"")</f>
        <v/>
      </c>
      <c r="D46" s="170">
        <f>IF(AND(EDATE($B$4,10)&lt;=EOMONTH($B$5,0),COUNTIFS('Client DB &amp; Bed Mgmt'!$A:$A,B46,'Client DB &amp; Bed Mgmt'!$D:$D,"&lt;&gt;",'Client DB &amp; Bed Mgmt'!$U:$U,"&lt;="&amp;A46,'Client DB &amp; Bed Mgmt'!$V:$V,"&gt;="&amp;A46)&gt;0),IFERROR(INDEX('Settings &amp; Master Config'!$F$21:$F$23,MATCH(B46,'Settings &amp; Master Config'!$A$21:$A$23,0)),0),"")</f>
        <v/>
      </c>
      <c r="E46" s="130">
        <f>IF(AND(EDATE($B$4,10)&lt;=EOMONTH($B$5,0),COUNTIFS('Client DB &amp; Bed Mgmt'!$A:$A,B46,'Client DB &amp; Bed Mgmt'!$D:$D,"&lt;&gt;",'Client DB &amp; Bed Mgmt'!$U:$U,"&lt;="&amp;A46,'Client DB &amp; Bed Mgmt'!$V:$V,"&gt;="&amp;A46)&gt;0),$B$7*(1+$B$9)^(YEAR(A46)-YEAR($B$4)),"")</f>
        <v/>
      </c>
      <c r="F46" s="105">
        <f>IF(AND(EDATE($B$4,10)&lt;=EOMONTH($B$5,0),COUNTIFS('Client DB &amp; Bed Mgmt'!$A:$A,B46,'Client DB &amp; Bed Mgmt'!$D:$D,"&lt;&gt;",'Client DB &amp; Bed Mgmt'!$U:$U,"&lt;="&amp;A46,'Client DB &amp; Bed Mgmt'!$V:$V,"&gt;="&amp;A46)&gt;0),$B$8,"")</f>
        <v/>
      </c>
      <c r="G46" s="105">
        <f>IF(AND(EDATE($B$4,10)&lt;=EOMONTH($B$5,0),COUNTIFS('Client DB &amp; Bed Mgmt'!$A:$A,B46,'Client DB &amp; Bed Mgmt'!$D:$D,"&lt;&gt;",'Client DB &amp; Bed Mgmt'!$U:$U,"&lt;="&amp;A46,'Client DB &amp; Bed Mgmt'!$V:$V,"&gt;="&amp;A46)&gt;0),$B$9,"")</f>
        <v/>
      </c>
      <c r="H46" s="130">
        <f>IF(AND(EDATE($B$4,10)&lt;=EOMONTH($B$5,0),COUNTIFS('Client DB &amp; Bed Mgmt'!$A:$A,B46,'Client DB &amp; Bed Mgmt'!$D:$D,"&lt;&gt;",'Client DB &amp; Bed Mgmt'!$U:$U,"&lt;="&amp;A46,'Client DB &amp; Bed Mgmt'!$V:$V,"&gt;="&amp;A46)&gt;0),D46*E46,"")</f>
        <v/>
      </c>
      <c r="I46" s="189">
        <f>IF(AND(EDATE($B$4,10)&lt;=EOMONTH($B$5,0),COUNTIFS('Client DB &amp; Bed Mgmt'!$A:$A,B46,'Client DB &amp; Bed Mgmt'!$D:$D,"&lt;&gt;",'Client DB &amp; Bed Mgmt'!$U:$U,"&lt;="&amp;A46,'Client DB &amp; Bed Mgmt'!$V:$V,"&gt;="&amp;A46)&gt;0),SUM(X46:Z46),"")</f>
        <v/>
      </c>
      <c r="J46" s="189">
        <f>IF(AND(EDATE($B$4,10)&lt;=EOMONTH($B$5,0),COUNTIFS('Client DB &amp; Bed Mgmt'!$A:$A,B46,'Client DB &amp; Bed Mgmt'!$D:$D,"&lt;&gt;",'Client DB &amp; Bed Mgmt'!$U:$U,"&lt;="&amp;A46,'Client DB &amp; Bed Mgmt'!$V:$V,"&gt;="&amp;A46)&gt;0),D46*F46*E46,"")</f>
        <v/>
      </c>
      <c r="K46" s="190">
        <f>IF(AND(EDATE($B$4,10)&lt;=EOMONTH($B$5,0),COUNTIFS('Client DB &amp; Bed Mgmt'!$A:$A,B46,'Client DB &amp; Bed Mgmt'!$D:$D,"&lt;&gt;",'Client DB &amp; Bed Mgmt'!$U:$U,"&lt;="&amp;A46,'Client DB &amp; Bed Mgmt'!$V:$V,"&gt;="&amp;A46)&gt;0),75,"")</f>
        <v/>
      </c>
      <c r="L46" s="190">
        <f>IF(AND(EDATE($B$4,10)&lt;=EOMONTH($B$5,0),COUNTIFS('Client DB &amp; Bed Mgmt'!$A:$A,B46,'Client DB &amp; Bed Mgmt'!$D:$D,"&lt;&gt;",'Client DB &amp; Bed Mgmt'!$U:$U,"&lt;="&amp;A46,'Client DB &amp; Bed Mgmt'!$V:$V,"&gt;="&amp;A46)&gt;0),50,"")</f>
        <v/>
      </c>
      <c r="M46" s="190">
        <f>IF(AND(EDATE($B$4,10)&lt;=EOMONTH($B$5,0),COUNTIFS('Client DB &amp; Bed Mgmt'!$A:$A,B46,'Client DB &amp; Bed Mgmt'!$D:$D,"&lt;&gt;",'Client DB &amp; Bed Mgmt'!$U:$U,"&lt;="&amp;A46,'Client DB &amp; Bed Mgmt'!$V:$V,"&gt;="&amp;A46)&gt;0),150,"")</f>
        <v/>
      </c>
      <c r="N46" s="190">
        <f>IF(AND(EDATE($B$4,10)&lt;=EOMONTH($B$5,0),COUNTIFS('Client DB &amp; Bed Mgmt'!$A:$A,B46,'Client DB &amp; Bed Mgmt'!$D:$D,"&lt;&gt;",'Client DB &amp; Bed Mgmt'!$U:$U,"&lt;="&amp;A46,'Client DB &amp; Bed Mgmt'!$V:$V,"&gt;="&amp;A46)&gt;0),125,"")</f>
        <v/>
      </c>
      <c r="O46" s="190">
        <f>IF(AND(EDATE($B$4,10)&lt;=EOMONTH($B$5,0),COUNTIFS('Client DB &amp; Bed Mgmt'!$A:$A,B46,'Client DB &amp; Bed Mgmt'!$D:$D,"&lt;&gt;",'Client DB &amp; Bed Mgmt'!$U:$U,"&lt;="&amp;A46,'Client DB &amp; Bed Mgmt'!$V:$V,"&gt;="&amp;A46)&gt;0),60,"")</f>
        <v/>
      </c>
      <c r="P46" s="190">
        <f>IF(AND(EDATE($B$4,10)&lt;=EOMONTH($B$5,0),COUNTIFS('Client DB &amp; Bed Mgmt'!$A:$A,B46,'Client DB &amp; Bed Mgmt'!$D:$D,"&lt;&gt;",'Client DB &amp; Bed Mgmt'!$U:$U,"&lt;="&amp;A46,'Client DB &amp; Bed Mgmt'!$V:$V,"&gt;="&amp;A46)&gt;0),80,"")</f>
        <v/>
      </c>
      <c r="Q46" s="190">
        <f>IF(AND(EDATE($B$4,10)&lt;=EOMONTH($B$5,0),COUNTIFS('Client DB &amp; Bed Mgmt'!$A:$A,B46,'Client DB &amp; Bed Mgmt'!$D:$D,"&lt;&gt;",'Client DB &amp; Bed Mgmt'!$U:$U,"&lt;="&amp;A46,'Client DB &amp; Bed Mgmt'!$V:$V,"&gt;="&amp;A46)&gt;0),40,"")</f>
        <v/>
      </c>
      <c r="R46" s="189">
        <f>IF(AND(EDATE($B$4,10)&lt;=EOMONTH($B$5,0),COUNTIFS('Client DB &amp; Bed Mgmt'!$A:$A,B46,'Client DB &amp; Bed Mgmt'!$D:$D,"&lt;&gt;",'Client DB &amp; Bed Mgmt'!$U:$U,"&lt;="&amp;A46,'Client DB &amp; Bed Mgmt'!$V:$V,"&gt;="&amp;A46)&gt;0),IF(C46="Owned",0,2500),"")</f>
        <v/>
      </c>
      <c r="S46" s="189">
        <f>IF(AND(EDATE($B$4,10)&lt;=EOMONTH($B$5,0),COUNTIFS('Client DB &amp; Bed Mgmt'!$A:$A,B46,'Client DB &amp; Bed Mgmt'!$D:$D,"&lt;&gt;",'Client DB &amp; Bed Mgmt'!$U:$U,"&lt;="&amp;A46,'Client DB &amp; Bed Mgmt'!$V:$V,"&gt;="&amp;A46)&gt;0),SUM(K46:R46),"")</f>
        <v/>
      </c>
      <c r="T46" s="189">
        <f>IF(AND(EDATE($B$4,10)&lt;=EOMONTH($B$5,0),COUNTIFS('Client DB &amp; Bed Mgmt'!$A:$A,B46,'Client DB &amp; Bed Mgmt'!$D:$D,"&lt;&gt;",'Client DB &amp; Bed Mgmt'!$U:$U,"&lt;="&amp;A46,'Client DB &amp; Bed Mgmt'!$V:$V,"&gt;="&amp;A46)&gt;0),I46-S46,"")</f>
        <v/>
      </c>
      <c r="U46" s="105">
        <f>IF(AND(EDATE($B$4,10)&lt;=EOMONTH($B$5,0),COUNTIFS('Client DB &amp; Bed Mgmt'!$A:$A,B46,'Client DB &amp; Bed Mgmt'!$D:$D,"&lt;&gt;",'Client DB &amp; Bed Mgmt'!$U:$U,"&lt;="&amp;A46,'Client DB &amp; Bed Mgmt'!$V:$V,"&gt;="&amp;A46)&gt;0),IFERROR(T46/I46,0),"")</f>
        <v/>
      </c>
      <c r="V46" s="191">
        <f>IF(EDATE($B$4,10)&lt;=EOMONTH($B$5,0),COUNTIFS('Client DB &amp; Bed Mgmt'!$A:$A,B46,'Client DB &amp; Bed Mgmt'!$D:$D,"&lt;&gt;",'Client DB &amp; Bed Mgmt'!$U:$U,"&lt;="&amp;A46,'Client DB &amp; Bed Mgmt'!$V:$V,"&gt;="&amp;A46),"")</f>
        <v/>
      </c>
      <c r="W46" s="181">
        <f>IF(AND(EDATE($B$4,10)&lt;=EOMONTH($B$5,0),COUNTIFS('Client DB &amp; Bed Mgmt'!$A:$A,B46,'Client DB &amp; Bed Mgmt'!$D:$D,"&lt;&gt;",'Client DB &amp; Bed Mgmt'!$U:$U,"&lt;="&amp;A46,'Client DB &amp; Bed Mgmt'!$V:$V,"&gt;="&amp;A46)&gt;0),V46,"")</f>
        <v/>
      </c>
      <c r="X46" s="189">
        <f>IF(AND(EDATE($B$4,10)&lt;=EOMONTH($B$5,0),COUNTIFS('Client DB &amp; Bed Mgmt'!$A:$A,B46,'Client DB &amp; Bed Mgmt'!$D:$D,"&lt;&gt;",'Client DB &amp; Bed Mgmt'!$U:$U,"&lt;="&amp;A46,'Client DB &amp; Bed Mgmt'!$V:$V,"&gt;="&amp;A46)&gt;0),SUMIFS('Client DB &amp; Bed Mgmt'!$I:$I,'Client DB &amp; Bed Mgmt'!$A:$A,B46,'Client DB &amp; Bed Mgmt'!$D:$D,"&lt;&gt;",'Client DB &amp; Bed Mgmt'!$U:$U,"&lt;="&amp;A46,'Client DB &amp; Bed Mgmt'!$V:$V,"&gt;="&amp;A46),"")</f>
        <v/>
      </c>
      <c r="Y46" s="189">
        <f>IF(AND(EDATE($B$4,10)&lt;=EOMONTH($B$5,0),COUNTIFS('Client DB &amp; Bed Mgmt'!$A:$A,B46,'Client DB &amp; Bed Mgmt'!$D:$D,"&lt;&gt;",'Client DB &amp; Bed Mgmt'!$U:$U,"&lt;="&amp;A46,'Client DB &amp; Bed Mgmt'!$V:$V,"&gt;="&amp;A46)&gt;0),SUMIFS('Client DB &amp; Bed Mgmt'!$J:$J,'Client DB &amp; Bed Mgmt'!$A:$A,B46,'Client DB &amp; Bed Mgmt'!$D:$D,"&lt;&gt;",'Client DB &amp; Bed Mgmt'!$U:$U,"&lt;="&amp;A46,'Client DB &amp; Bed Mgmt'!$V:$V,"&gt;="&amp;A46),"")</f>
        <v/>
      </c>
      <c r="Z46" s="192">
        <f>IF(AND(EDATE($B$4,10)&lt;=EOMONTH($B$5,0),COUNTIFS('Client DB &amp; Bed Mgmt'!$A:$A,B46,'Client DB &amp; Bed Mgmt'!$D:$D,"&lt;&gt;",'Client DB &amp; Bed Mgmt'!$U:$U,"&lt;="&amp;A46,'Client DB &amp; Bed Mgmt'!$V:$V,"&gt;="&amp;A46)&gt;0),SUMIFS('Client DB &amp; Bed Mgmt'!$K:$K,'Client DB &amp; Bed Mgmt'!$A:$A,B46,'Client DB &amp; Bed Mgmt'!$D:$D,"&lt;&gt;",'Client DB &amp; Bed Mgmt'!$U:$U,"&lt;="&amp;A46,'Client DB &amp; Bed Mgmt'!$V:$V,"&gt;="&amp;A46),"")</f>
        <v/>
      </c>
      <c r="AA46" s="82" t="n"/>
      <c r="AB46" s="82" t="n"/>
    </row>
    <row r="47" ht="14.25" customHeight="1" s="83">
      <c r="A47" s="177">
        <f>IF(EDATE($B$4,11)&lt;=EOMONTH($B$5,0),EDATE($B$4,11),"")</f>
        <v/>
      </c>
      <c r="B47" s="103">
        <f>IF(EDATE($B$4,11)&lt;=EOMONTH($B$5,0),"Dorm 1","")</f>
        <v/>
      </c>
      <c r="C47" s="170">
        <f>IF(AND(EDATE($B$4,11)&lt;=EOMONTH($B$5,0),COUNTIFS('Client DB &amp; Bed Mgmt'!$A:$A,B47,'Client DB &amp; Bed Mgmt'!$D:$D,"&lt;&gt;",'Client DB &amp; Bed Mgmt'!$U:$U,"&lt;="&amp;A47,'Client DB &amp; Bed Mgmt'!$V:$V,"&gt;="&amp;A47)&gt;0),IFERROR(INDEX('Settings &amp; Master Config'!$C$21:$C$23,MATCH(B47,'Settings &amp; Master Config'!$A$21:$A$23,0)),""),"")</f>
        <v/>
      </c>
      <c r="D47" s="170">
        <f>IF(AND(EDATE($B$4,11)&lt;=EOMONTH($B$5,0),COUNTIFS('Client DB &amp; Bed Mgmt'!$A:$A,B47,'Client DB &amp; Bed Mgmt'!$D:$D,"&lt;&gt;",'Client DB &amp; Bed Mgmt'!$U:$U,"&lt;="&amp;A47,'Client DB &amp; Bed Mgmt'!$V:$V,"&gt;="&amp;A47)&gt;0),IFERROR(INDEX('Settings &amp; Master Config'!$F$21:$F$23,MATCH(B47,'Settings &amp; Master Config'!$A$21:$A$23,0)),0),"")</f>
        <v/>
      </c>
      <c r="E47" s="130">
        <f>IF(AND(EDATE($B$4,11)&lt;=EOMONTH($B$5,0),COUNTIFS('Client DB &amp; Bed Mgmt'!$A:$A,B47,'Client DB &amp; Bed Mgmt'!$D:$D,"&lt;&gt;",'Client DB &amp; Bed Mgmt'!$U:$U,"&lt;="&amp;A47,'Client DB &amp; Bed Mgmt'!$V:$V,"&gt;="&amp;A47)&gt;0),$B$7*(1+$B$9)^(YEAR(A47)-YEAR($B$4)),"")</f>
        <v/>
      </c>
      <c r="F47" s="105">
        <f>IF(AND(EDATE($B$4,11)&lt;=EOMONTH($B$5,0),COUNTIFS('Client DB &amp; Bed Mgmt'!$A:$A,B47,'Client DB &amp; Bed Mgmt'!$D:$D,"&lt;&gt;",'Client DB &amp; Bed Mgmt'!$U:$U,"&lt;="&amp;A47,'Client DB &amp; Bed Mgmt'!$V:$V,"&gt;="&amp;A47)&gt;0),$B$8,"")</f>
        <v/>
      </c>
      <c r="G47" s="105">
        <f>IF(AND(EDATE($B$4,11)&lt;=EOMONTH($B$5,0),COUNTIFS('Client DB &amp; Bed Mgmt'!$A:$A,B47,'Client DB &amp; Bed Mgmt'!$D:$D,"&lt;&gt;",'Client DB &amp; Bed Mgmt'!$U:$U,"&lt;="&amp;A47,'Client DB &amp; Bed Mgmt'!$V:$V,"&gt;="&amp;A47)&gt;0),$B$9,"")</f>
        <v/>
      </c>
      <c r="H47" s="130">
        <f>IF(AND(EDATE($B$4,11)&lt;=EOMONTH($B$5,0),COUNTIFS('Client DB &amp; Bed Mgmt'!$A:$A,B47,'Client DB &amp; Bed Mgmt'!$D:$D,"&lt;&gt;",'Client DB &amp; Bed Mgmt'!$U:$U,"&lt;="&amp;A47,'Client DB &amp; Bed Mgmt'!$V:$V,"&gt;="&amp;A47)&gt;0),D47*E47,"")</f>
        <v/>
      </c>
      <c r="I47" s="189">
        <f>IF(AND(EDATE($B$4,11)&lt;=EOMONTH($B$5,0),COUNTIFS('Client DB &amp; Bed Mgmt'!$A:$A,B47,'Client DB &amp; Bed Mgmt'!$D:$D,"&lt;&gt;",'Client DB &amp; Bed Mgmt'!$U:$U,"&lt;="&amp;A47,'Client DB &amp; Bed Mgmt'!$V:$V,"&gt;="&amp;A47)&gt;0),SUM(X47:Z47),"")</f>
        <v/>
      </c>
      <c r="J47" s="189">
        <f>IF(AND(EDATE($B$4,11)&lt;=EOMONTH($B$5,0),COUNTIFS('Client DB &amp; Bed Mgmt'!$A:$A,B47,'Client DB &amp; Bed Mgmt'!$D:$D,"&lt;&gt;",'Client DB &amp; Bed Mgmt'!$U:$U,"&lt;="&amp;A47,'Client DB &amp; Bed Mgmt'!$V:$V,"&gt;="&amp;A47)&gt;0),D47*F47*E47,"")</f>
        <v/>
      </c>
      <c r="K47" s="190">
        <f>IF(AND(EDATE($B$4,11)&lt;=EOMONTH($B$5,0),COUNTIFS('Client DB &amp; Bed Mgmt'!$A:$A,B47,'Client DB &amp; Bed Mgmt'!$D:$D,"&lt;&gt;",'Client DB &amp; Bed Mgmt'!$U:$U,"&lt;="&amp;A47,'Client DB &amp; Bed Mgmt'!$V:$V,"&gt;="&amp;A47)&gt;0),75,"")</f>
        <v/>
      </c>
      <c r="L47" s="190">
        <f>IF(AND(EDATE($B$4,11)&lt;=EOMONTH($B$5,0),COUNTIFS('Client DB &amp; Bed Mgmt'!$A:$A,B47,'Client DB &amp; Bed Mgmt'!$D:$D,"&lt;&gt;",'Client DB &amp; Bed Mgmt'!$U:$U,"&lt;="&amp;A47,'Client DB &amp; Bed Mgmt'!$V:$V,"&gt;="&amp;A47)&gt;0),50,"")</f>
        <v/>
      </c>
      <c r="M47" s="190">
        <f>IF(AND(EDATE($B$4,11)&lt;=EOMONTH($B$5,0),COUNTIFS('Client DB &amp; Bed Mgmt'!$A:$A,B47,'Client DB &amp; Bed Mgmt'!$D:$D,"&lt;&gt;",'Client DB &amp; Bed Mgmt'!$U:$U,"&lt;="&amp;A47,'Client DB &amp; Bed Mgmt'!$V:$V,"&gt;="&amp;A47)&gt;0),150,"")</f>
        <v/>
      </c>
      <c r="N47" s="190">
        <f>IF(AND(EDATE($B$4,11)&lt;=EOMONTH($B$5,0),COUNTIFS('Client DB &amp; Bed Mgmt'!$A:$A,B47,'Client DB &amp; Bed Mgmt'!$D:$D,"&lt;&gt;",'Client DB &amp; Bed Mgmt'!$U:$U,"&lt;="&amp;A47,'Client DB &amp; Bed Mgmt'!$V:$V,"&gt;="&amp;A47)&gt;0),125,"")</f>
        <v/>
      </c>
      <c r="O47" s="190">
        <f>IF(AND(EDATE($B$4,11)&lt;=EOMONTH($B$5,0),COUNTIFS('Client DB &amp; Bed Mgmt'!$A:$A,B47,'Client DB &amp; Bed Mgmt'!$D:$D,"&lt;&gt;",'Client DB &amp; Bed Mgmt'!$U:$U,"&lt;="&amp;A47,'Client DB &amp; Bed Mgmt'!$V:$V,"&gt;="&amp;A47)&gt;0),60,"")</f>
        <v/>
      </c>
      <c r="P47" s="190">
        <f>IF(AND(EDATE($B$4,11)&lt;=EOMONTH($B$5,0),COUNTIFS('Client DB &amp; Bed Mgmt'!$A:$A,B47,'Client DB &amp; Bed Mgmt'!$D:$D,"&lt;&gt;",'Client DB &amp; Bed Mgmt'!$U:$U,"&lt;="&amp;A47,'Client DB &amp; Bed Mgmt'!$V:$V,"&gt;="&amp;A47)&gt;0),80,"")</f>
        <v/>
      </c>
      <c r="Q47" s="190">
        <f>IF(AND(EDATE($B$4,11)&lt;=EOMONTH($B$5,0),COUNTIFS('Client DB &amp; Bed Mgmt'!$A:$A,B47,'Client DB &amp; Bed Mgmt'!$D:$D,"&lt;&gt;",'Client DB &amp; Bed Mgmt'!$U:$U,"&lt;="&amp;A47,'Client DB &amp; Bed Mgmt'!$V:$V,"&gt;="&amp;A47)&gt;0),40,"")</f>
        <v/>
      </c>
      <c r="R47" s="189">
        <f>IF(AND(EDATE($B$4,11)&lt;=EOMONTH($B$5,0),COUNTIFS('Client DB &amp; Bed Mgmt'!$A:$A,B47,'Client DB &amp; Bed Mgmt'!$D:$D,"&lt;&gt;",'Client DB &amp; Bed Mgmt'!$U:$U,"&lt;="&amp;A47,'Client DB &amp; Bed Mgmt'!$V:$V,"&gt;="&amp;A47)&gt;0),IF(C47="Owned",0,2500),"")</f>
        <v/>
      </c>
      <c r="S47" s="189">
        <f>IF(AND(EDATE($B$4,11)&lt;=EOMONTH($B$5,0),COUNTIFS('Client DB &amp; Bed Mgmt'!$A:$A,B47,'Client DB &amp; Bed Mgmt'!$D:$D,"&lt;&gt;",'Client DB &amp; Bed Mgmt'!$U:$U,"&lt;="&amp;A47,'Client DB &amp; Bed Mgmt'!$V:$V,"&gt;="&amp;A47)&gt;0),SUM(K47:R47),"")</f>
        <v/>
      </c>
      <c r="T47" s="189">
        <f>IF(AND(EDATE($B$4,11)&lt;=EOMONTH($B$5,0),COUNTIFS('Client DB &amp; Bed Mgmt'!$A:$A,B47,'Client DB &amp; Bed Mgmt'!$D:$D,"&lt;&gt;",'Client DB &amp; Bed Mgmt'!$U:$U,"&lt;="&amp;A47,'Client DB &amp; Bed Mgmt'!$V:$V,"&gt;="&amp;A47)&gt;0),I47-S47,"")</f>
        <v/>
      </c>
      <c r="U47" s="105">
        <f>IF(AND(EDATE($B$4,11)&lt;=EOMONTH($B$5,0),COUNTIFS('Client DB &amp; Bed Mgmt'!$A:$A,B47,'Client DB &amp; Bed Mgmt'!$D:$D,"&lt;&gt;",'Client DB &amp; Bed Mgmt'!$U:$U,"&lt;="&amp;A47,'Client DB &amp; Bed Mgmt'!$V:$V,"&gt;="&amp;A47)&gt;0),IFERROR(T47/I47,0),"")</f>
        <v/>
      </c>
      <c r="V47" s="191">
        <f>IF(EDATE($B$4,11)&lt;=EOMONTH($B$5,0),COUNTIFS('Client DB &amp; Bed Mgmt'!$A:$A,B47,'Client DB &amp; Bed Mgmt'!$D:$D,"&lt;&gt;",'Client DB &amp; Bed Mgmt'!$U:$U,"&lt;="&amp;A47,'Client DB &amp; Bed Mgmt'!$V:$V,"&gt;="&amp;A47),"")</f>
        <v/>
      </c>
      <c r="W47" s="181">
        <f>IF(AND(EDATE($B$4,11)&lt;=EOMONTH($B$5,0),COUNTIFS('Client DB &amp; Bed Mgmt'!$A:$A,B47,'Client DB &amp; Bed Mgmt'!$D:$D,"&lt;&gt;",'Client DB &amp; Bed Mgmt'!$U:$U,"&lt;="&amp;A47,'Client DB &amp; Bed Mgmt'!$V:$V,"&gt;="&amp;A47)&gt;0),V47,"")</f>
        <v/>
      </c>
      <c r="X47" s="189">
        <f>IF(AND(EDATE($B$4,11)&lt;=EOMONTH($B$5,0),COUNTIFS('Client DB &amp; Bed Mgmt'!$A:$A,B47,'Client DB &amp; Bed Mgmt'!$D:$D,"&lt;&gt;",'Client DB &amp; Bed Mgmt'!$U:$U,"&lt;="&amp;A47,'Client DB &amp; Bed Mgmt'!$V:$V,"&gt;="&amp;A47)&gt;0),SUMIFS('Client DB &amp; Bed Mgmt'!$I:$I,'Client DB &amp; Bed Mgmt'!$A:$A,B47,'Client DB &amp; Bed Mgmt'!$D:$D,"&lt;&gt;",'Client DB &amp; Bed Mgmt'!$U:$U,"&lt;="&amp;A47,'Client DB &amp; Bed Mgmt'!$V:$V,"&gt;="&amp;A47),"")</f>
        <v/>
      </c>
      <c r="Y47" s="189">
        <f>IF(AND(EDATE($B$4,11)&lt;=EOMONTH($B$5,0),COUNTIFS('Client DB &amp; Bed Mgmt'!$A:$A,B47,'Client DB &amp; Bed Mgmt'!$D:$D,"&lt;&gt;",'Client DB &amp; Bed Mgmt'!$U:$U,"&lt;="&amp;A47,'Client DB &amp; Bed Mgmt'!$V:$V,"&gt;="&amp;A47)&gt;0),SUMIFS('Client DB &amp; Bed Mgmt'!$J:$J,'Client DB &amp; Bed Mgmt'!$A:$A,B47,'Client DB &amp; Bed Mgmt'!$D:$D,"&lt;&gt;",'Client DB &amp; Bed Mgmt'!$U:$U,"&lt;="&amp;A47,'Client DB &amp; Bed Mgmt'!$V:$V,"&gt;="&amp;A47),"")</f>
        <v/>
      </c>
      <c r="Z47" s="192">
        <f>IF(AND(EDATE($B$4,11)&lt;=EOMONTH($B$5,0),COUNTIFS('Client DB &amp; Bed Mgmt'!$A:$A,B47,'Client DB &amp; Bed Mgmt'!$D:$D,"&lt;&gt;",'Client DB &amp; Bed Mgmt'!$U:$U,"&lt;="&amp;A47,'Client DB &amp; Bed Mgmt'!$V:$V,"&gt;="&amp;A47)&gt;0),SUMIFS('Client DB &amp; Bed Mgmt'!$K:$K,'Client DB &amp; Bed Mgmt'!$A:$A,B47,'Client DB &amp; Bed Mgmt'!$D:$D,"&lt;&gt;",'Client DB &amp; Bed Mgmt'!$U:$U,"&lt;="&amp;A47,'Client DB &amp; Bed Mgmt'!$V:$V,"&gt;="&amp;A47),"")</f>
        <v/>
      </c>
      <c r="AA47" s="82" t="n"/>
      <c r="AB47" s="82" t="n"/>
    </row>
    <row r="48" hidden="1" ht="14.25" customHeight="1" s="83">
      <c r="A48" s="177">
        <f>IF(EDATE($B$4,11)&lt;=EOMONTH($B$5,0),EDATE($B$4,11),"")</f>
        <v/>
      </c>
      <c r="B48" s="103">
        <f>IF(EDATE($B$4,11)&lt;=EOMONTH($B$5,0),"Dorm 2","")</f>
        <v/>
      </c>
      <c r="C48" s="170">
        <f>IF(AND(EDATE($B$4,11)&lt;=EOMONTH($B$5,0),COUNTIFS('Client DB &amp; Bed Mgmt'!$A:$A,B48,'Client DB &amp; Bed Mgmt'!$D:$D,"&lt;&gt;",'Client DB &amp; Bed Mgmt'!$U:$U,"&lt;="&amp;A48,'Client DB &amp; Bed Mgmt'!$V:$V,"&gt;="&amp;A48)&gt;0),IFERROR(INDEX('Settings &amp; Master Config'!$C$21:$C$23,MATCH(B48,'Settings &amp; Master Config'!$A$21:$A$23,0)),""),"")</f>
        <v/>
      </c>
      <c r="D48" s="170">
        <f>IF(AND(EDATE($B$4,11)&lt;=EOMONTH($B$5,0),COUNTIFS('Client DB &amp; Bed Mgmt'!$A:$A,B48,'Client DB &amp; Bed Mgmt'!$D:$D,"&lt;&gt;",'Client DB &amp; Bed Mgmt'!$U:$U,"&lt;="&amp;A48,'Client DB &amp; Bed Mgmt'!$V:$V,"&gt;="&amp;A48)&gt;0),IFERROR(INDEX('Settings &amp; Master Config'!$F$21:$F$23,MATCH(B48,'Settings &amp; Master Config'!$A$21:$A$23,0)),0),"")</f>
        <v/>
      </c>
      <c r="E48" s="130">
        <f>IF(AND(EDATE($B$4,11)&lt;=EOMONTH($B$5,0),COUNTIFS('Client DB &amp; Bed Mgmt'!$A:$A,B48,'Client DB &amp; Bed Mgmt'!$D:$D,"&lt;&gt;",'Client DB &amp; Bed Mgmt'!$U:$U,"&lt;="&amp;A48,'Client DB &amp; Bed Mgmt'!$V:$V,"&gt;="&amp;A48)&gt;0),$B$7*(1+$B$9)^(YEAR(A48)-YEAR($B$4)),"")</f>
        <v/>
      </c>
      <c r="F48" s="105">
        <f>IF(AND(EDATE($B$4,11)&lt;=EOMONTH($B$5,0),COUNTIFS('Client DB &amp; Bed Mgmt'!$A:$A,B48,'Client DB &amp; Bed Mgmt'!$D:$D,"&lt;&gt;",'Client DB &amp; Bed Mgmt'!$U:$U,"&lt;="&amp;A48,'Client DB &amp; Bed Mgmt'!$V:$V,"&gt;="&amp;A48)&gt;0),$B$8,"")</f>
        <v/>
      </c>
      <c r="G48" s="105">
        <f>IF(AND(EDATE($B$4,11)&lt;=EOMONTH($B$5,0),COUNTIFS('Client DB &amp; Bed Mgmt'!$A:$A,B48,'Client DB &amp; Bed Mgmt'!$D:$D,"&lt;&gt;",'Client DB &amp; Bed Mgmt'!$U:$U,"&lt;="&amp;A48,'Client DB &amp; Bed Mgmt'!$V:$V,"&gt;="&amp;A48)&gt;0),$B$9,"")</f>
        <v/>
      </c>
      <c r="H48" s="130">
        <f>IF(AND(EDATE($B$4,11)&lt;=EOMONTH($B$5,0),COUNTIFS('Client DB &amp; Bed Mgmt'!$A:$A,B48,'Client DB &amp; Bed Mgmt'!$D:$D,"&lt;&gt;",'Client DB &amp; Bed Mgmt'!$U:$U,"&lt;="&amp;A48,'Client DB &amp; Bed Mgmt'!$V:$V,"&gt;="&amp;A48)&gt;0),D48*E48,"")</f>
        <v/>
      </c>
      <c r="I48" s="189">
        <f>IF(AND(EDATE($B$4,11)&lt;=EOMONTH($B$5,0),COUNTIFS('Client DB &amp; Bed Mgmt'!$A:$A,B48,'Client DB &amp; Bed Mgmt'!$D:$D,"&lt;&gt;",'Client DB &amp; Bed Mgmt'!$U:$U,"&lt;="&amp;A48,'Client DB &amp; Bed Mgmt'!$V:$V,"&gt;="&amp;A48)&gt;0),SUM(X48:Z48),"")</f>
        <v/>
      </c>
      <c r="J48" s="189">
        <f>IF(AND(EDATE($B$4,11)&lt;=EOMONTH($B$5,0),COUNTIFS('Client DB &amp; Bed Mgmt'!$A:$A,B48,'Client DB &amp; Bed Mgmt'!$D:$D,"&lt;&gt;",'Client DB &amp; Bed Mgmt'!$U:$U,"&lt;="&amp;A48,'Client DB &amp; Bed Mgmt'!$V:$V,"&gt;="&amp;A48)&gt;0),D48*F48*E48,"")</f>
        <v/>
      </c>
      <c r="K48" s="190">
        <f>IF(AND(EDATE($B$4,11)&lt;=EOMONTH($B$5,0),COUNTIFS('Client DB &amp; Bed Mgmt'!$A:$A,B48,'Client DB &amp; Bed Mgmt'!$D:$D,"&lt;&gt;",'Client DB &amp; Bed Mgmt'!$U:$U,"&lt;="&amp;A48,'Client DB &amp; Bed Mgmt'!$V:$V,"&gt;="&amp;A48)&gt;0),75,"")</f>
        <v/>
      </c>
      <c r="L48" s="190">
        <f>IF(AND(EDATE($B$4,11)&lt;=EOMONTH($B$5,0),COUNTIFS('Client DB &amp; Bed Mgmt'!$A:$A,B48,'Client DB &amp; Bed Mgmt'!$D:$D,"&lt;&gt;",'Client DB &amp; Bed Mgmt'!$U:$U,"&lt;="&amp;A48,'Client DB &amp; Bed Mgmt'!$V:$V,"&gt;="&amp;A48)&gt;0),50,"")</f>
        <v/>
      </c>
      <c r="M48" s="190">
        <f>IF(AND(EDATE($B$4,11)&lt;=EOMONTH($B$5,0),COUNTIFS('Client DB &amp; Bed Mgmt'!$A:$A,B48,'Client DB &amp; Bed Mgmt'!$D:$D,"&lt;&gt;",'Client DB &amp; Bed Mgmt'!$U:$U,"&lt;="&amp;A48,'Client DB &amp; Bed Mgmt'!$V:$V,"&gt;="&amp;A48)&gt;0),150,"")</f>
        <v/>
      </c>
      <c r="N48" s="190">
        <f>IF(AND(EDATE($B$4,11)&lt;=EOMONTH($B$5,0),COUNTIFS('Client DB &amp; Bed Mgmt'!$A:$A,B48,'Client DB &amp; Bed Mgmt'!$D:$D,"&lt;&gt;",'Client DB &amp; Bed Mgmt'!$U:$U,"&lt;="&amp;A48,'Client DB &amp; Bed Mgmt'!$V:$V,"&gt;="&amp;A48)&gt;0),125,"")</f>
        <v/>
      </c>
      <c r="O48" s="190">
        <f>IF(AND(EDATE($B$4,11)&lt;=EOMONTH($B$5,0),COUNTIFS('Client DB &amp; Bed Mgmt'!$A:$A,B48,'Client DB &amp; Bed Mgmt'!$D:$D,"&lt;&gt;",'Client DB &amp; Bed Mgmt'!$U:$U,"&lt;="&amp;A48,'Client DB &amp; Bed Mgmt'!$V:$V,"&gt;="&amp;A48)&gt;0),60,"")</f>
        <v/>
      </c>
      <c r="P48" s="190">
        <f>IF(AND(EDATE($B$4,11)&lt;=EOMONTH($B$5,0),COUNTIFS('Client DB &amp; Bed Mgmt'!$A:$A,B48,'Client DB &amp; Bed Mgmt'!$D:$D,"&lt;&gt;",'Client DB &amp; Bed Mgmt'!$U:$U,"&lt;="&amp;A48,'Client DB &amp; Bed Mgmt'!$V:$V,"&gt;="&amp;A48)&gt;0),80,"")</f>
        <v/>
      </c>
      <c r="Q48" s="190">
        <f>IF(AND(EDATE($B$4,11)&lt;=EOMONTH($B$5,0),COUNTIFS('Client DB &amp; Bed Mgmt'!$A:$A,B48,'Client DB &amp; Bed Mgmt'!$D:$D,"&lt;&gt;",'Client DB &amp; Bed Mgmt'!$U:$U,"&lt;="&amp;A48,'Client DB &amp; Bed Mgmt'!$V:$V,"&gt;="&amp;A48)&gt;0),40,"")</f>
        <v/>
      </c>
      <c r="R48" s="189">
        <f>IF(AND(EDATE($B$4,11)&lt;=EOMONTH($B$5,0),COUNTIFS('Client DB &amp; Bed Mgmt'!$A:$A,B48,'Client DB &amp; Bed Mgmt'!$D:$D,"&lt;&gt;",'Client DB &amp; Bed Mgmt'!$U:$U,"&lt;="&amp;A48,'Client DB &amp; Bed Mgmt'!$V:$V,"&gt;="&amp;A48)&gt;0),IF(C48="Owned",0,2500),"")</f>
        <v/>
      </c>
      <c r="S48" s="189">
        <f>IF(AND(EDATE($B$4,11)&lt;=EOMONTH($B$5,0),COUNTIFS('Client DB &amp; Bed Mgmt'!$A:$A,B48,'Client DB &amp; Bed Mgmt'!$D:$D,"&lt;&gt;",'Client DB &amp; Bed Mgmt'!$U:$U,"&lt;="&amp;A48,'Client DB &amp; Bed Mgmt'!$V:$V,"&gt;="&amp;A48)&gt;0),SUM(K48:R48),"")</f>
        <v/>
      </c>
      <c r="T48" s="189">
        <f>IF(AND(EDATE($B$4,11)&lt;=EOMONTH($B$5,0),COUNTIFS('Client DB &amp; Bed Mgmt'!$A:$A,B48,'Client DB &amp; Bed Mgmt'!$D:$D,"&lt;&gt;",'Client DB &amp; Bed Mgmt'!$U:$U,"&lt;="&amp;A48,'Client DB &amp; Bed Mgmt'!$V:$V,"&gt;="&amp;A48)&gt;0),I48-S48,"")</f>
        <v/>
      </c>
      <c r="U48" s="105">
        <f>IF(AND(EDATE($B$4,11)&lt;=EOMONTH($B$5,0),COUNTIFS('Client DB &amp; Bed Mgmt'!$A:$A,B48,'Client DB &amp; Bed Mgmt'!$D:$D,"&lt;&gt;",'Client DB &amp; Bed Mgmt'!$U:$U,"&lt;="&amp;A48,'Client DB &amp; Bed Mgmt'!$V:$V,"&gt;="&amp;A48)&gt;0),IFERROR(T48/I48,0),"")</f>
        <v/>
      </c>
      <c r="V48" s="191">
        <f>IF(EDATE($B$4,11)&lt;=EOMONTH($B$5,0),COUNTIFS('Client DB &amp; Bed Mgmt'!$A:$A,B48,'Client DB &amp; Bed Mgmt'!$D:$D,"&lt;&gt;",'Client DB &amp; Bed Mgmt'!$U:$U,"&lt;="&amp;A48,'Client DB &amp; Bed Mgmt'!$V:$V,"&gt;="&amp;A48),"")</f>
        <v/>
      </c>
      <c r="W48" s="181">
        <f>IF(AND(EDATE($B$4,11)&lt;=EOMONTH($B$5,0),COUNTIFS('Client DB &amp; Bed Mgmt'!$A:$A,B48,'Client DB &amp; Bed Mgmt'!$D:$D,"&lt;&gt;",'Client DB &amp; Bed Mgmt'!$U:$U,"&lt;="&amp;A48,'Client DB &amp; Bed Mgmt'!$V:$V,"&gt;="&amp;A48)&gt;0),V48,"")</f>
        <v/>
      </c>
      <c r="X48" s="189">
        <f>IF(AND(EDATE($B$4,11)&lt;=EOMONTH($B$5,0),COUNTIFS('Client DB &amp; Bed Mgmt'!$A:$A,B48,'Client DB &amp; Bed Mgmt'!$D:$D,"&lt;&gt;",'Client DB &amp; Bed Mgmt'!$U:$U,"&lt;="&amp;A48,'Client DB &amp; Bed Mgmt'!$V:$V,"&gt;="&amp;A48)&gt;0),SUMIFS('Client DB &amp; Bed Mgmt'!$I:$I,'Client DB &amp; Bed Mgmt'!$A:$A,B48,'Client DB &amp; Bed Mgmt'!$D:$D,"&lt;&gt;",'Client DB &amp; Bed Mgmt'!$U:$U,"&lt;="&amp;A48,'Client DB &amp; Bed Mgmt'!$V:$V,"&gt;="&amp;A48),"")</f>
        <v/>
      </c>
      <c r="Y48" s="189">
        <f>IF(AND(EDATE($B$4,11)&lt;=EOMONTH($B$5,0),COUNTIFS('Client DB &amp; Bed Mgmt'!$A:$A,B48,'Client DB &amp; Bed Mgmt'!$D:$D,"&lt;&gt;",'Client DB &amp; Bed Mgmt'!$U:$U,"&lt;="&amp;A48,'Client DB &amp; Bed Mgmt'!$V:$V,"&gt;="&amp;A48)&gt;0),SUMIFS('Client DB &amp; Bed Mgmt'!$J:$J,'Client DB &amp; Bed Mgmt'!$A:$A,B48,'Client DB &amp; Bed Mgmt'!$D:$D,"&lt;&gt;",'Client DB &amp; Bed Mgmt'!$U:$U,"&lt;="&amp;A48,'Client DB &amp; Bed Mgmt'!$V:$V,"&gt;="&amp;A48),"")</f>
        <v/>
      </c>
      <c r="Z48" s="192">
        <f>IF(AND(EDATE($B$4,11)&lt;=EOMONTH($B$5,0),COUNTIFS('Client DB &amp; Bed Mgmt'!$A:$A,B48,'Client DB &amp; Bed Mgmt'!$D:$D,"&lt;&gt;",'Client DB &amp; Bed Mgmt'!$U:$U,"&lt;="&amp;A48,'Client DB &amp; Bed Mgmt'!$V:$V,"&gt;="&amp;A48)&gt;0),SUMIFS('Client DB &amp; Bed Mgmt'!$K:$K,'Client DB &amp; Bed Mgmt'!$A:$A,B48,'Client DB &amp; Bed Mgmt'!$D:$D,"&lt;&gt;",'Client DB &amp; Bed Mgmt'!$U:$U,"&lt;="&amp;A48,'Client DB &amp; Bed Mgmt'!$V:$V,"&gt;="&amp;A48),"")</f>
        <v/>
      </c>
      <c r="AA48" s="82" t="n"/>
      <c r="AB48" s="82" t="n"/>
    </row>
    <row r="49" hidden="1" ht="14.25" customHeight="1" s="83">
      <c r="A49" s="177">
        <f>IF(EDATE($B$4,11)&lt;=EOMONTH($B$5,0),EDATE($B$4,11),"")</f>
        <v/>
      </c>
      <c r="B49" s="103">
        <f>IF(EDATE($B$4,11)&lt;=EOMONTH($B$5,0),"Dorm 3","")</f>
        <v/>
      </c>
      <c r="C49" s="170">
        <f>IF(AND(EDATE($B$4,11)&lt;=EOMONTH($B$5,0),COUNTIFS('Client DB &amp; Bed Mgmt'!$A:$A,B49,'Client DB &amp; Bed Mgmt'!$D:$D,"&lt;&gt;",'Client DB &amp; Bed Mgmt'!$U:$U,"&lt;="&amp;A49,'Client DB &amp; Bed Mgmt'!$V:$V,"&gt;="&amp;A49)&gt;0),IFERROR(INDEX('Settings &amp; Master Config'!$C$21:$C$23,MATCH(B49,'Settings &amp; Master Config'!$A$21:$A$23,0)),""),"")</f>
        <v/>
      </c>
      <c r="D49" s="170">
        <f>IF(AND(EDATE($B$4,11)&lt;=EOMONTH($B$5,0),COUNTIFS('Client DB &amp; Bed Mgmt'!$A:$A,B49,'Client DB &amp; Bed Mgmt'!$D:$D,"&lt;&gt;",'Client DB &amp; Bed Mgmt'!$U:$U,"&lt;="&amp;A49,'Client DB &amp; Bed Mgmt'!$V:$V,"&gt;="&amp;A49)&gt;0),IFERROR(INDEX('Settings &amp; Master Config'!$F$21:$F$23,MATCH(B49,'Settings &amp; Master Config'!$A$21:$A$23,0)),0),"")</f>
        <v/>
      </c>
      <c r="E49" s="130">
        <f>IF(AND(EDATE($B$4,11)&lt;=EOMONTH($B$5,0),COUNTIFS('Client DB &amp; Bed Mgmt'!$A:$A,B49,'Client DB &amp; Bed Mgmt'!$D:$D,"&lt;&gt;",'Client DB &amp; Bed Mgmt'!$U:$U,"&lt;="&amp;A49,'Client DB &amp; Bed Mgmt'!$V:$V,"&gt;="&amp;A49)&gt;0),$B$7*(1+$B$9)^(YEAR(A49)-YEAR($B$4)),"")</f>
        <v/>
      </c>
      <c r="F49" s="105">
        <f>IF(AND(EDATE($B$4,11)&lt;=EOMONTH($B$5,0),COUNTIFS('Client DB &amp; Bed Mgmt'!$A:$A,B49,'Client DB &amp; Bed Mgmt'!$D:$D,"&lt;&gt;",'Client DB &amp; Bed Mgmt'!$U:$U,"&lt;="&amp;A49,'Client DB &amp; Bed Mgmt'!$V:$V,"&gt;="&amp;A49)&gt;0),$B$8,"")</f>
        <v/>
      </c>
      <c r="G49" s="105">
        <f>IF(AND(EDATE($B$4,11)&lt;=EOMONTH($B$5,0),COUNTIFS('Client DB &amp; Bed Mgmt'!$A:$A,B49,'Client DB &amp; Bed Mgmt'!$D:$D,"&lt;&gt;",'Client DB &amp; Bed Mgmt'!$U:$U,"&lt;="&amp;A49,'Client DB &amp; Bed Mgmt'!$V:$V,"&gt;="&amp;A49)&gt;0),$B$9,"")</f>
        <v/>
      </c>
      <c r="H49" s="130">
        <f>IF(AND(EDATE($B$4,11)&lt;=EOMONTH($B$5,0),COUNTIFS('Client DB &amp; Bed Mgmt'!$A:$A,B49,'Client DB &amp; Bed Mgmt'!$D:$D,"&lt;&gt;",'Client DB &amp; Bed Mgmt'!$U:$U,"&lt;="&amp;A49,'Client DB &amp; Bed Mgmt'!$V:$V,"&gt;="&amp;A49)&gt;0),D49*E49,"")</f>
        <v/>
      </c>
      <c r="I49" s="189">
        <f>IF(AND(EDATE($B$4,11)&lt;=EOMONTH($B$5,0),COUNTIFS('Client DB &amp; Bed Mgmt'!$A:$A,B49,'Client DB &amp; Bed Mgmt'!$D:$D,"&lt;&gt;",'Client DB &amp; Bed Mgmt'!$U:$U,"&lt;="&amp;A49,'Client DB &amp; Bed Mgmt'!$V:$V,"&gt;="&amp;A49)&gt;0),SUM(X49:Z49),"")</f>
        <v/>
      </c>
      <c r="J49" s="189">
        <f>IF(AND(EDATE($B$4,11)&lt;=EOMONTH($B$5,0),COUNTIFS('Client DB &amp; Bed Mgmt'!$A:$A,B49,'Client DB &amp; Bed Mgmt'!$D:$D,"&lt;&gt;",'Client DB &amp; Bed Mgmt'!$U:$U,"&lt;="&amp;A49,'Client DB &amp; Bed Mgmt'!$V:$V,"&gt;="&amp;A49)&gt;0),D49*F49*E49,"")</f>
        <v/>
      </c>
      <c r="K49" s="190">
        <f>IF(AND(EDATE($B$4,11)&lt;=EOMONTH($B$5,0),COUNTIFS('Client DB &amp; Bed Mgmt'!$A:$A,B49,'Client DB &amp; Bed Mgmt'!$D:$D,"&lt;&gt;",'Client DB &amp; Bed Mgmt'!$U:$U,"&lt;="&amp;A49,'Client DB &amp; Bed Mgmt'!$V:$V,"&gt;="&amp;A49)&gt;0),75,"")</f>
        <v/>
      </c>
      <c r="L49" s="190">
        <f>IF(AND(EDATE($B$4,11)&lt;=EOMONTH($B$5,0),COUNTIFS('Client DB &amp; Bed Mgmt'!$A:$A,B49,'Client DB &amp; Bed Mgmt'!$D:$D,"&lt;&gt;",'Client DB &amp; Bed Mgmt'!$U:$U,"&lt;="&amp;A49,'Client DB &amp; Bed Mgmt'!$V:$V,"&gt;="&amp;A49)&gt;0),50,"")</f>
        <v/>
      </c>
      <c r="M49" s="190">
        <f>IF(AND(EDATE($B$4,11)&lt;=EOMONTH($B$5,0),COUNTIFS('Client DB &amp; Bed Mgmt'!$A:$A,B49,'Client DB &amp; Bed Mgmt'!$D:$D,"&lt;&gt;",'Client DB &amp; Bed Mgmt'!$U:$U,"&lt;="&amp;A49,'Client DB &amp; Bed Mgmt'!$V:$V,"&gt;="&amp;A49)&gt;0),150,"")</f>
        <v/>
      </c>
      <c r="N49" s="190">
        <f>IF(AND(EDATE($B$4,11)&lt;=EOMONTH($B$5,0),COUNTIFS('Client DB &amp; Bed Mgmt'!$A:$A,B49,'Client DB &amp; Bed Mgmt'!$D:$D,"&lt;&gt;",'Client DB &amp; Bed Mgmt'!$U:$U,"&lt;="&amp;A49,'Client DB &amp; Bed Mgmt'!$V:$V,"&gt;="&amp;A49)&gt;0),125,"")</f>
        <v/>
      </c>
      <c r="O49" s="190">
        <f>IF(AND(EDATE($B$4,11)&lt;=EOMONTH($B$5,0),COUNTIFS('Client DB &amp; Bed Mgmt'!$A:$A,B49,'Client DB &amp; Bed Mgmt'!$D:$D,"&lt;&gt;",'Client DB &amp; Bed Mgmt'!$U:$U,"&lt;="&amp;A49,'Client DB &amp; Bed Mgmt'!$V:$V,"&gt;="&amp;A49)&gt;0),60,"")</f>
        <v/>
      </c>
      <c r="P49" s="190">
        <f>IF(AND(EDATE($B$4,11)&lt;=EOMONTH($B$5,0),COUNTIFS('Client DB &amp; Bed Mgmt'!$A:$A,B49,'Client DB &amp; Bed Mgmt'!$D:$D,"&lt;&gt;",'Client DB &amp; Bed Mgmt'!$U:$U,"&lt;="&amp;A49,'Client DB &amp; Bed Mgmt'!$V:$V,"&gt;="&amp;A49)&gt;0),80,"")</f>
        <v/>
      </c>
      <c r="Q49" s="190">
        <f>IF(AND(EDATE($B$4,11)&lt;=EOMONTH($B$5,0),COUNTIFS('Client DB &amp; Bed Mgmt'!$A:$A,B49,'Client DB &amp; Bed Mgmt'!$D:$D,"&lt;&gt;",'Client DB &amp; Bed Mgmt'!$U:$U,"&lt;="&amp;A49,'Client DB &amp; Bed Mgmt'!$V:$V,"&gt;="&amp;A49)&gt;0),40,"")</f>
        <v/>
      </c>
      <c r="R49" s="189">
        <f>IF(AND(EDATE($B$4,11)&lt;=EOMONTH($B$5,0),COUNTIFS('Client DB &amp; Bed Mgmt'!$A:$A,B49,'Client DB &amp; Bed Mgmt'!$D:$D,"&lt;&gt;",'Client DB &amp; Bed Mgmt'!$U:$U,"&lt;="&amp;A49,'Client DB &amp; Bed Mgmt'!$V:$V,"&gt;="&amp;A49)&gt;0),IF(C49="Owned",0,2500),"")</f>
        <v/>
      </c>
      <c r="S49" s="189">
        <f>IF(AND(EDATE($B$4,11)&lt;=EOMONTH($B$5,0),COUNTIFS('Client DB &amp; Bed Mgmt'!$A:$A,B49,'Client DB &amp; Bed Mgmt'!$D:$D,"&lt;&gt;",'Client DB &amp; Bed Mgmt'!$U:$U,"&lt;="&amp;A49,'Client DB &amp; Bed Mgmt'!$V:$V,"&gt;="&amp;A49)&gt;0),SUM(K49:R49),"")</f>
        <v/>
      </c>
      <c r="T49" s="189">
        <f>IF(AND(EDATE($B$4,11)&lt;=EOMONTH($B$5,0),COUNTIFS('Client DB &amp; Bed Mgmt'!$A:$A,B49,'Client DB &amp; Bed Mgmt'!$D:$D,"&lt;&gt;",'Client DB &amp; Bed Mgmt'!$U:$U,"&lt;="&amp;A49,'Client DB &amp; Bed Mgmt'!$V:$V,"&gt;="&amp;A49)&gt;0),I49-S49,"")</f>
        <v/>
      </c>
      <c r="U49" s="105">
        <f>IF(AND(EDATE($B$4,11)&lt;=EOMONTH($B$5,0),COUNTIFS('Client DB &amp; Bed Mgmt'!$A:$A,B49,'Client DB &amp; Bed Mgmt'!$D:$D,"&lt;&gt;",'Client DB &amp; Bed Mgmt'!$U:$U,"&lt;="&amp;A49,'Client DB &amp; Bed Mgmt'!$V:$V,"&gt;="&amp;A49)&gt;0),IFERROR(T49/I49,0),"")</f>
        <v/>
      </c>
      <c r="V49" s="191">
        <f>IF(EDATE($B$4,11)&lt;=EOMONTH($B$5,0),COUNTIFS('Client DB &amp; Bed Mgmt'!$A:$A,B49,'Client DB &amp; Bed Mgmt'!$D:$D,"&lt;&gt;",'Client DB &amp; Bed Mgmt'!$U:$U,"&lt;="&amp;A49,'Client DB &amp; Bed Mgmt'!$V:$V,"&gt;="&amp;A49),"")</f>
        <v/>
      </c>
      <c r="W49" s="181">
        <f>IF(AND(EDATE($B$4,11)&lt;=EOMONTH($B$5,0),COUNTIFS('Client DB &amp; Bed Mgmt'!$A:$A,B49,'Client DB &amp; Bed Mgmt'!$D:$D,"&lt;&gt;",'Client DB &amp; Bed Mgmt'!$U:$U,"&lt;="&amp;A49,'Client DB &amp; Bed Mgmt'!$V:$V,"&gt;="&amp;A49)&gt;0),V49,"")</f>
        <v/>
      </c>
      <c r="X49" s="189">
        <f>IF(AND(EDATE($B$4,11)&lt;=EOMONTH($B$5,0),COUNTIFS('Client DB &amp; Bed Mgmt'!$A:$A,B49,'Client DB &amp; Bed Mgmt'!$D:$D,"&lt;&gt;",'Client DB &amp; Bed Mgmt'!$U:$U,"&lt;="&amp;A49,'Client DB &amp; Bed Mgmt'!$V:$V,"&gt;="&amp;A49)&gt;0),SUMIFS('Client DB &amp; Bed Mgmt'!$I:$I,'Client DB &amp; Bed Mgmt'!$A:$A,B49,'Client DB &amp; Bed Mgmt'!$D:$D,"&lt;&gt;",'Client DB &amp; Bed Mgmt'!$U:$U,"&lt;="&amp;A49,'Client DB &amp; Bed Mgmt'!$V:$V,"&gt;="&amp;A49),"")</f>
        <v/>
      </c>
      <c r="Y49" s="189">
        <f>IF(AND(EDATE($B$4,11)&lt;=EOMONTH($B$5,0),COUNTIFS('Client DB &amp; Bed Mgmt'!$A:$A,B49,'Client DB &amp; Bed Mgmt'!$D:$D,"&lt;&gt;",'Client DB &amp; Bed Mgmt'!$U:$U,"&lt;="&amp;A49,'Client DB &amp; Bed Mgmt'!$V:$V,"&gt;="&amp;A49)&gt;0),SUMIFS('Client DB &amp; Bed Mgmt'!$J:$J,'Client DB &amp; Bed Mgmt'!$A:$A,B49,'Client DB &amp; Bed Mgmt'!$D:$D,"&lt;&gt;",'Client DB &amp; Bed Mgmt'!$U:$U,"&lt;="&amp;A49,'Client DB &amp; Bed Mgmt'!$V:$V,"&gt;="&amp;A49),"")</f>
        <v/>
      </c>
      <c r="Z49" s="192">
        <f>IF(AND(EDATE($B$4,11)&lt;=EOMONTH($B$5,0),COUNTIFS('Client DB &amp; Bed Mgmt'!$A:$A,B49,'Client DB &amp; Bed Mgmt'!$D:$D,"&lt;&gt;",'Client DB &amp; Bed Mgmt'!$U:$U,"&lt;="&amp;A49,'Client DB &amp; Bed Mgmt'!$V:$V,"&gt;="&amp;A49)&gt;0),SUMIFS('Client DB &amp; Bed Mgmt'!$K:$K,'Client DB &amp; Bed Mgmt'!$A:$A,B49,'Client DB &amp; Bed Mgmt'!$D:$D,"&lt;&gt;",'Client DB &amp; Bed Mgmt'!$U:$U,"&lt;="&amp;A49,'Client DB &amp; Bed Mgmt'!$V:$V,"&gt;="&amp;A49),"")</f>
        <v/>
      </c>
      <c r="AA49" s="82" t="n"/>
      <c r="AB49" s="82" t="n"/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2026-06-27T15:53:42Z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