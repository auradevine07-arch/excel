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V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B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hidden="1" width="13" customWidth="1" style="83" min="24" max="24"/>
    <col hidden="1" width="13" customWidth="1" style="83" min="25" max="25"/>
    <col hidden="1" width="13" customWidth="1" style="83" min="26" max="26"/>
    <col hidden="1" width="13" customWidth="1" style="83" min="27" max="27"/>
    <col hidden="1"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Beds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 / Dorm</t>
        </is>
      </c>
      <c r="B5" s="95">
        <f>IFERROR(AVERAGE(DormRegistry[Bed Capacity]),0)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Mgmt'!$D$5:$D$428&lt;&gt;"")*--(('Client DB &amp; Bed Mgmt'!$M$5:$M$428="")+IFERROR('Client DB &amp; Bed Mgmt'!$M$5:$M$428&lt;=EOMONTH(CurrentMonth,0),FALSE)&gt;0)*--(('Client DB &amp; Bed Mgmt'!$N$5:$N$428="")+NOT(ISNUMBER('Client DB &amp; Bed Mgmt'!$N$5:$N$428))+IFERROR('Client DB &amp; Bed Mgmt'!$N$5:$N$428&gt;=DATE(YEAR(CurrentMonth),MONTH(CurrentMonth),1),FALSE)&gt;0))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82" t="inlineStr">
        <is>
          <t>Occupied Beds</t>
        </is>
      </c>
      <c r="X13" t="inlineStr">
        <is>
          <t>Helper Month</t>
        </is>
      </c>
      <c r="Y13" t="inlineStr">
        <is>
          <t>Helper Dorm</t>
        </is>
      </c>
      <c r="Z13" t="inlineStr">
        <is>
          <t>Helper Active Count</t>
        </is>
      </c>
      <c r="AA13" t="inlineStr">
        <is>
          <t>Helper Actual Revenue</t>
        </is>
      </c>
      <c r="AB13" t="inlineStr">
        <is>
          <t>Helper Occupied Beds</t>
        </is>
      </c>
    </row>
    <row r="14" ht="14.25" customHeight="1" s="83">
      <c r="A14" s="125">
        <f>IFERROR(INDEX($X$14:$X$49,AGGREGATE(15,6,(ROW($X$14:$X$49)-ROW($X$14)+1)/($Z$14:$Z$49&gt;0),ROWS($A$14:A14))),"")</f>
        <v/>
      </c>
      <c r="B14" s="103">
        <f>IFERROR(INDEX($Y$14:$Y$49,AGGREGATE(15,6,(ROW($X$14:$X$49)-ROW($X$14)+1)/($Z$14:$Z$49&gt;0),ROWS($A$14:A14))),"")</f>
        <v/>
      </c>
      <c r="C14" s="170">
        <f>IF($A14="","",IFERROR(_xlfn.XLOOKUP(B14,DormRegistry[Dorm Name],DormRegistry[Ownership Type]),""))</f>
        <v/>
      </c>
      <c r="D14" s="170">
        <f>IF($A14="","",IFERROR(_xlfn.XLOOKUP(B14,DormRegistry[Dorm Name],DormRegistry[Bed Capacity]),0))</f>
        <v/>
      </c>
      <c r="E14" s="130">
        <f>IF($A14="","",$B$6*(1+$B$8)^(YEAR(A14)-YEAR(StartDate)))</f>
        <v/>
      </c>
      <c r="F14" s="105">
        <f>IF($A14="","",$B$7)</f>
        <v/>
      </c>
      <c r="G14" s="105">
        <f>IF($A14="","",$B$8)</f>
        <v/>
      </c>
      <c r="H14" s="130">
        <f>IF($A14="","",D14*E14)</f>
        <v/>
      </c>
      <c r="I14" s="130">
        <f>IFERROR(INDEX($AA$14:$AA$49,AGGREGATE(15,6,(ROW($X$14:$X$49)-ROW($X$14)+1)/($Z$14:$Z$49&gt;0),ROWS($A$14:A14))),"")</f>
        <v/>
      </c>
      <c r="J14" s="130">
        <f>IF($A14="","",D14*F14*E14)</f>
        <v/>
      </c>
      <c r="K14" s="104">
        <f>IF($A14="","",75)</f>
        <v/>
      </c>
      <c r="L14" s="104">
        <f>IF($A14="","",50)</f>
        <v/>
      </c>
      <c r="M14" s="104">
        <f>IF($A14="","",150)</f>
        <v/>
      </c>
      <c r="N14" s="104">
        <f>IF($A14="","",125)</f>
        <v/>
      </c>
      <c r="O14" s="104">
        <f>IF($A14="","",60)</f>
        <v/>
      </c>
      <c r="P14" s="104">
        <f>IF($A14="","",80)</f>
        <v/>
      </c>
      <c r="Q14" s="104">
        <f>IF($A14="","",40)</f>
        <v/>
      </c>
      <c r="R14" s="130">
        <f>IF($A14="","",IF(C14="Owned",0,2500))</f>
        <v/>
      </c>
      <c r="S14" s="130">
        <f>IF($A14="","",SUM(K14:R14))</f>
        <v/>
      </c>
      <c r="T14" s="130">
        <f>IF($A14="","",I14-S14)</f>
        <v/>
      </c>
      <c r="U14" s="105">
        <f>IF($A14="","",IFERROR(T14/I14,0))</f>
        <v/>
      </c>
      <c r="V14" s="82">
        <f>IFERROR(INDEX($AB$14:$AB$49,AGGREGATE(15,6,(ROW($X$14:$X$49)-ROW($X$14)+1)/($Z$14:$Z$49&gt;0),ROWS($A$14:A14))),"")</f>
        <v/>
      </c>
      <c r="X14">
        <f>EDATE(StartDate,0)</f>
        <v/>
      </c>
      <c r="Y14" t="inlineStr">
        <is>
          <t>Dorm 1</t>
        </is>
      </c>
      <c r="Z14">
        <f>SUMPRODUCT(('Client DB &amp; Bed Mgmt'!$A$5:$A$428=Y14)*('Client DB &amp; Bed Mgmt'!$D$5:$D$428&lt;&gt;"")*--(('Client DB &amp; Bed Mgmt'!$M$5:$M$428="")+IFERROR('Client DB &amp; Bed Mgmt'!$M$5:$M$428&lt;=EOMONTH(X14,0),FALSE)&gt;0)*--(('Client DB &amp; Bed Mgmt'!$N$5:$N$428="")+NOT(ISNUMBER('Client DB &amp; Bed Mgmt'!$N$5:$N$428))+IFERROR('Client DB &amp; Bed Mgmt'!$N$5:$N$428&gt;=DATE(YEAR(X14),MONTH(X14),1),FALSE)&gt;0))</f>
        <v/>
      </c>
      <c r="AA14">
        <f>IFERROR(SUMPRODUCT(('Client DB &amp; Bed Mgmt'!$A$5:$A$428=Y14)*('Client DB &amp; Bed Mgmt'!$D$5:$D$428&lt;&gt;"")*--(('Client DB &amp; Bed Mgmt'!$M$5:$M$428="")+IFERROR('Client DB &amp; Bed Mgmt'!$M$5:$M$428&lt;=EOMONTH(X14,0),FALSE)&gt;0)*--(('Client DB &amp; Bed Mgmt'!$N$5:$N$428="")+NOT(ISNUMBER('Client DB &amp; Bed Mgmt'!$N$5:$N$428))+IFERROR('Client DB &amp; Bed Mgmt'!$N$5:$N$428&gt;=DATE(YEAR(X14),MONTH(X14),1),FALSE)&gt;0)*'Client DB &amp; Bed Mgmt'!$I$5:$I$428*((IF(('Client DB &amp; Bed Mgmt'!$N$5:$N$428="")+NOT(ISNUMBER('Client DB &amp; Bed Mgmt'!$N$5:$N$428)),EOMONTH(X14,0),IF('Client DB &amp; Bed Mgmt'!$N$5:$N$428&lt;EOMONTH(X14,0),'Client DB &amp; Bed Mgmt'!$N$5:$N$428,EOMONTH(X14,0))))-(IF(('Client DB &amp; Bed Mgmt'!$M$5:$M$428="")+NOT(ISNUMBER('Client DB &amp; Bed Mgmt'!$M$5:$M$428)),DATE(YEAR(X14),MONTH(X14),1),IF('Client DB &amp; Bed Mgmt'!$M$5:$M$428&gt;DATE(YEAR(X14),MONTH(X14),1),'Client DB &amp; Bed Mgmt'!$M$5:$M$428,DATE(YEAR(X14),MONTH(X14),1))))+1)/DAY(EOMONTH(X14,0))),0)</f>
        <v/>
      </c>
      <c r="AB14">
        <f>IFERROR(SUMPRODUCT(('Client DB &amp; Bed Mgmt'!$A$5:$A$428=Y14)*('Client DB &amp; Bed Mgmt'!$D$5:$D$428&lt;&gt;"")*--(('Client DB &amp; Bed Mgmt'!$M$5:$M$428="")+IFERROR('Client DB &amp; Bed Mgmt'!$M$5:$M$428&lt;=EOMONTH(X14,0),FALSE)&gt;0)*--(('Client DB &amp; Bed Mgmt'!$N$5:$N$428="")+NOT(ISNUMBER('Client DB &amp; Bed Mgmt'!$N$5:$N$428))+IFERROR('Client DB &amp; Bed Mgmt'!$N$5:$N$428&gt;=DATE(YEAR(X14),MONTH(X14),1),FALSE)&gt;0)*((IF(('Client DB &amp; Bed Mgmt'!$N$5:$N$428="")+NOT(ISNUMBER('Client DB &amp; Bed Mgmt'!$N$5:$N$428)),EOMONTH(X14,0),IF('Client DB &amp; Bed Mgmt'!$N$5:$N$428&lt;EOMONTH(X14,0),'Client DB &amp; Bed Mgmt'!$N$5:$N$428,EOMONTH(X14,0))))-(IF(('Client DB &amp; Bed Mgmt'!$M$5:$M$428="")+NOT(ISNUMBER('Client DB &amp; Bed Mgmt'!$M$5:$M$428)),DATE(YEAR(X14),MONTH(X14),1),IF('Client DB &amp; Bed Mgmt'!$M$5:$M$428&gt;DATE(YEAR(X14),MONTH(X14),1),'Client DB &amp; Bed Mgmt'!$M$5:$M$428,DATE(YEAR(X14),MONTH(X14),1))))+1)/DAY(EOMONTH(X14,0))),0)</f>
        <v/>
      </c>
    </row>
    <row r="15" hidden="1" ht="14.25" customHeight="1" s="83">
      <c r="A15" s="125">
        <f>IFERROR(INDEX($X$14:$X$49,AGGREGATE(15,6,(ROW($X$14:$X$49)-ROW($X$14)+1)/($Z$14:$Z$49&gt;0),ROWS($A$14:A15))),"")</f>
        <v/>
      </c>
      <c r="B15" s="103">
        <f>IFERROR(INDEX($Y$14:$Y$49,AGGREGATE(15,6,(ROW($X$14:$X$49)-ROW($X$14)+1)/($Z$14:$Z$49&gt;0),ROWS($A$14:A15))),"")</f>
        <v/>
      </c>
      <c r="C15" s="170">
        <f>IF($A15="","",IFERROR(_xlfn.XLOOKUP(B15,DormRegistry[Dorm Name],DormRegistry[Ownership Type]),""))</f>
        <v/>
      </c>
      <c r="D15" s="170">
        <f>IF($A15="","",IFERROR(_xlfn.XLOOKUP(B15,DormRegistry[Dorm Name],DormRegistry[Bed Capacity]),0))</f>
        <v/>
      </c>
      <c r="E15" s="130">
        <f>IF($A15="","",$B$6*(1+$B$8)^(YEAR(A15)-YEAR(StartDate)))</f>
        <v/>
      </c>
      <c r="F15" s="105">
        <f>IF($A15="","",$B$7)</f>
        <v/>
      </c>
      <c r="G15" s="105">
        <f>IF($A15="","",$B$8)</f>
        <v/>
      </c>
      <c r="H15" s="130">
        <f>IF($A15="","",D15*E15)</f>
        <v/>
      </c>
      <c r="I15" s="130">
        <f>IFERROR(INDEX($AA$14:$AA$49,AGGREGATE(15,6,(ROW($X$14:$X$49)-ROW($X$14)+1)/($Z$14:$Z$49&gt;0),ROWS($A$14:A15))),"")</f>
        <v/>
      </c>
      <c r="J15" s="130">
        <f>IF($A15="","",D15*F15*E15)</f>
        <v/>
      </c>
      <c r="K15" s="104">
        <f>IF($A15="","",75)</f>
        <v/>
      </c>
      <c r="L15" s="104">
        <f>IF($A15="","",50)</f>
        <v/>
      </c>
      <c r="M15" s="104">
        <f>IF($A15="","",150)</f>
        <v/>
      </c>
      <c r="N15" s="104">
        <f>IF($A15="","",125)</f>
        <v/>
      </c>
      <c r="O15" s="104">
        <f>IF($A15="","",60)</f>
        <v/>
      </c>
      <c r="P15" s="104">
        <f>IF($A15="","",80)</f>
        <v/>
      </c>
      <c r="Q15" s="104">
        <f>IF($A15="","",40)</f>
        <v/>
      </c>
      <c r="R15" s="130">
        <f>IF($A15="","",IF(C15="Owned",0,2500))</f>
        <v/>
      </c>
      <c r="S15" s="130">
        <f>IF($A15="","",SUM(K15:R15))</f>
        <v/>
      </c>
      <c r="T15" s="130">
        <f>IF($A15="","",I15-S15)</f>
        <v/>
      </c>
      <c r="U15" s="105">
        <f>IF($A15="","",IFERROR(T15/I15,0))</f>
        <v/>
      </c>
      <c r="V15" s="82">
        <f>IFERROR(INDEX($AB$14:$AB$49,AGGREGATE(15,6,(ROW($X$14:$X$49)-ROW($X$14)+1)/($Z$14:$Z$49&gt;0),ROWS($A$14:A15))),"")</f>
        <v/>
      </c>
      <c r="X15">
        <f>EDATE(StartDate,0)</f>
        <v/>
      </c>
      <c r="Y15" t="inlineStr">
        <is>
          <t>Dorm 2</t>
        </is>
      </c>
      <c r="Z15">
        <f>SUMPRODUCT(('Client DB &amp; Bed Mgmt'!$A$5:$A$428=Y15)*('Client DB &amp; Bed Mgmt'!$D$5:$D$428&lt;&gt;"")*--(('Client DB &amp; Bed Mgmt'!$M$5:$M$428="")+IFERROR('Client DB &amp; Bed Mgmt'!$M$5:$M$428&lt;=EOMONTH(X15,0),FALSE)&gt;0)*--(('Client DB &amp; Bed Mgmt'!$N$5:$N$428="")+NOT(ISNUMBER('Client DB &amp; Bed Mgmt'!$N$5:$N$428))+IFERROR('Client DB &amp; Bed Mgmt'!$N$5:$N$428&gt;=DATE(YEAR(X15),MONTH(X15),1),FALSE)&gt;0))</f>
        <v/>
      </c>
      <c r="AA15">
        <f>IFERROR(SUMPRODUCT(('Client DB &amp; Bed Mgmt'!$A$5:$A$428=Y15)*('Client DB &amp; Bed Mgmt'!$D$5:$D$428&lt;&gt;"")*--(('Client DB &amp; Bed Mgmt'!$M$5:$M$428="")+IFERROR('Client DB &amp; Bed Mgmt'!$M$5:$M$428&lt;=EOMONTH(X15,0),FALSE)&gt;0)*--(('Client DB &amp; Bed Mgmt'!$N$5:$N$428="")+NOT(ISNUMBER('Client DB &amp; Bed Mgmt'!$N$5:$N$428))+IFERROR('Client DB &amp; Bed Mgmt'!$N$5:$N$428&gt;=DATE(YEAR(X15),MONTH(X15),1),FALSE)&gt;0)*'Client DB &amp; Bed Mgmt'!$I$5:$I$428*((IF(('Client DB &amp; Bed Mgmt'!$N$5:$N$428="")+NOT(ISNUMBER('Client DB &amp; Bed Mgmt'!$N$5:$N$428)),EOMONTH(X15,0),IF('Client DB &amp; Bed Mgmt'!$N$5:$N$428&lt;EOMONTH(X15,0),'Client DB &amp; Bed Mgmt'!$N$5:$N$428,EOMONTH(X15,0))))-(IF(('Client DB &amp; Bed Mgmt'!$M$5:$M$428="")+NOT(ISNUMBER('Client DB &amp; Bed Mgmt'!$M$5:$M$428)),DATE(YEAR(X15),MONTH(X15),1),IF('Client DB &amp; Bed Mgmt'!$M$5:$M$428&gt;DATE(YEAR(X15),MONTH(X15),1),'Client DB &amp; Bed Mgmt'!$M$5:$M$428,DATE(YEAR(X15),MONTH(X15),1))))+1)/DAY(EOMONTH(X15,0))),0)</f>
        <v/>
      </c>
      <c r="AB15">
        <f>IFERROR(SUMPRODUCT(('Client DB &amp; Bed Mgmt'!$A$5:$A$428=Y15)*('Client DB &amp; Bed Mgmt'!$D$5:$D$428&lt;&gt;"")*--(('Client DB &amp; Bed Mgmt'!$M$5:$M$428="")+IFERROR('Client DB &amp; Bed Mgmt'!$M$5:$M$428&lt;=EOMONTH(X15,0),FALSE)&gt;0)*--(('Client DB &amp; Bed Mgmt'!$N$5:$N$428="")+NOT(ISNUMBER('Client DB &amp; Bed Mgmt'!$N$5:$N$428))+IFERROR('Client DB &amp; Bed Mgmt'!$N$5:$N$428&gt;=DATE(YEAR(X15),MONTH(X15),1),FALSE)&gt;0)*((IF(('Client DB &amp; Bed Mgmt'!$N$5:$N$428="")+NOT(ISNUMBER('Client DB &amp; Bed Mgmt'!$N$5:$N$428)),EOMONTH(X15,0),IF('Client DB &amp; Bed Mgmt'!$N$5:$N$428&lt;EOMONTH(X15,0),'Client DB &amp; Bed Mgmt'!$N$5:$N$428,EOMONTH(X15,0))))-(IF(('Client DB &amp; Bed Mgmt'!$M$5:$M$428="")+NOT(ISNUMBER('Client DB &amp; Bed Mgmt'!$M$5:$M$428)),DATE(YEAR(X15),MONTH(X15),1),IF('Client DB &amp; Bed Mgmt'!$M$5:$M$428&gt;DATE(YEAR(X15),MONTH(X15),1),'Client DB &amp; Bed Mgmt'!$M$5:$M$428,DATE(YEAR(X15),MONTH(X15),1))))+1)/DAY(EOMONTH(X15,0))),0)</f>
        <v/>
      </c>
    </row>
    <row r="16" hidden="1" ht="14.25" customHeight="1" s="83">
      <c r="A16" s="125">
        <f>IFERROR(INDEX($X$14:$X$49,AGGREGATE(15,6,(ROW($X$14:$X$49)-ROW($X$14)+1)/($Z$14:$Z$49&gt;0),ROWS($A$14:A16))),"")</f>
        <v/>
      </c>
      <c r="B16" s="103">
        <f>IFERROR(INDEX($Y$14:$Y$49,AGGREGATE(15,6,(ROW($X$14:$X$49)-ROW($X$14)+1)/($Z$14:$Z$49&gt;0),ROWS($A$14:A16))),"")</f>
        <v/>
      </c>
      <c r="C16" s="170">
        <f>IF($A16="","",IFERROR(_xlfn.XLOOKUP(B16,DormRegistry[Dorm Name],DormRegistry[Ownership Type]),""))</f>
        <v/>
      </c>
      <c r="D16" s="170">
        <f>IF($A16="","",IFERROR(_xlfn.XLOOKUP(B16,DormRegistry[Dorm Name],DormRegistry[Bed Capacity]),0))</f>
        <v/>
      </c>
      <c r="E16" s="130">
        <f>IF($A16="","",$B$6*(1+$B$8)^(YEAR(A16)-YEAR(StartDate)))</f>
        <v/>
      </c>
      <c r="F16" s="105">
        <f>IF($A16="","",$B$7)</f>
        <v/>
      </c>
      <c r="G16" s="105">
        <f>IF($A16="","",$B$8)</f>
        <v/>
      </c>
      <c r="H16" s="130">
        <f>IF($A16="","",D16*E16)</f>
        <v/>
      </c>
      <c r="I16" s="130">
        <f>IFERROR(INDEX($AA$14:$AA$49,AGGREGATE(15,6,(ROW($X$14:$X$49)-ROW($X$14)+1)/($Z$14:$Z$49&gt;0),ROWS($A$14:A16))),"")</f>
        <v/>
      </c>
      <c r="J16" s="130">
        <f>IF($A16="","",D16*F16*E16)</f>
        <v/>
      </c>
      <c r="K16" s="104">
        <f>IF($A16="","",75)</f>
        <v/>
      </c>
      <c r="L16" s="104">
        <f>IF($A16="","",50)</f>
        <v/>
      </c>
      <c r="M16" s="104">
        <f>IF($A16="","",150)</f>
        <v/>
      </c>
      <c r="N16" s="104">
        <f>IF($A16="","",125)</f>
        <v/>
      </c>
      <c r="O16" s="104">
        <f>IF($A16="","",60)</f>
        <v/>
      </c>
      <c r="P16" s="104">
        <f>IF($A16="","",80)</f>
        <v/>
      </c>
      <c r="Q16" s="104">
        <f>IF($A16="","",40)</f>
        <v/>
      </c>
      <c r="R16" s="130">
        <f>IF($A16="","",IF(C16="Owned",0,2500))</f>
        <v/>
      </c>
      <c r="S16" s="130">
        <f>IF($A16="","",SUM(K16:R16))</f>
        <v/>
      </c>
      <c r="T16" s="130">
        <f>IF($A16="","",I16-S16)</f>
        <v/>
      </c>
      <c r="U16" s="105">
        <f>IF($A16="","",IFERROR(T16/I16,0))</f>
        <v/>
      </c>
      <c r="V16" s="82">
        <f>IFERROR(INDEX($AB$14:$AB$49,AGGREGATE(15,6,(ROW($X$14:$X$49)-ROW($X$14)+1)/($Z$14:$Z$49&gt;0),ROWS($A$14:A16))),"")</f>
        <v/>
      </c>
      <c r="X16">
        <f>EDATE(StartDate,0)</f>
        <v/>
      </c>
      <c r="Y16" t="inlineStr">
        <is>
          <t>Dorm 3</t>
        </is>
      </c>
      <c r="Z16">
        <f>SUMPRODUCT(('Client DB &amp; Bed Mgmt'!$A$5:$A$428=Y16)*('Client DB &amp; Bed Mgmt'!$D$5:$D$428&lt;&gt;"")*--(('Client DB &amp; Bed Mgmt'!$M$5:$M$428="")+IFERROR('Client DB &amp; Bed Mgmt'!$M$5:$M$428&lt;=EOMONTH(X16,0),FALSE)&gt;0)*--(('Client DB &amp; Bed Mgmt'!$N$5:$N$428="")+NOT(ISNUMBER('Client DB &amp; Bed Mgmt'!$N$5:$N$428))+IFERROR('Client DB &amp; Bed Mgmt'!$N$5:$N$428&gt;=DATE(YEAR(X16),MONTH(X16),1),FALSE)&gt;0))</f>
        <v/>
      </c>
      <c r="AA16">
        <f>IFERROR(SUMPRODUCT(('Client DB &amp; Bed Mgmt'!$A$5:$A$428=Y16)*('Client DB &amp; Bed Mgmt'!$D$5:$D$428&lt;&gt;"")*--(('Client DB &amp; Bed Mgmt'!$M$5:$M$428="")+IFERROR('Client DB &amp; Bed Mgmt'!$M$5:$M$428&lt;=EOMONTH(X16,0),FALSE)&gt;0)*--(('Client DB &amp; Bed Mgmt'!$N$5:$N$428="")+NOT(ISNUMBER('Client DB &amp; Bed Mgmt'!$N$5:$N$428))+IFERROR('Client DB &amp; Bed Mgmt'!$N$5:$N$428&gt;=DATE(YEAR(X16),MONTH(X16),1),FALSE)&gt;0)*'Client DB &amp; Bed Mgmt'!$I$5:$I$428*((IF(('Client DB &amp; Bed Mgmt'!$N$5:$N$428="")+NOT(ISNUMBER('Client DB &amp; Bed Mgmt'!$N$5:$N$428)),EOMONTH(X16,0),IF('Client DB &amp; Bed Mgmt'!$N$5:$N$428&lt;EOMONTH(X16,0),'Client DB &amp; Bed Mgmt'!$N$5:$N$428,EOMONTH(X16,0))))-(IF(('Client DB &amp; Bed Mgmt'!$M$5:$M$428="")+NOT(ISNUMBER('Client DB &amp; Bed Mgmt'!$M$5:$M$428)),DATE(YEAR(X16),MONTH(X16),1),IF('Client DB &amp; Bed Mgmt'!$M$5:$M$428&gt;DATE(YEAR(X16),MONTH(X16),1),'Client DB &amp; Bed Mgmt'!$M$5:$M$428,DATE(YEAR(X16),MONTH(X16),1))))+1)/DAY(EOMONTH(X16,0))),0)</f>
        <v/>
      </c>
      <c r="AB16">
        <f>IFERROR(SUMPRODUCT(('Client DB &amp; Bed Mgmt'!$A$5:$A$428=Y16)*('Client DB &amp; Bed Mgmt'!$D$5:$D$428&lt;&gt;"")*--(('Client DB &amp; Bed Mgmt'!$M$5:$M$428="")+IFERROR('Client DB &amp; Bed Mgmt'!$M$5:$M$428&lt;=EOMONTH(X16,0),FALSE)&gt;0)*--(('Client DB &amp; Bed Mgmt'!$N$5:$N$428="")+NOT(ISNUMBER('Client DB &amp; Bed Mgmt'!$N$5:$N$428))+IFERROR('Client DB &amp; Bed Mgmt'!$N$5:$N$428&gt;=DATE(YEAR(X16),MONTH(X16),1),FALSE)&gt;0)*((IF(('Client DB &amp; Bed Mgmt'!$N$5:$N$428="")+NOT(ISNUMBER('Client DB &amp; Bed Mgmt'!$N$5:$N$428)),EOMONTH(X16,0),IF('Client DB &amp; Bed Mgmt'!$N$5:$N$428&lt;EOMONTH(X16,0),'Client DB &amp; Bed Mgmt'!$N$5:$N$428,EOMONTH(X16,0))))-(IF(('Client DB &amp; Bed Mgmt'!$M$5:$M$428="")+NOT(ISNUMBER('Client DB &amp; Bed Mgmt'!$M$5:$M$428)),DATE(YEAR(X16),MONTH(X16),1),IF('Client DB &amp; Bed Mgmt'!$M$5:$M$428&gt;DATE(YEAR(X16),MONTH(X16),1),'Client DB &amp; Bed Mgmt'!$M$5:$M$428,DATE(YEAR(X16),MONTH(X16),1))))+1)/DAY(EOMONTH(X16,0))),0)</f>
        <v/>
      </c>
    </row>
    <row r="17" ht="14.25" customHeight="1" s="83">
      <c r="A17" s="125">
        <f>IFERROR(INDEX($X$14:$X$49,AGGREGATE(15,6,(ROW($X$14:$X$49)-ROW($X$14)+1)/($Z$14:$Z$49&gt;0),ROWS($A$14:A17))),"")</f>
        <v/>
      </c>
      <c r="B17" s="103">
        <f>IFERROR(INDEX($Y$14:$Y$49,AGGREGATE(15,6,(ROW($X$14:$X$49)-ROW($X$14)+1)/($Z$14:$Z$49&gt;0),ROWS($A$14:A17))),"")</f>
        <v/>
      </c>
      <c r="C17" s="170">
        <f>IF($A17="","",IFERROR(_xlfn.XLOOKUP(B17,DormRegistry[Dorm Name],DormRegistry[Ownership Type]),""))</f>
        <v/>
      </c>
      <c r="D17" s="170">
        <f>IF($A17="","",IFERROR(_xlfn.XLOOKUP(B17,DormRegistry[Dorm Name],DormRegistry[Bed Capacity]),0))</f>
        <v/>
      </c>
      <c r="E17" s="130">
        <f>IF($A17="","",$B$6*(1+$B$8)^(YEAR(A17)-YEAR(StartDate)))</f>
        <v/>
      </c>
      <c r="F17" s="105">
        <f>IF($A17="","",$B$7)</f>
        <v/>
      </c>
      <c r="G17" s="105">
        <f>IF($A17="","",$B$8)</f>
        <v/>
      </c>
      <c r="H17" s="130">
        <f>IF($A17="","",D17*E17)</f>
        <v/>
      </c>
      <c r="I17" s="130">
        <f>IFERROR(INDEX($AA$14:$AA$49,AGGREGATE(15,6,(ROW($X$14:$X$49)-ROW($X$14)+1)/($Z$14:$Z$49&gt;0),ROWS($A$14:A17))),"")</f>
        <v/>
      </c>
      <c r="J17" s="130">
        <f>IF($A17="","",D17*F17*E17)</f>
        <v/>
      </c>
      <c r="K17" s="104">
        <f>IF($A17="","",75)</f>
        <v/>
      </c>
      <c r="L17" s="104">
        <f>IF($A17="","",50)</f>
        <v/>
      </c>
      <c r="M17" s="104">
        <f>IF($A17="","",150)</f>
        <v/>
      </c>
      <c r="N17" s="104">
        <f>IF($A17="","",125)</f>
        <v/>
      </c>
      <c r="O17" s="104">
        <f>IF($A17="","",60)</f>
        <v/>
      </c>
      <c r="P17" s="104">
        <f>IF($A17="","",80)</f>
        <v/>
      </c>
      <c r="Q17" s="104">
        <f>IF($A17="","",40)</f>
        <v/>
      </c>
      <c r="R17" s="130">
        <f>IF($A17="","",IF(C17="Owned",0,2500))</f>
        <v/>
      </c>
      <c r="S17" s="130">
        <f>IF($A17="","",SUM(K17:R17))</f>
        <v/>
      </c>
      <c r="T17" s="130">
        <f>IF($A17="","",I17-S17)</f>
        <v/>
      </c>
      <c r="U17" s="105">
        <f>IF($A17="","",IFERROR(T17/I17,0))</f>
        <v/>
      </c>
      <c r="V17" s="82">
        <f>IFERROR(INDEX($AB$14:$AB$49,AGGREGATE(15,6,(ROW($X$14:$X$49)-ROW($X$14)+1)/($Z$14:$Z$49&gt;0),ROWS($A$14:A17))),"")</f>
        <v/>
      </c>
      <c r="X17">
        <f>EDATE(StartDate,1)</f>
        <v/>
      </c>
      <c r="Y17" t="inlineStr">
        <is>
          <t>Dorm 1</t>
        </is>
      </c>
      <c r="Z17">
        <f>SUMPRODUCT(('Client DB &amp; Bed Mgmt'!$A$5:$A$428=Y17)*('Client DB &amp; Bed Mgmt'!$D$5:$D$428&lt;&gt;"")*--(('Client DB &amp; Bed Mgmt'!$M$5:$M$428="")+IFERROR('Client DB &amp; Bed Mgmt'!$M$5:$M$428&lt;=EOMONTH(X17,0),FALSE)&gt;0)*--(('Client DB &amp; Bed Mgmt'!$N$5:$N$428="")+NOT(ISNUMBER('Client DB &amp; Bed Mgmt'!$N$5:$N$428))+IFERROR('Client DB &amp; Bed Mgmt'!$N$5:$N$428&gt;=DATE(YEAR(X17),MONTH(X17),1),FALSE)&gt;0))</f>
        <v/>
      </c>
      <c r="AA17">
        <f>IFERROR(SUMPRODUCT(('Client DB &amp; Bed Mgmt'!$A$5:$A$428=Y17)*('Client DB &amp; Bed Mgmt'!$D$5:$D$428&lt;&gt;"")*--(('Client DB &amp; Bed Mgmt'!$M$5:$M$428="")+IFERROR('Client DB &amp; Bed Mgmt'!$M$5:$M$428&lt;=EOMONTH(X17,0),FALSE)&gt;0)*--(('Client DB &amp; Bed Mgmt'!$N$5:$N$428="")+NOT(ISNUMBER('Client DB &amp; Bed Mgmt'!$N$5:$N$428))+IFERROR('Client DB &amp; Bed Mgmt'!$N$5:$N$428&gt;=DATE(YEAR(X17),MONTH(X17),1),FALSE)&gt;0)*'Client DB &amp; Bed Mgmt'!$I$5:$I$428*((IF(('Client DB &amp; Bed Mgmt'!$N$5:$N$428="")+NOT(ISNUMBER('Client DB &amp; Bed Mgmt'!$N$5:$N$428)),EOMONTH(X17,0),IF('Client DB &amp; Bed Mgmt'!$N$5:$N$428&lt;EOMONTH(X17,0),'Client DB &amp; Bed Mgmt'!$N$5:$N$428,EOMONTH(X17,0))))-(IF(('Client DB &amp; Bed Mgmt'!$M$5:$M$428="")+NOT(ISNUMBER('Client DB &amp; Bed Mgmt'!$M$5:$M$428)),DATE(YEAR(X17),MONTH(X17),1),IF('Client DB &amp; Bed Mgmt'!$M$5:$M$428&gt;DATE(YEAR(X17),MONTH(X17),1),'Client DB &amp; Bed Mgmt'!$M$5:$M$428,DATE(YEAR(X17),MONTH(X17),1))))+1)/DAY(EOMONTH(X17,0))),0)</f>
        <v/>
      </c>
      <c r="AB17">
        <f>IFERROR(SUMPRODUCT(('Client DB &amp; Bed Mgmt'!$A$5:$A$428=Y17)*('Client DB &amp; Bed Mgmt'!$D$5:$D$428&lt;&gt;"")*--(('Client DB &amp; Bed Mgmt'!$M$5:$M$428="")+IFERROR('Client DB &amp; Bed Mgmt'!$M$5:$M$428&lt;=EOMONTH(X17,0),FALSE)&gt;0)*--(('Client DB &amp; Bed Mgmt'!$N$5:$N$428="")+NOT(ISNUMBER('Client DB &amp; Bed Mgmt'!$N$5:$N$428))+IFERROR('Client DB &amp; Bed Mgmt'!$N$5:$N$428&gt;=DATE(YEAR(X17),MONTH(X17),1),FALSE)&gt;0)*((IF(('Client DB &amp; Bed Mgmt'!$N$5:$N$428="")+NOT(ISNUMBER('Client DB &amp; Bed Mgmt'!$N$5:$N$428)),EOMONTH(X17,0),IF('Client DB &amp; Bed Mgmt'!$N$5:$N$428&lt;EOMONTH(X17,0),'Client DB &amp; Bed Mgmt'!$N$5:$N$428,EOMONTH(X17,0))))-(IF(('Client DB &amp; Bed Mgmt'!$M$5:$M$428="")+NOT(ISNUMBER('Client DB &amp; Bed Mgmt'!$M$5:$M$428)),DATE(YEAR(X17),MONTH(X17),1),IF('Client DB &amp; Bed Mgmt'!$M$5:$M$428&gt;DATE(YEAR(X17),MONTH(X17),1),'Client DB &amp; Bed Mgmt'!$M$5:$M$428,DATE(YEAR(X17),MONTH(X17),1))))+1)/DAY(EOMONTH(X17,0))),0)</f>
        <v/>
      </c>
    </row>
    <row r="18" hidden="1" ht="14.25" customHeight="1" s="83">
      <c r="A18" s="125">
        <f>IFERROR(INDEX($X$14:$X$49,AGGREGATE(15,6,(ROW($X$14:$X$49)-ROW($X$14)+1)/($Z$14:$Z$49&gt;0),ROWS($A$14:A18))),"")</f>
        <v/>
      </c>
      <c r="B18" s="103">
        <f>IFERROR(INDEX($Y$14:$Y$49,AGGREGATE(15,6,(ROW($X$14:$X$49)-ROW($X$14)+1)/($Z$14:$Z$49&gt;0),ROWS($A$14:A18))),"")</f>
        <v/>
      </c>
      <c r="C18" s="170">
        <f>IF($A18="","",IFERROR(_xlfn.XLOOKUP(B18,DormRegistry[Dorm Name],DormRegistry[Ownership Type]),""))</f>
        <v/>
      </c>
      <c r="D18" s="170">
        <f>IF($A18="","",IFERROR(_xlfn.XLOOKUP(B18,DormRegistry[Dorm Name],DormRegistry[Bed Capacity]),0))</f>
        <v/>
      </c>
      <c r="E18" s="130">
        <f>IF($A18="","",$B$6*(1+$B$8)^(YEAR(A18)-YEAR(StartDate)))</f>
        <v/>
      </c>
      <c r="F18" s="105">
        <f>IF($A18="","",$B$7)</f>
        <v/>
      </c>
      <c r="G18" s="105">
        <f>IF($A18="","",$B$8)</f>
        <v/>
      </c>
      <c r="H18" s="130">
        <f>IF($A18="","",D18*E18)</f>
        <v/>
      </c>
      <c r="I18" s="130">
        <f>IFERROR(INDEX($AA$14:$AA$49,AGGREGATE(15,6,(ROW($X$14:$X$49)-ROW($X$14)+1)/($Z$14:$Z$49&gt;0),ROWS($A$14:A18))),"")</f>
        <v/>
      </c>
      <c r="J18" s="130">
        <f>IF($A18="","",D18*F18*E18)</f>
        <v/>
      </c>
      <c r="K18" s="104">
        <f>IF($A18="","",75)</f>
        <v/>
      </c>
      <c r="L18" s="104">
        <f>IF($A18="","",50)</f>
        <v/>
      </c>
      <c r="M18" s="104">
        <f>IF($A18="","",150)</f>
        <v/>
      </c>
      <c r="N18" s="104">
        <f>IF($A18="","",125)</f>
        <v/>
      </c>
      <c r="O18" s="104">
        <f>IF($A18="","",60)</f>
        <v/>
      </c>
      <c r="P18" s="104">
        <f>IF($A18="","",80)</f>
        <v/>
      </c>
      <c r="Q18" s="104">
        <f>IF($A18="","",40)</f>
        <v/>
      </c>
      <c r="R18" s="130">
        <f>IF($A18="","",IF(C18="Owned",0,2500))</f>
        <v/>
      </c>
      <c r="S18" s="130">
        <f>IF($A18="","",SUM(K18:R18))</f>
        <v/>
      </c>
      <c r="T18" s="130">
        <f>IF($A18="","",I18-S18)</f>
        <v/>
      </c>
      <c r="U18" s="105">
        <f>IF($A18="","",IFERROR(T18/I18,0))</f>
        <v/>
      </c>
      <c r="V18" s="82">
        <f>IFERROR(INDEX($AB$14:$AB$49,AGGREGATE(15,6,(ROW($X$14:$X$49)-ROW($X$14)+1)/($Z$14:$Z$49&gt;0),ROWS($A$14:A18))),"")</f>
        <v/>
      </c>
      <c r="X18">
        <f>EDATE(StartDate,1)</f>
        <v/>
      </c>
      <c r="Y18" t="inlineStr">
        <is>
          <t>Dorm 2</t>
        </is>
      </c>
      <c r="Z18">
        <f>SUMPRODUCT(('Client DB &amp; Bed Mgmt'!$A$5:$A$428=Y18)*('Client DB &amp; Bed Mgmt'!$D$5:$D$428&lt;&gt;"")*--(('Client DB &amp; Bed Mgmt'!$M$5:$M$428="")+IFERROR('Client DB &amp; Bed Mgmt'!$M$5:$M$428&lt;=EOMONTH(X18,0),FALSE)&gt;0)*--(('Client DB &amp; Bed Mgmt'!$N$5:$N$428="")+NOT(ISNUMBER('Client DB &amp; Bed Mgmt'!$N$5:$N$428))+IFERROR('Client DB &amp; Bed Mgmt'!$N$5:$N$428&gt;=DATE(YEAR(X18),MONTH(X18),1),FALSE)&gt;0))</f>
        <v/>
      </c>
      <c r="AA18">
        <f>IFERROR(SUMPRODUCT(('Client DB &amp; Bed Mgmt'!$A$5:$A$428=Y18)*('Client DB &amp; Bed Mgmt'!$D$5:$D$428&lt;&gt;"")*--(('Client DB &amp; Bed Mgmt'!$M$5:$M$428="")+IFERROR('Client DB &amp; Bed Mgmt'!$M$5:$M$428&lt;=EOMONTH(X18,0),FALSE)&gt;0)*--(('Client DB &amp; Bed Mgmt'!$N$5:$N$428="")+NOT(ISNUMBER('Client DB &amp; Bed Mgmt'!$N$5:$N$428))+IFERROR('Client DB &amp; Bed Mgmt'!$N$5:$N$428&gt;=DATE(YEAR(X18),MONTH(X18),1),FALSE)&gt;0)*'Client DB &amp; Bed Mgmt'!$I$5:$I$428*((IF(('Client DB &amp; Bed Mgmt'!$N$5:$N$428="")+NOT(ISNUMBER('Client DB &amp; Bed Mgmt'!$N$5:$N$428)),EOMONTH(X18,0),IF('Client DB &amp; Bed Mgmt'!$N$5:$N$428&lt;EOMONTH(X18,0),'Client DB &amp; Bed Mgmt'!$N$5:$N$428,EOMONTH(X18,0))))-(IF(('Client DB &amp; Bed Mgmt'!$M$5:$M$428="")+NOT(ISNUMBER('Client DB &amp; Bed Mgmt'!$M$5:$M$428)),DATE(YEAR(X18),MONTH(X18),1),IF('Client DB &amp; Bed Mgmt'!$M$5:$M$428&gt;DATE(YEAR(X18),MONTH(X18),1),'Client DB &amp; Bed Mgmt'!$M$5:$M$428,DATE(YEAR(X18),MONTH(X18),1))))+1)/DAY(EOMONTH(X18,0))),0)</f>
        <v/>
      </c>
      <c r="AB18">
        <f>IFERROR(SUMPRODUCT(('Client DB &amp; Bed Mgmt'!$A$5:$A$428=Y18)*('Client DB &amp; Bed Mgmt'!$D$5:$D$428&lt;&gt;"")*--(('Client DB &amp; Bed Mgmt'!$M$5:$M$428="")+IFERROR('Client DB &amp; Bed Mgmt'!$M$5:$M$428&lt;=EOMONTH(X18,0),FALSE)&gt;0)*--(('Client DB &amp; Bed Mgmt'!$N$5:$N$428="")+NOT(ISNUMBER('Client DB &amp; Bed Mgmt'!$N$5:$N$428))+IFERROR('Client DB &amp; Bed Mgmt'!$N$5:$N$428&gt;=DATE(YEAR(X18),MONTH(X18),1),FALSE)&gt;0)*((IF(('Client DB &amp; Bed Mgmt'!$N$5:$N$428="")+NOT(ISNUMBER('Client DB &amp; Bed Mgmt'!$N$5:$N$428)),EOMONTH(X18,0),IF('Client DB &amp; Bed Mgmt'!$N$5:$N$428&lt;EOMONTH(X18,0),'Client DB &amp; Bed Mgmt'!$N$5:$N$428,EOMONTH(X18,0))))-(IF(('Client DB &amp; Bed Mgmt'!$M$5:$M$428="")+NOT(ISNUMBER('Client DB &amp; Bed Mgmt'!$M$5:$M$428)),DATE(YEAR(X18),MONTH(X18),1),IF('Client DB &amp; Bed Mgmt'!$M$5:$M$428&gt;DATE(YEAR(X18),MONTH(X18),1),'Client DB &amp; Bed Mgmt'!$M$5:$M$428,DATE(YEAR(X18),MONTH(X18),1))))+1)/DAY(EOMONTH(X18,0))),0)</f>
        <v/>
      </c>
    </row>
    <row r="19" hidden="1" ht="14.25" customHeight="1" s="83">
      <c r="A19" s="125">
        <f>IFERROR(INDEX($X$14:$X$49,AGGREGATE(15,6,(ROW($X$14:$X$49)-ROW($X$14)+1)/($Z$14:$Z$49&gt;0),ROWS($A$14:A19))),"")</f>
        <v/>
      </c>
      <c r="B19" s="103">
        <f>IFERROR(INDEX($Y$14:$Y$49,AGGREGATE(15,6,(ROW($X$14:$X$49)-ROW($X$14)+1)/($Z$14:$Z$49&gt;0),ROWS($A$14:A19))),"")</f>
        <v/>
      </c>
      <c r="C19" s="170">
        <f>IF($A19="","",IFERROR(_xlfn.XLOOKUP(B19,DormRegistry[Dorm Name],DormRegistry[Ownership Type]),""))</f>
        <v/>
      </c>
      <c r="D19" s="170">
        <f>IF($A19="","",IFERROR(_xlfn.XLOOKUP(B19,DormRegistry[Dorm Name],DormRegistry[Bed Capacity]),0))</f>
        <v/>
      </c>
      <c r="E19" s="130">
        <f>IF($A19="","",$B$6*(1+$B$8)^(YEAR(A19)-YEAR(StartDate)))</f>
        <v/>
      </c>
      <c r="F19" s="105">
        <f>IF($A19="","",$B$7)</f>
        <v/>
      </c>
      <c r="G19" s="105">
        <f>IF($A19="","",$B$8)</f>
        <v/>
      </c>
      <c r="H19" s="130">
        <f>IF($A19="","",D19*E19)</f>
        <v/>
      </c>
      <c r="I19" s="130">
        <f>IFERROR(INDEX($AA$14:$AA$49,AGGREGATE(15,6,(ROW($X$14:$X$49)-ROW($X$14)+1)/($Z$14:$Z$49&gt;0),ROWS($A$14:A19))),"")</f>
        <v/>
      </c>
      <c r="J19" s="130">
        <f>IF($A19="","",D19*F19*E19)</f>
        <v/>
      </c>
      <c r="K19" s="104">
        <f>IF($A19="","",75)</f>
        <v/>
      </c>
      <c r="L19" s="104">
        <f>IF($A19="","",50)</f>
        <v/>
      </c>
      <c r="M19" s="104">
        <f>IF($A19="","",150)</f>
        <v/>
      </c>
      <c r="N19" s="104">
        <f>IF($A19="","",125)</f>
        <v/>
      </c>
      <c r="O19" s="104">
        <f>IF($A19="","",60)</f>
        <v/>
      </c>
      <c r="P19" s="104">
        <f>IF($A19="","",80)</f>
        <v/>
      </c>
      <c r="Q19" s="104">
        <f>IF($A19="","",40)</f>
        <v/>
      </c>
      <c r="R19" s="130">
        <f>IF($A19="","",IF(C19="Owned",0,2500))</f>
        <v/>
      </c>
      <c r="S19" s="130">
        <f>IF($A19="","",SUM(K19:R19))</f>
        <v/>
      </c>
      <c r="T19" s="130">
        <f>IF($A19="","",I19-S19)</f>
        <v/>
      </c>
      <c r="U19" s="105">
        <f>IF($A19="","",IFERROR(T19/I19,0))</f>
        <v/>
      </c>
      <c r="V19" s="82">
        <f>IFERROR(INDEX($AB$14:$AB$49,AGGREGATE(15,6,(ROW($X$14:$X$49)-ROW($X$14)+1)/($Z$14:$Z$49&gt;0),ROWS($A$14:A19))),"")</f>
        <v/>
      </c>
      <c r="X19">
        <f>EDATE(StartDate,1)</f>
        <v/>
      </c>
      <c r="Y19" t="inlineStr">
        <is>
          <t>Dorm 3</t>
        </is>
      </c>
      <c r="Z19">
        <f>SUMPRODUCT(('Client DB &amp; Bed Mgmt'!$A$5:$A$428=Y19)*('Client DB &amp; Bed Mgmt'!$D$5:$D$428&lt;&gt;"")*--(('Client DB &amp; Bed Mgmt'!$M$5:$M$428="")+IFERROR('Client DB &amp; Bed Mgmt'!$M$5:$M$428&lt;=EOMONTH(X19,0),FALSE)&gt;0)*--(('Client DB &amp; Bed Mgmt'!$N$5:$N$428="")+NOT(ISNUMBER('Client DB &amp; Bed Mgmt'!$N$5:$N$428))+IFERROR('Client DB &amp; Bed Mgmt'!$N$5:$N$428&gt;=DATE(YEAR(X19),MONTH(X19),1),FALSE)&gt;0))</f>
        <v/>
      </c>
      <c r="AA19">
        <f>IFERROR(SUMPRODUCT(('Client DB &amp; Bed Mgmt'!$A$5:$A$428=Y19)*('Client DB &amp; Bed Mgmt'!$D$5:$D$428&lt;&gt;"")*--(('Client DB &amp; Bed Mgmt'!$M$5:$M$428="")+IFERROR('Client DB &amp; Bed Mgmt'!$M$5:$M$428&lt;=EOMONTH(X19,0),FALSE)&gt;0)*--(('Client DB &amp; Bed Mgmt'!$N$5:$N$428="")+NOT(ISNUMBER('Client DB &amp; Bed Mgmt'!$N$5:$N$428))+IFERROR('Client DB &amp; Bed Mgmt'!$N$5:$N$428&gt;=DATE(YEAR(X19),MONTH(X19),1),FALSE)&gt;0)*'Client DB &amp; Bed Mgmt'!$I$5:$I$428*((IF(('Client DB &amp; Bed Mgmt'!$N$5:$N$428="")+NOT(ISNUMBER('Client DB &amp; Bed Mgmt'!$N$5:$N$428)),EOMONTH(X19,0),IF('Client DB &amp; Bed Mgmt'!$N$5:$N$428&lt;EOMONTH(X19,0),'Client DB &amp; Bed Mgmt'!$N$5:$N$428,EOMONTH(X19,0))))-(IF(('Client DB &amp; Bed Mgmt'!$M$5:$M$428="")+NOT(ISNUMBER('Client DB &amp; Bed Mgmt'!$M$5:$M$428)),DATE(YEAR(X19),MONTH(X19),1),IF('Client DB &amp; Bed Mgmt'!$M$5:$M$428&gt;DATE(YEAR(X19),MONTH(X19),1),'Client DB &amp; Bed Mgmt'!$M$5:$M$428,DATE(YEAR(X19),MONTH(X19),1))))+1)/DAY(EOMONTH(X19,0))),0)</f>
        <v/>
      </c>
      <c r="AB19">
        <f>IFERROR(SUMPRODUCT(('Client DB &amp; Bed Mgmt'!$A$5:$A$428=Y19)*('Client DB &amp; Bed Mgmt'!$D$5:$D$428&lt;&gt;"")*--(('Client DB &amp; Bed Mgmt'!$M$5:$M$428="")+IFERROR('Client DB &amp; Bed Mgmt'!$M$5:$M$428&lt;=EOMONTH(X19,0),FALSE)&gt;0)*--(('Client DB &amp; Bed Mgmt'!$N$5:$N$428="")+NOT(ISNUMBER('Client DB &amp; Bed Mgmt'!$N$5:$N$428))+IFERROR('Client DB &amp; Bed Mgmt'!$N$5:$N$428&gt;=DATE(YEAR(X19),MONTH(X19),1),FALSE)&gt;0)*((IF(('Client DB &amp; Bed Mgmt'!$N$5:$N$428="")+NOT(ISNUMBER('Client DB &amp; Bed Mgmt'!$N$5:$N$428)),EOMONTH(X19,0),IF('Client DB &amp; Bed Mgmt'!$N$5:$N$428&lt;EOMONTH(X19,0),'Client DB &amp; Bed Mgmt'!$N$5:$N$428,EOMONTH(X19,0))))-(IF(('Client DB &amp; Bed Mgmt'!$M$5:$M$428="")+NOT(ISNUMBER('Client DB &amp; Bed Mgmt'!$M$5:$M$428)),DATE(YEAR(X19),MONTH(X19),1),IF('Client DB &amp; Bed Mgmt'!$M$5:$M$428&gt;DATE(YEAR(X19),MONTH(X19),1),'Client DB &amp; Bed Mgmt'!$M$5:$M$428,DATE(YEAR(X19),MONTH(X19),1))))+1)/DAY(EOMONTH(X19,0))),0)</f>
        <v/>
      </c>
    </row>
    <row r="20" ht="14.25" customHeight="1" s="83">
      <c r="A20" s="125">
        <f>IFERROR(INDEX($X$14:$X$49,AGGREGATE(15,6,(ROW($X$14:$X$49)-ROW($X$14)+1)/($Z$14:$Z$49&gt;0),ROWS($A$14:A20))),"")</f>
        <v/>
      </c>
      <c r="B20" s="103">
        <f>IFERROR(INDEX($Y$14:$Y$49,AGGREGATE(15,6,(ROW($X$14:$X$49)-ROW($X$14)+1)/($Z$14:$Z$49&gt;0),ROWS($A$14:A20))),"")</f>
        <v/>
      </c>
      <c r="C20" s="170">
        <f>IF($A20="","",IFERROR(_xlfn.XLOOKUP(B20,DormRegistry[Dorm Name],DormRegistry[Ownership Type]),""))</f>
        <v/>
      </c>
      <c r="D20" s="170">
        <f>IF($A20="","",IFERROR(_xlfn.XLOOKUP(B20,DormRegistry[Dorm Name],DormRegistry[Bed Capacity]),0))</f>
        <v/>
      </c>
      <c r="E20" s="130">
        <f>IF($A20="","",$B$6*(1+$B$8)^(YEAR(A20)-YEAR(StartDate)))</f>
        <v/>
      </c>
      <c r="F20" s="105">
        <f>IF($A20="","",$B$7)</f>
        <v/>
      </c>
      <c r="G20" s="105">
        <f>IF($A20="","",$B$8)</f>
        <v/>
      </c>
      <c r="H20" s="130">
        <f>IF($A20="","",D20*E20)</f>
        <v/>
      </c>
      <c r="I20" s="130">
        <f>IFERROR(INDEX($AA$14:$AA$49,AGGREGATE(15,6,(ROW($X$14:$X$49)-ROW($X$14)+1)/($Z$14:$Z$49&gt;0),ROWS($A$14:A20))),"")</f>
        <v/>
      </c>
      <c r="J20" s="130">
        <f>IF($A20="","",D20*F20*E20)</f>
        <v/>
      </c>
      <c r="K20" s="104">
        <f>IF($A20="","",75)</f>
        <v/>
      </c>
      <c r="L20" s="104">
        <f>IF($A20="","",50)</f>
        <v/>
      </c>
      <c r="M20" s="104">
        <f>IF($A20="","",150)</f>
        <v/>
      </c>
      <c r="N20" s="104">
        <f>IF($A20="","",125)</f>
        <v/>
      </c>
      <c r="O20" s="104">
        <f>IF($A20="","",60)</f>
        <v/>
      </c>
      <c r="P20" s="104">
        <f>IF($A20="","",80)</f>
        <v/>
      </c>
      <c r="Q20" s="104">
        <f>IF($A20="","",40)</f>
        <v/>
      </c>
      <c r="R20" s="130">
        <f>IF($A20="","",IF(C20="Owned",0,2500))</f>
        <v/>
      </c>
      <c r="S20" s="130">
        <f>IF($A20="","",SUM(K20:R20))</f>
        <v/>
      </c>
      <c r="T20" s="130">
        <f>IF($A20="","",I20-S20)</f>
        <v/>
      </c>
      <c r="U20" s="105">
        <f>IF($A20="","",IFERROR(T20/I20,0))</f>
        <v/>
      </c>
      <c r="V20" s="82">
        <f>IFERROR(INDEX($AB$14:$AB$49,AGGREGATE(15,6,(ROW($X$14:$X$49)-ROW($X$14)+1)/($Z$14:$Z$49&gt;0),ROWS($A$14:A20))),"")</f>
        <v/>
      </c>
      <c r="X20">
        <f>EDATE(StartDate,2)</f>
        <v/>
      </c>
      <c r="Y20" t="inlineStr">
        <is>
          <t>Dorm 1</t>
        </is>
      </c>
      <c r="Z20">
        <f>SUMPRODUCT(('Client DB &amp; Bed Mgmt'!$A$5:$A$428=Y20)*('Client DB &amp; Bed Mgmt'!$D$5:$D$428&lt;&gt;"")*--(('Client DB &amp; Bed Mgmt'!$M$5:$M$428="")+IFERROR('Client DB &amp; Bed Mgmt'!$M$5:$M$428&lt;=EOMONTH(X20,0),FALSE)&gt;0)*--(('Client DB &amp; Bed Mgmt'!$N$5:$N$428="")+NOT(ISNUMBER('Client DB &amp; Bed Mgmt'!$N$5:$N$428))+IFERROR('Client DB &amp; Bed Mgmt'!$N$5:$N$428&gt;=DATE(YEAR(X20),MONTH(X20),1),FALSE)&gt;0))</f>
        <v/>
      </c>
      <c r="AA20">
        <f>IFERROR(SUMPRODUCT(('Client DB &amp; Bed Mgmt'!$A$5:$A$428=Y20)*('Client DB &amp; Bed Mgmt'!$D$5:$D$428&lt;&gt;"")*--(('Client DB &amp; Bed Mgmt'!$M$5:$M$428="")+IFERROR('Client DB &amp; Bed Mgmt'!$M$5:$M$428&lt;=EOMONTH(X20,0),FALSE)&gt;0)*--(('Client DB &amp; Bed Mgmt'!$N$5:$N$428="")+NOT(ISNUMBER('Client DB &amp; Bed Mgmt'!$N$5:$N$428))+IFERROR('Client DB &amp; Bed Mgmt'!$N$5:$N$428&gt;=DATE(YEAR(X20),MONTH(X20),1),FALSE)&gt;0)*'Client DB &amp; Bed Mgmt'!$I$5:$I$428*((IF(('Client DB &amp; Bed Mgmt'!$N$5:$N$428="")+NOT(ISNUMBER('Client DB &amp; Bed Mgmt'!$N$5:$N$428)),EOMONTH(X20,0),IF('Client DB &amp; Bed Mgmt'!$N$5:$N$428&lt;EOMONTH(X20,0),'Client DB &amp; Bed Mgmt'!$N$5:$N$428,EOMONTH(X20,0))))-(IF(('Client DB &amp; Bed Mgmt'!$M$5:$M$428="")+NOT(ISNUMBER('Client DB &amp; Bed Mgmt'!$M$5:$M$428)),DATE(YEAR(X20),MONTH(X20),1),IF('Client DB &amp; Bed Mgmt'!$M$5:$M$428&gt;DATE(YEAR(X20),MONTH(X20),1),'Client DB &amp; Bed Mgmt'!$M$5:$M$428,DATE(YEAR(X20),MONTH(X20),1))))+1)/DAY(EOMONTH(X20,0))),0)</f>
        <v/>
      </c>
      <c r="AB20">
        <f>IFERROR(SUMPRODUCT(('Client DB &amp; Bed Mgmt'!$A$5:$A$428=Y20)*('Client DB &amp; Bed Mgmt'!$D$5:$D$428&lt;&gt;"")*--(('Client DB &amp; Bed Mgmt'!$M$5:$M$428="")+IFERROR('Client DB &amp; Bed Mgmt'!$M$5:$M$428&lt;=EOMONTH(X20,0),FALSE)&gt;0)*--(('Client DB &amp; Bed Mgmt'!$N$5:$N$428="")+NOT(ISNUMBER('Client DB &amp; Bed Mgmt'!$N$5:$N$428))+IFERROR('Client DB &amp; Bed Mgmt'!$N$5:$N$428&gt;=DATE(YEAR(X20),MONTH(X20),1),FALSE)&gt;0)*((IF(('Client DB &amp; Bed Mgmt'!$N$5:$N$428="")+NOT(ISNUMBER('Client DB &amp; Bed Mgmt'!$N$5:$N$428)),EOMONTH(X20,0),IF('Client DB &amp; Bed Mgmt'!$N$5:$N$428&lt;EOMONTH(X20,0),'Client DB &amp; Bed Mgmt'!$N$5:$N$428,EOMONTH(X20,0))))-(IF(('Client DB &amp; Bed Mgmt'!$M$5:$M$428="")+NOT(ISNUMBER('Client DB &amp; Bed Mgmt'!$M$5:$M$428)),DATE(YEAR(X20),MONTH(X20),1),IF('Client DB &amp; Bed Mgmt'!$M$5:$M$428&gt;DATE(YEAR(X20),MONTH(X20),1),'Client DB &amp; Bed Mgmt'!$M$5:$M$428,DATE(YEAR(X20),MONTH(X20),1))))+1)/DAY(EOMONTH(X20,0))),0)</f>
        <v/>
      </c>
    </row>
    <row r="21" hidden="1" ht="14.25" customHeight="1" s="83">
      <c r="A21" s="125">
        <f>IFERROR(INDEX($X$14:$X$49,AGGREGATE(15,6,(ROW($X$14:$X$49)-ROW($X$14)+1)/($Z$14:$Z$49&gt;0),ROWS($A$14:A21))),"")</f>
        <v/>
      </c>
      <c r="B21" s="103">
        <f>IFERROR(INDEX($Y$14:$Y$49,AGGREGATE(15,6,(ROW($X$14:$X$49)-ROW($X$14)+1)/($Z$14:$Z$49&gt;0),ROWS($A$14:A21))),"")</f>
        <v/>
      </c>
      <c r="C21" s="170">
        <f>IF($A21="","",IFERROR(_xlfn.XLOOKUP(B21,DormRegistry[Dorm Name],DormRegistry[Ownership Type]),""))</f>
        <v/>
      </c>
      <c r="D21" s="170">
        <f>IF($A21="","",IFERROR(_xlfn.XLOOKUP(B21,DormRegistry[Dorm Name],DormRegistry[Bed Capacity]),0))</f>
        <v/>
      </c>
      <c r="E21" s="130">
        <f>IF($A21="","",$B$6*(1+$B$8)^(YEAR(A21)-YEAR(StartDate)))</f>
        <v/>
      </c>
      <c r="F21" s="105">
        <f>IF($A21="","",$B$7)</f>
        <v/>
      </c>
      <c r="G21" s="105">
        <f>IF($A21="","",$B$8)</f>
        <v/>
      </c>
      <c r="H21" s="130">
        <f>IF($A21="","",D21*E21)</f>
        <v/>
      </c>
      <c r="I21" s="130">
        <f>IFERROR(INDEX($AA$14:$AA$49,AGGREGATE(15,6,(ROW($X$14:$X$49)-ROW($X$14)+1)/($Z$14:$Z$49&gt;0),ROWS($A$14:A21))),"")</f>
        <v/>
      </c>
      <c r="J21" s="130">
        <f>IF($A21="","",D21*F21*E21)</f>
        <v/>
      </c>
      <c r="K21" s="104">
        <f>IF($A21="","",75)</f>
        <v/>
      </c>
      <c r="L21" s="104">
        <f>IF($A21="","",50)</f>
        <v/>
      </c>
      <c r="M21" s="104">
        <f>IF($A21="","",150)</f>
        <v/>
      </c>
      <c r="N21" s="104">
        <f>IF($A21="","",125)</f>
        <v/>
      </c>
      <c r="O21" s="104">
        <f>IF($A21="","",60)</f>
        <v/>
      </c>
      <c r="P21" s="104">
        <f>IF($A21="","",80)</f>
        <v/>
      </c>
      <c r="Q21" s="104">
        <f>IF($A21="","",40)</f>
        <v/>
      </c>
      <c r="R21" s="130">
        <f>IF($A21="","",IF(C21="Owned",0,2500))</f>
        <v/>
      </c>
      <c r="S21" s="130">
        <f>IF($A21="","",SUM(K21:R21))</f>
        <v/>
      </c>
      <c r="T21" s="130">
        <f>IF($A21="","",I21-S21)</f>
        <v/>
      </c>
      <c r="U21" s="105">
        <f>IF($A21="","",IFERROR(T21/I21,0))</f>
        <v/>
      </c>
      <c r="V21" s="82">
        <f>IFERROR(INDEX($AB$14:$AB$49,AGGREGATE(15,6,(ROW($X$14:$X$49)-ROW($X$14)+1)/($Z$14:$Z$49&gt;0),ROWS($A$14:A21))),"")</f>
        <v/>
      </c>
      <c r="X21">
        <f>EDATE(StartDate,2)</f>
        <v/>
      </c>
      <c r="Y21" t="inlineStr">
        <is>
          <t>Dorm 2</t>
        </is>
      </c>
      <c r="Z21">
        <f>SUMPRODUCT(('Client DB &amp; Bed Mgmt'!$A$5:$A$428=Y21)*('Client DB &amp; Bed Mgmt'!$D$5:$D$428&lt;&gt;"")*--(('Client DB &amp; Bed Mgmt'!$M$5:$M$428="")+IFERROR('Client DB &amp; Bed Mgmt'!$M$5:$M$428&lt;=EOMONTH(X21,0),FALSE)&gt;0)*--(('Client DB &amp; Bed Mgmt'!$N$5:$N$428="")+NOT(ISNUMBER('Client DB &amp; Bed Mgmt'!$N$5:$N$428))+IFERROR('Client DB &amp; Bed Mgmt'!$N$5:$N$428&gt;=DATE(YEAR(X21),MONTH(X21),1),FALSE)&gt;0))</f>
        <v/>
      </c>
      <c r="AA21">
        <f>IFERROR(SUMPRODUCT(('Client DB &amp; Bed Mgmt'!$A$5:$A$428=Y21)*('Client DB &amp; Bed Mgmt'!$D$5:$D$428&lt;&gt;"")*--(('Client DB &amp; Bed Mgmt'!$M$5:$M$428="")+IFERROR('Client DB &amp; Bed Mgmt'!$M$5:$M$428&lt;=EOMONTH(X21,0),FALSE)&gt;0)*--(('Client DB &amp; Bed Mgmt'!$N$5:$N$428="")+NOT(ISNUMBER('Client DB &amp; Bed Mgmt'!$N$5:$N$428))+IFERROR('Client DB &amp; Bed Mgmt'!$N$5:$N$428&gt;=DATE(YEAR(X21),MONTH(X21),1),FALSE)&gt;0)*'Client DB &amp; Bed Mgmt'!$I$5:$I$428*((IF(('Client DB &amp; Bed Mgmt'!$N$5:$N$428="")+NOT(ISNUMBER('Client DB &amp; Bed Mgmt'!$N$5:$N$428)),EOMONTH(X21,0),IF('Client DB &amp; Bed Mgmt'!$N$5:$N$428&lt;EOMONTH(X21,0),'Client DB &amp; Bed Mgmt'!$N$5:$N$428,EOMONTH(X21,0))))-(IF(('Client DB &amp; Bed Mgmt'!$M$5:$M$428="")+NOT(ISNUMBER('Client DB &amp; Bed Mgmt'!$M$5:$M$428)),DATE(YEAR(X21),MONTH(X21),1),IF('Client DB &amp; Bed Mgmt'!$M$5:$M$428&gt;DATE(YEAR(X21),MONTH(X21),1),'Client DB &amp; Bed Mgmt'!$M$5:$M$428,DATE(YEAR(X21),MONTH(X21),1))))+1)/DAY(EOMONTH(X21,0))),0)</f>
        <v/>
      </c>
      <c r="AB21">
        <f>IFERROR(SUMPRODUCT(('Client DB &amp; Bed Mgmt'!$A$5:$A$428=Y21)*('Client DB &amp; Bed Mgmt'!$D$5:$D$428&lt;&gt;"")*--(('Client DB &amp; Bed Mgmt'!$M$5:$M$428="")+IFERROR('Client DB &amp; Bed Mgmt'!$M$5:$M$428&lt;=EOMONTH(X21,0),FALSE)&gt;0)*--(('Client DB &amp; Bed Mgmt'!$N$5:$N$428="")+NOT(ISNUMBER('Client DB &amp; Bed Mgmt'!$N$5:$N$428))+IFERROR('Client DB &amp; Bed Mgmt'!$N$5:$N$428&gt;=DATE(YEAR(X21),MONTH(X21),1),FALSE)&gt;0)*((IF(('Client DB &amp; Bed Mgmt'!$N$5:$N$428="")+NOT(ISNUMBER('Client DB &amp; Bed Mgmt'!$N$5:$N$428)),EOMONTH(X21,0),IF('Client DB &amp; Bed Mgmt'!$N$5:$N$428&lt;EOMONTH(X21,0),'Client DB &amp; Bed Mgmt'!$N$5:$N$428,EOMONTH(X21,0))))-(IF(('Client DB &amp; Bed Mgmt'!$M$5:$M$428="")+NOT(ISNUMBER('Client DB &amp; Bed Mgmt'!$M$5:$M$428)),DATE(YEAR(X21),MONTH(X21),1),IF('Client DB &amp; Bed Mgmt'!$M$5:$M$428&gt;DATE(YEAR(X21),MONTH(X21),1),'Client DB &amp; Bed Mgmt'!$M$5:$M$428,DATE(YEAR(X21),MONTH(X21),1))))+1)/DAY(EOMONTH(X21,0))),0)</f>
        <v/>
      </c>
    </row>
    <row r="22" hidden="1" ht="14.25" customHeight="1" s="83">
      <c r="A22" s="125">
        <f>IFERROR(INDEX($X$14:$X$49,AGGREGATE(15,6,(ROW($X$14:$X$49)-ROW($X$14)+1)/($Z$14:$Z$49&gt;0),ROWS($A$14:A22))),"")</f>
        <v/>
      </c>
      <c r="B22" s="103">
        <f>IFERROR(INDEX($Y$14:$Y$49,AGGREGATE(15,6,(ROW($X$14:$X$49)-ROW($X$14)+1)/($Z$14:$Z$49&gt;0),ROWS($A$14:A22))),"")</f>
        <v/>
      </c>
      <c r="C22" s="170">
        <f>IF($A22="","",IFERROR(_xlfn.XLOOKUP(B22,DormRegistry[Dorm Name],DormRegistry[Ownership Type]),""))</f>
        <v/>
      </c>
      <c r="D22" s="170">
        <f>IF($A22="","",IFERROR(_xlfn.XLOOKUP(B22,DormRegistry[Dorm Name],DormRegistry[Bed Capacity]),0))</f>
        <v/>
      </c>
      <c r="E22" s="130">
        <f>IF($A22="","",$B$6*(1+$B$8)^(YEAR(A22)-YEAR(StartDate)))</f>
        <v/>
      </c>
      <c r="F22" s="105">
        <f>IF($A22="","",$B$7)</f>
        <v/>
      </c>
      <c r="G22" s="105">
        <f>IF($A22="","",$B$8)</f>
        <v/>
      </c>
      <c r="H22" s="130">
        <f>IF($A22="","",D22*E22)</f>
        <v/>
      </c>
      <c r="I22" s="130">
        <f>IFERROR(INDEX($AA$14:$AA$49,AGGREGATE(15,6,(ROW($X$14:$X$49)-ROW($X$14)+1)/($Z$14:$Z$49&gt;0),ROWS($A$14:A22))),"")</f>
        <v/>
      </c>
      <c r="J22" s="130">
        <f>IF($A22="","",D22*F22*E22)</f>
        <v/>
      </c>
      <c r="K22" s="104">
        <f>IF($A22="","",75)</f>
        <v/>
      </c>
      <c r="L22" s="104">
        <f>IF($A22="","",50)</f>
        <v/>
      </c>
      <c r="M22" s="104">
        <f>IF($A22="","",150)</f>
        <v/>
      </c>
      <c r="N22" s="104">
        <f>IF($A22="","",125)</f>
        <v/>
      </c>
      <c r="O22" s="104">
        <f>IF($A22="","",60)</f>
        <v/>
      </c>
      <c r="P22" s="104">
        <f>IF($A22="","",80)</f>
        <v/>
      </c>
      <c r="Q22" s="104">
        <f>IF($A22="","",40)</f>
        <v/>
      </c>
      <c r="R22" s="130">
        <f>IF($A22="","",IF(C22="Owned",0,2500))</f>
        <v/>
      </c>
      <c r="S22" s="130">
        <f>IF($A22="","",SUM(K22:R22))</f>
        <v/>
      </c>
      <c r="T22" s="130">
        <f>IF($A22="","",I22-S22)</f>
        <v/>
      </c>
      <c r="U22" s="105">
        <f>IF($A22="","",IFERROR(T22/I22,0))</f>
        <v/>
      </c>
      <c r="V22" s="82">
        <f>IFERROR(INDEX($AB$14:$AB$49,AGGREGATE(15,6,(ROW($X$14:$X$49)-ROW($X$14)+1)/($Z$14:$Z$49&gt;0),ROWS($A$14:A22))),"")</f>
        <v/>
      </c>
      <c r="X22">
        <f>EDATE(StartDate,2)</f>
        <v/>
      </c>
      <c r="Y22" t="inlineStr">
        <is>
          <t>Dorm 3</t>
        </is>
      </c>
      <c r="Z22">
        <f>SUMPRODUCT(('Client DB &amp; Bed Mgmt'!$A$5:$A$428=Y22)*('Client DB &amp; Bed Mgmt'!$D$5:$D$428&lt;&gt;"")*--(('Client DB &amp; Bed Mgmt'!$M$5:$M$428="")+IFERROR('Client DB &amp; Bed Mgmt'!$M$5:$M$428&lt;=EOMONTH(X22,0),FALSE)&gt;0)*--(('Client DB &amp; Bed Mgmt'!$N$5:$N$428="")+NOT(ISNUMBER('Client DB &amp; Bed Mgmt'!$N$5:$N$428))+IFERROR('Client DB &amp; Bed Mgmt'!$N$5:$N$428&gt;=DATE(YEAR(X22),MONTH(X22),1),FALSE)&gt;0))</f>
        <v/>
      </c>
      <c r="AA22">
        <f>IFERROR(SUMPRODUCT(('Client DB &amp; Bed Mgmt'!$A$5:$A$428=Y22)*('Client DB &amp; Bed Mgmt'!$D$5:$D$428&lt;&gt;"")*--(('Client DB &amp; Bed Mgmt'!$M$5:$M$428="")+IFERROR('Client DB &amp; Bed Mgmt'!$M$5:$M$428&lt;=EOMONTH(X22,0),FALSE)&gt;0)*--(('Client DB &amp; Bed Mgmt'!$N$5:$N$428="")+NOT(ISNUMBER('Client DB &amp; Bed Mgmt'!$N$5:$N$428))+IFERROR('Client DB &amp; Bed Mgmt'!$N$5:$N$428&gt;=DATE(YEAR(X22),MONTH(X22),1),FALSE)&gt;0)*'Client DB &amp; Bed Mgmt'!$I$5:$I$428*((IF(('Client DB &amp; Bed Mgmt'!$N$5:$N$428="")+NOT(ISNUMBER('Client DB &amp; Bed Mgmt'!$N$5:$N$428)),EOMONTH(X22,0),IF('Client DB &amp; Bed Mgmt'!$N$5:$N$428&lt;EOMONTH(X22,0),'Client DB &amp; Bed Mgmt'!$N$5:$N$428,EOMONTH(X22,0))))-(IF(('Client DB &amp; Bed Mgmt'!$M$5:$M$428="")+NOT(ISNUMBER('Client DB &amp; Bed Mgmt'!$M$5:$M$428)),DATE(YEAR(X22),MONTH(X22),1),IF('Client DB &amp; Bed Mgmt'!$M$5:$M$428&gt;DATE(YEAR(X22),MONTH(X22),1),'Client DB &amp; Bed Mgmt'!$M$5:$M$428,DATE(YEAR(X22),MONTH(X22),1))))+1)/DAY(EOMONTH(X22,0))),0)</f>
        <v/>
      </c>
      <c r="AB22">
        <f>IFERROR(SUMPRODUCT(('Client DB &amp; Bed Mgmt'!$A$5:$A$428=Y22)*('Client DB &amp; Bed Mgmt'!$D$5:$D$428&lt;&gt;"")*--(('Client DB &amp; Bed Mgmt'!$M$5:$M$428="")+IFERROR('Client DB &amp; Bed Mgmt'!$M$5:$M$428&lt;=EOMONTH(X22,0),FALSE)&gt;0)*--(('Client DB &amp; Bed Mgmt'!$N$5:$N$428="")+NOT(ISNUMBER('Client DB &amp; Bed Mgmt'!$N$5:$N$428))+IFERROR('Client DB &amp; Bed Mgmt'!$N$5:$N$428&gt;=DATE(YEAR(X22),MONTH(X22),1),FALSE)&gt;0)*((IF(('Client DB &amp; Bed Mgmt'!$N$5:$N$428="")+NOT(ISNUMBER('Client DB &amp; Bed Mgmt'!$N$5:$N$428)),EOMONTH(X22,0),IF('Client DB &amp; Bed Mgmt'!$N$5:$N$428&lt;EOMONTH(X22,0),'Client DB &amp; Bed Mgmt'!$N$5:$N$428,EOMONTH(X22,0))))-(IF(('Client DB &amp; Bed Mgmt'!$M$5:$M$428="")+NOT(ISNUMBER('Client DB &amp; Bed Mgmt'!$M$5:$M$428)),DATE(YEAR(X22),MONTH(X22),1),IF('Client DB &amp; Bed Mgmt'!$M$5:$M$428&gt;DATE(YEAR(X22),MONTH(X22),1),'Client DB &amp; Bed Mgmt'!$M$5:$M$428,DATE(YEAR(X22),MONTH(X22),1))))+1)/DAY(EOMONTH(X22,0))),0)</f>
        <v/>
      </c>
    </row>
    <row r="23" ht="14.25" customHeight="1" s="83">
      <c r="A23" s="125">
        <f>IFERROR(INDEX($X$14:$X$49,AGGREGATE(15,6,(ROW($X$14:$X$49)-ROW($X$14)+1)/($Z$14:$Z$49&gt;0),ROWS($A$14:A23))),"")</f>
        <v/>
      </c>
      <c r="B23" s="103">
        <f>IFERROR(INDEX($Y$14:$Y$49,AGGREGATE(15,6,(ROW($X$14:$X$49)-ROW($X$14)+1)/($Z$14:$Z$49&gt;0),ROWS($A$14:A23))),"")</f>
        <v/>
      </c>
      <c r="C23" s="170">
        <f>IF($A23="","",IFERROR(_xlfn.XLOOKUP(B23,DormRegistry[Dorm Name],DormRegistry[Ownership Type]),""))</f>
        <v/>
      </c>
      <c r="D23" s="170">
        <f>IF($A23="","",IFERROR(_xlfn.XLOOKUP(B23,DormRegistry[Dorm Name],DormRegistry[Bed Capacity]),0))</f>
        <v/>
      </c>
      <c r="E23" s="130">
        <f>IF($A23="","",$B$6*(1+$B$8)^(YEAR(A23)-YEAR(StartDate)))</f>
        <v/>
      </c>
      <c r="F23" s="105">
        <f>IF($A23="","",$B$7)</f>
        <v/>
      </c>
      <c r="G23" s="105">
        <f>IF($A23="","",$B$8)</f>
        <v/>
      </c>
      <c r="H23" s="130">
        <f>IF($A23="","",D23*E23)</f>
        <v/>
      </c>
      <c r="I23" s="130">
        <f>IFERROR(INDEX($AA$14:$AA$49,AGGREGATE(15,6,(ROW($X$14:$X$49)-ROW($X$14)+1)/($Z$14:$Z$49&gt;0),ROWS($A$14:A23))),"")</f>
        <v/>
      </c>
      <c r="J23" s="130">
        <f>IF($A23="","",D23*F23*E23)</f>
        <v/>
      </c>
      <c r="K23" s="104">
        <f>IF($A23="","",75)</f>
        <v/>
      </c>
      <c r="L23" s="104">
        <f>IF($A23="","",50)</f>
        <v/>
      </c>
      <c r="M23" s="104">
        <f>IF($A23="","",150)</f>
        <v/>
      </c>
      <c r="N23" s="104">
        <f>IF($A23="","",125)</f>
        <v/>
      </c>
      <c r="O23" s="104">
        <f>IF($A23="","",60)</f>
        <v/>
      </c>
      <c r="P23" s="104">
        <f>IF($A23="","",80)</f>
        <v/>
      </c>
      <c r="Q23" s="104">
        <f>IF($A23="","",40)</f>
        <v/>
      </c>
      <c r="R23" s="130">
        <f>IF($A23="","",IF(C23="Owned",0,2500))</f>
        <v/>
      </c>
      <c r="S23" s="130">
        <f>IF($A23="","",SUM(K23:R23))</f>
        <v/>
      </c>
      <c r="T23" s="130">
        <f>IF($A23="","",I23-S23)</f>
        <v/>
      </c>
      <c r="U23" s="105">
        <f>IF($A23="","",IFERROR(T23/I23,0))</f>
        <v/>
      </c>
      <c r="V23" s="82">
        <f>IFERROR(INDEX($AB$14:$AB$49,AGGREGATE(15,6,(ROW($X$14:$X$49)-ROW($X$14)+1)/($Z$14:$Z$49&gt;0),ROWS($A$14:A23))),"")</f>
        <v/>
      </c>
      <c r="X23">
        <f>EDATE(StartDate,3)</f>
        <v/>
      </c>
      <c r="Y23" t="inlineStr">
        <is>
          <t>Dorm 1</t>
        </is>
      </c>
      <c r="Z23">
        <f>SUMPRODUCT(('Client DB &amp; Bed Mgmt'!$A$5:$A$428=Y23)*('Client DB &amp; Bed Mgmt'!$D$5:$D$428&lt;&gt;"")*--(('Client DB &amp; Bed Mgmt'!$M$5:$M$428="")+IFERROR('Client DB &amp; Bed Mgmt'!$M$5:$M$428&lt;=EOMONTH(X23,0),FALSE)&gt;0)*--(('Client DB &amp; Bed Mgmt'!$N$5:$N$428="")+NOT(ISNUMBER('Client DB &amp; Bed Mgmt'!$N$5:$N$428))+IFERROR('Client DB &amp; Bed Mgmt'!$N$5:$N$428&gt;=DATE(YEAR(X23),MONTH(X23),1),FALSE)&gt;0))</f>
        <v/>
      </c>
      <c r="AA23">
        <f>IFERROR(SUMPRODUCT(('Client DB &amp; Bed Mgmt'!$A$5:$A$428=Y23)*('Client DB &amp; Bed Mgmt'!$D$5:$D$428&lt;&gt;"")*--(('Client DB &amp; Bed Mgmt'!$M$5:$M$428="")+IFERROR('Client DB &amp; Bed Mgmt'!$M$5:$M$428&lt;=EOMONTH(X23,0),FALSE)&gt;0)*--(('Client DB &amp; Bed Mgmt'!$N$5:$N$428="")+NOT(ISNUMBER('Client DB &amp; Bed Mgmt'!$N$5:$N$428))+IFERROR('Client DB &amp; Bed Mgmt'!$N$5:$N$428&gt;=DATE(YEAR(X23),MONTH(X23),1),FALSE)&gt;0)*'Client DB &amp; Bed Mgmt'!$I$5:$I$428*((IF(('Client DB &amp; Bed Mgmt'!$N$5:$N$428="")+NOT(ISNUMBER('Client DB &amp; Bed Mgmt'!$N$5:$N$428)),EOMONTH(X23,0),IF('Client DB &amp; Bed Mgmt'!$N$5:$N$428&lt;EOMONTH(X23,0),'Client DB &amp; Bed Mgmt'!$N$5:$N$428,EOMONTH(X23,0))))-(IF(('Client DB &amp; Bed Mgmt'!$M$5:$M$428="")+NOT(ISNUMBER('Client DB &amp; Bed Mgmt'!$M$5:$M$428)),DATE(YEAR(X23),MONTH(X23),1),IF('Client DB &amp; Bed Mgmt'!$M$5:$M$428&gt;DATE(YEAR(X23),MONTH(X23),1),'Client DB &amp; Bed Mgmt'!$M$5:$M$428,DATE(YEAR(X23),MONTH(X23),1))))+1)/DAY(EOMONTH(X23,0))),0)</f>
        <v/>
      </c>
      <c r="AB23">
        <f>IFERROR(SUMPRODUCT(('Client DB &amp; Bed Mgmt'!$A$5:$A$428=Y23)*('Client DB &amp; Bed Mgmt'!$D$5:$D$428&lt;&gt;"")*--(('Client DB &amp; Bed Mgmt'!$M$5:$M$428="")+IFERROR('Client DB &amp; Bed Mgmt'!$M$5:$M$428&lt;=EOMONTH(X23,0),FALSE)&gt;0)*--(('Client DB &amp; Bed Mgmt'!$N$5:$N$428="")+NOT(ISNUMBER('Client DB &amp; Bed Mgmt'!$N$5:$N$428))+IFERROR('Client DB &amp; Bed Mgmt'!$N$5:$N$428&gt;=DATE(YEAR(X23),MONTH(X23),1),FALSE)&gt;0)*((IF(('Client DB &amp; Bed Mgmt'!$N$5:$N$428="")+NOT(ISNUMBER('Client DB &amp; Bed Mgmt'!$N$5:$N$428)),EOMONTH(X23,0),IF('Client DB &amp; Bed Mgmt'!$N$5:$N$428&lt;EOMONTH(X23,0),'Client DB &amp; Bed Mgmt'!$N$5:$N$428,EOMONTH(X23,0))))-(IF(('Client DB &amp; Bed Mgmt'!$M$5:$M$428="")+NOT(ISNUMBER('Client DB &amp; Bed Mgmt'!$M$5:$M$428)),DATE(YEAR(X23),MONTH(X23),1),IF('Client DB &amp; Bed Mgmt'!$M$5:$M$428&gt;DATE(YEAR(X23),MONTH(X23),1),'Client DB &amp; Bed Mgmt'!$M$5:$M$428,DATE(YEAR(X23),MONTH(X23),1))))+1)/DAY(EOMONTH(X23,0))),0)</f>
        <v/>
      </c>
    </row>
    <row r="24" hidden="1" ht="14.25" customHeight="1" s="83">
      <c r="A24" s="125">
        <f>IFERROR(INDEX($X$14:$X$49,AGGREGATE(15,6,(ROW($X$14:$X$49)-ROW($X$14)+1)/($Z$14:$Z$49&gt;0),ROWS($A$14:A24))),"")</f>
        <v/>
      </c>
      <c r="B24" s="103">
        <f>IFERROR(INDEX($Y$14:$Y$49,AGGREGATE(15,6,(ROW($X$14:$X$49)-ROW($X$14)+1)/($Z$14:$Z$49&gt;0),ROWS($A$14:A24))),"")</f>
        <v/>
      </c>
      <c r="C24" s="170">
        <f>IF($A24="","",IFERROR(_xlfn.XLOOKUP(B24,DormRegistry[Dorm Name],DormRegistry[Ownership Type]),""))</f>
        <v/>
      </c>
      <c r="D24" s="170">
        <f>IF($A24="","",IFERROR(_xlfn.XLOOKUP(B24,DormRegistry[Dorm Name],DormRegistry[Bed Capacity]),0))</f>
        <v/>
      </c>
      <c r="E24" s="130">
        <f>IF($A24="","",$B$6*(1+$B$8)^(YEAR(A24)-YEAR(StartDate)))</f>
        <v/>
      </c>
      <c r="F24" s="105">
        <f>IF($A24="","",$B$7)</f>
        <v/>
      </c>
      <c r="G24" s="105">
        <f>IF($A24="","",$B$8)</f>
        <v/>
      </c>
      <c r="H24" s="130">
        <f>IF($A24="","",D24*E24)</f>
        <v/>
      </c>
      <c r="I24" s="130">
        <f>IFERROR(INDEX($AA$14:$AA$49,AGGREGATE(15,6,(ROW($X$14:$X$49)-ROW($X$14)+1)/($Z$14:$Z$49&gt;0),ROWS($A$14:A24))),"")</f>
        <v/>
      </c>
      <c r="J24" s="130">
        <f>IF($A24="","",D24*F24*E24)</f>
        <v/>
      </c>
      <c r="K24" s="104">
        <f>IF($A24="","",75)</f>
        <v/>
      </c>
      <c r="L24" s="104">
        <f>IF($A24="","",50)</f>
        <v/>
      </c>
      <c r="M24" s="104">
        <f>IF($A24="","",150)</f>
        <v/>
      </c>
      <c r="N24" s="104">
        <f>IF($A24="","",125)</f>
        <v/>
      </c>
      <c r="O24" s="104">
        <f>IF($A24="","",60)</f>
        <v/>
      </c>
      <c r="P24" s="104">
        <f>IF($A24="","",80)</f>
        <v/>
      </c>
      <c r="Q24" s="104">
        <f>IF($A24="","",40)</f>
        <v/>
      </c>
      <c r="R24" s="130">
        <f>IF($A24="","",IF(C24="Owned",0,2500))</f>
        <v/>
      </c>
      <c r="S24" s="130">
        <f>IF($A24="","",SUM(K24:R24))</f>
        <v/>
      </c>
      <c r="T24" s="130">
        <f>IF($A24="","",I24-S24)</f>
        <v/>
      </c>
      <c r="U24" s="105">
        <f>IF($A24="","",IFERROR(T24/I24,0))</f>
        <v/>
      </c>
      <c r="V24" s="82">
        <f>IFERROR(INDEX($AB$14:$AB$49,AGGREGATE(15,6,(ROW($X$14:$X$49)-ROW($X$14)+1)/($Z$14:$Z$49&gt;0),ROWS($A$14:A24))),"")</f>
        <v/>
      </c>
      <c r="X24">
        <f>EDATE(StartDate,3)</f>
        <v/>
      </c>
      <c r="Y24" t="inlineStr">
        <is>
          <t>Dorm 2</t>
        </is>
      </c>
      <c r="Z24">
        <f>SUMPRODUCT(('Client DB &amp; Bed Mgmt'!$A$5:$A$428=Y24)*('Client DB &amp; Bed Mgmt'!$D$5:$D$428&lt;&gt;"")*--(('Client DB &amp; Bed Mgmt'!$M$5:$M$428="")+IFERROR('Client DB &amp; Bed Mgmt'!$M$5:$M$428&lt;=EOMONTH(X24,0),FALSE)&gt;0)*--(('Client DB &amp; Bed Mgmt'!$N$5:$N$428="")+NOT(ISNUMBER('Client DB &amp; Bed Mgmt'!$N$5:$N$428))+IFERROR('Client DB &amp; Bed Mgmt'!$N$5:$N$428&gt;=DATE(YEAR(X24),MONTH(X24),1),FALSE)&gt;0))</f>
        <v/>
      </c>
      <c r="AA24">
        <f>IFERROR(SUMPRODUCT(('Client DB &amp; Bed Mgmt'!$A$5:$A$428=Y24)*('Client DB &amp; Bed Mgmt'!$D$5:$D$428&lt;&gt;"")*--(('Client DB &amp; Bed Mgmt'!$M$5:$M$428="")+IFERROR('Client DB &amp; Bed Mgmt'!$M$5:$M$428&lt;=EOMONTH(X24,0),FALSE)&gt;0)*--(('Client DB &amp; Bed Mgmt'!$N$5:$N$428="")+NOT(ISNUMBER('Client DB &amp; Bed Mgmt'!$N$5:$N$428))+IFERROR('Client DB &amp; Bed Mgmt'!$N$5:$N$428&gt;=DATE(YEAR(X24),MONTH(X24),1),FALSE)&gt;0)*'Client DB &amp; Bed Mgmt'!$I$5:$I$428*((IF(('Client DB &amp; Bed Mgmt'!$N$5:$N$428="")+NOT(ISNUMBER('Client DB &amp; Bed Mgmt'!$N$5:$N$428)),EOMONTH(X24,0),IF('Client DB &amp; Bed Mgmt'!$N$5:$N$428&lt;EOMONTH(X24,0),'Client DB &amp; Bed Mgmt'!$N$5:$N$428,EOMONTH(X24,0))))-(IF(('Client DB &amp; Bed Mgmt'!$M$5:$M$428="")+NOT(ISNUMBER('Client DB &amp; Bed Mgmt'!$M$5:$M$428)),DATE(YEAR(X24),MONTH(X24),1),IF('Client DB &amp; Bed Mgmt'!$M$5:$M$428&gt;DATE(YEAR(X24),MONTH(X24),1),'Client DB &amp; Bed Mgmt'!$M$5:$M$428,DATE(YEAR(X24),MONTH(X24),1))))+1)/DAY(EOMONTH(X24,0))),0)</f>
        <v/>
      </c>
      <c r="AB24">
        <f>IFERROR(SUMPRODUCT(('Client DB &amp; Bed Mgmt'!$A$5:$A$428=Y24)*('Client DB &amp; Bed Mgmt'!$D$5:$D$428&lt;&gt;"")*--(('Client DB &amp; Bed Mgmt'!$M$5:$M$428="")+IFERROR('Client DB &amp; Bed Mgmt'!$M$5:$M$428&lt;=EOMONTH(X24,0),FALSE)&gt;0)*--(('Client DB &amp; Bed Mgmt'!$N$5:$N$428="")+NOT(ISNUMBER('Client DB &amp; Bed Mgmt'!$N$5:$N$428))+IFERROR('Client DB &amp; Bed Mgmt'!$N$5:$N$428&gt;=DATE(YEAR(X24),MONTH(X24),1),FALSE)&gt;0)*((IF(('Client DB &amp; Bed Mgmt'!$N$5:$N$428="")+NOT(ISNUMBER('Client DB &amp; Bed Mgmt'!$N$5:$N$428)),EOMONTH(X24,0),IF('Client DB &amp; Bed Mgmt'!$N$5:$N$428&lt;EOMONTH(X24,0),'Client DB &amp; Bed Mgmt'!$N$5:$N$428,EOMONTH(X24,0))))-(IF(('Client DB &amp; Bed Mgmt'!$M$5:$M$428="")+NOT(ISNUMBER('Client DB &amp; Bed Mgmt'!$M$5:$M$428)),DATE(YEAR(X24),MONTH(X24),1),IF('Client DB &amp; Bed Mgmt'!$M$5:$M$428&gt;DATE(YEAR(X24),MONTH(X24),1),'Client DB &amp; Bed Mgmt'!$M$5:$M$428,DATE(YEAR(X24),MONTH(X24),1))))+1)/DAY(EOMONTH(X24,0))),0)</f>
        <v/>
      </c>
    </row>
    <row r="25" hidden="1" ht="14.25" customHeight="1" s="83">
      <c r="A25" s="125">
        <f>IFERROR(INDEX($X$14:$X$49,AGGREGATE(15,6,(ROW($X$14:$X$49)-ROW($X$14)+1)/($Z$14:$Z$49&gt;0),ROWS($A$14:A25))),"")</f>
        <v/>
      </c>
      <c r="B25" s="103">
        <f>IFERROR(INDEX($Y$14:$Y$49,AGGREGATE(15,6,(ROW($X$14:$X$49)-ROW($X$14)+1)/($Z$14:$Z$49&gt;0),ROWS($A$14:A25))),"")</f>
        <v/>
      </c>
      <c r="C25" s="170">
        <f>IF($A25="","",IFERROR(_xlfn.XLOOKUP(B25,DormRegistry[Dorm Name],DormRegistry[Ownership Type]),""))</f>
        <v/>
      </c>
      <c r="D25" s="170">
        <f>IF($A25="","",IFERROR(_xlfn.XLOOKUP(B25,DormRegistry[Dorm Name],DormRegistry[Bed Capacity]),0))</f>
        <v/>
      </c>
      <c r="E25" s="130">
        <f>IF($A25="","",$B$6*(1+$B$8)^(YEAR(A25)-YEAR(StartDate)))</f>
        <v/>
      </c>
      <c r="F25" s="105">
        <f>IF($A25="","",$B$7)</f>
        <v/>
      </c>
      <c r="G25" s="105">
        <f>IF($A25="","",$B$8)</f>
        <v/>
      </c>
      <c r="H25" s="130">
        <f>IF($A25="","",D25*E25)</f>
        <v/>
      </c>
      <c r="I25" s="130">
        <f>IFERROR(INDEX($AA$14:$AA$49,AGGREGATE(15,6,(ROW($X$14:$X$49)-ROW($X$14)+1)/($Z$14:$Z$49&gt;0),ROWS($A$14:A25))),"")</f>
        <v/>
      </c>
      <c r="J25" s="130">
        <f>IF($A25="","",D25*F25*E25)</f>
        <v/>
      </c>
      <c r="K25" s="104">
        <f>IF($A25="","",75)</f>
        <v/>
      </c>
      <c r="L25" s="104">
        <f>IF($A25="","",50)</f>
        <v/>
      </c>
      <c r="M25" s="104">
        <f>IF($A25="","",150)</f>
        <v/>
      </c>
      <c r="N25" s="104">
        <f>IF($A25="","",125)</f>
        <v/>
      </c>
      <c r="O25" s="104">
        <f>IF($A25="","",60)</f>
        <v/>
      </c>
      <c r="P25" s="104">
        <f>IF($A25="","",80)</f>
        <v/>
      </c>
      <c r="Q25" s="104">
        <f>IF($A25="","",40)</f>
        <v/>
      </c>
      <c r="R25" s="130">
        <f>IF($A25="","",IF(C25="Owned",0,2500))</f>
        <v/>
      </c>
      <c r="S25" s="130">
        <f>IF($A25="","",SUM(K25:R25))</f>
        <v/>
      </c>
      <c r="T25" s="130">
        <f>IF($A25="","",I25-S25)</f>
        <v/>
      </c>
      <c r="U25" s="105">
        <f>IF($A25="","",IFERROR(T25/I25,0))</f>
        <v/>
      </c>
      <c r="V25" s="82">
        <f>IFERROR(INDEX($AB$14:$AB$49,AGGREGATE(15,6,(ROW($X$14:$X$49)-ROW($X$14)+1)/($Z$14:$Z$49&gt;0),ROWS($A$14:A25))),"")</f>
        <v/>
      </c>
      <c r="X25">
        <f>EDATE(StartDate,3)</f>
        <v/>
      </c>
      <c r="Y25" t="inlineStr">
        <is>
          <t>Dorm 3</t>
        </is>
      </c>
      <c r="Z25">
        <f>SUMPRODUCT(('Client DB &amp; Bed Mgmt'!$A$5:$A$428=Y25)*('Client DB &amp; Bed Mgmt'!$D$5:$D$428&lt;&gt;"")*--(('Client DB &amp; Bed Mgmt'!$M$5:$M$428="")+IFERROR('Client DB &amp; Bed Mgmt'!$M$5:$M$428&lt;=EOMONTH(X25,0),FALSE)&gt;0)*--(('Client DB &amp; Bed Mgmt'!$N$5:$N$428="")+NOT(ISNUMBER('Client DB &amp; Bed Mgmt'!$N$5:$N$428))+IFERROR('Client DB &amp; Bed Mgmt'!$N$5:$N$428&gt;=DATE(YEAR(X25),MONTH(X25),1),FALSE)&gt;0))</f>
        <v/>
      </c>
      <c r="AA25">
        <f>IFERROR(SUMPRODUCT(('Client DB &amp; Bed Mgmt'!$A$5:$A$428=Y25)*('Client DB &amp; Bed Mgmt'!$D$5:$D$428&lt;&gt;"")*--(('Client DB &amp; Bed Mgmt'!$M$5:$M$428="")+IFERROR('Client DB &amp; Bed Mgmt'!$M$5:$M$428&lt;=EOMONTH(X25,0),FALSE)&gt;0)*--(('Client DB &amp; Bed Mgmt'!$N$5:$N$428="")+NOT(ISNUMBER('Client DB &amp; Bed Mgmt'!$N$5:$N$428))+IFERROR('Client DB &amp; Bed Mgmt'!$N$5:$N$428&gt;=DATE(YEAR(X25),MONTH(X25),1),FALSE)&gt;0)*'Client DB &amp; Bed Mgmt'!$I$5:$I$428*((IF(('Client DB &amp; Bed Mgmt'!$N$5:$N$428="")+NOT(ISNUMBER('Client DB &amp; Bed Mgmt'!$N$5:$N$428)),EOMONTH(X25,0),IF('Client DB &amp; Bed Mgmt'!$N$5:$N$428&lt;EOMONTH(X25,0),'Client DB &amp; Bed Mgmt'!$N$5:$N$428,EOMONTH(X25,0))))-(IF(('Client DB &amp; Bed Mgmt'!$M$5:$M$428="")+NOT(ISNUMBER('Client DB &amp; Bed Mgmt'!$M$5:$M$428)),DATE(YEAR(X25),MONTH(X25),1),IF('Client DB &amp; Bed Mgmt'!$M$5:$M$428&gt;DATE(YEAR(X25),MONTH(X25),1),'Client DB &amp; Bed Mgmt'!$M$5:$M$428,DATE(YEAR(X25),MONTH(X25),1))))+1)/DAY(EOMONTH(X25,0))),0)</f>
        <v/>
      </c>
      <c r="AB25">
        <f>IFERROR(SUMPRODUCT(('Client DB &amp; Bed Mgmt'!$A$5:$A$428=Y25)*('Client DB &amp; Bed Mgmt'!$D$5:$D$428&lt;&gt;"")*--(('Client DB &amp; Bed Mgmt'!$M$5:$M$428="")+IFERROR('Client DB &amp; Bed Mgmt'!$M$5:$M$428&lt;=EOMONTH(X25,0),FALSE)&gt;0)*--(('Client DB &amp; Bed Mgmt'!$N$5:$N$428="")+NOT(ISNUMBER('Client DB &amp; Bed Mgmt'!$N$5:$N$428))+IFERROR('Client DB &amp; Bed Mgmt'!$N$5:$N$428&gt;=DATE(YEAR(X25),MONTH(X25),1),FALSE)&gt;0)*((IF(('Client DB &amp; Bed Mgmt'!$N$5:$N$428="")+NOT(ISNUMBER('Client DB &amp; Bed Mgmt'!$N$5:$N$428)),EOMONTH(X25,0),IF('Client DB &amp; Bed Mgmt'!$N$5:$N$428&lt;EOMONTH(X25,0),'Client DB &amp; Bed Mgmt'!$N$5:$N$428,EOMONTH(X25,0))))-(IF(('Client DB &amp; Bed Mgmt'!$M$5:$M$428="")+NOT(ISNUMBER('Client DB &amp; Bed Mgmt'!$M$5:$M$428)),DATE(YEAR(X25),MONTH(X25),1),IF('Client DB &amp; Bed Mgmt'!$M$5:$M$428&gt;DATE(YEAR(X25),MONTH(X25),1),'Client DB &amp; Bed Mgmt'!$M$5:$M$428,DATE(YEAR(X25),MONTH(X25),1))))+1)/DAY(EOMONTH(X25,0))),0)</f>
        <v/>
      </c>
    </row>
    <row r="26" ht="14.25" customHeight="1" s="83">
      <c r="A26" s="125">
        <f>IFERROR(INDEX($X$14:$X$49,AGGREGATE(15,6,(ROW($X$14:$X$49)-ROW($X$14)+1)/($Z$14:$Z$49&gt;0),ROWS($A$14:A26))),"")</f>
        <v/>
      </c>
      <c r="B26" s="103">
        <f>IFERROR(INDEX($Y$14:$Y$49,AGGREGATE(15,6,(ROW($X$14:$X$49)-ROW($X$14)+1)/($Z$14:$Z$49&gt;0),ROWS($A$14:A26))),"")</f>
        <v/>
      </c>
      <c r="C26" s="170">
        <f>IF($A26="","",IFERROR(_xlfn.XLOOKUP(B26,DormRegistry[Dorm Name],DormRegistry[Ownership Type]),""))</f>
        <v/>
      </c>
      <c r="D26" s="170">
        <f>IF($A26="","",IFERROR(_xlfn.XLOOKUP(B26,DormRegistry[Dorm Name],DormRegistry[Bed Capacity]),0))</f>
        <v/>
      </c>
      <c r="E26" s="130">
        <f>IF($A26="","",$B$6*(1+$B$8)^(YEAR(A26)-YEAR(StartDate)))</f>
        <v/>
      </c>
      <c r="F26" s="105">
        <f>IF($A26="","",$B$7)</f>
        <v/>
      </c>
      <c r="G26" s="105">
        <f>IF($A26="","",$B$8)</f>
        <v/>
      </c>
      <c r="H26" s="130">
        <f>IF($A26="","",D26*E26)</f>
        <v/>
      </c>
      <c r="I26" s="130">
        <f>IFERROR(INDEX($AA$14:$AA$49,AGGREGATE(15,6,(ROW($X$14:$X$49)-ROW($X$14)+1)/($Z$14:$Z$49&gt;0),ROWS($A$14:A26))),"")</f>
        <v/>
      </c>
      <c r="J26" s="130">
        <f>IF($A26="","",D26*F26*E26)</f>
        <v/>
      </c>
      <c r="K26" s="104">
        <f>IF($A26="","",75)</f>
        <v/>
      </c>
      <c r="L26" s="104">
        <f>IF($A26="","",50)</f>
        <v/>
      </c>
      <c r="M26" s="104">
        <f>IF($A26="","",150)</f>
        <v/>
      </c>
      <c r="N26" s="104">
        <f>IF($A26="","",125)</f>
        <v/>
      </c>
      <c r="O26" s="104">
        <f>IF($A26="","",60)</f>
        <v/>
      </c>
      <c r="P26" s="104">
        <f>IF($A26="","",80)</f>
        <v/>
      </c>
      <c r="Q26" s="104">
        <f>IF($A26="","",40)</f>
        <v/>
      </c>
      <c r="R26" s="130">
        <f>IF($A26="","",IF(C26="Owned",0,2500))</f>
        <v/>
      </c>
      <c r="S26" s="130">
        <f>IF($A26="","",SUM(K26:R26))</f>
        <v/>
      </c>
      <c r="T26" s="130">
        <f>IF($A26="","",I26-S26)</f>
        <v/>
      </c>
      <c r="U26" s="105">
        <f>IF($A26="","",IFERROR(T26/I26,0))</f>
        <v/>
      </c>
      <c r="V26" s="82">
        <f>IFERROR(INDEX($AB$14:$AB$49,AGGREGATE(15,6,(ROW($X$14:$X$49)-ROW($X$14)+1)/($Z$14:$Z$49&gt;0),ROWS($A$14:A26))),"")</f>
        <v/>
      </c>
      <c r="X26">
        <f>EDATE(StartDate,4)</f>
        <v/>
      </c>
      <c r="Y26" t="inlineStr">
        <is>
          <t>Dorm 1</t>
        </is>
      </c>
      <c r="Z26">
        <f>SUMPRODUCT(('Client DB &amp; Bed Mgmt'!$A$5:$A$428=Y26)*('Client DB &amp; Bed Mgmt'!$D$5:$D$428&lt;&gt;"")*--(('Client DB &amp; Bed Mgmt'!$M$5:$M$428="")+IFERROR('Client DB &amp; Bed Mgmt'!$M$5:$M$428&lt;=EOMONTH(X26,0),FALSE)&gt;0)*--(('Client DB &amp; Bed Mgmt'!$N$5:$N$428="")+NOT(ISNUMBER('Client DB &amp; Bed Mgmt'!$N$5:$N$428))+IFERROR('Client DB &amp; Bed Mgmt'!$N$5:$N$428&gt;=DATE(YEAR(X26),MONTH(X26),1),FALSE)&gt;0))</f>
        <v/>
      </c>
      <c r="AA26">
        <f>IFERROR(SUMPRODUCT(('Client DB &amp; Bed Mgmt'!$A$5:$A$428=Y26)*('Client DB &amp; Bed Mgmt'!$D$5:$D$428&lt;&gt;"")*--(('Client DB &amp; Bed Mgmt'!$M$5:$M$428="")+IFERROR('Client DB &amp; Bed Mgmt'!$M$5:$M$428&lt;=EOMONTH(X26,0),FALSE)&gt;0)*--(('Client DB &amp; Bed Mgmt'!$N$5:$N$428="")+NOT(ISNUMBER('Client DB &amp; Bed Mgmt'!$N$5:$N$428))+IFERROR('Client DB &amp; Bed Mgmt'!$N$5:$N$428&gt;=DATE(YEAR(X26),MONTH(X26),1),FALSE)&gt;0)*'Client DB &amp; Bed Mgmt'!$I$5:$I$428*((IF(('Client DB &amp; Bed Mgmt'!$N$5:$N$428="")+NOT(ISNUMBER('Client DB &amp; Bed Mgmt'!$N$5:$N$428)),EOMONTH(X26,0),IF('Client DB &amp; Bed Mgmt'!$N$5:$N$428&lt;EOMONTH(X26,0),'Client DB &amp; Bed Mgmt'!$N$5:$N$428,EOMONTH(X26,0))))-(IF(('Client DB &amp; Bed Mgmt'!$M$5:$M$428="")+NOT(ISNUMBER('Client DB &amp; Bed Mgmt'!$M$5:$M$428)),DATE(YEAR(X26),MONTH(X26),1),IF('Client DB &amp; Bed Mgmt'!$M$5:$M$428&gt;DATE(YEAR(X26),MONTH(X26),1),'Client DB &amp; Bed Mgmt'!$M$5:$M$428,DATE(YEAR(X26),MONTH(X26),1))))+1)/DAY(EOMONTH(X26,0))),0)</f>
        <v/>
      </c>
      <c r="AB26">
        <f>IFERROR(SUMPRODUCT(('Client DB &amp; Bed Mgmt'!$A$5:$A$428=Y26)*('Client DB &amp; Bed Mgmt'!$D$5:$D$428&lt;&gt;"")*--(('Client DB &amp; Bed Mgmt'!$M$5:$M$428="")+IFERROR('Client DB &amp; Bed Mgmt'!$M$5:$M$428&lt;=EOMONTH(X26,0),FALSE)&gt;0)*--(('Client DB &amp; Bed Mgmt'!$N$5:$N$428="")+NOT(ISNUMBER('Client DB &amp; Bed Mgmt'!$N$5:$N$428))+IFERROR('Client DB &amp; Bed Mgmt'!$N$5:$N$428&gt;=DATE(YEAR(X26),MONTH(X26),1),FALSE)&gt;0)*((IF(('Client DB &amp; Bed Mgmt'!$N$5:$N$428="")+NOT(ISNUMBER('Client DB &amp; Bed Mgmt'!$N$5:$N$428)),EOMONTH(X26,0),IF('Client DB &amp; Bed Mgmt'!$N$5:$N$428&lt;EOMONTH(X26,0),'Client DB &amp; Bed Mgmt'!$N$5:$N$428,EOMONTH(X26,0))))-(IF(('Client DB &amp; Bed Mgmt'!$M$5:$M$428="")+NOT(ISNUMBER('Client DB &amp; Bed Mgmt'!$M$5:$M$428)),DATE(YEAR(X26),MONTH(X26),1),IF('Client DB &amp; Bed Mgmt'!$M$5:$M$428&gt;DATE(YEAR(X26),MONTH(X26),1),'Client DB &amp; Bed Mgmt'!$M$5:$M$428,DATE(YEAR(X26),MONTH(X26),1))))+1)/DAY(EOMONTH(X26,0))),0)</f>
        <v/>
      </c>
    </row>
    <row r="27" hidden="1" ht="14.25" customHeight="1" s="83">
      <c r="A27" s="125">
        <f>IFERROR(INDEX($X$14:$X$49,AGGREGATE(15,6,(ROW($X$14:$X$49)-ROW($X$14)+1)/($Z$14:$Z$49&gt;0),ROWS($A$14:A27))),"")</f>
        <v/>
      </c>
      <c r="B27" s="103">
        <f>IFERROR(INDEX($Y$14:$Y$49,AGGREGATE(15,6,(ROW($X$14:$X$49)-ROW($X$14)+1)/($Z$14:$Z$49&gt;0),ROWS($A$14:A27))),"")</f>
        <v/>
      </c>
      <c r="C27" s="170">
        <f>IF($A27="","",IFERROR(_xlfn.XLOOKUP(B27,DormRegistry[Dorm Name],DormRegistry[Ownership Type]),""))</f>
        <v/>
      </c>
      <c r="D27" s="170">
        <f>IF($A27="","",IFERROR(_xlfn.XLOOKUP(B27,DormRegistry[Dorm Name],DormRegistry[Bed Capacity]),0))</f>
        <v/>
      </c>
      <c r="E27" s="130">
        <f>IF($A27="","",$B$6*(1+$B$8)^(YEAR(A27)-YEAR(StartDate)))</f>
        <v/>
      </c>
      <c r="F27" s="105">
        <f>IF($A27="","",$B$7)</f>
        <v/>
      </c>
      <c r="G27" s="105">
        <f>IF($A27="","",$B$8)</f>
        <v/>
      </c>
      <c r="H27" s="130">
        <f>IF($A27="","",D27*E27)</f>
        <v/>
      </c>
      <c r="I27" s="130">
        <f>IFERROR(INDEX($AA$14:$AA$49,AGGREGATE(15,6,(ROW($X$14:$X$49)-ROW($X$14)+1)/($Z$14:$Z$49&gt;0),ROWS($A$14:A27))),"")</f>
        <v/>
      </c>
      <c r="J27" s="130">
        <f>IF($A27="","",D27*F27*E27)</f>
        <v/>
      </c>
      <c r="K27" s="104">
        <f>IF($A27="","",75)</f>
        <v/>
      </c>
      <c r="L27" s="104">
        <f>IF($A27="","",50)</f>
        <v/>
      </c>
      <c r="M27" s="104">
        <f>IF($A27="","",150)</f>
        <v/>
      </c>
      <c r="N27" s="104">
        <f>IF($A27="","",125)</f>
        <v/>
      </c>
      <c r="O27" s="104">
        <f>IF($A27="","",60)</f>
        <v/>
      </c>
      <c r="P27" s="104">
        <f>IF($A27="","",80)</f>
        <v/>
      </c>
      <c r="Q27" s="104">
        <f>IF($A27="","",40)</f>
        <v/>
      </c>
      <c r="R27" s="130">
        <f>IF($A27="","",IF(C27="Owned",0,2500))</f>
        <v/>
      </c>
      <c r="S27" s="130">
        <f>IF($A27="","",SUM(K27:R27))</f>
        <v/>
      </c>
      <c r="T27" s="130">
        <f>IF($A27="","",I27-S27)</f>
        <v/>
      </c>
      <c r="U27" s="105">
        <f>IF($A27="","",IFERROR(T27/I27,0))</f>
        <v/>
      </c>
      <c r="V27" s="82">
        <f>IFERROR(INDEX($AB$14:$AB$49,AGGREGATE(15,6,(ROW($X$14:$X$49)-ROW($X$14)+1)/($Z$14:$Z$49&gt;0),ROWS($A$14:A27))),"")</f>
        <v/>
      </c>
      <c r="X27">
        <f>EDATE(StartDate,4)</f>
        <v/>
      </c>
      <c r="Y27" t="inlineStr">
        <is>
          <t>Dorm 2</t>
        </is>
      </c>
      <c r="Z27">
        <f>SUMPRODUCT(('Client DB &amp; Bed Mgmt'!$A$5:$A$428=Y27)*('Client DB &amp; Bed Mgmt'!$D$5:$D$428&lt;&gt;"")*--(('Client DB &amp; Bed Mgmt'!$M$5:$M$428="")+IFERROR('Client DB &amp; Bed Mgmt'!$M$5:$M$428&lt;=EOMONTH(X27,0),FALSE)&gt;0)*--(('Client DB &amp; Bed Mgmt'!$N$5:$N$428="")+NOT(ISNUMBER('Client DB &amp; Bed Mgmt'!$N$5:$N$428))+IFERROR('Client DB &amp; Bed Mgmt'!$N$5:$N$428&gt;=DATE(YEAR(X27),MONTH(X27),1),FALSE)&gt;0))</f>
        <v/>
      </c>
      <c r="AA27">
        <f>IFERROR(SUMPRODUCT(('Client DB &amp; Bed Mgmt'!$A$5:$A$428=Y27)*('Client DB &amp; Bed Mgmt'!$D$5:$D$428&lt;&gt;"")*--(('Client DB &amp; Bed Mgmt'!$M$5:$M$428="")+IFERROR('Client DB &amp; Bed Mgmt'!$M$5:$M$428&lt;=EOMONTH(X27,0),FALSE)&gt;0)*--(('Client DB &amp; Bed Mgmt'!$N$5:$N$428="")+NOT(ISNUMBER('Client DB &amp; Bed Mgmt'!$N$5:$N$428))+IFERROR('Client DB &amp; Bed Mgmt'!$N$5:$N$428&gt;=DATE(YEAR(X27),MONTH(X27),1),FALSE)&gt;0)*'Client DB &amp; Bed Mgmt'!$I$5:$I$428*((IF(('Client DB &amp; Bed Mgmt'!$N$5:$N$428="")+NOT(ISNUMBER('Client DB &amp; Bed Mgmt'!$N$5:$N$428)),EOMONTH(X27,0),IF('Client DB &amp; Bed Mgmt'!$N$5:$N$428&lt;EOMONTH(X27,0),'Client DB &amp; Bed Mgmt'!$N$5:$N$428,EOMONTH(X27,0))))-(IF(('Client DB &amp; Bed Mgmt'!$M$5:$M$428="")+NOT(ISNUMBER('Client DB &amp; Bed Mgmt'!$M$5:$M$428)),DATE(YEAR(X27),MONTH(X27),1),IF('Client DB &amp; Bed Mgmt'!$M$5:$M$428&gt;DATE(YEAR(X27),MONTH(X27),1),'Client DB &amp; Bed Mgmt'!$M$5:$M$428,DATE(YEAR(X27),MONTH(X27),1))))+1)/DAY(EOMONTH(X27,0))),0)</f>
        <v/>
      </c>
      <c r="AB27">
        <f>IFERROR(SUMPRODUCT(('Client DB &amp; Bed Mgmt'!$A$5:$A$428=Y27)*('Client DB &amp; Bed Mgmt'!$D$5:$D$428&lt;&gt;"")*--(('Client DB &amp; Bed Mgmt'!$M$5:$M$428="")+IFERROR('Client DB &amp; Bed Mgmt'!$M$5:$M$428&lt;=EOMONTH(X27,0),FALSE)&gt;0)*--(('Client DB &amp; Bed Mgmt'!$N$5:$N$428="")+NOT(ISNUMBER('Client DB &amp; Bed Mgmt'!$N$5:$N$428))+IFERROR('Client DB &amp; Bed Mgmt'!$N$5:$N$428&gt;=DATE(YEAR(X27),MONTH(X27),1),FALSE)&gt;0)*((IF(('Client DB &amp; Bed Mgmt'!$N$5:$N$428="")+NOT(ISNUMBER('Client DB &amp; Bed Mgmt'!$N$5:$N$428)),EOMONTH(X27,0),IF('Client DB &amp; Bed Mgmt'!$N$5:$N$428&lt;EOMONTH(X27,0),'Client DB &amp; Bed Mgmt'!$N$5:$N$428,EOMONTH(X27,0))))-(IF(('Client DB &amp; Bed Mgmt'!$M$5:$M$428="")+NOT(ISNUMBER('Client DB &amp; Bed Mgmt'!$M$5:$M$428)),DATE(YEAR(X27),MONTH(X27),1),IF('Client DB &amp; Bed Mgmt'!$M$5:$M$428&gt;DATE(YEAR(X27),MONTH(X27),1),'Client DB &amp; Bed Mgmt'!$M$5:$M$428,DATE(YEAR(X27),MONTH(X27),1))))+1)/DAY(EOMONTH(X27,0))),0)</f>
        <v/>
      </c>
    </row>
    <row r="28" hidden="1" ht="14.25" customHeight="1" s="83">
      <c r="A28" s="125">
        <f>IFERROR(INDEX($X$14:$X$49,AGGREGATE(15,6,(ROW($X$14:$X$49)-ROW($X$14)+1)/($Z$14:$Z$49&gt;0),ROWS($A$14:A28))),"")</f>
        <v/>
      </c>
      <c r="B28" s="103">
        <f>IFERROR(INDEX($Y$14:$Y$49,AGGREGATE(15,6,(ROW($X$14:$X$49)-ROW($X$14)+1)/($Z$14:$Z$49&gt;0),ROWS($A$14:A28))),"")</f>
        <v/>
      </c>
      <c r="C28" s="170">
        <f>IF($A28="","",IFERROR(_xlfn.XLOOKUP(B28,DormRegistry[Dorm Name],DormRegistry[Ownership Type]),""))</f>
        <v/>
      </c>
      <c r="D28" s="170">
        <f>IF($A28="","",IFERROR(_xlfn.XLOOKUP(B28,DormRegistry[Dorm Name],DormRegistry[Bed Capacity]),0))</f>
        <v/>
      </c>
      <c r="E28" s="130">
        <f>IF($A28="","",$B$6*(1+$B$8)^(YEAR(A28)-YEAR(StartDate)))</f>
        <v/>
      </c>
      <c r="F28" s="105">
        <f>IF($A28="","",$B$7)</f>
        <v/>
      </c>
      <c r="G28" s="105">
        <f>IF($A28="","",$B$8)</f>
        <v/>
      </c>
      <c r="H28" s="130">
        <f>IF($A28="","",D28*E28)</f>
        <v/>
      </c>
      <c r="I28" s="130">
        <f>IFERROR(INDEX($AA$14:$AA$49,AGGREGATE(15,6,(ROW($X$14:$X$49)-ROW($X$14)+1)/($Z$14:$Z$49&gt;0),ROWS($A$14:A28))),"")</f>
        <v/>
      </c>
      <c r="J28" s="130">
        <f>IF($A28="","",D28*F28*E28)</f>
        <v/>
      </c>
      <c r="K28" s="104">
        <f>IF($A28="","",75)</f>
        <v/>
      </c>
      <c r="L28" s="104">
        <f>IF($A28="","",50)</f>
        <v/>
      </c>
      <c r="M28" s="104">
        <f>IF($A28="","",150)</f>
        <v/>
      </c>
      <c r="N28" s="104">
        <f>IF($A28="","",125)</f>
        <v/>
      </c>
      <c r="O28" s="104">
        <f>IF($A28="","",60)</f>
        <v/>
      </c>
      <c r="P28" s="104">
        <f>IF($A28="","",80)</f>
        <v/>
      </c>
      <c r="Q28" s="104">
        <f>IF($A28="","",40)</f>
        <v/>
      </c>
      <c r="R28" s="130">
        <f>IF($A28="","",IF(C28="Owned",0,2500))</f>
        <v/>
      </c>
      <c r="S28" s="130">
        <f>IF($A28="","",SUM(K28:R28))</f>
        <v/>
      </c>
      <c r="T28" s="130">
        <f>IF($A28="","",I28-S28)</f>
        <v/>
      </c>
      <c r="U28" s="105">
        <f>IF($A28="","",IFERROR(T28/I28,0))</f>
        <v/>
      </c>
      <c r="V28" s="82">
        <f>IFERROR(INDEX($AB$14:$AB$49,AGGREGATE(15,6,(ROW($X$14:$X$49)-ROW($X$14)+1)/($Z$14:$Z$49&gt;0),ROWS($A$14:A28))),"")</f>
        <v/>
      </c>
      <c r="X28">
        <f>EDATE(StartDate,4)</f>
        <v/>
      </c>
      <c r="Y28" t="inlineStr">
        <is>
          <t>Dorm 3</t>
        </is>
      </c>
      <c r="Z28">
        <f>SUMPRODUCT(('Client DB &amp; Bed Mgmt'!$A$5:$A$428=Y28)*('Client DB &amp; Bed Mgmt'!$D$5:$D$428&lt;&gt;"")*--(('Client DB &amp; Bed Mgmt'!$M$5:$M$428="")+IFERROR('Client DB &amp; Bed Mgmt'!$M$5:$M$428&lt;=EOMONTH(X28,0),FALSE)&gt;0)*--(('Client DB &amp; Bed Mgmt'!$N$5:$N$428="")+NOT(ISNUMBER('Client DB &amp; Bed Mgmt'!$N$5:$N$428))+IFERROR('Client DB &amp; Bed Mgmt'!$N$5:$N$428&gt;=DATE(YEAR(X28),MONTH(X28),1),FALSE)&gt;0))</f>
        <v/>
      </c>
      <c r="AA28">
        <f>IFERROR(SUMPRODUCT(('Client DB &amp; Bed Mgmt'!$A$5:$A$428=Y28)*('Client DB &amp; Bed Mgmt'!$D$5:$D$428&lt;&gt;"")*--(('Client DB &amp; Bed Mgmt'!$M$5:$M$428="")+IFERROR('Client DB &amp; Bed Mgmt'!$M$5:$M$428&lt;=EOMONTH(X28,0),FALSE)&gt;0)*--(('Client DB &amp; Bed Mgmt'!$N$5:$N$428="")+NOT(ISNUMBER('Client DB &amp; Bed Mgmt'!$N$5:$N$428))+IFERROR('Client DB &amp; Bed Mgmt'!$N$5:$N$428&gt;=DATE(YEAR(X28),MONTH(X28),1),FALSE)&gt;0)*'Client DB &amp; Bed Mgmt'!$I$5:$I$428*((IF(('Client DB &amp; Bed Mgmt'!$N$5:$N$428="")+NOT(ISNUMBER('Client DB &amp; Bed Mgmt'!$N$5:$N$428)),EOMONTH(X28,0),IF('Client DB &amp; Bed Mgmt'!$N$5:$N$428&lt;EOMONTH(X28,0),'Client DB &amp; Bed Mgmt'!$N$5:$N$428,EOMONTH(X28,0))))-(IF(('Client DB &amp; Bed Mgmt'!$M$5:$M$428="")+NOT(ISNUMBER('Client DB &amp; Bed Mgmt'!$M$5:$M$428)),DATE(YEAR(X28),MONTH(X28),1),IF('Client DB &amp; Bed Mgmt'!$M$5:$M$428&gt;DATE(YEAR(X28),MONTH(X28),1),'Client DB &amp; Bed Mgmt'!$M$5:$M$428,DATE(YEAR(X28),MONTH(X28),1))))+1)/DAY(EOMONTH(X28,0))),0)</f>
        <v/>
      </c>
      <c r="AB28">
        <f>IFERROR(SUMPRODUCT(('Client DB &amp; Bed Mgmt'!$A$5:$A$428=Y28)*('Client DB &amp; Bed Mgmt'!$D$5:$D$428&lt;&gt;"")*--(('Client DB &amp; Bed Mgmt'!$M$5:$M$428="")+IFERROR('Client DB &amp; Bed Mgmt'!$M$5:$M$428&lt;=EOMONTH(X28,0),FALSE)&gt;0)*--(('Client DB &amp; Bed Mgmt'!$N$5:$N$428="")+NOT(ISNUMBER('Client DB &amp; Bed Mgmt'!$N$5:$N$428))+IFERROR('Client DB &amp; Bed Mgmt'!$N$5:$N$428&gt;=DATE(YEAR(X28),MONTH(X28),1),FALSE)&gt;0)*((IF(('Client DB &amp; Bed Mgmt'!$N$5:$N$428="")+NOT(ISNUMBER('Client DB &amp; Bed Mgmt'!$N$5:$N$428)),EOMONTH(X28,0),IF('Client DB &amp; Bed Mgmt'!$N$5:$N$428&lt;EOMONTH(X28,0),'Client DB &amp; Bed Mgmt'!$N$5:$N$428,EOMONTH(X28,0))))-(IF(('Client DB &amp; Bed Mgmt'!$M$5:$M$428="")+NOT(ISNUMBER('Client DB &amp; Bed Mgmt'!$M$5:$M$428)),DATE(YEAR(X28),MONTH(X28),1),IF('Client DB &amp; Bed Mgmt'!$M$5:$M$428&gt;DATE(YEAR(X28),MONTH(X28),1),'Client DB &amp; Bed Mgmt'!$M$5:$M$428,DATE(YEAR(X28),MONTH(X28),1))))+1)/DAY(EOMONTH(X28,0))),0)</f>
        <v/>
      </c>
    </row>
    <row r="29" ht="14.25" customHeight="1" s="83">
      <c r="A29" s="125">
        <f>IFERROR(INDEX($X$14:$X$49,AGGREGATE(15,6,(ROW($X$14:$X$49)-ROW($X$14)+1)/($Z$14:$Z$49&gt;0),ROWS($A$14:A29))),"")</f>
        <v/>
      </c>
      <c r="B29" s="103">
        <f>IFERROR(INDEX($Y$14:$Y$49,AGGREGATE(15,6,(ROW($X$14:$X$49)-ROW($X$14)+1)/($Z$14:$Z$49&gt;0),ROWS($A$14:A29))),"")</f>
        <v/>
      </c>
      <c r="C29" s="170">
        <f>IF($A29="","",IFERROR(_xlfn.XLOOKUP(B29,DormRegistry[Dorm Name],DormRegistry[Ownership Type]),""))</f>
        <v/>
      </c>
      <c r="D29" s="170">
        <f>IF($A29="","",IFERROR(_xlfn.XLOOKUP(B29,DormRegistry[Dorm Name],DormRegistry[Bed Capacity]),0))</f>
        <v/>
      </c>
      <c r="E29" s="130">
        <f>IF($A29="","",$B$6*(1+$B$8)^(YEAR(A29)-YEAR(StartDate)))</f>
        <v/>
      </c>
      <c r="F29" s="105">
        <f>IF($A29="","",$B$7)</f>
        <v/>
      </c>
      <c r="G29" s="105">
        <f>IF($A29="","",$B$8)</f>
        <v/>
      </c>
      <c r="H29" s="130">
        <f>IF($A29="","",D29*E29)</f>
        <v/>
      </c>
      <c r="I29" s="130">
        <f>IFERROR(INDEX($AA$14:$AA$49,AGGREGATE(15,6,(ROW($X$14:$X$49)-ROW($X$14)+1)/($Z$14:$Z$49&gt;0),ROWS($A$14:A29))),"")</f>
        <v/>
      </c>
      <c r="J29" s="130">
        <f>IF($A29="","",D29*F29*E29)</f>
        <v/>
      </c>
      <c r="K29" s="104">
        <f>IF($A29="","",75)</f>
        <v/>
      </c>
      <c r="L29" s="104">
        <f>IF($A29="","",50)</f>
        <v/>
      </c>
      <c r="M29" s="104">
        <f>IF($A29="","",150)</f>
        <v/>
      </c>
      <c r="N29" s="104">
        <f>IF($A29="","",125)</f>
        <v/>
      </c>
      <c r="O29" s="104">
        <f>IF($A29="","",60)</f>
        <v/>
      </c>
      <c r="P29" s="104">
        <f>IF($A29="","",80)</f>
        <v/>
      </c>
      <c r="Q29" s="104">
        <f>IF($A29="","",40)</f>
        <v/>
      </c>
      <c r="R29" s="130">
        <f>IF($A29="","",IF(C29="Owned",0,2500))</f>
        <v/>
      </c>
      <c r="S29" s="130">
        <f>IF($A29="","",SUM(K29:R29))</f>
        <v/>
      </c>
      <c r="T29" s="130">
        <f>IF($A29="","",I29-S29)</f>
        <v/>
      </c>
      <c r="U29" s="105">
        <f>IF($A29="","",IFERROR(T29/I29,0))</f>
        <v/>
      </c>
      <c r="V29" s="82">
        <f>IFERROR(INDEX($AB$14:$AB$49,AGGREGATE(15,6,(ROW($X$14:$X$49)-ROW($X$14)+1)/($Z$14:$Z$49&gt;0),ROWS($A$14:A29))),"")</f>
        <v/>
      </c>
      <c r="X29">
        <f>EDATE(StartDate,5)</f>
        <v/>
      </c>
      <c r="Y29" t="inlineStr">
        <is>
          <t>Dorm 1</t>
        </is>
      </c>
      <c r="Z29">
        <f>SUMPRODUCT(('Client DB &amp; Bed Mgmt'!$A$5:$A$428=Y29)*('Client DB &amp; Bed Mgmt'!$D$5:$D$428&lt;&gt;"")*--(('Client DB &amp; Bed Mgmt'!$M$5:$M$428="")+IFERROR('Client DB &amp; Bed Mgmt'!$M$5:$M$428&lt;=EOMONTH(X29,0),FALSE)&gt;0)*--(('Client DB &amp; Bed Mgmt'!$N$5:$N$428="")+NOT(ISNUMBER('Client DB &amp; Bed Mgmt'!$N$5:$N$428))+IFERROR('Client DB &amp; Bed Mgmt'!$N$5:$N$428&gt;=DATE(YEAR(X29),MONTH(X29),1),FALSE)&gt;0))</f>
        <v/>
      </c>
      <c r="AA29">
        <f>IFERROR(SUMPRODUCT(('Client DB &amp; Bed Mgmt'!$A$5:$A$428=Y29)*('Client DB &amp; Bed Mgmt'!$D$5:$D$428&lt;&gt;"")*--(('Client DB &amp; Bed Mgmt'!$M$5:$M$428="")+IFERROR('Client DB &amp; Bed Mgmt'!$M$5:$M$428&lt;=EOMONTH(X29,0),FALSE)&gt;0)*--(('Client DB &amp; Bed Mgmt'!$N$5:$N$428="")+NOT(ISNUMBER('Client DB &amp; Bed Mgmt'!$N$5:$N$428))+IFERROR('Client DB &amp; Bed Mgmt'!$N$5:$N$428&gt;=DATE(YEAR(X29),MONTH(X29),1),FALSE)&gt;0)*'Client DB &amp; Bed Mgmt'!$I$5:$I$428*((IF(('Client DB &amp; Bed Mgmt'!$N$5:$N$428="")+NOT(ISNUMBER('Client DB &amp; Bed Mgmt'!$N$5:$N$428)),EOMONTH(X29,0),IF('Client DB &amp; Bed Mgmt'!$N$5:$N$428&lt;EOMONTH(X29,0),'Client DB &amp; Bed Mgmt'!$N$5:$N$428,EOMONTH(X29,0))))-(IF(('Client DB &amp; Bed Mgmt'!$M$5:$M$428="")+NOT(ISNUMBER('Client DB &amp; Bed Mgmt'!$M$5:$M$428)),DATE(YEAR(X29),MONTH(X29),1),IF('Client DB &amp; Bed Mgmt'!$M$5:$M$428&gt;DATE(YEAR(X29),MONTH(X29),1),'Client DB &amp; Bed Mgmt'!$M$5:$M$428,DATE(YEAR(X29),MONTH(X29),1))))+1)/DAY(EOMONTH(X29,0))),0)</f>
        <v/>
      </c>
      <c r="AB29">
        <f>IFERROR(SUMPRODUCT(('Client DB &amp; Bed Mgmt'!$A$5:$A$428=Y29)*('Client DB &amp; Bed Mgmt'!$D$5:$D$428&lt;&gt;"")*--(('Client DB &amp; Bed Mgmt'!$M$5:$M$428="")+IFERROR('Client DB &amp; Bed Mgmt'!$M$5:$M$428&lt;=EOMONTH(X29,0),FALSE)&gt;0)*--(('Client DB &amp; Bed Mgmt'!$N$5:$N$428="")+NOT(ISNUMBER('Client DB &amp; Bed Mgmt'!$N$5:$N$428))+IFERROR('Client DB &amp; Bed Mgmt'!$N$5:$N$428&gt;=DATE(YEAR(X29),MONTH(X29),1),FALSE)&gt;0)*((IF(('Client DB &amp; Bed Mgmt'!$N$5:$N$428="")+NOT(ISNUMBER('Client DB &amp; Bed Mgmt'!$N$5:$N$428)),EOMONTH(X29,0),IF('Client DB &amp; Bed Mgmt'!$N$5:$N$428&lt;EOMONTH(X29,0),'Client DB &amp; Bed Mgmt'!$N$5:$N$428,EOMONTH(X29,0))))-(IF(('Client DB &amp; Bed Mgmt'!$M$5:$M$428="")+NOT(ISNUMBER('Client DB &amp; Bed Mgmt'!$M$5:$M$428)),DATE(YEAR(X29),MONTH(X29),1),IF('Client DB &amp; Bed Mgmt'!$M$5:$M$428&gt;DATE(YEAR(X29),MONTH(X29),1),'Client DB &amp; Bed Mgmt'!$M$5:$M$428,DATE(YEAR(X29),MONTH(X29),1))))+1)/DAY(EOMONTH(X29,0))),0)</f>
        <v/>
      </c>
    </row>
    <row r="30" hidden="1" ht="14.25" customHeight="1" s="83">
      <c r="A30" s="125">
        <f>IFERROR(INDEX($X$14:$X$49,AGGREGATE(15,6,(ROW($X$14:$X$49)-ROW($X$14)+1)/($Z$14:$Z$49&gt;0),ROWS($A$14:A30))),"")</f>
        <v/>
      </c>
      <c r="B30" s="103">
        <f>IFERROR(INDEX($Y$14:$Y$49,AGGREGATE(15,6,(ROW($X$14:$X$49)-ROW($X$14)+1)/($Z$14:$Z$49&gt;0),ROWS($A$14:A30))),"")</f>
        <v/>
      </c>
      <c r="C30" s="170">
        <f>IF($A30="","",IFERROR(_xlfn.XLOOKUP(B30,DormRegistry[Dorm Name],DormRegistry[Ownership Type]),""))</f>
        <v/>
      </c>
      <c r="D30" s="170">
        <f>IF($A30="","",IFERROR(_xlfn.XLOOKUP(B30,DormRegistry[Dorm Name],DormRegistry[Bed Capacity]),0))</f>
        <v/>
      </c>
      <c r="E30" s="130">
        <f>IF($A30="","",$B$6*(1+$B$8)^(YEAR(A30)-YEAR(StartDate)))</f>
        <v/>
      </c>
      <c r="F30" s="105">
        <f>IF($A30="","",$B$7)</f>
        <v/>
      </c>
      <c r="G30" s="105">
        <f>IF($A30="","",$B$8)</f>
        <v/>
      </c>
      <c r="H30" s="130">
        <f>IF($A30="","",D30*E30)</f>
        <v/>
      </c>
      <c r="I30" s="130">
        <f>IFERROR(INDEX($AA$14:$AA$49,AGGREGATE(15,6,(ROW($X$14:$X$49)-ROW($X$14)+1)/($Z$14:$Z$49&gt;0),ROWS($A$14:A30))),"")</f>
        <v/>
      </c>
      <c r="J30" s="130">
        <f>IF($A30="","",D30*F30*E30)</f>
        <v/>
      </c>
      <c r="K30" s="104">
        <f>IF($A30="","",75)</f>
        <v/>
      </c>
      <c r="L30" s="104">
        <f>IF($A30="","",50)</f>
        <v/>
      </c>
      <c r="M30" s="104">
        <f>IF($A30="","",150)</f>
        <v/>
      </c>
      <c r="N30" s="104">
        <f>IF($A30="","",125)</f>
        <v/>
      </c>
      <c r="O30" s="104">
        <f>IF($A30="","",60)</f>
        <v/>
      </c>
      <c r="P30" s="104">
        <f>IF($A30="","",80)</f>
        <v/>
      </c>
      <c r="Q30" s="104">
        <f>IF($A30="","",40)</f>
        <v/>
      </c>
      <c r="R30" s="130">
        <f>IF($A30="","",IF(C30="Owned",0,2500))</f>
        <v/>
      </c>
      <c r="S30" s="130">
        <f>IF($A30="","",SUM(K30:R30))</f>
        <v/>
      </c>
      <c r="T30" s="130">
        <f>IF($A30="","",I30-S30)</f>
        <v/>
      </c>
      <c r="U30" s="105">
        <f>IF($A30="","",IFERROR(T30/I30,0))</f>
        <v/>
      </c>
      <c r="V30" s="82">
        <f>IFERROR(INDEX($AB$14:$AB$49,AGGREGATE(15,6,(ROW($X$14:$X$49)-ROW($X$14)+1)/($Z$14:$Z$49&gt;0),ROWS($A$14:A30))),"")</f>
        <v/>
      </c>
      <c r="X30">
        <f>EDATE(StartDate,5)</f>
        <v/>
      </c>
      <c r="Y30" t="inlineStr">
        <is>
          <t>Dorm 2</t>
        </is>
      </c>
      <c r="Z30">
        <f>SUMPRODUCT(('Client DB &amp; Bed Mgmt'!$A$5:$A$428=Y30)*('Client DB &amp; Bed Mgmt'!$D$5:$D$428&lt;&gt;"")*--(('Client DB &amp; Bed Mgmt'!$M$5:$M$428="")+IFERROR('Client DB &amp; Bed Mgmt'!$M$5:$M$428&lt;=EOMONTH(X30,0),FALSE)&gt;0)*--(('Client DB &amp; Bed Mgmt'!$N$5:$N$428="")+NOT(ISNUMBER('Client DB &amp; Bed Mgmt'!$N$5:$N$428))+IFERROR('Client DB &amp; Bed Mgmt'!$N$5:$N$428&gt;=DATE(YEAR(X30),MONTH(X30),1),FALSE)&gt;0))</f>
        <v/>
      </c>
      <c r="AA30">
        <f>IFERROR(SUMPRODUCT(('Client DB &amp; Bed Mgmt'!$A$5:$A$428=Y30)*('Client DB &amp; Bed Mgmt'!$D$5:$D$428&lt;&gt;"")*--(('Client DB &amp; Bed Mgmt'!$M$5:$M$428="")+IFERROR('Client DB &amp; Bed Mgmt'!$M$5:$M$428&lt;=EOMONTH(X30,0),FALSE)&gt;0)*--(('Client DB &amp; Bed Mgmt'!$N$5:$N$428="")+NOT(ISNUMBER('Client DB &amp; Bed Mgmt'!$N$5:$N$428))+IFERROR('Client DB &amp; Bed Mgmt'!$N$5:$N$428&gt;=DATE(YEAR(X30),MONTH(X30),1),FALSE)&gt;0)*'Client DB &amp; Bed Mgmt'!$I$5:$I$428*((IF(('Client DB &amp; Bed Mgmt'!$N$5:$N$428="")+NOT(ISNUMBER('Client DB &amp; Bed Mgmt'!$N$5:$N$428)),EOMONTH(X30,0),IF('Client DB &amp; Bed Mgmt'!$N$5:$N$428&lt;EOMONTH(X30,0),'Client DB &amp; Bed Mgmt'!$N$5:$N$428,EOMONTH(X30,0))))-(IF(('Client DB &amp; Bed Mgmt'!$M$5:$M$428="")+NOT(ISNUMBER('Client DB &amp; Bed Mgmt'!$M$5:$M$428)),DATE(YEAR(X30),MONTH(X30),1),IF('Client DB &amp; Bed Mgmt'!$M$5:$M$428&gt;DATE(YEAR(X30),MONTH(X30),1),'Client DB &amp; Bed Mgmt'!$M$5:$M$428,DATE(YEAR(X30),MONTH(X30),1))))+1)/DAY(EOMONTH(X30,0))),0)</f>
        <v/>
      </c>
      <c r="AB30">
        <f>IFERROR(SUMPRODUCT(('Client DB &amp; Bed Mgmt'!$A$5:$A$428=Y30)*('Client DB &amp; Bed Mgmt'!$D$5:$D$428&lt;&gt;"")*--(('Client DB &amp; Bed Mgmt'!$M$5:$M$428="")+IFERROR('Client DB &amp; Bed Mgmt'!$M$5:$M$428&lt;=EOMONTH(X30,0),FALSE)&gt;0)*--(('Client DB &amp; Bed Mgmt'!$N$5:$N$428="")+NOT(ISNUMBER('Client DB &amp; Bed Mgmt'!$N$5:$N$428))+IFERROR('Client DB &amp; Bed Mgmt'!$N$5:$N$428&gt;=DATE(YEAR(X30),MONTH(X30),1),FALSE)&gt;0)*((IF(('Client DB &amp; Bed Mgmt'!$N$5:$N$428="")+NOT(ISNUMBER('Client DB &amp; Bed Mgmt'!$N$5:$N$428)),EOMONTH(X30,0),IF('Client DB &amp; Bed Mgmt'!$N$5:$N$428&lt;EOMONTH(X30,0),'Client DB &amp; Bed Mgmt'!$N$5:$N$428,EOMONTH(X30,0))))-(IF(('Client DB &amp; Bed Mgmt'!$M$5:$M$428="")+NOT(ISNUMBER('Client DB &amp; Bed Mgmt'!$M$5:$M$428)),DATE(YEAR(X30),MONTH(X30),1),IF('Client DB &amp; Bed Mgmt'!$M$5:$M$428&gt;DATE(YEAR(X30),MONTH(X30),1),'Client DB &amp; Bed Mgmt'!$M$5:$M$428,DATE(YEAR(X30),MONTH(X30),1))))+1)/DAY(EOMONTH(X30,0))),0)</f>
        <v/>
      </c>
    </row>
    <row r="31" hidden="1" ht="14.25" customHeight="1" s="83">
      <c r="A31" s="125">
        <f>IFERROR(INDEX($X$14:$X$49,AGGREGATE(15,6,(ROW($X$14:$X$49)-ROW($X$14)+1)/($Z$14:$Z$49&gt;0),ROWS($A$14:A31))),"")</f>
        <v/>
      </c>
      <c r="B31" s="103">
        <f>IFERROR(INDEX($Y$14:$Y$49,AGGREGATE(15,6,(ROW($X$14:$X$49)-ROW($X$14)+1)/($Z$14:$Z$49&gt;0),ROWS($A$14:A31))),"")</f>
        <v/>
      </c>
      <c r="C31" s="170">
        <f>IF($A31="","",IFERROR(_xlfn.XLOOKUP(B31,DormRegistry[Dorm Name],DormRegistry[Ownership Type]),""))</f>
        <v/>
      </c>
      <c r="D31" s="170">
        <f>IF($A31="","",IFERROR(_xlfn.XLOOKUP(B31,DormRegistry[Dorm Name],DormRegistry[Bed Capacity]),0))</f>
        <v/>
      </c>
      <c r="E31" s="130">
        <f>IF($A31="","",$B$6*(1+$B$8)^(YEAR(A31)-YEAR(StartDate)))</f>
        <v/>
      </c>
      <c r="F31" s="105">
        <f>IF($A31="","",$B$7)</f>
        <v/>
      </c>
      <c r="G31" s="105">
        <f>IF($A31="","",$B$8)</f>
        <v/>
      </c>
      <c r="H31" s="130">
        <f>IF($A31="","",D31*E31)</f>
        <v/>
      </c>
      <c r="I31" s="130">
        <f>IFERROR(INDEX($AA$14:$AA$49,AGGREGATE(15,6,(ROW($X$14:$X$49)-ROW($X$14)+1)/($Z$14:$Z$49&gt;0),ROWS($A$14:A31))),"")</f>
        <v/>
      </c>
      <c r="J31" s="130">
        <f>IF($A31="","",D31*F31*E31)</f>
        <v/>
      </c>
      <c r="K31" s="104">
        <f>IF($A31="","",75)</f>
        <v/>
      </c>
      <c r="L31" s="104">
        <f>IF($A31="","",50)</f>
        <v/>
      </c>
      <c r="M31" s="104">
        <f>IF($A31="","",150)</f>
        <v/>
      </c>
      <c r="N31" s="104">
        <f>IF($A31="","",125)</f>
        <v/>
      </c>
      <c r="O31" s="104">
        <f>IF($A31="","",60)</f>
        <v/>
      </c>
      <c r="P31" s="104">
        <f>IF($A31="","",80)</f>
        <v/>
      </c>
      <c r="Q31" s="104">
        <f>IF($A31="","",40)</f>
        <v/>
      </c>
      <c r="R31" s="130">
        <f>IF($A31="","",IF(C31="Owned",0,2500))</f>
        <v/>
      </c>
      <c r="S31" s="130">
        <f>IF($A31="","",SUM(K31:R31))</f>
        <v/>
      </c>
      <c r="T31" s="130">
        <f>IF($A31="","",I31-S31)</f>
        <v/>
      </c>
      <c r="U31" s="105">
        <f>IF($A31="","",IFERROR(T31/I31,0))</f>
        <v/>
      </c>
      <c r="V31" s="82">
        <f>IFERROR(INDEX($AB$14:$AB$49,AGGREGATE(15,6,(ROW($X$14:$X$49)-ROW($X$14)+1)/($Z$14:$Z$49&gt;0),ROWS($A$14:A31))),"")</f>
        <v/>
      </c>
      <c r="X31">
        <f>EDATE(StartDate,5)</f>
        <v/>
      </c>
      <c r="Y31" t="inlineStr">
        <is>
          <t>Dorm 3</t>
        </is>
      </c>
      <c r="Z31">
        <f>SUMPRODUCT(('Client DB &amp; Bed Mgmt'!$A$5:$A$428=Y31)*('Client DB &amp; Bed Mgmt'!$D$5:$D$428&lt;&gt;"")*--(('Client DB &amp; Bed Mgmt'!$M$5:$M$428="")+IFERROR('Client DB &amp; Bed Mgmt'!$M$5:$M$428&lt;=EOMONTH(X31,0),FALSE)&gt;0)*--(('Client DB &amp; Bed Mgmt'!$N$5:$N$428="")+NOT(ISNUMBER('Client DB &amp; Bed Mgmt'!$N$5:$N$428))+IFERROR('Client DB &amp; Bed Mgmt'!$N$5:$N$428&gt;=DATE(YEAR(X31),MONTH(X31),1),FALSE)&gt;0))</f>
        <v/>
      </c>
      <c r="AA31">
        <f>IFERROR(SUMPRODUCT(('Client DB &amp; Bed Mgmt'!$A$5:$A$428=Y31)*('Client DB &amp; Bed Mgmt'!$D$5:$D$428&lt;&gt;"")*--(('Client DB &amp; Bed Mgmt'!$M$5:$M$428="")+IFERROR('Client DB &amp; Bed Mgmt'!$M$5:$M$428&lt;=EOMONTH(X31,0),FALSE)&gt;0)*--(('Client DB &amp; Bed Mgmt'!$N$5:$N$428="")+NOT(ISNUMBER('Client DB &amp; Bed Mgmt'!$N$5:$N$428))+IFERROR('Client DB &amp; Bed Mgmt'!$N$5:$N$428&gt;=DATE(YEAR(X31),MONTH(X31),1),FALSE)&gt;0)*'Client DB &amp; Bed Mgmt'!$I$5:$I$428*((IF(('Client DB &amp; Bed Mgmt'!$N$5:$N$428="")+NOT(ISNUMBER('Client DB &amp; Bed Mgmt'!$N$5:$N$428)),EOMONTH(X31,0),IF('Client DB &amp; Bed Mgmt'!$N$5:$N$428&lt;EOMONTH(X31,0),'Client DB &amp; Bed Mgmt'!$N$5:$N$428,EOMONTH(X31,0))))-(IF(('Client DB &amp; Bed Mgmt'!$M$5:$M$428="")+NOT(ISNUMBER('Client DB &amp; Bed Mgmt'!$M$5:$M$428)),DATE(YEAR(X31),MONTH(X31),1),IF('Client DB &amp; Bed Mgmt'!$M$5:$M$428&gt;DATE(YEAR(X31),MONTH(X31),1),'Client DB &amp; Bed Mgmt'!$M$5:$M$428,DATE(YEAR(X31),MONTH(X31),1))))+1)/DAY(EOMONTH(X31,0))),0)</f>
        <v/>
      </c>
      <c r="AB31">
        <f>IFERROR(SUMPRODUCT(('Client DB &amp; Bed Mgmt'!$A$5:$A$428=Y31)*('Client DB &amp; Bed Mgmt'!$D$5:$D$428&lt;&gt;"")*--(('Client DB &amp; Bed Mgmt'!$M$5:$M$428="")+IFERROR('Client DB &amp; Bed Mgmt'!$M$5:$M$428&lt;=EOMONTH(X31,0),FALSE)&gt;0)*--(('Client DB &amp; Bed Mgmt'!$N$5:$N$428="")+NOT(ISNUMBER('Client DB &amp; Bed Mgmt'!$N$5:$N$428))+IFERROR('Client DB &amp; Bed Mgmt'!$N$5:$N$428&gt;=DATE(YEAR(X31),MONTH(X31),1),FALSE)&gt;0)*((IF(('Client DB &amp; Bed Mgmt'!$N$5:$N$428="")+NOT(ISNUMBER('Client DB &amp; Bed Mgmt'!$N$5:$N$428)),EOMONTH(X31,0),IF('Client DB &amp; Bed Mgmt'!$N$5:$N$428&lt;EOMONTH(X31,0),'Client DB &amp; Bed Mgmt'!$N$5:$N$428,EOMONTH(X31,0))))-(IF(('Client DB &amp; Bed Mgmt'!$M$5:$M$428="")+NOT(ISNUMBER('Client DB &amp; Bed Mgmt'!$M$5:$M$428)),DATE(YEAR(X31),MONTH(X31),1),IF('Client DB &amp; Bed Mgmt'!$M$5:$M$428&gt;DATE(YEAR(X31),MONTH(X31),1),'Client DB &amp; Bed Mgmt'!$M$5:$M$428,DATE(YEAR(X31),MONTH(X31),1))))+1)/DAY(EOMONTH(X31,0))),0)</f>
        <v/>
      </c>
    </row>
    <row r="32" ht="14.25" customHeight="1" s="83">
      <c r="A32" s="125">
        <f>IFERROR(INDEX($X$14:$X$49,AGGREGATE(15,6,(ROW($X$14:$X$49)-ROW($X$14)+1)/($Z$14:$Z$49&gt;0),ROWS($A$14:A32))),"")</f>
        <v/>
      </c>
      <c r="B32" s="103">
        <f>IFERROR(INDEX($Y$14:$Y$49,AGGREGATE(15,6,(ROW($X$14:$X$49)-ROW($X$14)+1)/($Z$14:$Z$49&gt;0),ROWS($A$14:A32))),"")</f>
        <v/>
      </c>
      <c r="C32" s="170">
        <f>IF($A32="","",IFERROR(_xlfn.XLOOKUP(B32,DormRegistry[Dorm Name],DormRegistry[Ownership Type]),""))</f>
        <v/>
      </c>
      <c r="D32" s="170">
        <f>IF($A32="","",IFERROR(_xlfn.XLOOKUP(B32,DormRegistry[Dorm Name],DormRegistry[Bed Capacity]),0))</f>
        <v/>
      </c>
      <c r="E32" s="130">
        <f>IF($A32="","",$B$6*(1+$B$8)^(YEAR(A32)-YEAR(StartDate)))</f>
        <v/>
      </c>
      <c r="F32" s="105">
        <f>IF($A32="","",$B$7)</f>
        <v/>
      </c>
      <c r="G32" s="105">
        <f>IF($A32="","",$B$8)</f>
        <v/>
      </c>
      <c r="H32" s="130">
        <f>IF($A32="","",D32*E32)</f>
        <v/>
      </c>
      <c r="I32" s="130">
        <f>IFERROR(INDEX($AA$14:$AA$49,AGGREGATE(15,6,(ROW($X$14:$X$49)-ROW($X$14)+1)/($Z$14:$Z$49&gt;0),ROWS($A$14:A32))),"")</f>
        <v/>
      </c>
      <c r="J32" s="130">
        <f>IF($A32="","",D32*F32*E32)</f>
        <v/>
      </c>
      <c r="K32" s="104">
        <f>IF($A32="","",75)</f>
        <v/>
      </c>
      <c r="L32" s="104">
        <f>IF($A32="","",50)</f>
        <v/>
      </c>
      <c r="M32" s="104">
        <f>IF($A32="","",150)</f>
        <v/>
      </c>
      <c r="N32" s="104">
        <f>IF($A32="","",125)</f>
        <v/>
      </c>
      <c r="O32" s="104">
        <f>IF($A32="","",60)</f>
        <v/>
      </c>
      <c r="P32" s="104">
        <f>IF($A32="","",80)</f>
        <v/>
      </c>
      <c r="Q32" s="104">
        <f>IF($A32="","",40)</f>
        <v/>
      </c>
      <c r="R32" s="130">
        <f>IF($A32="","",IF(C32="Owned",0,2500))</f>
        <v/>
      </c>
      <c r="S32" s="130">
        <f>IF($A32="","",SUM(K32:R32))</f>
        <v/>
      </c>
      <c r="T32" s="130">
        <f>IF($A32="","",I32-S32)</f>
        <v/>
      </c>
      <c r="U32" s="105">
        <f>IF($A32="","",IFERROR(T32/I32,0))</f>
        <v/>
      </c>
      <c r="V32" s="82">
        <f>IFERROR(INDEX($AB$14:$AB$49,AGGREGATE(15,6,(ROW($X$14:$X$49)-ROW($X$14)+1)/($Z$14:$Z$49&gt;0),ROWS($A$14:A32))),"")</f>
        <v/>
      </c>
      <c r="X32">
        <f>EDATE(StartDate,6)</f>
        <v/>
      </c>
      <c r="Y32" t="inlineStr">
        <is>
          <t>Dorm 1</t>
        </is>
      </c>
      <c r="Z32">
        <f>SUMPRODUCT(('Client DB &amp; Bed Mgmt'!$A$5:$A$428=Y32)*('Client DB &amp; Bed Mgmt'!$D$5:$D$428&lt;&gt;"")*--(('Client DB &amp; Bed Mgmt'!$M$5:$M$428="")+IFERROR('Client DB &amp; Bed Mgmt'!$M$5:$M$428&lt;=EOMONTH(X32,0),FALSE)&gt;0)*--(('Client DB &amp; Bed Mgmt'!$N$5:$N$428="")+NOT(ISNUMBER('Client DB &amp; Bed Mgmt'!$N$5:$N$428))+IFERROR('Client DB &amp; Bed Mgmt'!$N$5:$N$428&gt;=DATE(YEAR(X32),MONTH(X32),1),FALSE)&gt;0))</f>
        <v/>
      </c>
      <c r="AA32">
        <f>IFERROR(SUMPRODUCT(('Client DB &amp; Bed Mgmt'!$A$5:$A$428=Y32)*('Client DB &amp; Bed Mgmt'!$D$5:$D$428&lt;&gt;"")*--(('Client DB &amp; Bed Mgmt'!$M$5:$M$428="")+IFERROR('Client DB &amp; Bed Mgmt'!$M$5:$M$428&lt;=EOMONTH(X32,0),FALSE)&gt;0)*--(('Client DB &amp; Bed Mgmt'!$N$5:$N$428="")+NOT(ISNUMBER('Client DB &amp; Bed Mgmt'!$N$5:$N$428))+IFERROR('Client DB &amp; Bed Mgmt'!$N$5:$N$428&gt;=DATE(YEAR(X32),MONTH(X32),1),FALSE)&gt;0)*'Client DB &amp; Bed Mgmt'!$I$5:$I$428*((IF(('Client DB &amp; Bed Mgmt'!$N$5:$N$428="")+NOT(ISNUMBER('Client DB &amp; Bed Mgmt'!$N$5:$N$428)),EOMONTH(X32,0),IF('Client DB &amp; Bed Mgmt'!$N$5:$N$428&lt;EOMONTH(X32,0),'Client DB &amp; Bed Mgmt'!$N$5:$N$428,EOMONTH(X32,0))))-(IF(('Client DB &amp; Bed Mgmt'!$M$5:$M$428="")+NOT(ISNUMBER('Client DB &amp; Bed Mgmt'!$M$5:$M$428)),DATE(YEAR(X32),MONTH(X32),1),IF('Client DB &amp; Bed Mgmt'!$M$5:$M$428&gt;DATE(YEAR(X32),MONTH(X32),1),'Client DB &amp; Bed Mgmt'!$M$5:$M$428,DATE(YEAR(X32),MONTH(X32),1))))+1)/DAY(EOMONTH(X32,0))),0)</f>
        <v/>
      </c>
      <c r="AB32">
        <f>IFERROR(SUMPRODUCT(('Client DB &amp; Bed Mgmt'!$A$5:$A$428=Y32)*('Client DB &amp; Bed Mgmt'!$D$5:$D$428&lt;&gt;"")*--(('Client DB &amp; Bed Mgmt'!$M$5:$M$428="")+IFERROR('Client DB &amp; Bed Mgmt'!$M$5:$M$428&lt;=EOMONTH(X32,0),FALSE)&gt;0)*--(('Client DB &amp; Bed Mgmt'!$N$5:$N$428="")+NOT(ISNUMBER('Client DB &amp; Bed Mgmt'!$N$5:$N$428))+IFERROR('Client DB &amp; Bed Mgmt'!$N$5:$N$428&gt;=DATE(YEAR(X32),MONTH(X32),1),FALSE)&gt;0)*((IF(('Client DB &amp; Bed Mgmt'!$N$5:$N$428="")+NOT(ISNUMBER('Client DB &amp; Bed Mgmt'!$N$5:$N$428)),EOMONTH(X32,0),IF('Client DB &amp; Bed Mgmt'!$N$5:$N$428&lt;EOMONTH(X32,0),'Client DB &amp; Bed Mgmt'!$N$5:$N$428,EOMONTH(X32,0))))-(IF(('Client DB &amp; Bed Mgmt'!$M$5:$M$428="")+NOT(ISNUMBER('Client DB &amp; Bed Mgmt'!$M$5:$M$428)),DATE(YEAR(X32),MONTH(X32),1),IF('Client DB &amp; Bed Mgmt'!$M$5:$M$428&gt;DATE(YEAR(X32),MONTH(X32),1),'Client DB &amp; Bed Mgmt'!$M$5:$M$428,DATE(YEAR(X32),MONTH(X32),1))))+1)/DAY(EOMONTH(X32,0))),0)</f>
        <v/>
      </c>
    </row>
    <row r="33" hidden="1" ht="14.25" customHeight="1" s="83">
      <c r="A33" s="125">
        <f>IFERROR(INDEX($X$14:$X$49,AGGREGATE(15,6,(ROW($X$14:$X$49)-ROW($X$14)+1)/($Z$14:$Z$49&gt;0),ROWS($A$14:A33))),"")</f>
        <v/>
      </c>
      <c r="B33" s="103">
        <f>IFERROR(INDEX($Y$14:$Y$49,AGGREGATE(15,6,(ROW($X$14:$X$49)-ROW($X$14)+1)/($Z$14:$Z$49&gt;0),ROWS($A$14:A33))),"")</f>
        <v/>
      </c>
      <c r="C33" s="170">
        <f>IF($A33="","",IFERROR(_xlfn.XLOOKUP(B33,DormRegistry[Dorm Name],DormRegistry[Ownership Type]),""))</f>
        <v/>
      </c>
      <c r="D33" s="170">
        <f>IF($A33="","",IFERROR(_xlfn.XLOOKUP(B33,DormRegistry[Dorm Name],DormRegistry[Bed Capacity]),0))</f>
        <v/>
      </c>
      <c r="E33" s="130">
        <f>IF($A33="","",$B$6*(1+$B$8)^(YEAR(A33)-YEAR(StartDate)))</f>
        <v/>
      </c>
      <c r="F33" s="105">
        <f>IF($A33="","",$B$7)</f>
        <v/>
      </c>
      <c r="G33" s="105">
        <f>IF($A33="","",$B$8)</f>
        <v/>
      </c>
      <c r="H33" s="130">
        <f>IF($A33="","",D33*E33)</f>
        <v/>
      </c>
      <c r="I33" s="130">
        <f>IFERROR(INDEX($AA$14:$AA$49,AGGREGATE(15,6,(ROW($X$14:$X$49)-ROW($X$14)+1)/($Z$14:$Z$49&gt;0),ROWS($A$14:A33))),"")</f>
        <v/>
      </c>
      <c r="J33" s="130">
        <f>IF($A33="","",D33*F33*E33)</f>
        <v/>
      </c>
      <c r="K33" s="104">
        <f>IF($A33="","",75)</f>
        <v/>
      </c>
      <c r="L33" s="104">
        <f>IF($A33="","",50)</f>
        <v/>
      </c>
      <c r="M33" s="104">
        <f>IF($A33="","",150)</f>
        <v/>
      </c>
      <c r="N33" s="104">
        <f>IF($A33="","",125)</f>
        <v/>
      </c>
      <c r="O33" s="104">
        <f>IF($A33="","",60)</f>
        <v/>
      </c>
      <c r="P33" s="104">
        <f>IF($A33="","",80)</f>
        <v/>
      </c>
      <c r="Q33" s="104">
        <f>IF($A33="","",40)</f>
        <v/>
      </c>
      <c r="R33" s="130">
        <f>IF($A33="","",IF(C33="Owned",0,2500))</f>
        <v/>
      </c>
      <c r="S33" s="130">
        <f>IF($A33="","",SUM(K33:R33))</f>
        <v/>
      </c>
      <c r="T33" s="130">
        <f>IF($A33="","",I33-S33)</f>
        <v/>
      </c>
      <c r="U33" s="105">
        <f>IF($A33="","",IFERROR(T33/I33,0))</f>
        <v/>
      </c>
      <c r="V33" s="82">
        <f>IFERROR(INDEX($AB$14:$AB$49,AGGREGATE(15,6,(ROW($X$14:$X$49)-ROW($X$14)+1)/($Z$14:$Z$49&gt;0),ROWS($A$14:A33))),"")</f>
        <v/>
      </c>
      <c r="X33">
        <f>EDATE(StartDate,6)</f>
        <v/>
      </c>
      <c r="Y33" t="inlineStr">
        <is>
          <t>Dorm 2</t>
        </is>
      </c>
      <c r="Z33">
        <f>SUMPRODUCT(('Client DB &amp; Bed Mgmt'!$A$5:$A$428=Y33)*('Client DB &amp; Bed Mgmt'!$D$5:$D$428&lt;&gt;"")*--(('Client DB &amp; Bed Mgmt'!$M$5:$M$428="")+IFERROR('Client DB &amp; Bed Mgmt'!$M$5:$M$428&lt;=EOMONTH(X33,0),FALSE)&gt;0)*--(('Client DB &amp; Bed Mgmt'!$N$5:$N$428="")+NOT(ISNUMBER('Client DB &amp; Bed Mgmt'!$N$5:$N$428))+IFERROR('Client DB &amp; Bed Mgmt'!$N$5:$N$428&gt;=DATE(YEAR(X33),MONTH(X33),1),FALSE)&gt;0))</f>
        <v/>
      </c>
      <c r="AA33">
        <f>IFERROR(SUMPRODUCT(('Client DB &amp; Bed Mgmt'!$A$5:$A$428=Y33)*('Client DB &amp; Bed Mgmt'!$D$5:$D$428&lt;&gt;"")*--(('Client DB &amp; Bed Mgmt'!$M$5:$M$428="")+IFERROR('Client DB &amp; Bed Mgmt'!$M$5:$M$428&lt;=EOMONTH(X33,0),FALSE)&gt;0)*--(('Client DB &amp; Bed Mgmt'!$N$5:$N$428="")+NOT(ISNUMBER('Client DB &amp; Bed Mgmt'!$N$5:$N$428))+IFERROR('Client DB &amp; Bed Mgmt'!$N$5:$N$428&gt;=DATE(YEAR(X33),MONTH(X33),1),FALSE)&gt;0)*'Client DB &amp; Bed Mgmt'!$I$5:$I$428*((IF(('Client DB &amp; Bed Mgmt'!$N$5:$N$428="")+NOT(ISNUMBER('Client DB &amp; Bed Mgmt'!$N$5:$N$428)),EOMONTH(X33,0),IF('Client DB &amp; Bed Mgmt'!$N$5:$N$428&lt;EOMONTH(X33,0),'Client DB &amp; Bed Mgmt'!$N$5:$N$428,EOMONTH(X33,0))))-(IF(('Client DB &amp; Bed Mgmt'!$M$5:$M$428="")+NOT(ISNUMBER('Client DB &amp; Bed Mgmt'!$M$5:$M$428)),DATE(YEAR(X33),MONTH(X33),1),IF('Client DB &amp; Bed Mgmt'!$M$5:$M$428&gt;DATE(YEAR(X33),MONTH(X33),1),'Client DB &amp; Bed Mgmt'!$M$5:$M$428,DATE(YEAR(X33),MONTH(X33),1))))+1)/DAY(EOMONTH(X33,0))),0)</f>
        <v/>
      </c>
      <c r="AB33">
        <f>IFERROR(SUMPRODUCT(('Client DB &amp; Bed Mgmt'!$A$5:$A$428=Y33)*('Client DB &amp; Bed Mgmt'!$D$5:$D$428&lt;&gt;"")*--(('Client DB &amp; Bed Mgmt'!$M$5:$M$428="")+IFERROR('Client DB &amp; Bed Mgmt'!$M$5:$M$428&lt;=EOMONTH(X33,0),FALSE)&gt;0)*--(('Client DB &amp; Bed Mgmt'!$N$5:$N$428="")+NOT(ISNUMBER('Client DB &amp; Bed Mgmt'!$N$5:$N$428))+IFERROR('Client DB &amp; Bed Mgmt'!$N$5:$N$428&gt;=DATE(YEAR(X33),MONTH(X33),1),FALSE)&gt;0)*((IF(('Client DB &amp; Bed Mgmt'!$N$5:$N$428="")+NOT(ISNUMBER('Client DB &amp; Bed Mgmt'!$N$5:$N$428)),EOMONTH(X33,0),IF('Client DB &amp; Bed Mgmt'!$N$5:$N$428&lt;EOMONTH(X33,0),'Client DB &amp; Bed Mgmt'!$N$5:$N$428,EOMONTH(X33,0))))-(IF(('Client DB &amp; Bed Mgmt'!$M$5:$M$428="")+NOT(ISNUMBER('Client DB &amp; Bed Mgmt'!$M$5:$M$428)),DATE(YEAR(X33),MONTH(X33),1),IF('Client DB &amp; Bed Mgmt'!$M$5:$M$428&gt;DATE(YEAR(X33),MONTH(X33),1),'Client DB &amp; Bed Mgmt'!$M$5:$M$428,DATE(YEAR(X33),MONTH(X33),1))))+1)/DAY(EOMONTH(X33,0))),0)</f>
        <v/>
      </c>
    </row>
    <row r="34" hidden="1" ht="14.25" customHeight="1" s="83">
      <c r="A34" s="125">
        <f>IFERROR(INDEX($X$14:$X$49,AGGREGATE(15,6,(ROW($X$14:$X$49)-ROW($X$14)+1)/($Z$14:$Z$49&gt;0),ROWS($A$14:A34))),"")</f>
        <v/>
      </c>
      <c r="B34" s="103">
        <f>IFERROR(INDEX($Y$14:$Y$49,AGGREGATE(15,6,(ROW($X$14:$X$49)-ROW($X$14)+1)/($Z$14:$Z$49&gt;0),ROWS($A$14:A34))),"")</f>
        <v/>
      </c>
      <c r="C34" s="170">
        <f>IF($A34="","",IFERROR(_xlfn.XLOOKUP(B34,DormRegistry[Dorm Name],DormRegistry[Ownership Type]),""))</f>
        <v/>
      </c>
      <c r="D34" s="170">
        <f>IF($A34="","",IFERROR(_xlfn.XLOOKUP(B34,DormRegistry[Dorm Name],DormRegistry[Bed Capacity]),0))</f>
        <v/>
      </c>
      <c r="E34" s="130">
        <f>IF($A34="","",$B$6*(1+$B$8)^(YEAR(A34)-YEAR(StartDate)))</f>
        <v/>
      </c>
      <c r="F34" s="105">
        <f>IF($A34="","",$B$7)</f>
        <v/>
      </c>
      <c r="G34" s="105">
        <f>IF($A34="","",$B$8)</f>
        <v/>
      </c>
      <c r="H34" s="130">
        <f>IF($A34="","",D34*E34)</f>
        <v/>
      </c>
      <c r="I34" s="130">
        <f>IFERROR(INDEX($AA$14:$AA$49,AGGREGATE(15,6,(ROW($X$14:$X$49)-ROW($X$14)+1)/($Z$14:$Z$49&gt;0),ROWS($A$14:A34))),"")</f>
        <v/>
      </c>
      <c r="J34" s="130">
        <f>IF($A34="","",D34*F34*E34)</f>
        <v/>
      </c>
      <c r="K34" s="104">
        <f>IF($A34="","",75)</f>
        <v/>
      </c>
      <c r="L34" s="104">
        <f>IF($A34="","",50)</f>
        <v/>
      </c>
      <c r="M34" s="104">
        <f>IF($A34="","",150)</f>
        <v/>
      </c>
      <c r="N34" s="104">
        <f>IF($A34="","",125)</f>
        <v/>
      </c>
      <c r="O34" s="104">
        <f>IF($A34="","",60)</f>
        <v/>
      </c>
      <c r="P34" s="104">
        <f>IF($A34="","",80)</f>
        <v/>
      </c>
      <c r="Q34" s="104">
        <f>IF($A34="","",40)</f>
        <v/>
      </c>
      <c r="R34" s="130">
        <f>IF($A34="","",IF(C34="Owned",0,2500))</f>
        <v/>
      </c>
      <c r="S34" s="130">
        <f>IF($A34="","",SUM(K34:R34))</f>
        <v/>
      </c>
      <c r="T34" s="130">
        <f>IF($A34="","",I34-S34)</f>
        <v/>
      </c>
      <c r="U34" s="105">
        <f>IF($A34="","",IFERROR(T34/I34,0))</f>
        <v/>
      </c>
      <c r="V34" s="82">
        <f>IFERROR(INDEX($AB$14:$AB$49,AGGREGATE(15,6,(ROW($X$14:$X$49)-ROW($X$14)+1)/($Z$14:$Z$49&gt;0),ROWS($A$14:A34))),"")</f>
        <v/>
      </c>
      <c r="X34">
        <f>EDATE(StartDate,6)</f>
        <v/>
      </c>
      <c r="Y34" t="inlineStr">
        <is>
          <t>Dorm 3</t>
        </is>
      </c>
      <c r="Z34">
        <f>SUMPRODUCT(('Client DB &amp; Bed Mgmt'!$A$5:$A$428=Y34)*('Client DB &amp; Bed Mgmt'!$D$5:$D$428&lt;&gt;"")*--(('Client DB &amp; Bed Mgmt'!$M$5:$M$428="")+IFERROR('Client DB &amp; Bed Mgmt'!$M$5:$M$428&lt;=EOMONTH(X34,0),FALSE)&gt;0)*--(('Client DB &amp; Bed Mgmt'!$N$5:$N$428="")+NOT(ISNUMBER('Client DB &amp; Bed Mgmt'!$N$5:$N$428))+IFERROR('Client DB &amp; Bed Mgmt'!$N$5:$N$428&gt;=DATE(YEAR(X34),MONTH(X34),1),FALSE)&gt;0))</f>
        <v/>
      </c>
      <c r="AA34">
        <f>IFERROR(SUMPRODUCT(('Client DB &amp; Bed Mgmt'!$A$5:$A$428=Y34)*('Client DB &amp; Bed Mgmt'!$D$5:$D$428&lt;&gt;"")*--(('Client DB &amp; Bed Mgmt'!$M$5:$M$428="")+IFERROR('Client DB &amp; Bed Mgmt'!$M$5:$M$428&lt;=EOMONTH(X34,0),FALSE)&gt;0)*--(('Client DB &amp; Bed Mgmt'!$N$5:$N$428="")+NOT(ISNUMBER('Client DB &amp; Bed Mgmt'!$N$5:$N$428))+IFERROR('Client DB &amp; Bed Mgmt'!$N$5:$N$428&gt;=DATE(YEAR(X34),MONTH(X34),1),FALSE)&gt;0)*'Client DB &amp; Bed Mgmt'!$I$5:$I$428*((IF(('Client DB &amp; Bed Mgmt'!$N$5:$N$428="")+NOT(ISNUMBER('Client DB &amp; Bed Mgmt'!$N$5:$N$428)),EOMONTH(X34,0),IF('Client DB &amp; Bed Mgmt'!$N$5:$N$428&lt;EOMONTH(X34,0),'Client DB &amp; Bed Mgmt'!$N$5:$N$428,EOMONTH(X34,0))))-(IF(('Client DB &amp; Bed Mgmt'!$M$5:$M$428="")+NOT(ISNUMBER('Client DB &amp; Bed Mgmt'!$M$5:$M$428)),DATE(YEAR(X34),MONTH(X34),1),IF('Client DB &amp; Bed Mgmt'!$M$5:$M$428&gt;DATE(YEAR(X34),MONTH(X34),1),'Client DB &amp; Bed Mgmt'!$M$5:$M$428,DATE(YEAR(X34),MONTH(X34),1))))+1)/DAY(EOMONTH(X34,0))),0)</f>
        <v/>
      </c>
      <c r="AB34">
        <f>IFERROR(SUMPRODUCT(('Client DB &amp; Bed Mgmt'!$A$5:$A$428=Y34)*('Client DB &amp; Bed Mgmt'!$D$5:$D$428&lt;&gt;"")*--(('Client DB &amp; Bed Mgmt'!$M$5:$M$428="")+IFERROR('Client DB &amp; Bed Mgmt'!$M$5:$M$428&lt;=EOMONTH(X34,0),FALSE)&gt;0)*--(('Client DB &amp; Bed Mgmt'!$N$5:$N$428="")+NOT(ISNUMBER('Client DB &amp; Bed Mgmt'!$N$5:$N$428))+IFERROR('Client DB &amp; Bed Mgmt'!$N$5:$N$428&gt;=DATE(YEAR(X34),MONTH(X34),1),FALSE)&gt;0)*((IF(('Client DB &amp; Bed Mgmt'!$N$5:$N$428="")+NOT(ISNUMBER('Client DB &amp; Bed Mgmt'!$N$5:$N$428)),EOMONTH(X34,0),IF('Client DB &amp; Bed Mgmt'!$N$5:$N$428&lt;EOMONTH(X34,0),'Client DB &amp; Bed Mgmt'!$N$5:$N$428,EOMONTH(X34,0))))-(IF(('Client DB &amp; Bed Mgmt'!$M$5:$M$428="")+NOT(ISNUMBER('Client DB &amp; Bed Mgmt'!$M$5:$M$428)),DATE(YEAR(X34),MONTH(X34),1),IF('Client DB &amp; Bed Mgmt'!$M$5:$M$428&gt;DATE(YEAR(X34),MONTH(X34),1),'Client DB &amp; Bed Mgmt'!$M$5:$M$428,DATE(YEAR(X34),MONTH(X34),1))))+1)/DAY(EOMONTH(X34,0))),0)</f>
        <v/>
      </c>
    </row>
    <row r="35" ht="14.25" customHeight="1" s="83">
      <c r="A35" s="125">
        <f>IFERROR(INDEX($X$14:$X$49,AGGREGATE(15,6,(ROW($X$14:$X$49)-ROW($X$14)+1)/($Z$14:$Z$49&gt;0),ROWS($A$14:A35))),"")</f>
        <v/>
      </c>
      <c r="B35" s="103">
        <f>IFERROR(INDEX($Y$14:$Y$49,AGGREGATE(15,6,(ROW($X$14:$X$49)-ROW($X$14)+1)/($Z$14:$Z$49&gt;0),ROWS($A$14:A35))),"")</f>
        <v/>
      </c>
      <c r="C35" s="170">
        <f>IF($A35="","",IFERROR(_xlfn.XLOOKUP(B35,DormRegistry[Dorm Name],DormRegistry[Ownership Type]),""))</f>
        <v/>
      </c>
      <c r="D35" s="170">
        <f>IF($A35="","",IFERROR(_xlfn.XLOOKUP(B35,DormRegistry[Dorm Name],DormRegistry[Bed Capacity]),0))</f>
        <v/>
      </c>
      <c r="E35" s="130">
        <f>IF($A35="","",$B$6*(1+$B$8)^(YEAR(A35)-YEAR(StartDate)))</f>
        <v/>
      </c>
      <c r="F35" s="105">
        <f>IF($A35="","",$B$7)</f>
        <v/>
      </c>
      <c r="G35" s="105">
        <f>IF($A35="","",$B$8)</f>
        <v/>
      </c>
      <c r="H35" s="130">
        <f>IF($A35="","",D35*E35)</f>
        <v/>
      </c>
      <c r="I35" s="130">
        <f>IFERROR(INDEX($AA$14:$AA$49,AGGREGATE(15,6,(ROW($X$14:$X$49)-ROW($X$14)+1)/($Z$14:$Z$49&gt;0),ROWS($A$14:A35))),"")</f>
        <v/>
      </c>
      <c r="J35" s="130">
        <f>IF($A35="","",D35*F35*E35)</f>
        <v/>
      </c>
      <c r="K35" s="104">
        <f>IF($A35="","",75)</f>
        <v/>
      </c>
      <c r="L35" s="104">
        <f>IF($A35="","",50)</f>
        <v/>
      </c>
      <c r="M35" s="104">
        <f>IF($A35="","",150)</f>
        <v/>
      </c>
      <c r="N35" s="104">
        <f>IF($A35="","",125)</f>
        <v/>
      </c>
      <c r="O35" s="104">
        <f>IF($A35="","",60)</f>
        <v/>
      </c>
      <c r="P35" s="104">
        <f>IF($A35="","",80)</f>
        <v/>
      </c>
      <c r="Q35" s="104">
        <f>IF($A35="","",40)</f>
        <v/>
      </c>
      <c r="R35" s="130">
        <f>IF($A35="","",IF(C35="Owned",0,2500))</f>
        <v/>
      </c>
      <c r="S35" s="130">
        <f>IF($A35="","",SUM(K35:R35))</f>
        <v/>
      </c>
      <c r="T35" s="130">
        <f>IF($A35="","",I35-S35)</f>
        <v/>
      </c>
      <c r="U35" s="105">
        <f>IF($A35="","",IFERROR(T35/I35,0))</f>
        <v/>
      </c>
      <c r="V35" s="82">
        <f>IFERROR(INDEX($AB$14:$AB$49,AGGREGATE(15,6,(ROW($X$14:$X$49)-ROW($X$14)+1)/($Z$14:$Z$49&gt;0),ROWS($A$14:A35))),"")</f>
        <v/>
      </c>
      <c r="X35">
        <f>EDATE(StartDate,7)</f>
        <v/>
      </c>
      <c r="Y35" t="inlineStr">
        <is>
          <t>Dorm 1</t>
        </is>
      </c>
      <c r="Z35">
        <f>SUMPRODUCT(('Client DB &amp; Bed Mgmt'!$A$5:$A$428=Y35)*('Client DB &amp; Bed Mgmt'!$D$5:$D$428&lt;&gt;"")*--(('Client DB &amp; Bed Mgmt'!$M$5:$M$428="")+IFERROR('Client DB &amp; Bed Mgmt'!$M$5:$M$428&lt;=EOMONTH(X35,0),FALSE)&gt;0)*--(('Client DB &amp; Bed Mgmt'!$N$5:$N$428="")+NOT(ISNUMBER('Client DB &amp; Bed Mgmt'!$N$5:$N$428))+IFERROR('Client DB &amp; Bed Mgmt'!$N$5:$N$428&gt;=DATE(YEAR(X35),MONTH(X35),1),FALSE)&gt;0))</f>
        <v/>
      </c>
      <c r="AA35">
        <f>IFERROR(SUMPRODUCT(('Client DB &amp; Bed Mgmt'!$A$5:$A$428=Y35)*('Client DB &amp; Bed Mgmt'!$D$5:$D$428&lt;&gt;"")*--(('Client DB &amp; Bed Mgmt'!$M$5:$M$428="")+IFERROR('Client DB &amp; Bed Mgmt'!$M$5:$M$428&lt;=EOMONTH(X35,0),FALSE)&gt;0)*--(('Client DB &amp; Bed Mgmt'!$N$5:$N$428="")+NOT(ISNUMBER('Client DB &amp; Bed Mgmt'!$N$5:$N$428))+IFERROR('Client DB &amp; Bed Mgmt'!$N$5:$N$428&gt;=DATE(YEAR(X35),MONTH(X35),1),FALSE)&gt;0)*'Client DB &amp; Bed Mgmt'!$I$5:$I$428*((IF(('Client DB &amp; Bed Mgmt'!$N$5:$N$428="")+NOT(ISNUMBER('Client DB &amp; Bed Mgmt'!$N$5:$N$428)),EOMONTH(X35,0),IF('Client DB &amp; Bed Mgmt'!$N$5:$N$428&lt;EOMONTH(X35,0),'Client DB &amp; Bed Mgmt'!$N$5:$N$428,EOMONTH(X35,0))))-(IF(('Client DB &amp; Bed Mgmt'!$M$5:$M$428="")+NOT(ISNUMBER('Client DB &amp; Bed Mgmt'!$M$5:$M$428)),DATE(YEAR(X35),MONTH(X35),1),IF('Client DB &amp; Bed Mgmt'!$M$5:$M$428&gt;DATE(YEAR(X35),MONTH(X35),1),'Client DB &amp; Bed Mgmt'!$M$5:$M$428,DATE(YEAR(X35),MONTH(X35),1))))+1)/DAY(EOMONTH(X35,0))),0)</f>
        <v/>
      </c>
      <c r="AB35">
        <f>IFERROR(SUMPRODUCT(('Client DB &amp; Bed Mgmt'!$A$5:$A$428=Y35)*('Client DB &amp; Bed Mgmt'!$D$5:$D$428&lt;&gt;"")*--(('Client DB &amp; Bed Mgmt'!$M$5:$M$428="")+IFERROR('Client DB &amp; Bed Mgmt'!$M$5:$M$428&lt;=EOMONTH(X35,0),FALSE)&gt;0)*--(('Client DB &amp; Bed Mgmt'!$N$5:$N$428="")+NOT(ISNUMBER('Client DB &amp; Bed Mgmt'!$N$5:$N$428))+IFERROR('Client DB &amp; Bed Mgmt'!$N$5:$N$428&gt;=DATE(YEAR(X35),MONTH(X35),1),FALSE)&gt;0)*((IF(('Client DB &amp; Bed Mgmt'!$N$5:$N$428="")+NOT(ISNUMBER('Client DB &amp; Bed Mgmt'!$N$5:$N$428)),EOMONTH(X35,0),IF('Client DB &amp; Bed Mgmt'!$N$5:$N$428&lt;EOMONTH(X35,0),'Client DB &amp; Bed Mgmt'!$N$5:$N$428,EOMONTH(X35,0))))-(IF(('Client DB &amp; Bed Mgmt'!$M$5:$M$428="")+NOT(ISNUMBER('Client DB &amp; Bed Mgmt'!$M$5:$M$428)),DATE(YEAR(X35),MONTH(X35),1),IF('Client DB &amp; Bed Mgmt'!$M$5:$M$428&gt;DATE(YEAR(X35),MONTH(X35),1),'Client DB &amp; Bed Mgmt'!$M$5:$M$428,DATE(YEAR(X35),MONTH(X35),1))))+1)/DAY(EOMONTH(X35,0))),0)</f>
        <v/>
      </c>
    </row>
    <row r="36" hidden="1" ht="14.25" customHeight="1" s="83">
      <c r="A36" s="125">
        <f>IFERROR(INDEX($X$14:$X$49,AGGREGATE(15,6,(ROW($X$14:$X$49)-ROW($X$14)+1)/($Z$14:$Z$49&gt;0),ROWS($A$14:A36))),"")</f>
        <v/>
      </c>
      <c r="B36" s="103">
        <f>IFERROR(INDEX($Y$14:$Y$49,AGGREGATE(15,6,(ROW($X$14:$X$49)-ROW($X$14)+1)/($Z$14:$Z$49&gt;0),ROWS($A$14:A36))),"")</f>
        <v/>
      </c>
      <c r="C36" s="170">
        <f>IF($A36="","",IFERROR(_xlfn.XLOOKUP(B36,DormRegistry[Dorm Name],DormRegistry[Ownership Type]),""))</f>
        <v/>
      </c>
      <c r="D36" s="170">
        <f>IF($A36="","",IFERROR(_xlfn.XLOOKUP(B36,DormRegistry[Dorm Name],DormRegistry[Bed Capacity]),0))</f>
        <v/>
      </c>
      <c r="E36" s="130">
        <f>IF($A36="","",$B$6*(1+$B$8)^(YEAR(A36)-YEAR(StartDate)))</f>
        <v/>
      </c>
      <c r="F36" s="105">
        <f>IF($A36="","",$B$7)</f>
        <v/>
      </c>
      <c r="G36" s="105">
        <f>IF($A36="","",$B$8)</f>
        <v/>
      </c>
      <c r="H36" s="130">
        <f>IF($A36="","",D36*E36)</f>
        <v/>
      </c>
      <c r="I36" s="130">
        <f>IFERROR(INDEX($AA$14:$AA$49,AGGREGATE(15,6,(ROW($X$14:$X$49)-ROW($X$14)+1)/($Z$14:$Z$49&gt;0),ROWS($A$14:A36))),"")</f>
        <v/>
      </c>
      <c r="J36" s="130">
        <f>IF($A36="","",D36*F36*E36)</f>
        <v/>
      </c>
      <c r="K36" s="104">
        <f>IF($A36="","",75)</f>
        <v/>
      </c>
      <c r="L36" s="104">
        <f>IF($A36="","",50)</f>
        <v/>
      </c>
      <c r="M36" s="104">
        <f>IF($A36="","",150)</f>
        <v/>
      </c>
      <c r="N36" s="104">
        <f>IF($A36="","",125)</f>
        <v/>
      </c>
      <c r="O36" s="104">
        <f>IF($A36="","",60)</f>
        <v/>
      </c>
      <c r="P36" s="104">
        <f>IF($A36="","",80)</f>
        <v/>
      </c>
      <c r="Q36" s="104">
        <f>IF($A36="","",40)</f>
        <v/>
      </c>
      <c r="R36" s="130">
        <f>IF($A36="","",IF(C36="Owned",0,2500))</f>
        <v/>
      </c>
      <c r="S36" s="130">
        <f>IF($A36="","",SUM(K36:R36))</f>
        <v/>
      </c>
      <c r="T36" s="130">
        <f>IF($A36="","",I36-S36)</f>
        <v/>
      </c>
      <c r="U36" s="105">
        <f>IF($A36="","",IFERROR(T36/I36,0))</f>
        <v/>
      </c>
      <c r="V36" s="82">
        <f>IFERROR(INDEX($AB$14:$AB$49,AGGREGATE(15,6,(ROW($X$14:$X$49)-ROW($X$14)+1)/($Z$14:$Z$49&gt;0),ROWS($A$14:A36))),"")</f>
        <v/>
      </c>
      <c r="X36">
        <f>EDATE(StartDate,7)</f>
        <v/>
      </c>
      <c r="Y36" t="inlineStr">
        <is>
          <t>Dorm 2</t>
        </is>
      </c>
      <c r="Z36">
        <f>SUMPRODUCT(('Client DB &amp; Bed Mgmt'!$A$5:$A$428=Y36)*('Client DB &amp; Bed Mgmt'!$D$5:$D$428&lt;&gt;"")*--(('Client DB &amp; Bed Mgmt'!$M$5:$M$428="")+IFERROR('Client DB &amp; Bed Mgmt'!$M$5:$M$428&lt;=EOMONTH(X36,0),FALSE)&gt;0)*--(('Client DB &amp; Bed Mgmt'!$N$5:$N$428="")+NOT(ISNUMBER('Client DB &amp; Bed Mgmt'!$N$5:$N$428))+IFERROR('Client DB &amp; Bed Mgmt'!$N$5:$N$428&gt;=DATE(YEAR(X36),MONTH(X36),1),FALSE)&gt;0))</f>
        <v/>
      </c>
      <c r="AA36">
        <f>IFERROR(SUMPRODUCT(('Client DB &amp; Bed Mgmt'!$A$5:$A$428=Y36)*('Client DB &amp; Bed Mgmt'!$D$5:$D$428&lt;&gt;"")*--(('Client DB &amp; Bed Mgmt'!$M$5:$M$428="")+IFERROR('Client DB &amp; Bed Mgmt'!$M$5:$M$428&lt;=EOMONTH(X36,0),FALSE)&gt;0)*--(('Client DB &amp; Bed Mgmt'!$N$5:$N$428="")+NOT(ISNUMBER('Client DB &amp; Bed Mgmt'!$N$5:$N$428))+IFERROR('Client DB &amp; Bed Mgmt'!$N$5:$N$428&gt;=DATE(YEAR(X36),MONTH(X36),1),FALSE)&gt;0)*'Client DB &amp; Bed Mgmt'!$I$5:$I$428*((IF(('Client DB &amp; Bed Mgmt'!$N$5:$N$428="")+NOT(ISNUMBER('Client DB &amp; Bed Mgmt'!$N$5:$N$428)),EOMONTH(X36,0),IF('Client DB &amp; Bed Mgmt'!$N$5:$N$428&lt;EOMONTH(X36,0),'Client DB &amp; Bed Mgmt'!$N$5:$N$428,EOMONTH(X36,0))))-(IF(('Client DB &amp; Bed Mgmt'!$M$5:$M$428="")+NOT(ISNUMBER('Client DB &amp; Bed Mgmt'!$M$5:$M$428)),DATE(YEAR(X36),MONTH(X36),1),IF('Client DB &amp; Bed Mgmt'!$M$5:$M$428&gt;DATE(YEAR(X36),MONTH(X36),1),'Client DB &amp; Bed Mgmt'!$M$5:$M$428,DATE(YEAR(X36),MONTH(X36),1))))+1)/DAY(EOMONTH(X36,0))),0)</f>
        <v/>
      </c>
      <c r="AB36">
        <f>IFERROR(SUMPRODUCT(('Client DB &amp; Bed Mgmt'!$A$5:$A$428=Y36)*('Client DB &amp; Bed Mgmt'!$D$5:$D$428&lt;&gt;"")*--(('Client DB &amp; Bed Mgmt'!$M$5:$M$428="")+IFERROR('Client DB &amp; Bed Mgmt'!$M$5:$M$428&lt;=EOMONTH(X36,0),FALSE)&gt;0)*--(('Client DB &amp; Bed Mgmt'!$N$5:$N$428="")+NOT(ISNUMBER('Client DB &amp; Bed Mgmt'!$N$5:$N$428))+IFERROR('Client DB &amp; Bed Mgmt'!$N$5:$N$428&gt;=DATE(YEAR(X36),MONTH(X36),1),FALSE)&gt;0)*((IF(('Client DB &amp; Bed Mgmt'!$N$5:$N$428="")+NOT(ISNUMBER('Client DB &amp; Bed Mgmt'!$N$5:$N$428)),EOMONTH(X36,0),IF('Client DB &amp; Bed Mgmt'!$N$5:$N$428&lt;EOMONTH(X36,0),'Client DB &amp; Bed Mgmt'!$N$5:$N$428,EOMONTH(X36,0))))-(IF(('Client DB &amp; Bed Mgmt'!$M$5:$M$428="")+NOT(ISNUMBER('Client DB &amp; Bed Mgmt'!$M$5:$M$428)),DATE(YEAR(X36),MONTH(X36),1),IF('Client DB &amp; Bed Mgmt'!$M$5:$M$428&gt;DATE(YEAR(X36),MONTH(X36),1),'Client DB &amp; Bed Mgmt'!$M$5:$M$428,DATE(YEAR(X36),MONTH(X36),1))))+1)/DAY(EOMONTH(X36,0))),0)</f>
        <v/>
      </c>
    </row>
    <row r="37" hidden="1" ht="14.25" customHeight="1" s="83">
      <c r="A37" s="125">
        <f>IFERROR(INDEX($X$14:$X$49,AGGREGATE(15,6,(ROW($X$14:$X$49)-ROW($X$14)+1)/($Z$14:$Z$49&gt;0),ROWS($A$14:A37))),"")</f>
        <v/>
      </c>
      <c r="B37" s="103">
        <f>IFERROR(INDEX($Y$14:$Y$49,AGGREGATE(15,6,(ROW($X$14:$X$49)-ROW($X$14)+1)/($Z$14:$Z$49&gt;0),ROWS($A$14:A37))),"")</f>
        <v/>
      </c>
      <c r="C37" s="170">
        <f>IF($A37="","",IFERROR(_xlfn.XLOOKUP(B37,DormRegistry[Dorm Name],DormRegistry[Ownership Type]),""))</f>
        <v/>
      </c>
      <c r="D37" s="170">
        <f>IF($A37="","",IFERROR(_xlfn.XLOOKUP(B37,DormRegistry[Dorm Name],DormRegistry[Bed Capacity]),0))</f>
        <v/>
      </c>
      <c r="E37" s="130">
        <f>IF($A37="","",$B$6*(1+$B$8)^(YEAR(A37)-YEAR(StartDate)))</f>
        <v/>
      </c>
      <c r="F37" s="105">
        <f>IF($A37="","",$B$7)</f>
        <v/>
      </c>
      <c r="G37" s="105">
        <f>IF($A37="","",$B$8)</f>
        <v/>
      </c>
      <c r="H37" s="130">
        <f>IF($A37="","",D37*E37)</f>
        <v/>
      </c>
      <c r="I37" s="130">
        <f>IFERROR(INDEX($AA$14:$AA$49,AGGREGATE(15,6,(ROW($X$14:$X$49)-ROW($X$14)+1)/($Z$14:$Z$49&gt;0),ROWS($A$14:A37))),"")</f>
        <v/>
      </c>
      <c r="J37" s="130">
        <f>IF($A37="","",D37*F37*E37)</f>
        <v/>
      </c>
      <c r="K37" s="104">
        <f>IF($A37="","",75)</f>
        <v/>
      </c>
      <c r="L37" s="104">
        <f>IF($A37="","",50)</f>
        <v/>
      </c>
      <c r="M37" s="104">
        <f>IF($A37="","",150)</f>
        <v/>
      </c>
      <c r="N37" s="104">
        <f>IF($A37="","",125)</f>
        <v/>
      </c>
      <c r="O37" s="104">
        <f>IF($A37="","",60)</f>
        <v/>
      </c>
      <c r="P37" s="104">
        <f>IF($A37="","",80)</f>
        <v/>
      </c>
      <c r="Q37" s="104">
        <f>IF($A37="","",40)</f>
        <v/>
      </c>
      <c r="R37" s="130">
        <f>IF($A37="","",IF(C37="Owned",0,2500))</f>
        <v/>
      </c>
      <c r="S37" s="130">
        <f>IF($A37="","",SUM(K37:R37))</f>
        <v/>
      </c>
      <c r="T37" s="130">
        <f>IF($A37="","",I37-S37)</f>
        <v/>
      </c>
      <c r="U37" s="105">
        <f>IF($A37="","",IFERROR(T37/I37,0))</f>
        <v/>
      </c>
      <c r="V37" s="82">
        <f>IFERROR(INDEX($AB$14:$AB$49,AGGREGATE(15,6,(ROW($X$14:$X$49)-ROW($X$14)+1)/($Z$14:$Z$49&gt;0),ROWS($A$14:A37))),"")</f>
        <v/>
      </c>
      <c r="X37">
        <f>EDATE(StartDate,7)</f>
        <v/>
      </c>
      <c r="Y37" t="inlineStr">
        <is>
          <t>Dorm 3</t>
        </is>
      </c>
      <c r="Z37">
        <f>SUMPRODUCT(('Client DB &amp; Bed Mgmt'!$A$5:$A$428=Y37)*('Client DB &amp; Bed Mgmt'!$D$5:$D$428&lt;&gt;"")*--(('Client DB &amp; Bed Mgmt'!$M$5:$M$428="")+IFERROR('Client DB &amp; Bed Mgmt'!$M$5:$M$428&lt;=EOMONTH(X37,0),FALSE)&gt;0)*--(('Client DB &amp; Bed Mgmt'!$N$5:$N$428="")+NOT(ISNUMBER('Client DB &amp; Bed Mgmt'!$N$5:$N$428))+IFERROR('Client DB &amp; Bed Mgmt'!$N$5:$N$428&gt;=DATE(YEAR(X37),MONTH(X37),1),FALSE)&gt;0))</f>
        <v/>
      </c>
      <c r="AA37">
        <f>IFERROR(SUMPRODUCT(('Client DB &amp; Bed Mgmt'!$A$5:$A$428=Y37)*('Client DB &amp; Bed Mgmt'!$D$5:$D$428&lt;&gt;"")*--(('Client DB &amp; Bed Mgmt'!$M$5:$M$428="")+IFERROR('Client DB &amp; Bed Mgmt'!$M$5:$M$428&lt;=EOMONTH(X37,0),FALSE)&gt;0)*--(('Client DB &amp; Bed Mgmt'!$N$5:$N$428="")+NOT(ISNUMBER('Client DB &amp; Bed Mgmt'!$N$5:$N$428))+IFERROR('Client DB &amp; Bed Mgmt'!$N$5:$N$428&gt;=DATE(YEAR(X37),MONTH(X37),1),FALSE)&gt;0)*'Client DB &amp; Bed Mgmt'!$I$5:$I$428*((IF(('Client DB &amp; Bed Mgmt'!$N$5:$N$428="")+NOT(ISNUMBER('Client DB &amp; Bed Mgmt'!$N$5:$N$428)),EOMONTH(X37,0),IF('Client DB &amp; Bed Mgmt'!$N$5:$N$428&lt;EOMONTH(X37,0),'Client DB &amp; Bed Mgmt'!$N$5:$N$428,EOMONTH(X37,0))))-(IF(('Client DB &amp; Bed Mgmt'!$M$5:$M$428="")+NOT(ISNUMBER('Client DB &amp; Bed Mgmt'!$M$5:$M$428)),DATE(YEAR(X37),MONTH(X37),1),IF('Client DB &amp; Bed Mgmt'!$M$5:$M$428&gt;DATE(YEAR(X37),MONTH(X37),1),'Client DB &amp; Bed Mgmt'!$M$5:$M$428,DATE(YEAR(X37),MONTH(X37),1))))+1)/DAY(EOMONTH(X37,0))),0)</f>
        <v/>
      </c>
      <c r="AB37">
        <f>IFERROR(SUMPRODUCT(('Client DB &amp; Bed Mgmt'!$A$5:$A$428=Y37)*('Client DB &amp; Bed Mgmt'!$D$5:$D$428&lt;&gt;"")*--(('Client DB &amp; Bed Mgmt'!$M$5:$M$428="")+IFERROR('Client DB &amp; Bed Mgmt'!$M$5:$M$428&lt;=EOMONTH(X37,0),FALSE)&gt;0)*--(('Client DB &amp; Bed Mgmt'!$N$5:$N$428="")+NOT(ISNUMBER('Client DB &amp; Bed Mgmt'!$N$5:$N$428))+IFERROR('Client DB &amp; Bed Mgmt'!$N$5:$N$428&gt;=DATE(YEAR(X37),MONTH(X37),1),FALSE)&gt;0)*((IF(('Client DB &amp; Bed Mgmt'!$N$5:$N$428="")+NOT(ISNUMBER('Client DB &amp; Bed Mgmt'!$N$5:$N$428)),EOMONTH(X37,0),IF('Client DB &amp; Bed Mgmt'!$N$5:$N$428&lt;EOMONTH(X37,0),'Client DB &amp; Bed Mgmt'!$N$5:$N$428,EOMONTH(X37,0))))-(IF(('Client DB &amp; Bed Mgmt'!$M$5:$M$428="")+NOT(ISNUMBER('Client DB &amp; Bed Mgmt'!$M$5:$M$428)),DATE(YEAR(X37),MONTH(X37),1),IF('Client DB &amp; Bed Mgmt'!$M$5:$M$428&gt;DATE(YEAR(X37),MONTH(X37),1),'Client DB &amp; Bed Mgmt'!$M$5:$M$428,DATE(YEAR(X37),MONTH(X37),1))))+1)/DAY(EOMONTH(X37,0))),0)</f>
        <v/>
      </c>
    </row>
    <row r="38" ht="14.25" customHeight="1" s="83">
      <c r="A38" s="125">
        <f>IFERROR(INDEX($X$14:$X$49,AGGREGATE(15,6,(ROW($X$14:$X$49)-ROW($X$14)+1)/($Z$14:$Z$49&gt;0),ROWS($A$14:A38))),"")</f>
        <v/>
      </c>
      <c r="B38" s="103">
        <f>IFERROR(INDEX($Y$14:$Y$49,AGGREGATE(15,6,(ROW($X$14:$X$49)-ROW($X$14)+1)/($Z$14:$Z$49&gt;0),ROWS($A$14:A38))),"")</f>
        <v/>
      </c>
      <c r="C38" s="170">
        <f>IF($A38="","",IFERROR(_xlfn.XLOOKUP(B38,DormRegistry[Dorm Name],DormRegistry[Ownership Type]),""))</f>
        <v/>
      </c>
      <c r="D38" s="170">
        <f>IF($A38="","",IFERROR(_xlfn.XLOOKUP(B38,DormRegistry[Dorm Name],DormRegistry[Bed Capacity]),0))</f>
        <v/>
      </c>
      <c r="E38" s="130">
        <f>IF($A38="","",$B$6*(1+$B$8)^(YEAR(A38)-YEAR(StartDate)))</f>
        <v/>
      </c>
      <c r="F38" s="105">
        <f>IF($A38="","",$B$7)</f>
        <v/>
      </c>
      <c r="G38" s="105">
        <f>IF($A38="","",$B$8)</f>
        <v/>
      </c>
      <c r="H38" s="130">
        <f>IF($A38="","",D38*E38)</f>
        <v/>
      </c>
      <c r="I38" s="130">
        <f>IFERROR(INDEX($AA$14:$AA$49,AGGREGATE(15,6,(ROW($X$14:$X$49)-ROW($X$14)+1)/($Z$14:$Z$49&gt;0),ROWS($A$14:A38))),"")</f>
        <v/>
      </c>
      <c r="J38" s="130">
        <f>IF($A38="","",D38*F38*E38)</f>
        <v/>
      </c>
      <c r="K38" s="104">
        <f>IF($A38="","",75)</f>
        <v/>
      </c>
      <c r="L38" s="104">
        <f>IF($A38="","",50)</f>
        <v/>
      </c>
      <c r="M38" s="104">
        <f>IF($A38="","",150)</f>
        <v/>
      </c>
      <c r="N38" s="104">
        <f>IF($A38="","",125)</f>
        <v/>
      </c>
      <c r="O38" s="104">
        <f>IF($A38="","",60)</f>
        <v/>
      </c>
      <c r="P38" s="104">
        <f>IF($A38="","",80)</f>
        <v/>
      </c>
      <c r="Q38" s="104">
        <f>IF($A38="","",40)</f>
        <v/>
      </c>
      <c r="R38" s="130">
        <f>IF($A38="","",IF(C38="Owned",0,2500))</f>
        <v/>
      </c>
      <c r="S38" s="130">
        <f>IF($A38="","",SUM(K38:R38))</f>
        <v/>
      </c>
      <c r="T38" s="130">
        <f>IF($A38="","",I38-S38)</f>
        <v/>
      </c>
      <c r="U38" s="105">
        <f>IF($A38="","",IFERROR(T38/I38,0))</f>
        <v/>
      </c>
      <c r="V38" s="82">
        <f>IFERROR(INDEX($AB$14:$AB$49,AGGREGATE(15,6,(ROW($X$14:$X$49)-ROW($X$14)+1)/($Z$14:$Z$49&gt;0),ROWS($A$14:A38))),"")</f>
        <v/>
      </c>
      <c r="X38">
        <f>EDATE(StartDate,8)</f>
        <v/>
      </c>
      <c r="Y38" t="inlineStr">
        <is>
          <t>Dorm 1</t>
        </is>
      </c>
      <c r="Z38">
        <f>SUMPRODUCT(('Client DB &amp; Bed Mgmt'!$A$5:$A$428=Y38)*('Client DB &amp; Bed Mgmt'!$D$5:$D$428&lt;&gt;"")*--(('Client DB &amp; Bed Mgmt'!$M$5:$M$428="")+IFERROR('Client DB &amp; Bed Mgmt'!$M$5:$M$428&lt;=EOMONTH(X38,0),FALSE)&gt;0)*--(('Client DB &amp; Bed Mgmt'!$N$5:$N$428="")+NOT(ISNUMBER('Client DB &amp; Bed Mgmt'!$N$5:$N$428))+IFERROR('Client DB &amp; Bed Mgmt'!$N$5:$N$428&gt;=DATE(YEAR(X38),MONTH(X38),1),FALSE)&gt;0))</f>
        <v/>
      </c>
      <c r="AA38">
        <f>IFERROR(SUMPRODUCT(('Client DB &amp; Bed Mgmt'!$A$5:$A$428=Y38)*('Client DB &amp; Bed Mgmt'!$D$5:$D$428&lt;&gt;"")*--(('Client DB &amp; Bed Mgmt'!$M$5:$M$428="")+IFERROR('Client DB &amp; Bed Mgmt'!$M$5:$M$428&lt;=EOMONTH(X38,0),FALSE)&gt;0)*--(('Client DB &amp; Bed Mgmt'!$N$5:$N$428="")+NOT(ISNUMBER('Client DB &amp; Bed Mgmt'!$N$5:$N$428))+IFERROR('Client DB &amp; Bed Mgmt'!$N$5:$N$428&gt;=DATE(YEAR(X38),MONTH(X38),1),FALSE)&gt;0)*'Client DB &amp; Bed Mgmt'!$I$5:$I$428*((IF(('Client DB &amp; Bed Mgmt'!$N$5:$N$428="")+NOT(ISNUMBER('Client DB &amp; Bed Mgmt'!$N$5:$N$428)),EOMONTH(X38,0),IF('Client DB &amp; Bed Mgmt'!$N$5:$N$428&lt;EOMONTH(X38,0),'Client DB &amp; Bed Mgmt'!$N$5:$N$428,EOMONTH(X38,0))))-(IF(('Client DB &amp; Bed Mgmt'!$M$5:$M$428="")+NOT(ISNUMBER('Client DB &amp; Bed Mgmt'!$M$5:$M$428)),DATE(YEAR(X38),MONTH(X38),1),IF('Client DB &amp; Bed Mgmt'!$M$5:$M$428&gt;DATE(YEAR(X38),MONTH(X38),1),'Client DB &amp; Bed Mgmt'!$M$5:$M$428,DATE(YEAR(X38),MONTH(X38),1))))+1)/DAY(EOMONTH(X38,0))),0)</f>
        <v/>
      </c>
      <c r="AB38">
        <f>IFERROR(SUMPRODUCT(('Client DB &amp; Bed Mgmt'!$A$5:$A$428=Y38)*('Client DB &amp; Bed Mgmt'!$D$5:$D$428&lt;&gt;"")*--(('Client DB &amp; Bed Mgmt'!$M$5:$M$428="")+IFERROR('Client DB &amp; Bed Mgmt'!$M$5:$M$428&lt;=EOMONTH(X38,0),FALSE)&gt;0)*--(('Client DB &amp; Bed Mgmt'!$N$5:$N$428="")+NOT(ISNUMBER('Client DB &amp; Bed Mgmt'!$N$5:$N$428))+IFERROR('Client DB &amp; Bed Mgmt'!$N$5:$N$428&gt;=DATE(YEAR(X38),MONTH(X38),1),FALSE)&gt;0)*((IF(('Client DB &amp; Bed Mgmt'!$N$5:$N$428="")+NOT(ISNUMBER('Client DB &amp; Bed Mgmt'!$N$5:$N$428)),EOMONTH(X38,0),IF('Client DB &amp; Bed Mgmt'!$N$5:$N$428&lt;EOMONTH(X38,0),'Client DB &amp; Bed Mgmt'!$N$5:$N$428,EOMONTH(X38,0))))-(IF(('Client DB &amp; Bed Mgmt'!$M$5:$M$428="")+NOT(ISNUMBER('Client DB &amp; Bed Mgmt'!$M$5:$M$428)),DATE(YEAR(X38),MONTH(X38),1),IF('Client DB &amp; Bed Mgmt'!$M$5:$M$428&gt;DATE(YEAR(X38),MONTH(X38),1),'Client DB &amp; Bed Mgmt'!$M$5:$M$428,DATE(YEAR(X38),MONTH(X38),1))))+1)/DAY(EOMONTH(X38,0))),0)</f>
        <v/>
      </c>
    </row>
    <row r="39" hidden="1" ht="14.25" customHeight="1" s="83">
      <c r="A39" s="125">
        <f>IFERROR(INDEX($X$14:$X$49,AGGREGATE(15,6,(ROW($X$14:$X$49)-ROW($X$14)+1)/($Z$14:$Z$49&gt;0),ROWS($A$14:A39))),"")</f>
        <v/>
      </c>
      <c r="B39" s="103">
        <f>IFERROR(INDEX($Y$14:$Y$49,AGGREGATE(15,6,(ROW($X$14:$X$49)-ROW($X$14)+1)/($Z$14:$Z$49&gt;0),ROWS($A$14:A39))),"")</f>
        <v/>
      </c>
      <c r="C39" s="170">
        <f>IF($A39="","",IFERROR(_xlfn.XLOOKUP(B39,DormRegistry[Dorm Name],DormRegistry[Ownership Type]),""))</f>
        <v/>
      </c>
      <c r="D39" s="170">
        <f>IF($A39="","",IFERROR(_xlfn.XLOOKUP(B39,DormRegistry[Dorm Name],DormRegistry[Bed Capacity]),0))</f>
        <v/>
      </c>
      <c r="E39" s="130">
        <f>IF($A39="","",$B$6*(1+$B$8)^(YEAR(A39)-YEAR(StartDate)))</f>
        <v/>
      </c>
      <c r="F39" s="105">
        <f>IF($A39="","",$B$7)</f>
        <v/>
      </c>
      <c r="G39" s="105">
        <f>IF($A39="","",$B$8)</f>
        <v/>
      </c>
      <c r="H39" s="130">
        <f>IF($A39="","",D39*E39)</f>
        <v/>
      </c>
      <c r="I39" s="130">
        <f>IFERROR(INDEX($AA$14:$AA$49,AGGREGATE(15,6,(ROW($X$14:$X$49)-ROW($X$14)+1)/($Z$14:$Z$49&gt;0),ROWS($A$14:A39))),"")</f>
        <v/>
      </c>
      <c r="J39" s="130">
        <f>IF($A39="","",D39*F39*E39)</f>
        <v/>
      </c>
      <c r="K39" s="104">
        <f>IF($A39="","",75)</f>
        <v/>
      </c>
      <c r="L39" s="104">
        <f>IF($A39="","",50)</f>
        <v/>
      </c>
      <c r="M39" s="104">
        <f>IF($A39="","",150)</f>
        <v/>
      </c>
      <c r="N39" s="104">
        <f>IF($A39="","",125)</f>
        <v/>
      </c>
      <c r="O39" s="104">
        <f>IF($A39="","",60)</f>
        <v/>
      </c>
      <c r="P39" s="104">
        <f>IF($A39="","",80)</f>
        <v/>
      </c>
      <c r="Q39" s="104">
        <f>IF($A39="","",40)</f>
        <v/>
      </c>
      <c r="R39" s="130">
        <f>IF($A39="","",IF(C39="Owned",0,2500))</f>
        <v/>
      </c>
      <c r="S39" s="130">
        <f>IF($A39="","",SUM(K39:R39))</f>
        <v/>
      </c>
      <c r="T39" s="130">
        <f>IF($A39="","",I39-S39)</f>
        <v/>
      </c>
      <c r="U39" s="105">
        <f>IF($A39="","",IFERROR(T39/I39,0))</f>
        <v/>
      </c>
      <c r="V39" s="82">
        <f>IFERROR(INDEX($AB$14:$AB$49,AGGREGATE(15,6,(ROW($X$14:$X$49)-ROW($X$14)+1)/($Z$14:$Z$49&gt;0),ROWS($A$14:A39))),"")</f>
        <v/>
      </c>
      <c r="X39">
        <f>EDATE(StartDate,8)</f>
        <v/>
      </c>
      <c r="Y39" t="inlineStr">
        <is>
          <t>Dorm 2</t>
        </is>
      </c>
      <c r="Z39">
        <f>SUMPRODUCT(('Client DB &amp; Bed Mgmt'!$A$5:$A$428=Y39)*('Client DB &amp; Bed Mgmt'!$D$5:$D$428&lt;&gt;"")*--(('Client DB &amp; Bed Mgmt'!$M$5:$M$428="")+IFERROR('Client DB &amp; Bed Mgmt'!$M$5:$M$428&lt;=EOMONTH(X39,0),FALSE)&gt;0)*--(('Client DB &amp; Bed Mgmt'!$N$5:$N$428="")+NOT(ISNUMBER('Client DB &amp; Bed Mgmt'!$N$5:$N$428))+IFERROR('Client DB &amp; Bed Mgmt'!$N$5:$N$428&gt;=DATE(YEAR(X39),MONTH(X39),1),FALSE)&gt;0))</f>
        <v/>
      </c>
      <c r="AA39">
        <f>IFERROR(SUMPRODUCT(('Client DB &amp; Bed Mgmt'!$A$5:$A$428=Y39)*('Client DB &amp; Bed Mgmt'!$D$5:$D$428&lt;&gt;"")*--(('Client DB &amp; Bed Mgmt'!$M$5:$M$428="")+IFERROR('Client DB &amp; Bed Mgmt'!$M$5:$M$428&lt;=EOMONTH(X39,0),FALSE)&gt;0)*--(('Client DB &amp; Bed Mgmt'!$N$5:$N$428="")+NOT(ISNUMBER('Client DB &amp; Bed Mgmt'!$N$5:$N$428))+IFERROR('Client DB &amp; Bed Mgmt'!$N$5:$N$428&gt;=DATE(YEAR(X39),MONTH(X39),1),FALSE)&gt;0)*'Client DB &amp; Bed Mgmt'!$I$5:$I$428*((IF(('Client DB &amp; Bed Mgmt'!$N$5:$N$428="")+NOT(ISNUMBER('Client DB &amp; Bed Mgmt'!$N$5:$N$428)),EOMONTH(X39,0),IF('Client DB &amp; Bed Mgmt'!$N$5:$N$428&lt;EOMONTH(X39,0),'Client DB &amp; Bed Mgmt'!$N$5:$N$428,EOMONTH(X39,0))))-(IF(('Client DB &amp; Bed Mgmt'!$M$5:$M$428="")+NOT(ISNUMBER('Client DB &amp; Bed Mgmt'!$M$5:$M$428)),DATE(YEAR(X39),MONTH(X39),1),IF('Client DB &amp; Bed Mgmt'!$M$5:$M$428&gt;DATE(YEAR(X39),MONTH(X39),1),'Client DB &amp; Bed Mgmt'!$M$5:$M$428,DATE(YEAR(X39),MONTH(X39),1))))+1)/DAY(EOMONTH(X39,0))),0)</f>
        <v/>
      </c>
      <c r="AB39">
        <f>IFERROR(SUMPRODUCT(('Client DB &amp; Bed Mgmt'!$A$5:$A$428=Y39)*('Client DB &amp; Bed Mgmt'!$D$5:$D$428&lt;&gt;"")*--(('Client DB &amp; Bed Mgmt'!$M$5:$M$428="")+IFERROR('Client DB &amp; Bed Mgmt'!$M$5:$M$428&lt;=EOMONTH(X39,0),FALSE)&gt;0)*--(('Client DB &amp; Bed Mgmt'!$N$5:$N$428="")+NOT(ISNUMBER('Client DB &amp; Bed Mgmt'!$N$5:$N$428))+IFERROR('Client DB &amp; Bed Mgmt'!$N$5:$N$428&gt;=DATE(YEAR(X39),MONTH(X39),1),FALSE)&gt;0)*((IF(('Client DB &amp; Bed Mgmt'!$N$5:$N$428="")+NOT(ISNUMBER('Client DB &amp; Bed Mgmt'!$N$5:$N$428)),EOMONTH(X39,0),IF('Client DB &amp; Bed Mgmt'!$N$5:$N$428&lt;EOMONTH(X39,0),'Client DB &amp; Bed Mgmt'!$N$5:$N$428,EOMONTH(X39,0))))-(IF(('Client DB &amp; Bed Mgmt'!$M$5:$M$428="")+NOT(ISNUMBER('Client DB &amp; Bed Mgmt'!$M$5:$M$428)),DATE(YEAR(X39),MONTH(X39),1),IF('Client DB &amp; Bed Mgmt'!$M$5:$M$428&gt;DATE(YEAR(X39),MONTH(X39),1),'Client DB &amp; Bed Mgmt'!$M$5:$M$428,DATE(YEAR(X39),MONTH(X39),1))))+1)/DAY(EOMONTH(X39,0))),0)</f>
        <v/>
      </c>
    </row>
    <row r="40" hidden="1" ht="14.25" customHeight="1" s="83">
      <c r="A40" s="125">
        <f>IFERROR(INDEX($X$14:$X$49,AGGREGATE(15,6,(ROW($X$14:$X$49)-ROW($X$14)+1)/($Z$14:$Z$49&gt;0),ROWS($A$14:A40))),"")</f>
        <v/>
      </c>
      <c r="B40" s="103">
        <f>IFERROR(INDEX($Y$14:$Y$49,AGGREGATE(15,6,(ROW($X$14:$X$49)-ROW($X$14)+1)/($Z$14:$Z$49&gt;0),ROWS($A$14:A40))),"")</f>
        <v/>
      </c>
      <c r="C40" s="170">
        <f>IF($A40="","",IFERROR(_xlfn.XLOOKUP(B40,DormRegistry[Dorm Name],DormRegistry[Ownership Type]),""))</f>
        <v/>
      </c>
      <c r="D40" s="170">
        <f>IF($A40="","",IFERROR(_xlfn.XLOOKUP(B40,DormRegistry[Dorm Name],DormRegistry[Bed Capacity]),0))</f>
        <v/>
      </c>
      <c r="E40" s="130">
        <f>IF($A40="","",$B$6*(1+$B$8)^(YEAR(A40)-YEAR(StartDate)))</f>
        <v/>
      </c>
      <c r="F40" s="105">
        <f>IF($A40="","",$B$7)</f>
        <v/>
      </c>
      <c r="G40" s="105">
        <f>IF($A40="","",$B$8)</f>
        <v/>
      </c>
      <c r="H40" s="130">
        <f>IF($A40="","",D40*E40)</f>
        <v/>
      </c>
      <c r="I40" s="130">
        <f>IFERROR(INDEX($AA$14:$AA$49,AGGREGATE(15,6,(ROW($X$14:$X$49)-ROW($X$14)+1)/($Z$14:$Z$49&gt;0),ROWS($A$14:A40))),"")</f>
        <v/>
      </c>
      <c r="J40" s="130">
        <f>IF($A40="","",D40*F40*E40)</f>
        <v/>
      </c>
      <c r="K40" s="104">
        <f>IF($A40="","",75)</f>
        <v/>
      </c>
      <c r="L40" s="104">
        <f>IF($A40="","",50)</f>
        <v/>
      </c>
      <c r="M40" s="104">
        <f>IF($A40="","",150)</f>
        <v/>
      </c>
      <c r="N40" s="104">
        <f>IF($A40="","",125)</f>
        <v/>
      </c>
      <c r="O40" s="104">
        <f>IF($A40="","",60)</f>
        <v/>
      </c>
      <c r="P40" s="104">
        <f>IF($A40="","",80)</f>
        <v/>
      </c>
      <c r="Q40" s="104">
        <f>IF($A40="","",40)</f>
        <v/>
      </c>
      <c r="R40" s="130">
        <f>IF($A40="","",IF(C40="Owned",0,2500))</f>
        <v/>
      </c>
      <c r="S40" s="130">
        <f>IF($A40="","",SUM(K40:R40))</f>
        <v/>
      </c>
      <c r="T40" s="130">
        <f>IF($A40="","",I40-S40)</f>
        <v/>
      </c>
      <c r="U40" s="105">
        <f>IF($A40="","",IFERROR(T40/I40,0))</f>
        <v/>
      </c>
      <c r="V40" s="82">
        <f>IFERROR(INDEX($AB$14:$AB$49,AGGREGATE(15,6,(ROW($X$14:$X$49)-ROW($X$14)+1)/($Z$14:$Z$49&gt;0),ROWS($A$14:A40))),"")</f>
        <v/>
      </c>
      <c r="X40">
        <f>EDATE(StartDate,8)</f>
        <v/>
      </c>
      <c r="Y40" t="inlineStr">
        <is>
          <t>Dorm 3</t>
        </is>
      </c>
      <c r="Z40">
        <f>SUMPRODUCT(('Client DB &amp; Bed Mgmt'!$A$5:$A$428=Y40)*('Client DB &amp; Bed Mgmt'!$D$5:$D$428&lt;&gt;"")*--(('Client DB &amp; Bed Mgmt'!$M$5:$M$428="")+IFERROR('Client DB &amp; Bed Mgmt'!$M$5:$M$428&lt;=EOMONTH(X40,0),FALSE)&gt;0)*--(('Client DB &amp; Bed Mgmt'!$N$5:$N$428="")+NOT(ISNUMBER('Client DB &amp; Bed Mgmt'!$N$5:$N$428))+IFERROR('Client DB &amp; Bed Mgmt'!$N$5:$N$428&gt;=DATE(YEAR(X40),MONTH(X40),1),FALSE)&gt;0))</f>
        <v/>
      </c>
      <c r="AA40">
        <f>IFERROR(SUMPRODUCT(('Client DB &amp; Bed Mgmt'!$A$5:$A$428=Y40)*('Client DB &amp; Bed Mgmt'!$D$5:$D$428&lt;&gt;"")*--(('Client DB &amp; Bed Mgmt'!$M$5:$M$428="")+IFERROR('Client DB &amp; Bed Mgmt'!$M$5:$M$428&lt;=EOMONTH(X40,0),FALSE)&gt;0)*--(('Client DB &amp; Bed Mgmt'!$N$5:$N$428="")+NOT(ISNUMBER('Client DB &amp; Bed Mgmt'!$N$5:$N$428))+IFERROR('Client DB &amp; Bed Mgmt'!$N$5:$N$428&gt;=DATE(YEAR(X40),MONTH(X40),1),FALSE)&gt;0)*'Client DB &amp; Bed Mgmt'!$I$5:$I$428*((IF(('Client DB &amp; Bed Mgmt'!$N$5:$N$428="")+NOT(ISNUMBER('Client DB &amp; Bed Mgmt'!$N$5:$N$428)),EOMONTH(X40,0),IF('Client DB &amp; Bed Mgmt'!$N$5:$N$428&lt;EOMONTH(X40,0),'Client DB &amp; Bed Mgmt'!$N$5:$N$428,EOMONTH(X40,0))))-(IF(('Client DB &amp; Bed Mgmt'!$M$5:$M$428="")+NOT(ISNUMBER('Client DB &amp; Bed Mgmt'!$M$5:$M$428)),DATE(YEAR(X40),MONTH(X40),1),IF('Client DB &amp; Bed Mgmt'!$M$5:$M$428&gt;DATE(YEAR(X40),MONTH(X40),1),'Client DB &amp; Bed Mgmt'!$M$5:$M$428,DATE(YEAR(X40),MONTH(X40),1))))+1)/DAY(EOMONTH(X40,0))),0)</f>
        <v/>
      </c>
      <c r="AB40">
        <f>IFERROR(SUMPRODUCT(('Client DB &amp; Bed Mgmt'!$A$5:$A$428=Y40)*('Client DB &amp; Bed Mgmt'!$D$5:$D$428&lt;&gt;"")*--(('Client DB &amp; Bed Mgmt'!$M$5:$M$428="")+IFERROR('Client DB &amp; Bed Mgmt'!$M$5:$M$428&lt;=EOMONTH(X40,0),FALSE)&gt;0)*--(('Client DB &amp; Bed Mgmt'!$N$5:$N$428="")+NOT(ISNUMBER('Client DB &amp; Bed Mgmt'!$N$5:$N$428))+IFERROR('Client DB &amp; Bed Mgmt'!$N$5:$N$428&gt;=DATE(YEAR(X40),MONTH(X40),1),FALSE)&gt;0)*((IF(('Client DB &amp; Bed Mgmt'!$N$5:$N$428="")+NOT(ISNUMBER('Client DB &amp; Bed Mgmt'!$N$5:$N$428)),EOMONTH(X40,0),IF('Client DB &amp; Bed Mgmt'!$N$5:$N$428&lt;EOMONTH(X40,0),'Client DB &amp; Bed Mgmt'!$N$5:$N$428,EOMONTH(X40,0))))-(IF(('Client DB &amp; Bed Mgmt'!$M$5:$M$428="")+NOT(ISNUMBER('Client DB &amp; Bed Mgmt'!$M$5:$M$428)),DATE(YEAR(X40),MONTH(X40),1),IF('Client DB &amp; Bed Mgmt'!$M$5:$M$428&gt;DATE(YEAR(X40),MONTH(X40),1),'Client DB &amp; Bed Mgmt'!$M$5:$M$428,DATE(YEAR(X40),MONTH(X40),1))))+1)/DAY(EOMONTH(X40,0))),0)</f>
        <v/>
      </c>
    </row>
    <row r="41" ht="14.25" customHeight="1" s="83">
      <c r="A41" s="125">
        <f>IFERROR(INDEX($X$14:$X$49,AGGREGATE(15,6,(ROW($X$14:$X$49)-ROW($X$14)+1)/($Z$14:$Z$49&gt;0),ROWS($A$14:A41))),"")</f>
        <v/>
      </c>
      <c r="B41" s="103">
        <f>IFERROR(INDEX($Y$14:$Y$49,AGGREGATE(15,6,(ROW($X$14:$X$49)-ROW($X$14)+1)/($Z$14:$Z$49&gt;0),ROWS($A$14:A41))),"")</f>
        <v/>
      </c>
      <c r="C41" s="170">
        <f>IF($A41="","",IFERROR(_xlfn.XLOOKUP(B41,DormRegistry[Dorm Name],DormRegistry[Ownership Type]),""))</f>
        <v/>
      </c>
      <c r="D41" s="170">
        <f>IF($A41="","",IFERROR(_xlfn.XLOOKUP(B41,DormRegistry[Dorm Name],DormRegistry[Bed Capacity]),0))</f>
        <v/>
      </c>
      <c r="E41" s="130">
        <f>IF($A41="","",$B$6*(1+$B$8)^(YEAR(A41)-YEAR(StartDate)))</f>
        <v/>
      </c>
      <c r="F41" s="105">
        <f>IF($A41="","",$B$7)</f>
        <v/>
      </c>
      <c r="G41" s="105">
        <f>IF($A41="","",$B$8)</f>
        <v/>
      </c>
      <c r="H41" s="130">
        <f>IF($A41="","",D41*E41)</f>
        <v/>
      </c>
      <c r="I41" s="130">
        <f>IFERROR(INDEX($AA$14:$AA$49,AGGREGATE(15,6,(ROW($X$14:$X$49)-ROW($X$14)+1)/($Z$14:$Z$49&gt;0),ROWS($A$14:A41))),"")</f>
        <v/>
      </c>
      <c r="J41" s="130">
        <f>IF($A41="","",D41*F41*E41)</f>
        <v/>
      </c>
      <c r="K41" s="104">
        <f>IF($A41="","",75)</f>
        <v/>
      </c>
      <c r="L41" s="104">
        <f>IF($A41="","",50)</f>
        <v/>
      </c>
      <c r="M41" s="104">
        <f>IF($A41="","",150)</f>
        <v/>
      </c>
      <c r="N41" s="104">
        <f>IF($A41="","",125)</f>
        <v/>
      </c>
      <c r="O41" s="104">
        <f>IF($A41="","",60)</f>
        <v/>
      </c>
      <c r="P41" s="104">
        <f>IF($A41="","",80)</f>
        <v/>
      </c>
      <c r="Q41" s="104">
        <f>IF($A41="","",40)</f>
        <v/>
      </c>
      <c r="R41" s="130">
        <f>IF($A41="","",IF(C41="Owned",0,2500))</f>
        <v/>
      </c>
      <c r="S41" s="130">
        <f>IF($A41="","",SUM(K41:R41))</f>
        <v/>
      </c>
      <c r="T41" s="130">
        <f>IF($A41="","",I41-S41)</f>
        <v/>
      </c>
      <c r="U41" s="105">
        <f>IF($A41="","",IFERROR(T41/I41,0))</f>
        <v/>
      </c>
      <c r="V41" s="82">
        <f>IFERROR(INDEX($AB$14:$AB$49,AGGREGATE(15,6,(ROW($X$14:$X$49)-ROW($X$14)+1)/($Z$14:$Z$49&gt;0),ROWS($A$14:A41))),"")</f>
        <v/>
      </c>
      <c r="X41">
        <f>EDATE(StartDate,9)</f>
        <v/>
      </c>
      <c r="Y41" t="inlineStr">
        <is>
          <t>Dorm 1</t>
        </is>
      </c>
      <c r="Z41">
        <f>SUMPRODUCT(('Client DB &amp; Bed Mgmt'!$A$5:$A$428=Y41)*('Client DB &amp; Bed Mgmt'!$D$5:$D$428&lt;&gt;"")*--(('Client DB &amp; Bed Mgmt'!$M$5:$M$428="")+IFERROR('Client DB &amp; Bed Mgmt'!$M$5:$M$428&lt;=EOMONTH(X41,0),FALSE)&gt;0)*--(('Client DB &amp; Bed Mgmt'!$N$5:$N$428="")+NOT(ISNUMBER('Client DB &amp; Bed Mgmt'!$N$5:$N$428))+IFERROR('Client DB &amp; Bed Mgmt'!$N$5:$N$428&gt;=DATE(YEAR(X41),MONTH(X41),1),FALSE)&gt;0))</f>
        <v/>
      </c>
      <c r="AA41">
        <f>IFERROR(SUMPRODUCT(('Client DB &amp; Bed Mgmt'!$A$5:$A$428=Y41)*('Client DB &amp; Bed Mgmt'!$D$5:$D$428&lt;&gt;"")*--(('Client DB &amp; Bed Mgmt'!$M$5:$M$428="")+IFERROR('Client DB &amp; Bed Mgmt'!$M$5:$M$428&lt;=EOMONTH(X41,0),FALSE)&gt;0)*--(('Client DB &amp; Bed Mgmt'!$N$5:$N$428="")+NOT(ISNUMBER('Client DB &amp; Bed Mgmt'!$N$5:$N$428))+IFERROR('Client DB &amp; Bed Mgmt'!$N$5:$N$428&gt;=DATE(YEAR(X41),MONTH(X41),1),FALSE)&gt;0)*'Client DB &amp; Bed Mgmt'!$I$5:$I$428*((IF(('Client DB &amp; Bed Mgmt'!$N$5:$N$428="")+NOT(ISNUMBER('Client DB &amp; Bed Mgmt'!$N$5:$N$428)),EOMONTH(X41,0),IF('Client DB &amp; Bed Mgmt'!$N$5:$N$428&lt;EOMONTH(X41,0),'Client DB &amp; Bed Mgmt'!$N$5:$N$428,EOMONTH(X41,0))))-(IF(('Client DB &amp; Bed Mgmt'!$M$5:$M$428="")+NOT(ISNUMBER('Client DB &amp; Bed Mgmt'!$M$5:$M$428)),DATE(YEAR(X41),MONTH(X41),1),IF('Client DB &amp; Bed Mgmt'!$M$5:$M$428&gt;DATE(YEAR(X41),MONTH(X41),1),'Client DB &amp; Bed Mgmt'!$M$5:$M$428,DATE(YEAR(X41),MONTH(X41),1))))+1)/DAY(EOMONTH(X41,0))),0)</f>
        <v/>
      </c>
      <c r="AB41">
        <f>IFERROR(SUMPRODUCT(('Client DB &amp; Bed Mgmt'!$A$5:$A$428=Y41)*('Client DB &amp; Bed Mgmt'!$D$5:$D$428&lt;&gt;"")*--(('Client DB &amp; Bed Mgmt'!$M$5:$M$428="")+IFERROR('Client DB &amp; Bed Mgmt'!$M$5:$M$428&lt;=EOMONTH(X41,0),FALSE)&gt;0)*--(('Client DB &amp; Bed Mgmt'!$N$5:$N$428="")+NOT(ISNUMBER('Client DB &amp; Bed Mgmt'!$N$5:$N$428))+IFERROR('Client DB &amp; Bed Mgmt'!$N$5:$N$428&gt;=DATE(YEAR(X41),MONTH(X41),1),FALSE)&gt;0)*((IF(('Client DB &amp; Bed Mgmt'!$N$5:$N$428="")+NOT(ISNUMBER('Client DB &amp; Bed Mgmt'!$N$5:$N$428)),EOMONTH(X41,0),IF('Client DB &amp; Bed Mgmt'!$N$5:$N$428&lt;EOMONTH(X41,0),'Client DB &amp; Bed Mgmt'!$N$5:$N$428,EOMONTH(X41,0))))-(IF(('Client DB &amp; Bed Mgmt'!$M$5:$M$428="")+NOT(ISNUMBER('Client DB &amp; Bed Mgmt'!$M$5:$M$428)),DATE(YEAR(X41),MONTH(X41),1),IF('Client DB &amp; Bed Mgmt'!$M$5:$M$428&gt;DATE(YEAR(X41),MONTH(X41),1),'Client DB &amp; Bed Mgmt'!$M$5:$M$428,DATE(YEAR(X41),MONTH(X41),1))))+1)/DAY(EOMONTH(X41,0))),0)</f>
        <v/>
      </c>
    </row>
    <row r="42" hidden="1" ht="14.25" customHeight="1" s="83">
      <c r="A42" s="125">
        <f>IFERROR(INDEX($X$14:$X$49,AGGREGATE(15,6,(ROW($X$14:$X$49)-ROW($X$14)+1)/($Z$14:$Z$49&gt;0),ROWS($A$14:A42))),"")</f>
        <v/>
      </c>
      <c r="B42" s="103">
        <f>IFERROR(INDEX($Y$14:$Y$49,AGGREGATE(15,6,(ROW($X$14:$X$49)-ROW($X$14)+1)/($Z$14:$Z$49&gt;0),ROWS($A$14:A42))),"")</f>
        <v/>
      </c>
      <c r="C42" s="170">
        <f>IF($A42="","",IFERROR(_xlfn.XLOOKUP(B42,DormRegistry[Dorm Name],DormRegistry[Ownership Type]),""))</f>
        <v/>
      </c>
      <c r="D42" s="170">
        <f>IF($A42="","",IFERROR(_xlfn.XLOOKUP(B42,DormRegistry[Dorm Name],DormRegistry[Bed Capacity]),0))</f>
        <v/>
      </c>
      <c r="E42" s="130">
        <f>IF($A42="","",$B$6*(1+$B$8)^(YEAR(A42)-YEAR(StartDate)))</f>
        <v/>
      </c>
      <c r="F42" s="105">
        <f>IF($A42="","",$B$7)</f>
        <v/>
      </c>
      <c r="G42" s="105">
        <f>IF($A42="","",$B$8)</f>
        <v/>
      </c>
      <c r="H42" s="130">
        <f>IF($A42="","",D42*E42)</f>
        <v/>
      </c>
      <c r="I42" s="130">
        <f>IFERROR(INDEX($AA$14:$AA$49,AGGREGATE(15,6,(ROW($X$14:$X$49)-ROW($X$14)+1)/($Z$14:$Z$49&gt;0),ROWS($A$14:A42))),"")</f>
        <v/>
      </c>
      <c r="J42" s="130">
        <f>IF($A42="","",D42*F42*E42)</f>
        <v/>
      </c>
      <c r="K42" s="104">
        <f>IF($A42="","",75)</f>
        <v/>
      </c>
      <c r="L42" s="104">
        <f>IF($A42="","",50)</f>
        <v/>
      </c>
      <c r="M42" s="104">
        <f>IF($A42="","",150)</f>
        <v/>
      </c>
      <c r="N42" s="104">
        <f>IF($A42="","",125)</f>
        <v/>
      </c>
      <c r="O42" s="104">
        <f>IF($A42="","",60)</f>
        <v/>
      </c>
      <c r="P42" s="104">
        <f>IF($A42="","",80)</f>
        <v/>
      </c>
      <c r="Q42" s="104">
        <f>IF($A42="","",40)</f>
        <v/>
      </c>
      <c r="R42" s="130">
        <f>IF($A42="","",IF(C42="Owned",0,2500))</f>
        <v/>
      </c>
      <c r="S42" s="130">
        <f>IF($A42="","",SUM(K42:R42))</f>
        <v/>
      </c>
      <c r="T42" s="130">
        <f>IF($A42="","",I42-S42)</f>
        <v/>
      </c>
      <c r="U42" s="105">
        <f>IF($A42="","",IFERROR(T42/I42,0))</f>
        <v/>
      </c>
      <c r="V42" s="82">
        <f>IFERROR(INDEX($AB$14:$AB$49,AGGREGATE(15,6,(ROW($X$14:$X$49)-ROW($X$14)+1)/($Z$14:$Z$49&gt;0),ROWS($A$14:A42))),"")</f>
        <v/>
      </c>
      <c r="X42">
        <f>EDATE(StartDate,9)</f>
        <v/>
      </c>
      <c r="Y42" t="inlineStr">
        <is>
          <t>Dorm 2</t>
        </is>
      </c>
      <c r="Z42">
        <f>SUMPRODUCT(('Client DB &amp; Bed Mgmt'!$A$5:$A$428=Y42)*('Client DB &amp; Bed Mgmt'!$D$5:$D$428&lt;&gt;"")*--(('Client DB &amp; Bed Mgmt'!$M$5:$M$428="")+IFERROR('Client DB &amp; Bed Mgmt'!$M$5:$M$428&lt;=EOMONTH(X42,0),FALSE)&gt;0)*--(('Client DB &amp; Bed Mgmt'!$N$5:$N$428="")+NOT(ISNUMBER('Client DB &amp; Bed Mgmt'!$N$5:$N$428))+IFERROR('Client DB &amp; Bed Mgmt'!$N$5:$N$428&gt;=DATE(YEAR(X42),MONTH(X42),1),FALSE)&gt;0))</f>
        <v/>
      </c>
      <c r="AA42">
        <f>IFERROR(SUMPRODUCT(('Client DB &amp; Bed Mgmt'!$A$5:$A$428=Y42)*('Client DB &amp; Bed Mgmt'!$D$5:$D$428&lt;&gt;"")*--(('Client DB &amp; Bed Mgmt'!$M$5:$M$428="")+IFERROR('Client DB &amp; Bed Mgmt'!$M$5:$M$428&lt;=EOMONTH(X42,0),FALSE)&gt;0)*--(('Client DB &amp; Bed Mgmt'!$N$5:$N$428="")+NOT(ISNUMBER('Client DB &amp; Bed Mgmt'!$N$5:$N$428))+IFERROR('Client DB &amp; Bed Mgmt'!$N$5:$N$428&gt;=DATE(YEAR(X42),MONTH(X42),1),FALSE)&gt;0)*'Client DB &amp; Bed Mgmt'!$I$5:$I$428*((IF(('Client DB &amp; Bed Mgmt'!$N$5:$N$428="")+NOT(ISNUMBER('Client DB &amp; Bed Mgmt'!$N$5:$N$428)),EOMONTH(X42,0),IF('Client DB &amp; Bed Mgmt'!$N$5:$N$428&lt;EOMONTH(X42,0),'Client DB &amp; Bed Mgmt'!$N$5:$N$428,EOMONTH(X42,0))))-(IF(('Client DB &amp; Bed Mgmt'!$M$5:$M$428="")+NOT(ISNUMBER('Client DB &amp; Bed Mgmt'!$M$5:$M$428)),DATE(YEAR(X42),MONTH(X42),1),IF('Client DB &amp; Bed Mgmt'!$M$5:$M$428&gt;DATE(YEAR(X42),MONTH(X42),1),'Client DB &amp; Bed Mgmt'!$M$5:$M$428,DATE(YEAR(X42),MONTH(X42),1))))+1)/DAY(EOMONTH(X42,0))),0)</f>
        <v/>
      </c>
      <c r="AB42">
        <f>IFERROR(SUMPRODUCT(('Client DB &amp; Bed Mgmt'!$A$5:$A$428=Y42)*('Client DB &amp; Bed Mgmt'!$D$5:$D$428&lt;&gt;"")*--(('Client DB &amp; Bed Mgmt'!$M$5:$M$428="")+IFERROR('Client DB &amp; Bed Mgmt'!$M$5:$M$428&lt;=EOMONTH(X42,0),FALSE)&gt;0)*--(('Client DB &amp; Bed Mgmt'!$N$5:$N$428="")+NOT(ISNUMBER('Client DB &amp; Bed Mgmt'!$N$5:$N$428))+IFERROR('Client DB &amp; Bed Mgmt'!$N$5:$N$428&gt;=DATE(YEAR(X42),MONTH(X42),1),FALSE)&gt;0)*((IF(('Client DB &amp; Bed Mgmt'!$N$5:$N$428="")+NOT(ISNUMBER('Client DB &amp; Bed Mgmt'!$N$5:$N$428)),EOMONTH(X42,0),IF('Client DB &amp; Bed Mgmt'!$N$5:$N$428&lt;EOMONTH(X42,0),'Client DB &amp; Bed Mgmt'!$N$5:$N$428,EOMONTH(X42,0))))-(IF(('Client DB &amp; Bed Mgmt'!$M$5:$M$428="")+NOT(ISNUMBER('Client DB &amp; Bed Mgmt'!$M$5:$M$428)),DATE(YEAR(X42),MONTH(X42),1),IF('Client DB &amp; Bed Mgmt'!$M$5:$M$428&gt;DATE(YEAR(X42),MONTH(X42),1),'Client DB &amp; Bed Mgmt'!$M$5:$M$428,DATE(YEAR(X42),MONTH(X42),1))))+1)/DAY(EOMONTH(X42,0))),0)</f>
        <v/>
      </c>
    </row>
    <row r="43" hidden="1" ht="14.25" customHeight="1" s="83">
      <c r="A43" s="125">
        <f>IFERROR(INDEX($X$14:$X$49,AGGREGATE(15,6,(ROW($X$14:$X$49)-ROW($X$14)+1)/($Z$14:$Z$49&gt;0),ROWS($A$14:A43))),"")</f>
        <v/>
      </c>
      <c r="B43" s="103">
        <f>IFERROR(INDEX($Y$14:$Y$49,AGGREGATE(15,6,(ROW($X$14:$X$49)-ROW($X$14)+1)/($Z$14:$Z$49&gt;0),ROWS($A$14:A43))),"")</f>
        <v/>
      </c>
      <c r="C43" s="170">
        <f>IF($A43="","",IFERROR(_xlfn.XLOOKUP(B43,DormRegistry[Dorm Name],DormRegistry[Ownership Type]),""))</f>
        <v/>
      </c>
      <c r="D43" s="170">
        <f>IF($A43="","",IFERROR(_xlfn.XLOOKUP(B43,DormRegistry[Dorm Name],DormRegistry[Bed Capacity]),0))</f>
        <v/>
      </c>
      <c r="E43" s="130">
        <f>IF($A43="","",$B$6*(1+$B$8)^(YEAR(A43)-YEAR(StartDate)))</f>
        <v/>
      </c>
      <c r="F43" s="105">
        <f>IF($A43="","",$B$7)</f>
        <v/>
      </c>
      <c r="G43" s="105">
        <f>IF($A43="","",$B$8)</f>
        <v/>
      </c>
      <c r="H43" s="130">
        <f>IF($A43="","",D43*E43)</f>
        <v/>
      </c>
      <c r="I43" s="130">
        <f>IFERROR(INDEX($AA$14:$AA$49,AGGREGATE(15,6,(ROW($X$14:$X$49)-ROW($X$14)+1)/($Z$14:$Z$49&gt;0),ROWS($A$14:A43))),"")</f>
        <v/>
      </c>
      <c r="J43" s="130">
        <f>IF($A43="","",D43*F43*E43)</f>
        <v/>
      </c>
      <c r="K43" s="104">
        <f>IF($A43="","",75)</f>
        <v/>
      </c>
      <c r="L43" s="104">
        <f>IF($A43="","",50)</f>
        <v/>
      </c>
      <c r="M43" s="104">
        <f>IF($A43="","",150)</f>
        <v/>
      </c>
      <c r="N43" s="104">
        <f>IF($A43="","",125)</f>
        <v/>
      </c>
      <c r="O43" s="104">
        <f>IF($A43="","",60)</f>
        <v/>
      </c>
      <c r="P43" s="104">
        <f>IF($A43="","",80)</f>
        <v/>
      </c>
      <c r="Q43" s="104">
        <f>IF($A43="","",40)</f>
        <v/>
      </c>
      <c r="R43" s="130">
        <f>IF($A43="","",IF(C43="Owned",0,2500))</f>
        <v/>
      </c>
      <c r="S43" s="130">
        <f>IF($A43="","",SUM(K43:R43))</f>
        <v/>
      </c>
      <c r="T43" s="130">
        <f>IF($A43="","",I43-S43)</f>
        <v/>
      </c>
      <c r="U43" s="105">
        <f>IF($A43="","",IFERROR(T43/I43,0))</f>
        <v/>
      </c>
      <c r="V43" s="82">
        <f>IFERROR(INDEX($AB$14:$AB$49,AGGREGATE(15,6,(ROW($X$14:$X$49)-ROW($X$14)+1)/($Z$14:$Z$49&gt;0),ROWS($A$14:A43))),"")</f>
        <v/>
      </c>
      <c r="X43">
        <f>EDATE(StartDate,9)</f>
        <v/>
      </c>
      <c r="Y43" t="inlineStr">
        <is>
          <t>Dorm 3</t>
        </is>
      </c>
      <c r="Z43">
        <f>SUMPRODUCT(('Client DB &amp; Bed Mgmt'!$A$5:$A$428=Y43)*('Client DB &amp; Bed Mgmt'!$D$5:$D$428&lt;&gt;"")*--(('Client DB &amp; Bed Mgmt'!$M$5:$M$428="")+IFERROR('Client DB &amp; Bed Mgmt'!$M$5:$M$428&lt;=EOMONTH(X43,0),FALSE)&gt;0)*--(('Client DB &amp; Bed Mgmt'!$N$5:$N$428="")+NOT(ISNUMBER('Client DB &amp; Bed Mgmt'!$N$5:$N$428))+IFERROR('Client DB &amp; Bed Mgmt'!$N$5:$N$428&gt;=DATE(YEAR(X43),MONTH(X43),1),FALSE)&gt;0))</f>
        <v/>
      </c>
      <c r="AA43">
        <f>IFERROR(SUMPRODUCT(('Client DB &amp; Bed Mgmt'!$A$5:$A$428=Y43)*('Client DB &amp; Bed Mgmt'!$D$5:$D$428&lt;&gt;"")*--(('Client DB &amp; Bed Mgmt'!$M$5:$M$428="")+IFERROR('Client DB &amp; Bed Mgmt'!$M$5:$M$428&lt;=EOMONTH(X43,0),FALSE)&gt;0)*--(('Client DB &amp; Bed Mgmt'!$N$5:$N$428="")+NOT(ISNUMBER('Client DB &amp; Bed Mgmt'!$N$5:$N$428))+IFERROR('Client DB &amp; Bed Mgmt'!$N$5:$N$428&gt;=DATE(YEAR(X43),MONTH(X43),1),FALSE)&gt;0)*'Client DB &amp; Bed Mgmt'!$I$5:$I$428*((IF(('Client DB &amp; Bed Mgmt'!$N$5:$N$428="")+NOT(ISNUMBER('Client DB &amp; Bed Mgmt'!$N$5:$N$428)),EOMONTH(X43,0),IF('Client DB &amp; Bed Mgmt'!$N$5:$N$428&lt;EOMONTH(X43,0),'Client DB &amp; Bed Mgmt'!$N$5:$N$428,EOMONTH(X43,0))))-(IF(('Client DB &amp; Bed Mgmt'!$M$5:$M$428="")+NOT(ISNUMBER('Client DB &amp; Bed Mgmt'!$M$5:$M$428)),DATE(YEAR(X43),MONTH(X43),1),IF('Client DB &amp; Bed Mgmt'!$M$5:$M$428&gt;DATE(YEAR(X43),MONTH(X43),1),'Client DB &amp; Bed Mgmt'!$M$5:$M$428,DATE(YEAR(X43),MONTH(X43),1))))+1)/DAY(EOMONTH(X43,0))),0)</f>
        <v/>
      </c>
      <c r="AB43">
        <f>IFERROR(SUMPRODUCT(('Client DB &amp; Bed Mgmt'!$A$5:$A$428=Y43)*('Client DB &amp; Bed Mgmt'!$D$5:$D$428&lt;&gt;"")*--(('Client DB &amp; Bed Mgmt'!$M$5:$M$428="")+IFERROR('Client DB &amp; Bed Mgmt'!$M$5:$M$428&lt;=EOMONTH(X43,0),FALSE)&gt;0)*--(('Client DB &amp; Bed Mgmt'!$N$5:$N$428="")+NOT(ISNUMBER('Client DB &amp; Bed Mgmt'!$N$5:$N$428))+IFERROR('Client DB &amp; Bed Mgmt'!$N$5:$N$428&gt;=DATE(YEAR(X43),MONTH(X43),1),FALSE)&gt;0)*((IF(('Client DB &amp; Bed Mgmt'!$N$5:$N$428="")+NOT(ISNUMBER('Client DB &amp; Bed Mgmt'!$N$5:$N$428)),EOMONTH(X43,0),IF('Client DB &amp; Bed Mgmt'!$N$5:$N$428&lt;EOMONTH(X43,0),'Client DB &amp; Bed Mgmt'!$N$5:$N$428,EOMONTH(X43,0))))-(IF(('Client DB &amp; Bed Mgmt'!$M$5:$M$428="")+NOT(ISNUMBER('Client DB &amp; Bed Mgmt'!$M$5:$M$428)),DATE(YEAR(X43),MONTH(X43),1),IF('Client DB &amp; Bed Mgmt'!$M$5:$M$428&gt;DATE(YEAR(X43),MONTH(X43),1),'Client DB &amp; Bed Mgmt'!$M$5:$M$428,DATE(YEAR(X43),MONTH(X43),1))))+1)/DAY(EOMONTH(X43,0))),0)</f>
        <v/>
      </c>
    </row>
    <row r="44" ht="14.25" customHeight="1" s="83">
      <c r="A44" s="125">
        <f>IFERROR(INDEX($X$14:$X$49,AGGREGATE(15,6,(ROW($X$14:$X$49)-ROW($X$14)+1)/($Z$14:$Z$49&gt;0),ROWS($A$14:A44))),"")</f>
        <v/>
      </c>
      <c r="B44" s="103">
        <f>IFERROR(INDEX($Y$14:$Y$49,AGGREGATE(15,6,(ROW($X$14:$X$49)-ROW($X$14)+1)/($Z$14:$Z$49&gt;0),ROWS($A$14:A44))),"")</f>
        <v/>
      </c>
      <c r="C44" s="170">
        <f>IF($A44="","",IFERROR(_xlfn.XLOOKUP(B44,DormRegistry[Dorm Name],DormRegistry[Ownership Type]),""))</f>
        <v/>
      </c>
      <c r="D44" s="170">
        <f>IF($A44="","",IFERROR(_xlfn.XLOOKUP(B44,DormRegistry[Dorm Name],DormRegistry[Bed Capacity]),0))</f>
        <v/>
      </c>
      <c r="E44" s="130">
        <f>IF($A44="","",$B$6*(1+$B$8)^(YEAR(A44)-YEAR(StartDate)))</f>
        <v/>
      </c>
      <c r="F44" s="105">
        <f>IF($A44="","",$B$7)</f>
        <v/>
      </c>
      <c r="G44" s="105">
        <f>IF($A44="","",$B$8)</f>
        <v/>
      </c>
      <c r="H44" s="130">
        <f>IF($A44="","",D44*E44)</f>
        <v/>
      </c>
      <c r="I44" s="130">
        <f>IFERROR(INDEX($AA$14:$AA$49,AGGREGATE(15,6,(ROW($X$14:$X$49)-ROW($X$14)+1)/($Z$14:$Z$49&gt;0),ROWS($A$14:A44))),"")</f>
        <v/>
      </c>
      <c r="J44" s="130">
        <f>IF($A44="","",D44*F44*E44)</f>
        <v/>
      </c>
      <c r="K44" s="104">
        <f>IF($A44="","",75)</f>
        <v/>
      </c>
      <c r="L44" s="104">
        <f>IF($A44="","",50)</f>
        <v/>
      </c>
      <c r="M44" s="104">
        <f>IF($A44="","",150)</f>
        <v/>
      </c>
      <c r="N44" s="104">
        <f>IF($A44="","",125)</f>
        <v/>
      </c>
      <c r="O44" s="104">
        <f>IF($A44="","",60)</f>
        <v/>
      </c>
      <c r="P44" s="104">
        <f>IF($A44="","",80)</f>
        <v/>
      </c>
      <c r="Q44" s="104">
        <f>IF($A44="","",40)</f>
        <v/>
      </c>
      <c r="R44" s="130">
        <f>IF($A44="","",IF(C44="Owned",0,2500))</f>
        <v/>
      </c>
      <c r="S44" s="130">
        <f>IF($A44="","",SUM(K44:R44))</f>
        <v/>
      </c>
      <c r="T44" s="130">
        <f>IF($A44="","",I44-S44)</f>
        <v/>
      </c>
      <c r="U44" s="105">
        <f>IF($A44="","",IFERROR(T44/I44,0))</f>
        <v/>
      </c>
      <c r="V44" s="82">
        <f>IFERROR(INDEX($AB$14:$AB$49,AGGREGATE(15,6,(ROW($X$14:$X$49)-ROW($X$14)+1)/($Z$14:$Z$49&gt;0),ROWS($A$14:A44))),"")</f>
        <v/>
      </c>
      <c r="X44">
        <f>EDATE(StartDate,10)</f>
        <v/>
      </c>
      <c r="Y44" t="inlineStr">
        <is>
          <t>Dorm 1</t>
        </is>
      </c>
      <c r="Z44">
        <f>SUMPRODUCT(('Client DB &amp; Bed Mgmt'!$A$5:$A$428=Y44)*('Client DB &amp; Bed Mgmt'!$D$5:$D$428&lt;&gt;"")*--(('Client DB &amp; Bed Mgmt'!$M$5:$M$428="")+IFERROR('Client DB &amp; Bed Mgmt'!$M$5:$M$428&lt;=EOMONTH(X44,0),FALSE)&gt;0)*--(('Client DB &amp; Bed Mgmt'!$N$5:$N$428="")+NOT(ISNUMBER('Client DB &amp; Bed Mgmt'!$N$5:$N$428))+IFERROR('Client DB &amp; Bed Mgmt'!$N$5:$N$428&gt;=DATE(YEAR(X44),MONTH(X44),1),FALSE)&gt;0))</f>
        <v/>
      </c>
      <c r="AA44">
        <f>IFERROR(SUMPRODUCT(('Client DB &amp; Bed Mgmt'!$A$5:$A$428=Y44)*('Client DB &amp; Bed Mgmt'!$D$5:$D$428&lt;&gt;"")*--(('Client DB &amp; Bed Mgmt'!$M$5:$M$428="")+IFERROR('Client DB &amp; Bed Mgmt'!$M$5:$M$428&lt;=EOMONTH(X44,0),FALSE)&gt;0)*--(('Client DB &amp; Bed Mgmt'!$N$5:$N$428="")+NOT(ISNUMBER('Client DB &amp; Bed Mgmt'!$N$5:$N$428))+IFERROR('Client DB &amp; Bed Mgmt'!$N$5:$N$428&gt;=DATE(YEAR(X44),MONTH(X44),1),FALSE)&gt;0)*'Client DB &amp; Bed Mgmt'!$I$5:$I$428*((IF(('Client DB &amp; Bed Mgmt'!$N$5:$N$428="")+NOT(ISNUMBER('Client DB &amp; Bed Mgmt'!$N$5:$N$428)),EOMONTH(X44,0),IF('Client DB &amp; Bed Mgmt'!$N$5:$N$428&lt;EOMONTH(X44,0),'Client DB &amp; Bed Mgmt'!$N$5:$N$428,EOMONTH(X44,0))))-(IF(('Client DB &amp; Bed Mgmt'!$M$5:$M$428="")+NOT(ISNUMBER('Client DB &amp; Bed Mgmt'!$M$5:$M$428)),DATE(YEAR(X44),MONTH(X44),1),IF('Client DB &amp; Bed Mgmt'!$M$5:$M$428&gt;DATE(YEAR(X44),MONTH(X44),1),'Client DB &amp; Bed Mgmt'!$M$5:$M$428,DATE(YEAR(X44),MONTH(X44),1))))+1)/DAY(EOMONTH(X44,0))),0)</f>
        <v/>
      </c>
      <c r="AB44">
        <f>IFERROR(SUMPRODUCT(('Client DB &amp; Bed Mgmt'!$A$5:$A$428=Y44)*('Client DB &amp; Bed Mgmt'!$D$5:$D$428&lt;&gt;"")*--(('Client DB &amp; Bed Mgmt'!$M$5:$M$428="")+IFERROR('Client DB &amp; Bed Mgmt'!$M$5:$M$428&lt;=EOMONTH(X44,0),FALSE)&gt;0)*--(('Client DB &amp; Bed Mgmt'!$N$5:$N$428="")+NOT(ISNUMBER('Client DB &amp; Bed Mgmt'!$N$5:$N$428))+IFERROR('Client DB &amp; Bed Mgmt'!$N$5:$N$428&gt;=DATE(YEAR(X44),MONTH(X44),1),FALSE)&gt;0)*((IF(('Client DB &amp; Bed Mgmt'!$N$5:$N$428="")+NOT(ISNUMBER('Client DB &amp; Bed Mgmt'!$N$5:$N$428)),EOMONTH(X44,0),IF('Client DB &amp; Bed Mgmt'!$N$5:$N$428&lt;EOMONTH(X44,0),'Client DB &amp; Bed Mgmt'!$N$5:$N$428,EOMONTH(X44,0))))-(IF(('Client DB &amp; Bed Mgmt'!$M$5:$M$428="")+NOT(ISNUMBER('Client DB &amp; Bed Mgmt'!$M$5:$M$428)),DATE(YEAR(X44),MONTH(X44),1),IF('Client DB &amp; Bed Mgmt'!$M$5:$M$428&gt;DATE(YEAR(X44),MONTH(X44),1),'Client DB &amp; Bed Mgmt'!$M$5:$M$428,DATE(YEAR(X44),MONTH(X44),1))))+1)/DAY(EOMONTH(X44,0))),0)</f>
        <v/>
      </c>
    </row>
    <row r="45" hidden="1" ht="14.25" customHeight="1" s="83">
      <c r="A45" s="125">
        <f>IFERROR(INDEX($X$14:$X$49,AGGREGATE(15,6,(ROW($X$14:$X$49)-ROW($X$14)+1)/($Z$14:$Z$49&gt;0),ROWS($A$14:A45))),"")</f>
        <v/>
      </c>
      <c r="B45" s="103">
        <f>IFERROR(INDEX($Y$14:$Y$49,AGGREGATE(15,6,(ROW($X$14:$X$49)-ROW($X$14)+1)/($Z$14:$Z$49&gt;0),ROWS($A$14:A45))),"")</f>
        <v/>
      </c>
      <c r="C45" s="170">
        <f>IF($A45="","",IFERROR(_xlfn.XLOOKUP(B45,DormRegistry[Dorm Name],DormRegistry[Ownership Type]),""))</f>
        <v/>
      </c>
      <c r="D45" s="170">
        <f>IF($A45="","",IFERROR(_xlfn.XLOOKUP(B45,DormRegistry[Dorm Name],DormRegistry[Bed Capacity]),0))</f>
        <v/>
      </c>
      <c r="E45" s="130">
        <f>IF($A45="","",$B$6*(1+$B$8)^(YEAR(A45)-YEAR(StartDate)))</f>
        <v/>
      </c>
      <c r="F45" s="105">
        <f>IF($A45="","",$B$7)</f>
        <v/>
      </c>
      <c r="G45" s="105">
        <f>IF($A45="","",$B$8)</f>
        <v/>
      </c>
      <c r="H45" s="130">
        <f>IF($A45="","",D45*E45)</f>
        <v/>
      </c>
      <c r="I45" s="130">
        <f>IFERROR(INDEX($AA$14:$AA$49,AGGREGATE(15,6,(ROW($X$14:$X$49)-ROW($X$14)+1)/($Z$14:$Z$49&gt;0),ROWS($A$14:A45))),"")</f>
        <v/>
      </c>
      <c r="J45" s="130">
        <f>IF($A45="","",D45*F45*E45)</f>
        <v/>
      </c>
      <c r="K45" s="104">
        <f>IF($A45="","",75)</f>
        <v/>
      </c>
      <c r="L45" s="104">
        <f>IF($A45="","",50)</f>
        <v/>
      </c>
      <c r="M45" s="104">
        <f>IF($A45="","",150)</f>
        <v/>
      </c>
      <c r="N45" s="104">
        <f>IF($A45="","",125)</f>
        <v/>
      </c>
      <c r="O45" s="104">
        <f>IF($A45="","",60)</f>
        <v/>
      </c>
      <c r="P45" s="104">
        <f>IF($A45="","",80)</f>
        <v/>
      </c>
      <c r="Q45" s="104">
        <f>IF($A45="","",40)</f>
        <v/>
      </c>
      <c r="R45" s="130">
        <f>IF($A45="","",IF(C45="Owned",0,2500))</f>
        <v/>
      </c>
      <c r="S45" s="130">
        <f>IF($A45="","",SUM(K45:R45))</f>
        <v/>
      </c>
      <c r="T45" s="130">
        <f>IF($A45="","",I45-S45)</f>
        <v/>
      </c>
      <c r="U45" s="105">
        <f>IF($A45="","",IFERROR(T45/I45,0))</f>
        <v/>
      </c>
      <c r="V45" s="82">
        <f>IFERROR(INDEX($AB$14:$AB$49,AGGREGATE(15,6,(ROW($X$14:$X$49)-ROW($X$14)+1)/($Z$14:$Z$49&gt;0),ROWS($A$14:A45))),"")</f>
        <v/>
      </c>
      <c r="X45">
        <f>EDATE(StartDate,10)</f>
        <v/>
      </c>
      <c r="Y45" t="inlineStr">
        <is>
          <t>Dorm 2</t>
        </is>
      </c>
      <c r="Z45">
        <f>SUMPRODUCT(('Client DB &amp; Bed Mgmt'!$A$5:$A$428=Y45)*('Client DB &amp; Bed Mgmt'!$D$5:$D$428&lt;&gt;"")*--(('Client DB &amp; Bed Mgmt'!$M$5:$M$428="")+IFERROR('Client DB &amp; Bed Mgmt'!$M$5:$M$428&lt;=EOMONTH(X45,0),FALSE)&gt;0)*--(('Client DB &amp; Bed Mgmt'!$N$5:$N$428="")+NOT(ISNUMBER('Client DB &amp; Bed Mgmt'!$N$5:$N$428))+IFERROR('Client DB &amp; Bed Mgmt'!$N$5:$N$428&gt;=DATE(YEAR(X45),MONTH(X45),1),FALSE)&gt;0))</f>
        <v/>
      </c>
      <c r="AA45">
        <f>IFERROR(SUMPRODUCT(('Client DB &amp; Bed Mgmt'!$A$5:$A$428=Y45)*('Client DB &amp; Bed Mgmt'!$D$5:$D$428&lt;&gt;"")*--(('Client DB &amp; Bed Mgmt'!$M$5:$M$428="")+IFERROR('Client DB &amp; Bed Mgmt'!$M$5:$M$428&lt;=EOMONTH(X45,0),FALSE)&gt;0)*--(('Client DB &amp; Bed Mgmt'!$N$5:$N$428="")+NOT(ISNUMBER('Client DB &amp; Bed Mgmt'!$N$5:$N$428))+IFERROR('Client DB &amp; Bed Mgmt'!$N$5:$N$428&gt;=DATE(YEAR(X45),MONTH(X45),1),FALSE)&gt;0)*'Client DB &amp; Bed Mgmt'!$I$5:$I$428*((IF(('Client DB &amp; Bed Mgmt'!$N$5:$N$428="")+NOT(ISNUMBER('Client DB &amp; Bed Mgmt'!$N$5:$N$428)),EOMONTH(X45,0),IF('Client DB &amp; Bed Mgmt'!$N$5:$N$428&lt;EOMONTH(X45,0),'Client DB &amp; Bed Mgmt'!$N$5:$N$428,EOMONTH(X45,0))))-(IF(('Client DB &amp; Bed Mgmt'!$M$5:$M$428="")+NOT(ISNUMBER('Client DB &amp; Bed Mgmt'!$M$5:$M$428)),DATE(YEAR(X45),MONTH(X45),1),IF('Client DB &amp; Bed Mgmt'!$M$5:$M$428&gt;DATE(YEAR(X45),MONTH(X45),1),'Client DB &amp; Bed Mgmt'!$M$5:$M$428,DATE(YEAR(X45),MONTH(X45),1))))+1)/DAY(EOMONTH(X45,0))),0)</f>
        <v/>
      </c>
      <c r="AB45">
        <f>IFERROR(SUMPRODUCT(('Client DB &amp; Bed Mgmt'!$A$5:$A$428=Y45)*('Client DB &amp; Bed Mgmt'!$D$5:$D$428&lt;&gt;"")*--(('Client DB &amp; Bed Mgmt'!$M$5:$M$428="")+IFERROR('Client DB &amp; Bed Mgmt'!$M$5:$M$428&lt;=EOMONTH(X45,0),FALSE)&gt;0)*--(('Client DB &amp; Bed Mgmt'!$N$5:$N$428="")+NOT(ISNUMBER('Client DB &amp; Bed Mgmt'!$N$5:$N$428))+IFERROR('Client DB &amp; Bed Mgmt'!$N$5:$N$428&gt;=DATE(YEAR(X45),MONTH(X45),1),FALSE)&gt;0)*((IF(('Client DB &amp; Bed Mgmt'!$N$5:$N$428="")+NOT(ISNUMBER('Client DB &amp; Bed Mgmt'!$N$5:$N$428)),EOMONTH(X45,0),IF('Client DB &amp; Bed Mgmt'!$N$5:$N$428&lt;EOMONTH(X45,0),'Client DB &amp; Bed Mgmt'!$N$5:$N$428,EOMONTH(X45,0))))-(IF(('Client DB &amp; Bed Mgmt'!$M$5:$M$428="")+NOT(ISNUMBER('Client DB &amp; Bed Mgmt'!$M$5:$M$428)),DATE(YEAR(X45),MONTH(X45),1),IF('Client DB &amp; Bed Mgmt'!$M$5:$M$428&gt;DATE(YEAR(X45),MONTH(X45),1),'Client DB &amp; Bed Mgmt'!$M$5:$M$428,DATE(YEAR(X45),MONTH(X45),1))))+1)/DAY(EOMONTH(X45,0))),0)</f>
        <v/>
      </c>
    </row>
    <row r="46" hidden="1" ht="14.25" customHeight="1" s="83">
      <c r="A46" s="125">
        <f>IFERROR(INDEX($X$14:$X$49,AGGREGATE(15,6,(ROW($X$14:$X$49)-ROW($X$14)+1)/($Z$14:$Z$49&gt;0),ROWS($A$14:A46))),"")</f>
        <v/>
      </c>
      <c r="B46" s="103">
        <f>IFERROR(INDEX($Y$14:$Y$49,AGGREGATE(15,6,(ROW($X$14:$X$49)-ROW($X$14)+1)/($Z$14:$Z$49&gt;0),ROWS($A$14:A46))),"")</f>
        <v/>
      </c>
      <c r="C46" s="170">
        <f>IF($A46="","",IFERROR(_xlfn.XLOOKUP(B46,DormRegistry[Dorm Name],DormRegistry[Ownership Type]),""))</f>
        <v/>
      </c>
      <c r="D46" s="170">
        <f>IF($A46="","",IFERROR(_xlfn.XLOOKUP(B46,DormRegistry[Dorm Name],DormRegistry[Bed Capacity]),0))</f>
        <v/>
      </c>
      <c r="E46" s="130">
        <f>IF($A46="","",$B$6*(1+$B$8)^(YEAR(A46)-YEAR(StartDate)))</f>
        <v/>
      </c>
      <c r="F46" s="105">
        <f>IF($A46="","",$B$7)</f>
        <v/>
      </c>
      <c r="G46" s="105">
        <f>IF($A46="","",$B$8)</f>
        <v/>
      </c>
      <c r="H46" s="130">
        <f>IF($A46="","",D46*E46)</f>
        <v/>
      </c>
      <c r="I46" s="130">
        <f>IFERROR(INDEX($AA$14:$AA$49,AGGREGATE(15,6,(ROW($X$14:$X$49)-ROW($X$14)+1)/($Z$14:$Z$49&gt;0),ROWS($A$14:A46))),"")</f>
        <v/>
      </c>
      <c r="J46" s="130">
        <f>IF($A46="","",D46*F46*E46)</f>
        <v/>
      </c>
      <c r="K46" s="104">
        <f>IF($A46="","",75)</f>
        <v/>
      </c>
      <c r="L46" s="104">
        <f>IF($A46="","",50)</f>
        <v/>
      </c>
      <c r="M46" s="104">
        <f>IF($A46="","",150)</f>
        <v/>
      </c>
      <c r="N46" s="104">
        <f>IF($A46="","",125)</f>
        <v/>
      </c>
      <c r="O46" s="104">
        <f>IF($A46="","",60)</f>
        <v/>
      </c>
      <c r="P46" s="104">
        <f>IF($A46="","",80)</f>
        <v/>
      </c>
      <c r="Q46" s="104">
        <f>IF($A46="","",40)</f>
        <v/>
      </c>
      <c r="R46" s="130">
        <f>IF($A46="","",IF(C46="Owned",0,2500))</f>
        <v/>
      </c>
      <c r="S46" s="130">
        <f>IF($A46="","",SUM(K46:R46))</f>
        <v/>
      </c>
      <c r="T46" s="130">
        <f>IF($A46="","",I46-S46)</f>
        <v/>
      </c>
      <c r="U46" s="105">
        <f>IF($A46="","",IFERROR(T46/I46,0))</f>
        <v/>
      </c>
      <c r="V46" s="82">
        <f>IFERROR(INDEX($AB$14:$AB$49,AGGREGATE(15,6,(ROW($X$14:$X$49)-ROW($X$14)+1)/($Z$14:$Z$49&gt;0),ROWS($A$14:A46))),"")</f>
        <v/>
      </c>
      <c r="X46">
        <f>EDATE(StartDate,10)</f>
        <v/>
      </c>
      <c r="Y46" t="inlineStr">
        <is>
          <t>Dorm 3</t>
        </is>
      </c>
      <c r="Z46">
        <f>SUMPRODUCT(('Client DB &amp; Bed Mgmt'!$A$5:$A$428=Y46)*('Client DB &amp; Bed Mgmt'!$D$5:$D$428&lt;&gt;"")*--(('Client DB &amp; Bed Mgmt'!$M$5:$M$428="")+IFERROR('Client DB &amp; Bed Mgmt'!$M$5:$M$428&lt;=EOMONTH(X46,0),FALSE)&gt;0)*--(('Client DB &amp; Bed Mgmt'!$N$5:$N$428="")+NOT(ISNUMBER('Client DB &amp; Bed Mgmt'!$N$5:$N$428))+IFERROR('Client DB &amp; Bed Mgmt'!$N$5:$N$428&gt;=DATE(YEAR(X46),MONTH(X46),1),FALSE)&gt;0))</f>
        <v/>
      </c>
      <c r="AA46">
        <f>IFERROR(SUMPRODUCT(('Client DB &amp; Bed Mgmt'!$A$5:$A$428=Y46)*('Client DB &amp; Bed Mgmt'!$D$5:$D$428&lt;&gt;"")*--(('Client DB &amp; Bed Mgmt'!$M$5:$M$428="")+IFERROR('Client DB &amp; Bed Mgmt'!$M$5:$M$428&lt;=EOMONTH(X46,0),FALSE)&gt;0)*--(('Client DB &amp; Bed Mgmt'!$N$5:$N$428="")+NOT(ISNUMBER('Client DB &amp; Bed Mgmt'!$N$5:$N$428))+IFERROR('Client DB &amp; Bed Mgmt'!$N$5:$N$428&gt;=DATE(YEAR(X46),MONTH(X46),1),FALSE)&gt;0)*'Client DB &amp; Bed Mgmt'!$I$5:$I$428*((IF(('Client DB &amp; Bed Mgmt'!$N$5:$N$428="")+NOT(ISNUMBER('Client DB &amp; Bed Mgmt'!$N$5:$N$428)),EOMONTH(X46,0),IF('Client DB &amp; Bed Mgmt'!$N$5:$N$428&lt;EOMONTH(X46,0),'Client DB &amp; Bed Mgmt'!$N$5:$N$428,EOMONTH(X46,0))))-(IF(('Client DB &amp; Bed Mgmt'!$M$5:$M$428="")+NOT(ISNUMBER('Client DB &amp; Bed Mgmt'!$M$5:$M$428)),DATE(YEAR(X46),MONTH(X46),1),IF('Client DB &amp; Bed Mgmt'!$M$5:$M$428&gt;DATE(YEAR(X46),MONTH(X46),1),'Client DB &amp; Bed Mgmt'!$M$5:$M$428,DATE(YEAR(X46),MONTH(X46),1))))+1)/DAY(EOMONTH(X46,0))),0)</f>
        <v/>
      </c>
      <c r="AB46">
        <f>IFERROR(SUMPRODUCT(('Client DB &amp; Bed Mgmt'!$A$5:$A$428=Y46)*('Client DB &amp; Bed Mgmt'!$D$5:$D$428&lt;&gt;"")*--(('Client DB &amp; Bed Mgmt'!$M$5:$M$428="")+IFERROR('Client DB &amp; Bed Mgmt'!$M$5:$M$428&lt;=EOMONTH(X46,0),FALSE)&gt;0)*--(('Client DB &amp; Bed Mgmt'!$N$5:$N$428="")+NOT(ISNUMBER('Client DB &amp; Bed Mgmt'!$N$5:$N$428))+IFERROR('Client DB &amp; Bed Mgmt'!$N$5:$N$428&gt;=DATE(YEAR(X46),MONTH(X46),1),FALSE)&gt;0)*((IF(('Client DB &amp; Bed Mgmt'!$N$5:$N$428="")+NOT(ISNUMBER('Client DB &amp; Bed Mgmt'!$N$5:$N$428)),EOMONTH(X46,0),IF('Client DB &amp; Bed Mgmt'!$N$5:$N$428&lt;EOMONTH(X46,0),'Client DB &amp; Bed Mgmt'!$N$5:$N$428,EOMONTH(X46,0))))-(IF(('Client DB &amp; Bed Mgmt'!$M$5:$M$428="")+NOT(ISNUMBER('Client DB &amp; Bed Mgmt'!$M$5:$M$428)),DATE(YEAR(X46),MONTH(X46),1),IF('Client DB &amp; Bed Mgmt'!$M$5:$M$428&gt;DATE(YEAR(X46),MONTH(X46),1),'Client DB &amp; Bed Mgmt'!$M$5:$M$428,DATE(YEAR(X46),MONTH(X46),1))))+1)/DAY(EOMONTH(X46,0))),0)</f>
        <v/>
      </c>
    </row>
    <row r="47" ht="14.25" customHeight="1" s="83">
      <c r="A47" s="125">
        <f>IFERROR(INDEX($X$14:$X$49,AGGREGATE(15,6,(ROW($X$14:$X$49)-ROW($X$14)+1)/($Z$14:$Z$49&gt;0),ROWS($A$14:A47))),"")</f>
        <v/>
      </c>
      <c r="B47" s="103">
        <f>IFERROR(INDEX($Y$14:$Y$49,AGGREGATE(15,6,(ROW($X$14:$X$49)-ROW($X$14)+1)/($Z$14:$Z$49&gt;0),ROWS($A$14:A47))),"")</f>
        <v/>
      </c>
      <c r="C47" s="170">
        <f>IF($A47="","",IFERROR(_xlfn.XLOOKUP(B47,DormRegistry[Dorm Name],DormRegistry[Ownership Type]),""))</f>
        <v/>
      </c>
      <c r="D47" s="170">
        <f>IF($A47="","",IFERROR(_xlfn.XLOOKUP(B47,DormRegistry[Dorm Name],DormRegistry[Bed Capacity]),0))</f>
        <v/>
      </c>
      <c r="E47" s="130">
        <f>IF($A47="","",$B$6*(1+$B$8)^(YEAR(A47)-YEAR(StartDate)))</f>
        <v/>
      </c>
      <c r="F47" s="105">
        <f>IF($A47="","",$B$7)</f>
        <v/>
      </c>
      <c r="G47" s="105">
        <f>IF($A47="","",$B$8)</f>
        <v/>
      </c>
      <c r="H47" s="130">
        <f>IF($A47="","",D47*E47)</f>
        <v/>
      </c>
      <c r="I47" s="130">
        <f>IFERROR(INDEX($AA$14:$AA$49,AGGREGATE(15,6,(ROW($X$14:$X$49)-ROW($X$14)+1)/($Z$14:$Z$49&gt;0),ROWS($A$14:A47))),"")</f>
        <v/>
      </c>
      <c r="J47" s="130">
        <f>IF($A47="","",D47*F47*E47)</f>
        <v/>
      </c>
      <c r="K47" s="104">
        <f>IF($A47="","",75)</f>
        <v/>
      </c>
      <c r="L47" s="104">
        <f>IF($A47="","",50)</f>
        <v/>
      </c>
      <c r="M47" s="104">
        <f>IF($A47="","",150)</f>
        <v/>
      </c>
      <c r="N47" s="104">
        <f>IF($A47="","",125)</f>
        <v/>
      </c>
      <c r="O47" s="104">
        <f>IF($A47="","",60)</f>
        <v/>
      </c>
      <c r="P47" s="104">
        <f>IF($A47="","",80)</f>
        <v/>
      </c>
      <c r="Q47" s="104">
        <f>IF($A47="","",40)</f>
        <v/>
      </c>
      <c r="R47" s="130">
        <f>IF($A47="","",IF(C47="Owned",0,2500))</f>
        <v/>
      </c>
      <c r="S47" s="130">
        <f>IF($A47="","",SUM(K47:R47))</f>
        <v/>
      </c>
      <c r="T47" s="130">
        <f>IF($A47="","",I47-S47)</f>
        <v/>
      </c>
      <c r="U47" s="105">
        <f>IF($A47="","",IFERROR(T47/I47,0))</f>
        <v/>
      </c>
      <c r="V47" s="82">
        <f>IFERROR(INDEX($AB$14:$AB$49,AGGREGATE(15,6,(ROW($X$14:$X$49)-ROW($X$14)+1)/($Z$14:$Z$49&gt;0),ROWS($A$14:A47))),"")</f>
        <v/>
      </c>
      <c r="X47">
        <f>EDATE(StartDate,11)</f>
        <v/>
      </c>
      <c r="Y47" t="inlineStr">
        <is>
          <t>Dorm 1</t>
        </is>
      </c>
      <c r="Z47">
        <f>SUMPRODUCT(('Client DB &amp; Bed Mgmt'!$A$5:$A$428=Y47)*('Client DB &amp; Bed Mgmt'!$D$5:$D$428&lt;&gt;"")*--(('Client DB &amp; Bed Mgmt'!$M$5:$M$428="")+IFERROR('Client DB &amp; Bed Mgmt'!$M$5:$M$428&lt;=EOMONTH(X47,0),FALSE)&gt;0)*--(('Client DB &amp; Bed Mgmt'!$N$5:$N$428="")+NOT(ISNUMBER('Client DB &amp; Bed Mgmt'!$N$5:$N$428))+IFERROR('Client DB &amp; Bed Mgmt'!$N$5:$N$428&gt;=DATE(YEAR(X47),MONTH(X47),1),FALSE)&gt;0))</f>
        <v/>
      </c>
      <c r="AA47">
        <f>IFERROR(SUMPRODUCT(('Client DB &amp; Bed Mgmt'!$A$5:$A$428=Y47)*('Client DB &amp; Bed Mgmt'!$D$5:$D$428&lt;&gt;"")*--(('Client DB &amp; Bed Mgmt'!$M$5:$M$428="")+IFERROR('Client DB &amp; Bed Mgmt'!$M$5:$M$428&lt;=EOMONTH(X47,0),FALSE)&gt;0)*--(('Client DB &amp; Bed Mgmt'!$N$5:$N$428="")+NOT(ISNUMBER('Client DB &amp; Bed Mgmt'!$N$5:$N$428))+IFERROR('Client DB &amp; Bed Mgmt'!$N$5:$N$428&gt;=DATE(YEAR(X47),MONTH(X47),1),FALSE)&gt;0)*'Client DB &amp; Bed Mgmt'!$I$5:$I$428*((IF(('Client DB &amp; Bed Mgmt'!$N$5:$N$428="")+NOT(ISNUMBER('Client DB &amp; Bed Mgmt'!$N$5:$N$428)),EOMONTH(X47,0),IF('Client DB &amp; Bed Mgmt'!$N$5:$N$428&lt;EOMONTH(X47,0),'Client DB &amp; Bed Mgmt'!$N$5:$N$428,EOMONTH(X47,0))))-(IF(('Client DB &amp; Bed Mgmt'!$M$5:$M$428="")+NOT(ISNUMBER('Client DB &amp; Bed Mgmt'!$M$5:$M$428)),DATE(YEAR(X47),MONTH(X47),1),IF('Client DB &amp; Bed Mgmt'!$M$5:$M$428&gt;DATE(YEAR(X47),MONTH(X47),1),'Client DB &amp; Bed Mgmt'!$M$5:$M$428,DATE(YEAR(X47),MONTH(X47),1))))+1)/DAY(EOMONTH(X47,0))),0)</f>
        <v/>
      </c>
      <c r="AB47">
        <f>IFERROR(SUMPRODUCT(('Client DB &amp; Bed Mgmt'!$A$5:$A$428=Y47)*('Client DB &amp; Bed Mgmt'!$D$5:$D$428&lt;&gt;"")*--(('Client DB &amp; Bed Mgmt'!$M$5:$M$428="")+IFERROR('Client DB &amp; Bed Mgmt'!$M$5:$M$428&lt;=EOMONTH(X47,0),FALSE)&gt;0)*--(('Client DB &amp; Bed Mgmt'!$N$5:$N$428="")+NOT(ISNUMBER('Client DB &amp; Bed Mgmt'!$N$5:$N$428))+IFERROR('Client DB &amp; Bed Mgmt'!$N$5:$N$428&gt;=DATE(YEAR(X47),MONTH(X47),1),FALSE)&gt;0)*((IF(('Client DB &amp; Bed Mgmt'!$N$5:$N$428="")+NOT(ISNUMBER('Client DB &amp; Bed Mgmt'!$N$5:$N$428)),EOMONTH(X47,0),IF('Client DB &amp; Bed Mgmt'!$N$5:$N$428&lt;EOMONTH(X47,0),'Client DB &amp; Bed Mgmt'!$N$5:$N$428,EOMONTH(X47,0))))-(IF(('Client DB &amp; Bed Mgmt'!$M$5:$M$428="")+NOT(ISNUMBER('Client DB &amp; Bed Mgmt'!$M$5:$M$428)),DATE(YEAR(X47),MONTH(X47),1),IF('Client DB &amp; Bed Mgmt'!$M$5:$M$428&gt;DATE(YEAR(X47),MONTH(X47),1),'Client DB &amp; Bed Mgmt'!$M$5:$M$428,DATE(YEAR(X47),MONTH(X47),1))))+1)/DAY(EOMONTH(X47,0))),0)</f>
        <v/>
      </c>
    </row>
    <row r="48" hidden="1" ht="14.25" customHeight="1" s="83">
      <c r="A48" s="125">
        <f>IFERROR(INDEX($X$14:$X$49,AGGREGATE(15,6,(ROW($X$14:$X$49)-ROW($X$14)+1)/($Z$14:$Z$49&gt;0),ROWS($A$14:A48))),"")</f>
        <v/>
      </c>
      <c r="B48" s="103">
        <f>IFERROR(INDEX($Y$14:$Y$49,AGGREGATE(15,6,(ROW($X$14:$X$49)-ROW($X$14)+1)/($Z$14:$Z$49&gt;0),ROWS($A$14:A48))),"")</f>
        <v/>
      </c>
      <c r="C48" s="170">
        <f>IF($A48="","",IFERROR(_xlfn.XLOOKUP(B48,DormRegistry[Dorm Name],DormRegistry[Ownership Type]),""))</f>
        <v/>
      </c>
      <c r="D48" s="170">
        <f>IF($A48="","",IFERROR(_xlfn.XLOOKUP(B48,DormRegistry[Dorm Name],DormRegistry[Bed Capacity]),0))</f>
        <v/>
      </c>
      <c r="E48" s="130">
        <f>IF($A48="","",$B$6*(1+$B$8)^(YEAR(A48)-YEAR(StartDate)))</f>
        <v/>
      </c>
      <c r="F48" s="105">
        <f>IF($A48="","",$B$7)</f>
        <v/>
      </c>
      <c r="G48" s="105">
        <f>IF($A48="","",$B$8)</f>
        <v/>
      </c>
      <c r="H48" s="130">
        <f>IF($A48="","",D48*E48)</f>
        <v/>
      </c>
      <c r="I48" s="130">
        <f>IFERROR(INDEX($AA$14:$AA$49,AGGREGATE(15,6,(ROW($X$14:$X$49)-ROW($X$14)+1)/($Z$14:$Z$49&gt;0),ROWS($A$14:A48))),"")</f>
        <v/>
      </c>
      <c r="J48" s="130">
        <f>IF($A48="","",D48*F48*E48)</f>
        <v/>
      </c>
      <c r="K48" s="104">
        <f>IF($A48="","",75)</f>
        <v/>
      </c>
      <c r="L48" s="104">
        <f>IF($A48="","",50)</f>
        <v/>
      </c>
      <c r="M48" s="104">
        <f>IF($A48="","",150)</f>
        <v/>
      </c>
      <c r="N48" s="104">
        <f>IF($A48="","",125)</f>
        <v/>
      </c>
      <c r="O48" s="104">
        <f>IF($A48="","",60)</f>
        <v/>
      </c>
      <c r="P48" s="104">
        <f>IF($A48="","",80)</f>
        <v/>
      </c>
      <c r="Q48" s="104">
        <f>IF($A48="","",40)</f>
        <v/>
      </c>
      <c r="R48" s="130">
        <f>IF($A48="","",IF(C48="Owned",0,2500))</f>
        <v/>
      </c>
      <c r="S48" s="130">
        <f>IF($A48="","",SUM(K48:R48))</f>
        <v/>
      </c>
      <c r="T48" s="130">
        <f>IF($A48="","",I48-S48)</f>
        <v/>
      </c>
      <c r="U48" s="105">
        <f>IF($A48="","",IFERROR(T48/I48,0))</f>
        <v/>
      </c>
      <c r="V48" s="82">
        <f>IFERROR(INDEX($AB$14:$AB$49,AGGREGATE(15,6,(ROW($X$14:$X$49)-ROW($X$14)+1)/($Z$14:$Z$49&gt;0),ROWS($A$14:A48))),"")</f>
        <v/>
      </c>
      <c r="X48">
        <f>EDATE(StartDate,11)</f>
        <v/>
      </c>
      <c r="Y48" t="inlineStr">
        <is>
          <t>Dorm 2</t>
        </is>
      </c>
      <c r="Z48">
        <f>SUMPRODUCT(('Client DB &amp; Bed Mgmt'!$A$5:$A$428=Y48)*('Client DB &amp; Bed Mgmt'!$D$5:$D$428&lt;&gt;"")*--(('Client DB &amp; Bed Mgmt'!$M$5:$M$428="")+IFERROR('Client DB &amp; Bed Mgmt'!$M$5:$M$428&lt;=EOMONTH(X48,0),FALSE)&gt;0)*--(('Client DB &amp; Bed Mgmt'!$N$5:$N$428="")+NOT(ISNUMBER('Client DB &amp; Bed Mgmt'!$N$5:$N$428))+IFERROR('Client DB &amp; Bed Mgmt'!$N$5:$N$428&gt;=DATE(YEAR(X48),MONTH(X48),1),FALSE)&gt;0))</f>
        <v/>
      </c>
      <c r="AA48">
        <f>IFERROR(SUMPRODUCT(('Client DB &amp; Bed Mgmt'!$A$5:$A$428=Y48)*('Client DB &amp; Bed Mgmt'!$D$5:$D$428&lt;&gt;"")*--(('Client DB &amp; Bed Mgmt'!$M$5:$M$428="")+IFERROR('Client DB &amp; Bed Mgmt'!$M$5:$M$428&lt;=EOMONTH(X48,0),FALSE)&gt;0)*--(('Client DB &amp; Bed Mgmt'!$N$5:$N$428="")+NOT(ISNUMBER('Client DB &amp; Bed Mgmt'!$N$5:$N$428))+IFERROR('Client DB &amp; Bed Mgmt'!$N$5:$N$428&gt;=DATE(YEAR(X48),MONTH(X48),1),FALSE)&gt;0)*'Client DB &amp; Bed Mgmt'!$I$5:$I$428*((IF(('Client DB &amp; Bed Mgmt'!$N$5:$N$428="")+NOT(ISNUMBER('Client DB &amp; Bed Mgmt'!$N$5:$N$428)),EOMONTH(X48,0),IF('Client DB &amp; Bed Mgmt'!$N$5:$N$428&lt;EOMONTH(X48,0),'Client DB &amp; Bed Mgmt'!$N$5:$N$428,EOMONTH(X48,0))))-(IF(('Client DB &amp; Bed Mgmt'!$M$5:$M$428="")+NOT(ISNUMBER('Client DB &amp; Bed Mgmt'!$M$5:$M$428)),DATE(YEAR(X48),MONTH(X48),1),IF('Client DB &amp; Bed Mgmt'!$M$5:$M$428&gt;DATE(YEAR(X48),MONTH(X48),1),'Client DB &amp; Bed Mgmt'!$M$5:$M$428,DATE(YEAR(X48),MONTH(X48),1))))+1)/DAY(EOMONTH(X48,0))),0)</f>
        <v/>
      </c>
      <c r="AB48">
        <f>IFERROR(SUMPRODUCT(('Client DB &amp; Bed Mgmt'!$A$5:$A$428=Y48)*('Client DB &amp; Bed Mgmt'!$D$5:$D$428&lt;&gt;"")*--(('Client DB &amp; Bed Mgmt'!$M$5:$M$428="")+IFERROR('Client DB &amp; Bed Mgmt'!$M$5:$M$428&lt;=EOMONTH(X48,0),FALSE)&gt;0)*--(('Client DB &amp; Bed Mgmt'!$N$5:$N$428="")+NOT(ISNUMBER('Client DB &amp; Bed Mgmt'!$N$5:$N$428))+IFERROR('Client DB &amp; Bed Mgmt'!$N$5:$N$428&gt;=DATE(YEAR(X48),MONTH(X48),1),FALSE)&gt;0)*((IF(('Client DB &amp; Bed Mgmt'!$N$5:$N$428="")+NOT(ISNUMBER('Client DB &amp; Bed Mgmt'!$N$5:$N$428)),EOMONTH(X48,0),IF('Client DB &amp; Bed Mgmt'!$N$5:$N$428&lt;EOMONTH(X48,0),'Client DB &amp; Bed Mgmt'!$N$5:$N$428,EOMONTH(X48,0))))-(IF(('Client DB &amp; Bed Mgmt'!$M$5:$M$428="")+NOT(ISNUMBER('Client DB &amp; Bed Mgmt'!$M$5:$M$428)),DATE(YEAR(X48),MONTH(X48),1),IF('Client DB &amp; Bed Mgmt'!$M$5:$M$428&gt;DATE(YEAR(X48),MONTH(X48),1),'Client DB &amp; Bed Mgmt'!$M$5:$M$428,DATE(YEAR(X48),MONTH(X48),1))))+1)/DAY(EOMONTH(X48,0))),0)</f>
        <v/>
      </c>
    </row>
    <row r="49" hidden="1" ht="14.25" customHeight="1" s="83">
      <c r="A49" s="125">
        <f>IFERROR(INDEX($X$14:$X$49,AGGREGATE(15,6,(ROW($X$14:$X$49)-ROW($X$14)+1)/($Z$14:$Z$49&gt;0),ROWS($A$14:A49))),"")</f>
        <v/>
      </c>
      <c r="B49" s="103">
        <f>IFERROR(INDEX($Y$14:$Y$49,AGGREGATE(15,6,(ROW($X$14:$X$49)-ROW($X$14)+1)/($Z$14:$Z$49&gt;0),ROWS($A$14:A49))),"")</f>
        <v/>
      </c>
      <c r="C49" s="170">
        <f>IF($A49="","",IFERROR(_xlfn.XLOOKUP(B49,DormRegistry[Dorm Name],DormRegistry[Ownership Type]),""))</f>
        <v/>
      </c>
      <c r="D49" s="170">
        <f>IF($A49="","",IFERROR(_xlfn.XLOOKUP(B49,DormRegistry[Dorm Name],DormRegistry[Bed Capacity]),0))</f>
        <v/>
      </c>
      <c r="E49" s="130">
        <f>IF($A49="","",$B$6*(1+$B$8)^(YEAR(A49)-YEAR(StartDate)))</f>
        <v/>
      </c>
      <c r="F49" s="105">
        <f>IF($A49="","",$B$7)</f>
        <v/>
      </c>
      <c r="G49" s="105">
        <f>IF($A49="","",$B$8)</f>
        <v/>
      </c>
      <c r="H49" s="130">
        <f>IF($A49="","",D49*E49)</f>
        <v/>
      </c>
      <c r="I49" s="130">
        <f>IFERROR(INDEX($AA$14:$AA$49,AGGREGATE(15,6,(ROW($X$14:$X$49)-ROW($X$14)+1)/($Z$14:$Z$49&gt;0),ROWS($A$14:A49))),"")</f>
        <v/>
      </c>
      <c r="J49" s="130">
        <f>IF($A49="","",D49*F49*E49)</f>
        <v/>
      </c>
      <c r="K49" s="104">
        <f>IF($A49="","",75)</f>
        <v/>
      </c>
      <c r="L49" s="104">
        <f>IF($A49="","",50)</f>
        <v/>
      </c>
      <c r="M49" s="104">
        <f>IF($A49="","",150)</f>
        <v/>
      </c>
      <c r="N49" s="104">
        <f>IF($A49="","",125)</f>
        <v/>
      </c>
      <c r="O49" s="104">
        <f>IF($A49="","",60)</f>
        <v/>
      </c>
      <c r="P49" s="104">
        <f>IF($A49="","",80)</f>
        <v/>
      </c>
      <c r="Q49" s="104">
        <f>IF($A49="","",40)</f>
        <v/>
      </c>
      <c r="R49" s="130">
        <f>IF($A49="","",IF(C49="Owned",0,2500))</f>
        <v/>
      </c>
      <c r="S49" s="130">
        <f>IF($A49="","",SUM(K49:R49))</f>
        <v/>
      </c>
      <c r="T49" s="130">
        <f>IF($A49="","",I49-S49)</f>
        <v/>
      </c>
      <c r="U49" s="105">
        <f>IF($A49="","",IFERROR(T49/I49,0))</f>
        <v/>
      </c>
      <c r="V49" s="82">
        <f>IFERROR(INDEX($AB$14:$AB$49,AGGREGATE(15,6,(ROW($X$14:$X$49)-ROW($X$14)+1)/($Z$14:$Z$49&gt;0),ROWS($A$14:A49))),"")</f>
        <v/>
      </c>
      <c r="X49">
        <f>EDATE(StartDate,11)</f>
        <v/>
      </c>
      <c r="Y49" t="inlineStr">
        <is>
          <t>Dorm 3</t>
        </is>
      </c>
      <c r="Z49">
        <f>SUMPRODUCT(('Client DB &amp; Bed Mgmt'!$A$5:$A$428=Y49)*('Client DB &amp; Bed Mgmt'!$D$5:$D$428&lt;&gt;"")*--(('Client DB &amp; Bed Mgmt'!$M$5:$M$428="")+IFERROR('Client DB &amp; Bed Mgmt'!$M$5:$M$428&lt;=EOMONTH(X49,0),FALSE)&gt;0)*--(('Client DB &amp; Bed Mgmt'!$N$5:$N$428="")+NOT(ISNUMBER('Client DB &amp; Bed Mgmt'!$N$5:$N$428))+IFERROR('Client DB &amp; Bed Mgmt'!$N$5:$N$428&gt;=DATE(YEAR(X49),MONTH(X49),1),FALSE)&gt;0))</f>
        <v/>
      </c>
      <c r="AA49">
        <f>IFERROR(SUMPRODUCT(('Client DB &amp; Bed Mgmt'!$A$5:$A$428=Y49)*('Client DB &amp; Bed Mgmt'!$D$5:$D$428&lt;&gt;"")*--(('Client DB &amp; Bed Mgmt'!$M$5:$M$428="")+IFERROR('Client DB &amp; Bed Mgmt'!$M$5:$M$428&lt;=EOMONTH(X49,0),FALSE)&gt;0)*--(('Client DB &amp; Bed Mgmt'!$N$5:$N$428="")+NOT(ISNUMBER('Client DB &amp; Bed Mgmt'!$N$5:$N$428))+IFERROR('Client DB &amp; Bed Mgmt'!$N$5:$N$428&gt;=DATE(YEAR(X49),MONTH(X49),1),FALSE)&gt;0)*'Client DB &amp; Bed Mgmt'!$I$5:$I$428*((IF(('Client DB &amp; Bed Mgmt'!$N$5:$N$428="")+NOT(ISNUMBER('Client DB &amp; Bed Mgmt'!$N$5:$N$428)),EOMONTH(X49,0),IF('Client DB &amp; Bed Mgmt'!$N$5:$N$428&lt;EOMONTH(X49,0),'Client DB &amp; Bed Mgmt'!$N$5:$N$428,EOMONTH(X49,0))))-(IF(('Client DB &amp; Bed Mgmt'!$M$5:$M$428="")+NOT(ISNUMBER('Client DB &amp; Bed Mgmt'!$M$5:$M$428)),DATE(YEAR(X49),MONTH(X49),1),IF('Client DB &amp; Bed Mgmt'!$M$5:$M$428&gt;DATE(YEAR(X49),MONTH(X49),1),'Client DB &amp; Bed Mgmt'!$M$5:$M$428,DATE(YEAR(X49),MONTH(X49),1))))+1)/DAY(EOMONTH(X49,0))),0)</f>
        <v/>
      </c>
      <c r="AB49">
        <f>IFERROR(SUMPRODUCT(('Client DB &amp; Bed Mgmt'!$A$5:$A$428=Y49)*('Client DB &amp; Bed Mgmt'!$D$5:$D$428&lt;&gt;"")*--(('Client DB &amp; Bed Mgmt'!$M$5:$M$428="")+IFERROR('Client DB &amp; Bed Mgmt'!$M$5:$M$428&lt;=EOMONTH(X49,0),FALSE)&gt;0)*--(('Client DB &amp; Bed Mgmt'!$N$5:$N$428="")+NOT(ISNUMBER('Client DB &amp; Bed Mgmt'!$N$5:$N$428))+IFERROR('Client DB &amp; Bed Mgmt'!$N$5:$N$428&gt;=DATE(YEAR(X49),MONTH(X49),1),FALSE)&gt;0)*((IF(('Client DB &amp; Bed Mgmt'!$N$5:$N$428="")+NOT(ISNUMBER('Client DB &amp; Bed Mgmt'!$N$5:$N$428)),EOMONTH(X49,0),IF('Client DB &amp; Bed Mgmt'!$N$5:$N$428&lt;EOMONTH(X49,0),'Client DB &amp; Bed Mgmt'!$N$5:$N$428,EOMONTH(X49,0))))-(IF(('Client DB &amp; Bed Mgmt'!$M$5:$M$428="")+NOT(ISNUMBER('Client DB &amp; Bed Mgmt'!$M$5:$M$428)),DATE(YEAR(X49),MONTH(X49),1),IF('Client DB &amp; Bed Mgmt'!$M$5:$M$428&gt;DATE(YEAR(X49),MONTH(X49),1),'Client DB &amp; Bed Mgmt'!$M$5:$M$428,DATE(YEAR(X49),MONTH(X49),1))))+1)/DAY(EOMONTH(X49,0))),0)</f>
        <v/>
      </c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2026-06-27T14:21:50Z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